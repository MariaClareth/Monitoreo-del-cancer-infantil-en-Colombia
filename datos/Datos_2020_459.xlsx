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icrodatos_Salida\2020\"/>
    </mc:Choice>
  </mc:AlternateContent>
  <xr:revisionPtr revIDLastSave="0" documentId="13_ncr:1_{560FA40C-BADA-42E5-9AE2-ED107A3A6B24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046" i="1" l="1"/>
  <c r="BP1046" i="1"/>
  <c r="BO1046" i="1"/>
  <c r="BN1046" i="1"/>
  <c r="BM1046" i="1"/>
  <c r="BL1046" i="1"/>
  <c r="BK1046" i="1"/>
  <c r="BJ1046" i="1"/>
  <c r="BI1046" i="1"/>
  <c r="BH1046" i="1"/>
  <c r="BG1046" i="1"/>
  <c r="BF1046" i="1"/>
  <c r="BE1046" i="1"/>
  <c r="BD1046" i="1"/>
  <c r="BC1046" i="1"/>
  <c r="BB1046" i="1"/>
  <c r="BA1046" i="1"/>
  <c r="AZ1046" i="1"/>
  <c r="AY1046" i="1"/>
  <c r="AX1046" i="1"/>
  <c r="AW1046" i="1"/>
  <c r="AV1046" i="1"/>
  <c r="AU1046" i="1"/>
  <c r="AT1046" i="1"/>
  <c r="AS1046" i="1"/>
  <c r="AR1046" i="1"/>
  <c r="AQ1046" i="1"/>
  <c r="AP1046" i="1"/>
  <c r="AO1046" i="1"/>
  <c r="AN1046" i="1"/>
  <c r="AM1046" i="1"/>
  <c r="AL1046" i="1"/>
  <c r="AK1046" i="1"/>
  <c r="AJ1046" i="1"/>
  <c r="AI1046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BQ1045" i="1"/>
  <c r="BP1045" i="1"/>
  <c r="BO1045" i="1"/>
  <c r="BN1045" i="1"/>
  <c r="BM1045" i="1"/>
  <c r="BL1045" i="1"/>
  <c r="BK1045" i="1"/>
  <c r="BJ1045" i="1"/>
  <c r="BI1045" i="1"/>
  <c r="BH1045" i="1"/>
  <c r="BG1045" i="1"/>
  <c r="BF1045" i="1"/>
  <c r="BE1045" i="1"/>
  <c r="BD1045" i="1"/>
  <c r="BC1045" i="1"/>
  <c r="BB1045" i="1"/>
  <c r="BA1045" i="1"/>
  <c r="AZ1045" i="1"/>
  <c r="AY1045" i="1"/>
  <c r="AX1045" i="1"/>
  <c r="AW1045" i="1"/>
  <c r="AV1045" i="1"/>
  <c r="AU1045" i="1"/>
  <c r="AT1045" i="1"/>
  <c r="AS1045" i="1"/>
  <c r="AR1045" i="1"/>
  <c r="AQ1045" i="1"/>
  <c r="AP1045" i="1"/>
  <c r="AO1045" i="1"/>
  <c r="AN1045" i="1"/>
  <c r="AM1045" i="1"/>
  <c r="AL1045" i="1"/>
  <c r="AK1045" i="1"/>
  <c r="AJ1045" i="1"/>
  <c r="AI1045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BQ1044" i="1"/>
  <c r="BP1044" i="1"/>
  <c r="BO1044" i="1"/>
  <c r="BN1044" i="1"/>
  <c r="BM1044" i="1"/>
  <c r="BL1044" i="1"/>
  <c r="BK1044" i="1"/>
  <c r="BJ1044" i="1"/>
  <c r="BI1044" i="1"/>
  <c r="BH1044" i="1"/>
  <c r="BG1044" i="1"/>
  <c r="BF1044" i="1"/>
  <c r="BE1044" i="1"/>
  <c r="BD1044" i="1"/>
  <c r="BC1044" i="1"/>
  <c r="BB1044" i="1"/>
  <c r="BA1044" i="1"/>
  <c r="AZ1044" i="1"/>
  <c r="AY1044" i="1"/>
  <c r="AX1044" i="1"/>
  <c r="AW1044" i="1"/>
  <c r="AV1044" i="1"/>
  <c r="AU1044" i="1"/>
  <c r="AT1044" i="1"/>
  <c r="AS1044" i="1"/>
  <c r="AR1044" i="1"/>
  <c r="AQ1044" i="1"/>
  <c r="AP1044" i="1"/>
  <c r="AO1044" i="1"/>
  <c r="AN1044" i="1"/>
  <c r="AM1044" i="1"/>
  <c r="AL1044" i="1"/>
  <c r="AK1044" i="1"/>
  <c r="AJ1044" i="1"/>
  <c r="AI1044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BQ1043" i="1"/>
  <c r="BP1043" i="1"/>
  <c r="BO1043" i="1"/>
  <c r="BN1043" i="1"/>
  <c r="BM1043" i="1"/>
  <c r="BL1043" i="1"/>
  <c r="BK1043" i="1"/>
  <c r="BJ1043" i="1"/>
  <c r="BI1043" i="1"/>
  <c r="BH1043" i="1"/>
  <c r="BG1043" i="1"/>
  <c r="BF1043" i="1"/>
  <c r="BE1043" i="1"/>
  <c r="BD1043" i="1"/>
  <c r="BC1043" i="1"/>
  <c r="BB1043" i="1"/>
  <c r="BA1043" i="1"/>
  <c r="AZ1043" i="1"/>
  <c r="AY1043" i="1"/>
  <c r="AX1043" i="1"/>
  <c r="AW1043" i="1"/>
  <c r="AV1043" i="1"/>
  <c r="AU1043" i="1"/>
  <c r="AT1043" i="1"/>
  <c r="AS1043" i="1"/>
  <c r="AR1043" i="1"/>
  <c r="AQ1043" i="1"/>
  <c r="AP1043" i="1"/>
  <c r="AO1043" i="1"/>
  <c r="AN1043" i="1"/>
  <c r="AM1043" i="1"/>
  <c r="AL1043" i="1"/>
  <c r="AK1043" i="1"/>
  <c r="AJ1043" i="1"/>
  <c r="AI1043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BQ1042" i="1"/>
  <c r="BP1042" i="1"/>
  <c r="BO1042" i="1"/>
  <c r="BN1042" i="1"/>
  <c r="BM1042" i="1"/>
  <c r="BL1042" i="1"/>
  <c r="BK1042" i="1"/>
  <c r="BJ1042" i="1"/>
  <c r="BI1042" i="1"/>
  <c r="BH1042" i="1"/>
  <c r="BG1042" i="1"/>
  <c r="BF1042" i="1"/>
  <c r="BE1042" i="1"/>
  <c r="BD1042" i="1"/>
  <c r="BC1042" i="1"/>
  <c r="BB1042" i="1"/>
  <c r="BA1042" i="1"/>
  <c r="AZ1042" i="1"/>
  <c r="AY1042" i="1"/>
  <c r="AX1042" i="1"/>
  <c r="AW1042" i="1"/>
  <c r="AV1042" i="1"/>
  <c r="AU1042" i="1"/>
  <c r="AT1042" i="1"/>
  <c r="AS1042" i="1"/>
  <c r="AR1042" i="1"/>
  <c r="AQ1042" i="1"/>
  <c r="AP1042" i="1"/>
  <c r="AO1042" i="1"/>
  <c r="AN1042" i="1"/>
  <c r="AM1042" i="1"/>
  <c r="AL1042" i="1"/>
  <c r="AK1042" i="1"/>
  <c r="AJ1042" i="1"/>
  <c r="AI1042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BQ1041" i="1"/>
  <c r="BP1041" i="1"/>
  <c r="BO1041" i="1"/>
  <c r="BN1041" i="1"/>
  <c r="BM1041" i="1"/>
  <c r="BL1041" i="1"/>
  <c r="BK1041" i="1"/>
  <c r="BJ1041" i="1"/>
  <c r="BI1041" i="1"/>
  <c r="BH1041" i="1"/>
  <c r="BG1041" i="1"/>
  <c r="BF1041" i="1"/>
  <c r="BE1041" i="1"/>
  <c r="BD1041" i="1"/>
  <c r="BC1041" i="1"/>
  <c r="BB1041" i="1"/>
  <c r="BA1041" i="1"/>
  <c r="AZ1041" i="1"/>
  <c r="AY1041" i="1"/>
  <c r="AX1041" i="1"/>
  <c r="AW1041" i="1"/>
  <c r="AV1041" i="1"/>
  <c r="AU1041" i="1"/>
  <c r="AT1041" i="1"/>
  <c r="AS1041" i="1"/>
  <c r="AR1041" i="1"/>
  <c r="AQ1041" i="1"/>
  <c r="AP1041" i="1"/>
  <c r="AO1041" i="1"/>
  <c r="AN1041" i="1"/>
  <c r="AM1041" i="1"/>
  <c r="AL1041" i="1"/>
  <c r="AK1041" i="1"/>
  <c r="AJ1041" i="1"/>
  <c r="AI1041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BQ1040" i="1"/>
  <c r="BP1040" i="1"/>
  <c r="BO1040" i="1"/>
  <c r="BN1040" i="1"/>
  <c r="BM1040" i="1"/>
  <c r="BL1040" i="1"/>
  <c r="BK1040" i="1"/>
  <c r="BJ1040" i="1"/>
  <c r="BI1040" i="1"/>
  <c r="BH1040" i="1"/>
  <c r="BG1040" i="1"/>
  <c r="BF1040" i="1"/>
  <c r="BE1040" i="1"/>
  <c r="BD1040" i="1"/>
  <c r="BC1040" i="1"/>
  <c r="BB1040" i="1"/>
  <c r="BA1040" i="1"/>
  <c r="AZ1040" i="1"/>
  <c r="AY1040" i="1"/>
  <c r="AX1040" i="1"/>
  <c r="AW1040" i="1"/>
  <c r="AV1040" i="1"/>
  <c r="AU1040" i="1"/>
  <c r="AT1040" i="1"/>
  <c r="AS1040" i="1"/>
  <c r="AR1040" i="1"/>
  <c r="AQ1040" i="1"/>
  <c r="AP1040" i="1"/>
  <c r="AO1040" i="1"/>
  <c r="AN1040" i="1"/>
  <c r="AM1040" i="1"/>
  <c r="AL1040" i="1"/>
  <c r="AK1040" i="1"/>
  <c r="AJ1040" i="1"/>
  <c r="AI1040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BQ1039" i="1"/>
  <c r="BP1039" i="1"/>
  <c r="BO1039" i="1"/>
  <c r="BN1039" i="1"/>
  <c r="BM1039" i="1"/>
  <c r="BL1039" i="1"/>
  <c r="BK1039" i="1"/>
  <c r="BJ1039" i="1"/>
  <c r="BI1039" i="1"/>
  <c r="BH1039" i="1"/>
  <c r="BG1039" i="1"/>
  <c r="BF1039" i="1"/>
  <c r="BE1039" i="1"/>
  <c r="BD1039" i="1"/>
  <c r="BC1039" i="1"/>
  <c r="BB1039" i="1"/>
  <c r="BA1039" i="1"/>
  <c r="AZ1039" i="1"/>
  <c r="AY1039" i="1"/>
  <c r="AX1039" i="1"/>
  <c r="AW1039" i="1"/>
  <c r="AV1039" i="1"/>
  <c r="AU1039" i="1"/>
  <c r="AT1039" i="1"/>
  <c r="AS1039" i="1"/>
  <c r="AR1039" i="1"/>
  <c r="AQ1039" i="1"/>
  <c r="AP1039" i="1"/>
  <c r="AO1039" i="1"/>
  <c r="AN1039" i="1"/>
  <c r="AM1039" i="1"/>
  <c r="AL1039" i="1"/>
  <c r="AK1039" i="1"/>
  <c r="AJ1039" i="1"/>
  <c r="AI1039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BQ1038" i="1"/>
  <c r="BP1038" i="1"/>
  <c r="BO1038" i="1"/>
  <c r="BN1038" i="1"/>
  <c r="BM1038" i="1"/>
  <c r="BL1038" i="1"/>
  <c r="BK1038" i="1"/>
  <c r="BJ1038" i="1"/>
  <c r="BI1038" i="1"/>
  <c r="BH1038" i="1"/>
  <c r="BG1038" i="1"/>
  <c r="BF1038" i="1"/>
  <c r="BE1038" i="1"/>
  <c r="BD1038" i="1"/>
  <c r="BC1038" i="1"/>
  <c r="BB1038" i="1"/>
  <c r="BA1038" i="1"/>
  <c r="AZ1038" i="1"/>
  <c r="AY1038" i="1"/>
  <c r="AX1038" i="1"/>
  <c r="AW1038" i="1"/>
  <c r="AV1038" i="1"/>
  <c r="AU1038" i="1"/>
  <c r="AT1038" i="1"/>
  <c r="AS1038" i="1"/>
  <c r="AR1038" i="1"/>
  <c r="AQ1038" i="1"/>
  <c r="AP1038" i="1"/>
  <c r="AO1038" i="1"/>
  <c r="AN1038" i="1"/>
  <c r="AM1038" i="1"/>
  <c r="AL1038" i="1"/>
  <c r="AK1038" i="1"/>
  <c r="AJ1038" i="1"/>
  <c r="AI1038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BQ1037" i="1"/>
  <c r="BP1037" i="1"/>
  <c r="BO1037" i="1"/>
  <c r="BN1037" i="1"/>
  <c r="BM1037" i="1"/>
  <c r="BL1037" i="1"/>
  <c r="BK1037" i="1"/>
  <c r="BJ1037" i="1"/>
  <c r="BI1037" i="1"/>
  <c r="BH1037" i="1"/>
  <c r="BG1037" i="1"/>
  <c r="BF1037" i="1"/>
  <c r="BE1037" i="1"/>
  <c r="BD1037" i="1"/>
  <c r="BC1037" i="1"/>
  <c r="BB1037" i="1"/>
  <c r="BA1037" i="1"/>
  <c r="AZ1037" i="1"/>
  <c r="AY1037" i="1"/>
  <c r="AX1037" i="1"/>
  <c r="AW1037" i="1"/>
  <c r="AV1037" i="1"/>
  <c r="AU1037" i="1"/>
  <c r="AT1037" i="1"/>
  <c r="AS1037" i="1"/>
  <c r="AR1037" i="1"/>
  <c r="AQ1037" i="1"/>
  <c r="AP1037" i="1"/>
  <c r="AO1037" i="1"/>
  <c r="AN1037" i="1"/>
  <c r="AM1037" i="1"/>
  <c r="AL1037" i="1"/>
  <c r="AK1037" i="1"/>
  <c r="AJ1037" i="1"/>
  <c r="AI1037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BQ1036" i="1"/>
  <c r="BP1036" i="1"/>
  <c r="BO1036" i="1"/>
  <c r="BN1036" i="1"/>
  <c r="BM1036" i="1"/>
  <c r="BL1036" i="1"/>
  <c r="BK1036" i="1"/>
  <c r="BJ1036" i="1"/>
  <c r="BI1036" i="1"/>
  <c r="BH1036" i="1"/>
  <c r="BG1036" i="1"/>
  <c r="BF1036" i="1"/>
  <c r="BE1036" i="1"/>
  <c r="BD1036" i="1"/>
  <c r="BC1036" i="1"/>
  <c r="BB1036" i="1"/>
  <c r="BA1036" i="1"/>
  <c r="AZ1036" i="1"/>
  <c r="AY1036" i="1"/>
  <c r="AX1036" i="1"/>
  <c r="AW1036" i="1"/>
  <c r="AV1036" i="1"/>
  <c r="AU1036" i="1"/>
  <c r="AT1036" i="1"/>
  <c r="AS1036" i="1"/>
  <c r="AR1036" i="1"/>
  <c r="AQ1036" i="1"/>
  <c r="AP1036" i="1"/>
  <c r="AO1036" i="1"/>
  <c r="AN1036" i="1"/>
  <c r="AM1036" i="1"/>
  <c r="AL1036" i="1"/>
  <c r="AK1036" i="1"/>
  <c r="AJ1036" i="1"/>
  <c r="AI1036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BQ1035" i="1"/>
  <c r="BP1035" i="1"/>
  <c r="BO1035" i="1"/>
  <c r="BN1035" i="1"/>
  <c r="BM1035" i="1"/>
  <c r="BL1035" i="1"/>
  <c r="BK1035" i="1"/>
  <c r="BJ1035" i="1"/>
  <c r="BI1035" i="1"/>
  <c r="BH1035" i="1"/>
  <c r="BG1035" i="1"/>
  <c r="BF1035" i="1"/>
  <c r="BE1035" i="1"/>
  <c r="BD1035" i="1"/>
  <c r="BC1035" i="1"/>
  <c r="BB1035" i="1"/>
  <c r="BA1035" i="1"/>
  <c r="AZ1035" i="1"/>
  <c r="AY1035" i="1"/>
  <c r="AX1035" i="1"/>
  <c r="AW1035" i="1"/>
  <c r="AV1035" i="1"/>
  <c r="AU1035" i="1"/>
  <c r="AT1035" i="1"/>
  <c r="AS1035" i="1"/>
  <c r="AR1035" i="1"/>
  <c r="AQ1035" i="1"/>
  <c r="AP1035" i="1"/>
  <c r="AO1035" i="1"/>
  <c r="AN1035" i="1"/>
  <c r="AM1035" i="1"/>
  <c r="AL1035" i="1"/>
  <c r="AK1035" i="1"/>
  <c r="AJ1035" i="1"/>
  <c r="AI1035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BQ1034" i="1"/>
  <c r="BP1034" i="1"/>
  <c r="BO1034" i="1"/>
  <c r="BN1034" i="1"/>
  <c r="BM1034" i="1"/>
  <c r="BL1034" i="1"/>
  <c r="BK1034" i="1"/>
  <c r="BJ1034" i="1"/>
  <c r="BI1034" i="1"/>
  <c r="BH1034" i="1"/>
  <c r="BG1034" i="1"/>
  <c r="BF1034" i="1"/>
  <c r="BE1034" i="1"/>
  <c r="BD1034" i="1"/>
  <c r="BC1034" i="1"/>
  <c r="BB1034" i="1"/>
  <c r="BA1034" i="1"/>
  <c r="AZ1034" i="1"/>
  <c r="AY1034" i="1"/>
  <c r="AX1034" i="1"/>
  <c r="AW1034" i="1"/>
  <c r="AV1034" i="1"/>
  <c r="AU1034" i="1"/>
  <c r="AT1034" i="1"/>
  <c r="AS1034" i="1"/>
  <c r="AR1034" i="1"/>
  <c r="AQ1034" i="1"/>
  <c r="AP1034" i="1"/>
  <c r="AO1034" i="1"/>
  <c r="AN1034" i="1"/>
  <c r="AM1034" i="1"/>
  <c r="AL1034" i="1"/>
  <c r="AK1034" i="1"/>
  <c r="AJ1034" i="1"/>
  <c r="AI1034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BQ1033" i="1"/>
  <c r="BP1033" i="1"/>
  <c r="BO1033" i="1"/>
  <c r="BN1033" i="1"/>
  <c r="BM1033" i="1"/>
  <c r="BL1033" i="1"/>
  <c r="BK1033" i="1"/>
  <c r="BJ1033" i="1"/>
  <c r="BI1033" i="1"/>
  <c r="BH1033" i="1"/>
  <c r="BG1033" i="1"/>
  <c r="BF1033" i="1"/>
  <c r="BE1033" i="1"/>
  <c r="BD1033" i="1"/>
  <c r="BC1033" i="1"/>
  <c r="BB1033" i="1"/>
  <c r="BA1033" i="1"/>
  <c r="AZ1033" i="1"/>
  <c r="AY1033" i="1"/>
  <c r="AX1033" i="1"/>
  <c r="AW1033" i="1"/>
  <c r="AV1033" i="1"/>
  <c r="AU1033" i="1"/>
  <c r="AT1033" i="1"/>
  <c r="AS1033" i="1"/>
  <c r="AR1033" i="1"/>
  <c r="AQ1033" i="1"/>
  <c r="AP1033" i="1"/>
  <c r="AO1033" i="1"/>
  <c r="AN1033" i="1"/>
  <c r="AM1033" i="1"/>
  <c r="AL1033" i="1"/>
  <c r="AK1033" i="1"/>
  <c r="AJ1033" i="1"/>
  <c r="AI1033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BQ1032" i="1"/>
  <c r="BP1032" i="1"/>
  <c r="BO1032" i="1"/>
  <c r="BN1032" i="1"/>
  <c r="BM1032" i="1"/>
  <c r="BL1032" i="1"/>
  <c r="BK1032" i="1"/>
  <c r="BJ1032" i="1"/>
  <c r="BI1032" i="1"/>
  <c r="BH1032" i="1"/>
  <c r="BG1032" i="1"/>
  <c r="BF1032" i="1"/>
  <c r="BE1032" i="1"/>
  <c r="BD1032" i="1"/>
  <c r="BC1032" i="1"/>
  <c r="BB1032" i="1"/>
  <c r="BA1032" i="1"/>
  <c r="AZ1032" i="1"/>
  <c r="AY1032" i="1"/>
  <c r="AX1032" i="1"/>
  <c r="AW1032" i="1"/>
  <c r="AV1032" i="1"/>
  <c r="AU1032" i="1"/>
  <c r="AT1032" i="1"/>
  <c r="AS1032" i="1"/>
  <c r="AR1032" i="1"/>
  <c r="AQ1032" i="1"/>
  <c r="AP1032" i="1"/>
  <c r="AO1032" i="1"/>
  <c r="AN1032" i="1"/>
  <c r="AM1032" i="1"/>
  <c r="AL1032" i="1"/>
  <c r="AK1032" i="1"/>
  <c r="AJ1032" i="1"/>
  <c r="AI1032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BQ1031" i="1"/>
  <c r="BP1031" i="1"/>
  <c r="BO1031" i="1"/>
  <c r="BN1031" i="1"/>
  <c r="BM1031" i="1"/>
  <c r="BL1031" i="1"/>
  <c r="BK1031" i="1"/>
  <c r="BJ1031" i="1"/>
  <c r="BI1031" i="1"/>
  <c r="BH1031" i="1"/>
  <c r="BG1031" i="1"/>
  <c r="BF1031" i="1"/>
  <c r="BE1031" i="1"/>
  <c r="BD1031" i="1"/>
  <c r="BC1031" i="1"/>
  <c r="BB1031" i="1"/>
  <c r="BA1031" i="1"/>
  <c r="AZ1031" i="1"/>
  <c r="AY1031" i="1"/>
  <c r="AX1031" i="1"/>
  <c r="AW1031" i="1"/>
  <c r="AV1031" i="1"/>
  <c r="AU1031" i="1"/>
  <c r="AT1031" i="1"/>
  <c r="AS1031" i="1"/>
  <c r="AR1031" i="1"/>
  <c r="AQ1031" i="1"/>
  <c r="AP1031" i="1"/>
  <c r="AO1031" i="1"/>
  <c r="AN1031" i="1"/>
  <c r="AM1031" i="1"/>
  <c r="AL1031" i="1"/>
  <c r="AK1031" i="1"/>
  <c r="AJ1031" i="1"/>
  <c r="AI1031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BQ1030" i="1"/>
  <c r="BP1030" i="1"/>
  <c r="BO1030" i="1"/>
  <c r="BN1030" i="1"/>
  <c r="BM1030" i="1"/>
  <c r="BL1030" i="1"/>
  <c r="BK1030" i="1"/>
  <c r="BJ1030" i="1"/>
  <c r="BI1030" i="1"/>
  <c r="BH1030" i="1"/>
  <c r="BG1030" i="1"/>
  <c r="BF1030" i="1"/>
  <c r="BE1030" i="1"/>
  <c r="BD1030" i="1"/>
  <c r="BC1030" i="1"/>
  <c r="BB1030" i="1"/>
  <c r="BA1030" i="1"/>
  <c r="AZ1030" i="1"/>
  <c r="AY1030" i="1"/>
  <c r="AX1030" i="1"/>
  <c r="AW1030" i="1"/>
  <c r="AV1030" i="1"/>
  <c r="AU1030" i="1"/>
  <c r="AT1030" i="1"/>
  <c r="AS1030" i="1"/>
  <c r="AR1030" i="1"/>
  <c r="AQ1030" i="1"/>
  <c r="AP1030" i="1"/>
  <c r="AO1030" i="1"/>
  <c r="AN1030" i="1"/>
  <c r="AM1030" i="1"/>
  <c r="AL1030" i="1"/>
  <c r="AK1030" i="1"/>
  <c r="AJ1030" i="1"/>
  <c r="AI1030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BQ1029" i="1"/>
  <c r="BP1029" i="1"/>
  <c r="BO1029" i="1"/>
  <c r="BN1029" i="1"/>
  <c r="BM1029" i="1"/>
  <c r="BL1029" i="1"/>
  <c r="BK1029" i="1"/>
  <c r="BJ1029" i="1"/>
  <c r="BI1029" i="1"/>
  <c r="BH1029" i="1"/>
  <c r="BG1029" i="1"/>
  <c r="BF1029" i="1"/>
  <c r="BE1029" i="1"/>
  <c r="BD1029" i="1"/>
  <c r="BC1029" i="1"/>
  <c r="BB1029" i="1"/>
  <c r="BA1029" i="1"/>
  <c r="AZ1029" i="1"/>
  <c r="AY1029" i="1"/>
  <c r="AX1029" i="1"/>
  <c r="AW1029" i="1"/>
  <c r="AV1029" i="1"/>
  <c r="AU1029" i="1"/>
  <c r="AT1029" i="1"/>
  <c r="AS1029" i="1"/>
  <c r="AR1029" i="1"/>
  <c r="AQ1029" i="1"/>
  <c r="AP1029" i="1"/>
  <c r="AO1029" i="1"/>
  <c r="AN1029" i="1"/>
  <c r="AM1029" i="1"/>
  <c r="AL1029" i="1"/>
  <c r="AK1029" i="1"/>
  <c r="AJ1029" i="1"/>
  <c r="AI1029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BQ1028" i="1"/>
  <c r="BP1028" i="1"/>
  <c r="BO1028" i="1"/>
  <c r="BN1028" i="1"/>
  <c r="BM1028" i="1"/>
  <c r="BL1028" i="1"/>
  <c r="BK1028" i="1"/>
  <c r="BJ1028" i="1"/>
  <c r="BI1028" i="1"/>
  <c r="BH1028" i="1"/>
  <c r="BG1028" i="1"/>
  <c r="BF1028" i="1"/>
  <c r="BE1028" i="1"/>
  <c r="BD1028" i="1"/>
  <c r="BC1028" i="1"/>
  <c r="BB1028" i="1"/>
  <c r="BA1028" i="1"/>
  <c r="AZ1028" i="1"/>
  <c r="AY1028" i="1"/>
  <c r="AX1028" i="1"/>
  <c r="AW1028" i="1"/>
  <c r="AV1028" i="1"/>
  <c r="AU1028" i="1"/>
  <c r="AT1028" i="1"/>
  <c r="AS1028" i="1"/>
  <c r="AR1028" i="1"/>
  <c r="AQ1028" i="1"/>
  <c r="AP1028" i="1"/>
  <c r="AO1028" i="1"/>
  <c r="AN1028" i="1"/>
  <c r="AM1028" i="1"/>
  <c r="AL1028" i="1"/>
  <c r="AK1028" i="1"/>
  <c r="AJ1028" i="1"/>
  <c r="AI1028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BQ1027" i="1"/>
  <c r="BP1027" i="1"/>
  <c r="BO1027" i="1"/>
  <c r="BN1027" i="1"/>
  <c r="BM1027" i="1"/>
  <c r="BL1027" i="1"/>
  <c r="BK1027" i="1"/>
  <c r="BJ1027" i="1"/>
  <c r="BI1027" i="1"/>
  <c r="BH1027" i="1"/>
  <c r="BG1027" i="1"/>
  <c r="BF1027" i="1"/>
  <c r="BE1027" i="1"/>
  <c r="BD1027" i="1"/>
  <c r="BC1027" i="1"/>
  <c r="BB1027" i="1"/>
  <c r="BA1027" i="1"/>
  <c r="AZ1027" i="1"/>
  <c r="AY1027" i="1"/>
  <c r="AX1027" i="1"/>
  <c r="AW1027" i="1"/>
  <c r="AV1027" i="1"/>
  <c r="AU1027" i="1"/>
  <c r="AT1027" i="1"/>
  <c r="AS1027" i="1"/>
  <c r="AR1027" i="1"/>
  <c r="AQ1027" i="1"/>
  <c r="AP1027" i="1"/>
  <c r="AO1027" i="1"/>
  <c r="AN1027" i="1"/>
  <c r="AM1027" i="1"/>
  <c r="AL1027" i="1"/>
  <c r="AK1027" i="1"/>
  <c r="AJ1027" i="1"/>
  <c r="AI1027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BQ1026" i="1"/>
  <c r="BP1026" i="1"/>
  <c r="BO1026" i="1"/>
  <c r="BN1026" i="1"/>
  <c r="BM1026" i="1"/>
  <c r="BL1026" i="1"/>
  <c r="BK1026" i="1"/>
  <c r="BJ1026" i="1"/>
  <c r="BI1026" i="1"/>
  <c r="BH1026" i="1"/>
  <c r="BG1026" i="1"/>
  <c r="BF1026" i="1"/>
  <c r="BE1026" i="1"/>
  <c r="BD1026" i="1"/>
  <c r="BC1026" i="1"/>
  <c r="BB1026" i="1"/>
  <c r="BA1026" i="1"/>
  <c r="AZ1026" i="1"/>
  <c r="AY1026" i="1"/>
  <c r="AX1026" i="1"/>
  <c r="AW1026" i="1"/>
  <c r="AV1026" i="1"/>
  <c r="AU1026" i="1"/>
  <c r="AT1026" i="1"/>
  <c r="AS1026" i="1"/>
  <c r="AR1026" i="1"/>
  <c r="AQ1026" i="1"/>
  <c r="AP1026" i="1"/>
  <c r="AO1026" i="1"/>
  <c r="AN1026" i="1"/>
  <c r="AM1026" i="1"/>
  <c r="AL1026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BQ1025" i="1"/>
  <c r="BP1025" i="1"/>
  <c r="BO1025" i="1"/>
  <c r="BN1025" i="1"/>
  <c r="BM1025" i="1"/>
  <c r="BL1025" i="1"/>
  <c r="BK1025" i="1"/>
  <c r="BJ1025" i="1"/>
  <c r="BI1025" i="1"/>
  <c r="BH1025" i="1"/>
  <c r="BG1025" i="1"/>
  <c r="BF1025" i="1"/>
  <c r="BE1025" i="1"/>
  <c r="BD1025" i="1"/>
  <c r="BC1025" i="1"/>
  <c r="BB1025" i="1"/>
  <c r="BA1025" i="1"/>
  <c r="AZ1025" i="1"/>
  <c r="AY1025" i="1"/>
  <c r="AX1025" i="1"/>
  <c r="AW1025" i="1"/>
  <c r="AV1025" i="1"/>
  <c r="AU1025" i="1"/>
  <c r="AT1025" i="1"/>
  <c r="AS1025" i="1"/>
  <c r="AR1025" i="1"/>
  <c r="AQ1025" i="1"/>
  <c r="AP1025" i="1"/>
  <c r="AO1025" i="1"/>
  <c r="AN1025" i="1"/>
  <c r="AM1025" i="1"/>
  <c r="AL1025" i="1"/>
  <c r="AK1025" i="1"/>
  <c r="AJ1025" i="1"/>
  <c r="AI1025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BQ1024" i="1"/>
  <c r="BP1024" i="1"/>
  <c r="BO1024" i="1"/>
  <c r="BN1024" i="1"/>
  <c r="BM1024" i="1"/>
  <c r="BL1024" i="1"/>
  <c r="BK1024" i="1"/>
  <c r="BJ1024" i="1"/>
  <c r="BI1024" i="1"/>
  <c r="BH1024" i="1"/>
  <c r="BG1024" i="1"/>
  <c r="BF1024" i="1"/>
  <c r="BE1024" i="1"/>
  <c r="BD1024" i="1"/>
  <c r="BC1024" i="1"/>
  <c r="BB1024" i="1"/>
  <c r="BA1024" i="1"/>
  <c r="AZ1024" i="1"/>
  <c r="AY1024" i="1"/>
  <c r="AX1024" i="1"/>
  <c r="AW1024" i="1"/>
  <c r="AV1024" i="1"/>
  <c r="AU1024" i="1"/>
  <c r="AT1024" i="1"/>
  <c r="AS1024" i="1"/>
  <c r="AR1024" i="1"/>
  <c r="AQ1024" i="1"/>
  <c r="AP1024" i="1"/>
  <c r="AO1024" i="1"/>
  <c r="AN1024" i="1"/>
  <c r="AM1024" i="1"/>
  <c r="AL1024" i="1"/>
  <c r="AK1024" i="1"/>
  <c r="AJ1024" i="1"/>
  <c r="AI1024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BQ1023" i="1"/>
  <c r="BP1023" i="1"/>
  <c r="BO1023" i="1"/>
  <c r="BN1023" i="1"/>
  <c r="BM1023" i="1"/>
  <c r="BL1023" i="1"/>
  <c r="BK1023" i="1"/>
  <c r="BJ1023" i="1"/>
  <c r="BI1023" i="1"/>
  <c r="BH1023" i="1"/>
  <c r="BG1023" i="1"/>
  <c r="BF1023" i="1"/>
  <c r="BE1023" i="1"/>
  <c r="BD1023" i="1"/>
  <c r="BC1023" i="1"/>
  <c r="BB1023" i="1"/>
  <c r="BA1023" i="1"/>
  <c r="AZ1023" i="1"/>
  <c r="AY1023" i="1"/>
  <c r="AX1023" i="1"/>
  <c r="AW1023" i="1"/>
  <c r="AV1023" i="1"/>
  <c r="AU1023" i="1"/>
  <c r="AT1023" i="1"/>
  <c r="AS1023" i="1"/>
  <c r="AR1023" i="1"/>
  <c r="AQ1023" i="1"/>
  <c r="AP1023" i="1"/>
  <c r="AO1023" i="1"/>
  <c r="AN1023" i="1"/>
  <c r="AM1023" i="1"/>
  <c r="AL1023" i="1"/>
  <c r="AK1023" i="1"/>
  <c r="AJ1023" i="1"/>
  <c r="AI1023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BQ1022" i="1"/>
  <c r="BP1022" i="1"/>
  <c r="BO1022" i="1"/>
  <c r="BN1022" i="1"/>
  <c r="BM1022" i="1"/>
  <c r="BL1022" i="1"/>
  <c r="BK1022" i="1"/>
  <c r="BJ1022" i="1"/>
  <c r="BI1022" i="1"/>
  <c r="BH1022" i="1"/>
  <c r="BG1022" i="1"/>
  <c r="BF1022" i="1"/>
  <c r="BE1022" i="1"/>
  <c r="BD1022" i="1"/>
  <c r="BC1022" i="1"/>
  <c r="BB1022" i="1"/>
  <c r="BA1022" i="1"/>
  <c r="AZ1022" i="1"/>
  <c r="AY1022" i="1"/>
  <c r="AX1022" i="1"/>
  <c r="AW1022" i="1"/>
  <c r="AV1022" i="1"/>
  <c r="AU1022" i="1"/>
  <c r="AT1022" i="1"/>
  <c r="AS1022" i="1"/>
  <c r="AR1022" i="1"/>
  <c r="AQ1022" i="1"/>
  <c r="AP1022" i="1"/>
  <c r="AO1022" i="1"/>
  <c r="AN1022" i="1"/>
  <c r="AM1022" i="1"/>
  <c r="AL1022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BQ1021" i="1"/>
  <c r="BP1021" i="1"/>
  <c r="BO1021" i="1"/>
  <c r="BN1021" i="1"/>
  <c r="BM1021" i="1"/>
  <c r="BL1021" i="1"/>
  <c r="BK1021" i="1"/>
  <c r="BJ1021" i="1"/>
  <c r="BI1021" i="1"/>
  <c r="BH1021" i="1"/>
  <c r="BG1021" i="1"/>
  <c r="BF1021" i="1"/>
  <c r="BE1021" i="1"/>
  <c r="BD1021" i="1"/>
  <c r="BC1021" i="1"/>
  <c r="BB1021" i="1"/>
  <c r="BA1021" i="1"/>
  <c r="AZ1021" i="1"/>
  <c r="AY1021" i="1"/>
  <c r="AX1021" i="1"/>
  <c r="AW1021" i="1"/>
  <c r="AV1021" i="1"/>
  <c r="AU1021" i="1"/>
  <c r="AT1021" i="1"/>
  <c r="AS1021" i="1"/>
  <c r="AR1021" i="1"/>
  <c r="AQ1021" i="1"/>
  <c r="AP1021" i="1"/>
  <c r="AO1021" i="1"/>
  <c r="AN1021" i="1"/>
  <c r="AM1021" i="1"/>
  <c r="AL1021" i="1"/>
  <c r="AK1021" i="1"/>
  <c r="AJ1021" i="1"/>
  <c r="AI1021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BQ1020" i="1"/>
  <c r="BP1020" i="1"/>
  <c r="BO1020" i="1"/>
  <c r="BN1020" i="1"/>
  <c r="BM1020" i="1"/>
  <c r="BL1020" i="1"/>
  <c r="BK1020" i="1"/>
  <c r="BJ1020" i="1"/>
  <c r="BI1020" i="1"/>
  <c r="BH1020" i="1"/>
  <c r="BG1020" i="1"/>
  <c r="BF1020" i="1"/>
  <c r="BE1020" i="1"/>
  <c r="BD1020" i="1"/>
  <c r="BC1020" i="1"/>
  <c r="BB1020" i="1"/>
  <c r="BA1020" i="1"/>
  <c r="AZ1020" i="1"/>
  <c r="AY1020" i="1"/>
  <c r="AX1020" i="1"/>
  <c r="AW1020" i="1"/>
  <c r="AV1020" i="1"/>
  <c r="AU1020" i="1"/>
  <c r="AT1020" i="1"/>
  <c r="AS1020" i="1"/>
  <c r="AR1020" i="1"/>
  <c r="AQ1020" i="1"/>
  <c r="AP1020" i="1"/>
  <c r="AO1020" i="1"/>
  <c r="AN1020" i="1"/>
  <c r="AM1020" i="1"/>
  <c r="AL1020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BQ1019" i="1"/>
  <c r="BP1019" i="1"/>
  <c r="BO1019" i="1"/>
  <c r="BN1019" i="1"/>
  <c r="BM1019" i="1"/>
  <c r="BL1019" i="1"/>
  <c r="BK1019" i="1"/>
  <c r="BJ1019" i="1"/>
  <c r="BI1019" i="1"/>
  <c r="BH1019" i="1"/>
  <c r="BG1019" i="1"/>
  <c r="BF1019" i="1"/>
  <c r="BE1019" i="1"/>
  <c r="BD1019" i="1"/>
  <c r="BC1019" i="1"/>
  <c r="BB1019" i="1"/>
  <c r="BA1019" i="1"/>
  <c r="AZ1019" i="1"/>
  <c r="AY1019" i="1"/>
  <c r="AX1019" i="1"/>
  <c r="AW1019" i="1"/>
  <c r="AV1019" i="1"/>
  <c r="AU1019" i="1"/>
  <c r="AT1019" i="1"/>
  <c r="AS1019" i="1"/>
  <c r="AR1019" i="1"/>
  <c r="AQ1019" i="1"/>
  <c r="AP1019" i="1"/>
  <c r="AO1019" i="1"/>
  <c r="AN1019" i="1"/>
  <c r="AM1019" i="1"/>
  <c r="AL1019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BQ1018" i="1"/>
  <c r="BP1018" i="1"/>
  <c r="BO1018" i="1"/>
  <c r="BN1018" i="1"/>
  <c r="BM1018" i="1"/>
  <c r="BL1018" i="1"/>
  <c r="BK1018" i="1"/>
  <c r="BJ1018" i="1"/>
  <c r="BI1018" i="1"/>
  <c r="BH1018" i="1"/>
  <c r="BG1018" i="1"/>
  <c r="BF1018" i="1"/>
  <c r="BE1018" i="1"/>
  <c r="BD1018" i="1"/>
  <c r="BC1018" i="1"/>
  <c r="BB1018" i="1"/>
  <c r="BA1018" i="1"/>
  <c r="AZ1018" i="1"/>
  <c r="AY1018" i="1"/>
  <c r="AX1018" i="1"/>
  <c r="AW1018" i="1"/>
  <c r="AV1018" i="1"/>
  <c r="AU1018" i="1"/>
  <c r="AT1018" i="1"/>
  <c r="AS1018" i="1"/>
  <c r="AR1018" i="1"/>
  <c r="AQ1018" i="1"/>
  <c r="AP1018" i="1"/>
  <c r="AO1018" i="1"/>
  <c r="AN1018" i="1"/>
  <c r="AM1018" i="1"/>
  <c r="AL1018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BQ1017" i="1"/>
  <c r="BP1017" i="1"/>
  <c r="BO1017" i="1"/>
  <c r="BN1017" i="1"/>
  <c r="BM1017" i="1"/>
  <c r="BL1017" i="1"/>
  <c r="BK1017" i="1"/>
  <c r="BJ1017" i="1"/>
  <c r="BI1017" i="1"/>
  <c r="BH1017" i="1"/>
  <c r="BG1017" i="1"/>
  <c r="BF1017" i="1"/>
  <c r="BE1017" i="1"/>
  <c r="BD1017" i="1"/>
  <c r="BC1017" i="1"/>
  <c r="BB1017" i="1"/>
  <c r="BA1017" i="1"/>
  <c r="AZ1017" i="1"/>
  <c r="AY1017" i="1"/>
  <c r="AX1017" i="1"/>
  <c r="AW1017" i="1"/>
  <c r="AV1017" i="1"/>
  <c r="AU1017" i="1"/>
  <c r="AT1017" i="1"/>
  <c r="AS1017" i="1"/>
  <c r="AR1017" i="1"/>
  <c r="AQ1017" i="1"/>
  <c r="AP1017" i="1"/>
  <c r="AO1017" i="1"/>
  <c r="AN1017" i="1"/>
  <c r="AM1017" i="1"/>
  <c r="AL1017" i="1"/>
  <c r="AK1017" i="1"/>
  <c r="AJ1017" i="1"/>
  <c r="AI1017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BQ1016" i="1"/>
  <c r="BP1016" i="1"/>
  <c r="BO1016" i="1"/>
  <c r="BN1016" i="1"/>
  <c r="BM1016" i="1"/>
  <c r="BL1016" i="1"/>
  <c r="BK1016" i="1"/>
  <c r="BJ1016" i="1"/>
  <c r="BI1016" i="1"/>
  <c r="BH1016" i="1"/>
  <c r="BG1016" i="1"/>
  <c r="BF1016" i="1"/>
  <c r="BE1016" i="1"/>
  <c r="BD1016" i="1"/>
  <c r="BC1016" i="1"/>
  <c r="BB1016" i="1"/>
  <c r="BA1016" i="1"/>
  <c r="AZ1016" i="1"/>
  <c r="AY1016" i="1"/>
  <c r="AX1016" i="1"/>
  <c r="AW1016" i="1"/>
  <c r="AV1016" i="1"/>
  <c r="AU1016" i="1"/>
  <c r="AT1016" i="1"/>
  <c r="AS1016" i="1"/>
  <c r="AR1016" i="1"/>
  <c r="AQ1016" i="1"/>
  <c r="AP1016" i="1"/>
  <c r="AO1016" i="1"/>
  <c r="AN1016" i="1"/>
  <c r="AM1016" i="1"/>
  <c r="AL1016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BQ1015" i="1"/>
  <c r="BP1015" i="1"/>
  <c r="BO1015" i="1"/>
  <c r="BN1015" i="1"/>
  <c r="BM1015" i="1"/>
  <c r="BL1015" i="1"/>
  <c r="BK1015" i="1"/>
  <c r="BJ1015" i="1"/>
  <c r="BI1015" i="1"/>
  <c r="BH1015" i="1"/>
  <c r="BG1015" i="1"/>
  <c r="BF1015" i="1"/>
  <c r="BE1015" i="1"/>
  <c r="BD1015" i="1"/>
  <c r="BC1015" i="1"/>
  <c r="BB1015" i="1"/>
  <c r="BA1015" i="1"/>
  <c r="AZ1015" i="1"/>
  <c r="AY1015" i="1"/>
  <c r="AX1015" i="1"/>
  <c r="AW1015" i="1"/>
  <c r="AV1015" i="1"/>
  <c r="AU1015" i="1"/>
  <c r="AT1015" i="1"/>
  <c r="AS1015" i="1"/>
  <c r="AR1015" i="1"/>
  <c r="AQ1015" i="1"/>
  <c r="AP1015" i="1"/>
  <c r="AO1015" i="1"/>
  <c r="AN1015" i="1"/>
  <c r="AM1015" i="1"/>
  <c r="AL1015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BQ1014" i="1"/>
  <c r="BP1014" i="1"/>
  <c r="BO1014" i="1"/>
  <c r="BN1014" i="1"/>
  <c r="BM1014" i="1"/>
  <c r="BL1014" i="1"/>
  <c r="BK1014" i="1"/>
  <c r="BJ1014" i="1"/>
  <c r="BI1014" i="1"/>
  <c r="BH1014" i="1"/>
  <c r="BG1014" i="1"/>
  <c r="BF1014" i="1"/>
  <c r="BE1014" i="1"/>
  <c r="BD1014" i="1"/>
  <c r="BC1014" i="1"/>
  <c r="BB1014" i="1"/>
  <c r="BA1014" i="1"/>
  <c r="AZ1014" i="1"/>
  <c r="AY1014" i="1"/>
  <c r="AX1014" i="1"/>
  <c r="AW1014" i="1"/>
  <c r="AV1014" i="1"/>
  <c r="AU1014" i="1"/>
  <c r="AT1014" i="1"/>
  <c r="AS1014" i="1"/>
  <c r="AR1014" i="1"/>
  <c r="AQ1014" i="1"/>
  <c r="AP1014" i="1"/>
  <c r="AO1014" i="1"/>
  <c r="AN1014" i="1"/>
  <c r="AM1014" i="1"/>
  <c r="AL1014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BQ1013" i="1"/>
  <c r="BP1013" i="1"/>
  <c r="BO1013" i="1"/>
  <c r="BN1013" i="1"/>
  <c r="BM1013" i="1"/>
  <c r="BL1013" i="1"/>
  <c r="BK1013" i="1"/>
  <c r="BJ1013" i="1"/>
  <c r="BI1013" i="1"/>
  <c r="BH1013" i="1"/>
  <c r="BG1013" i="1"/>
  <c r="BF1013" i="1"/>
  <c r="BE1013" i="1"/>
  <c r="BD1013" i="1"/>
  <c r="BC1013" i="1"/>
  <c r="BB1013" i="1"/>
  <c r="BA1013" i="1"/>
  <c r="AZ1013" i="1"/>
  <c r="AY1013" i="1"/>
  <c r="AX1013" i="1"/>
  <c r="AW1013" i="1"/>
  <c r="AV1013" i="1"/>
  <c r="AU1013" i="1"/>
  <c r="AT1013" i="1"/>
  <c r="AS1013" i="1"/>
  <c r="AR1013" i="1"/>
  <c r="AQ1013" i="1"/>
  <c r="AP1013" i="1"/>
  <c r="AO1013" i="1"/>
  <c r="AN1013" i="1"/>
  <c r="AM1013" i="1"/>
  <c r="AL1013" i="1"/>
  <c r="AK1013" i="1"/>
  <c r="AJ1013" i="1"/>
  <c r="AI1013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BQ1012" i="1"/>
  <c r="BP1012" i="1"/>
  <c r="BO1012" i="1"/>
  <c r="BN1012" i="1"/>
  <c r="BM1012" i="1"/>
  <c r="BL1012" i="1"/>
  <c r="BK1012" i="1"/>
  <c r="BJ1012" i="1"/>
  <c r="BI1012" i="1"/>
  <c r="BH1012" i="1"/>
  <c r="BG1012" i="1"/>
  <c r="BF1012" i="1"/>
  <c r="BE1012" i="1"/>
  <c r="BD1012" i="1"/>
  <c r="BC1012" i="1"/>
  <c r="BB1012" i="1"/>
  <c r="BA1012" i="1"/>
  <c r="AZ1012" i="1"/>
  <c r="AY1012" i="1"/>
  <c r="AX1012" i="1"/>
  <c r="AW1012" i="1"/>
  <c r="AV1012" i="1"/>
  <c r="AU1012" i="1"/>
  <c r="AT1012" i="1"/>
  <c r="AS1012" i="1"/>
  <c r="AR1012" i="1"/>
  <c r="AQ1012" i="1"/>
  <c r="AP1012" i="1"/>
  <c r="AO1012" i="1"/>
  <c r="AN1012" i="1"/>
  <c r="AM1012" i="1"/>
  <c r="AL1012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BQ1011" i="1"/>
  <c r="BP1011" i="1"/>
  <c r="BO1011" i="1"/>
  <c r="BN1011" i="1"/>
  <c r="BM1011" i="1"/>
  <c r="BL1011" i="1"/>
  <c r="BK1011" i="1"/>
  <c r="BJ1011" i="1"/>
  <c r="BI1011" i="1"/>
  <c r="BH1011" i="1"/>
  <c r="BG1011" i="1"/>
  <c r="BF1011" i="1"/>
  <c r="BE1011" i="1"/>
  <c r="BD1011" i="1"/>
  <c r="BC1011" i="1"/>
  <c r="BB1011" i="1"/>
  <c r="BA1011" i="1"/>
  <c r="AZ1011" i="1"/>
  <c r="AY1011" i="1"/>
  <c r="AX1011" i="1"/>
  <c r="AW1011" i="1"/>
  <c r="AV1011" i="1"/>
  <c r="AU1011" i="1"/>
  <c r="AT1011" i="1"/>
  <c r="AS1011" i="1"/>
  <c r="AR1011" i="1"/>
  <c r="AQ1011" i="1"/>
  <c r="AP1011" i="1"/>
  <c r="AO1011" i="1"/>
  <c r="AN1011" i="1"/>
  <c r="AM1011" i="1"/>
  <c r="AL1011" i="1"/>
  <c r="AK1011" i="1"/>
  <c r="AJ1011" i="1"/>
  <c r="AI1011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BQ1010" i="1"/>
  <c r="BP1010" i="1"/>
  <c r="BO1010" i="1"/>
  <c r="BN1010" i="1"/>
  <c r="BM1010" i="1"/>
  <c r="BL1010" i="1"/>
  <c r="BK1010" i="1"/>
  <c r="BJ1010" i="1"/>
  <c r="BI1010" i="1"/>
  <c r="BH1010" i="1"/>
  <c r="BG1010" i="1"/>
  <c r="BF1010" i="1"/>
  <c r="BE1010" i="1"/>
  <c r="BD1010" i="1"/>
  <c r="BC1010" i="1"/>
  <c r="BB1010" i="1"/>
  <c r="BA1010" i="1"/>
  <c r="AZ1010" i="1"/>
  <c r="AY1010" i="1"/>
  <c r="AX1010" i="1"/>
  <c r="AW1010" i="1"/>
  <c r="AV1010" i="1"/>
  <c r="AU1010" i="1"/>
  <c r="AT1010" i="1"/>
  <c r="AS1010" i="1"/>
  <c r="AR1010" i="1"/>
  <c r="AQ1010" i="1"/>
  <c r="AP1010" i="1"/>
  <c r="AO1010" i="1"/>
  <c r="AN1010" i="1"/>
  <c r="AM1010" i="1"/>
  <c r="AL1010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BQ1009" i="1"/>
  <c r="BP1009" i="1"/>
  <c r="BO1009" i="1"/>
  <c r="BN1009" i="1"/>
  <c r="BM1009" i="1"/>
  <c r="BL1009" i="1"/>
  <c r="BK1009" i="1"/>
  <c r="BJ1009" i="1"/>
  <c r="BI1009" i="1"/>
  <c r="BH1009" i="1"/>
  <c r="BG1009" i="1"/>
  <c r="BF1009" i="1"/>
  <c r="BE1009" i="1"/>
  <c r="BD1009" i="1"/>
  <c r="BC1009" i="1"/>
  <c r="BB1009" i="1"/>
  <c r="BA1009" i="1"/>
  <c r="AZ1009" i="1"/>
  <c r="AY1009" i="1"/>
  <c r="AX1009" i="1"/>
  <c r="AW1009" i="1"/>
  <c r="AV1009" i="1"/>
  <c r="AU1009" i="1"/>
  <c r="AT1009" i="1"/>
  <c r="AS1009" i="1"/>
  <c r="AR1009" i="1"/>
  <c r="AQ1009" i="1"/>
  <c r="AP1009" i="1"/>
  <c r="AO1009" i="1"/>
  <c r="AN1009" i="1"/>
  <c r="AM1009" i="1"/>
  <c r="AL1009" i="1"/>
  <c r="AK1009" i="1"/>
  <c r="AJ1009" i="1"/>
  <c r="AI1009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BQ1008" i="1"/>
  <c r="BP1008" i="1"/>
  <c r="BO1008" i="1"/>
  <c r="BN1008" i="1"/>
  <c r="BM1008" i="1"/>
  <c r="BL1008" i="1"/>
  <c r="BK1008" i="1"/>
  <c r="BJ1008" i="1"/>
  <c r="BI1008" i="1"/>
  <c r="BH1008" i="1"/>
  <c r="BG1008" i="1"/>
  <c r="BF1008" i="1"/>
  <c r="BE1008" i="1"/>
  <c r="BD1008" i="1"/>
  <c r="BC1008" i="1"/>
  <c r="BB1008" i="1"/>
  <c r="BA1008" i="1"/>
  <c r="AZ1008" i="1"/>
  <c r="AY1008" i="1"/>
  <c r="AX1008" i="1"/>
  <c r="AW1008" i="1"/>
  <c r="AV1008" i="1"/>
  <c r="AU1008" i="1"/>
  <c r="AT1008" i="1"/>
  <c r="AS1008" i="1"/>
  <c r="AR1008" i="1"/>
  <c r="AQ1008" i="1"/>
  <c r="AP1008" i="1"/>
  <c r="AO1008" i="1"/>
  <c r="AN1008" i="1"/>
  <c r="AM1008" i="1"/>
  <c r="AL1008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BQ1007" i="1"/>
  <c r="BP1007" i="1"/>
  <c r="BO1007" i="1"/>
  <c r="BN1007" i="1"/>
  <c r="BM1007" i="1"/>
  <c r="BL1007" i="1"/>
  <c r="BK1007" i="1"/>
  <c r="BJ1007" i="1"/>
  <c r="BI1007" i="1"/>
  <c r="BH1007" i="1"/>
  <c r="BG1007" i="1"/>
  <c r="BF1007" i="1"/>
  <c r="BE1007" i="1"/>
  <c r="BD1007" i="1"/>
  <c r="BC1007" i="1"/>
  <c r="BB1007" i="1"/>
  <c r="BA1007" i="1"/>
  <c r="AZ1007" i="1"/>
  <c r="AY1007" i="1"/>
  <c r="AX1007" i="1"/>
  <c r="AW1007" i="1"/>
  <c r="AV1007" i="1"/>
  <c r="AU1007" i="1"/>
  <c r="AT1007" i="1"/>
  <c r="AS1007" i="1"/>
  <c r="AR1007" i="1"/>
  <c r="AQ1007" i="1"/>
  <c r="AP1007" i="1"/>
  <c r="AO1007" i="1"/>
  <c r="AN1007" i="1"/>
  <c r="AM1007" i="1"/>
  <c r="AL1007" i="1"/>
  <c r="AK1007" i="1"/>
  <c r="AJ1007" i="1"/>
  <c r="AI1007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BQ1006" i="1"/>
  <c r="BP1006" i="1"/>
  <c r="BO1006" i="1"/>
  <c r="BN1006" i="1"/>
  <c r="BM1006" i="1"/>
  <c r="BL1006" i="1"/>
  <c r="BK1006" i="1"/>
  <c r="BJ1006" i="1"/>
  <c r="BI1006" i="1"/>
  <c r="BH1006" i="1"/>
  <c r="BG1006" i="1"/>
  <c r="BF1006" i="1"/>
  <c r="BE1006" i="1"/>
  <c r="BD1006" i="1"/>
  <c r="BC1006" i="1"/>
  <c r="BB1006" i="1"/>
  <c r="BA1006" i="1"/>
  <c r="AZ1006" i="1"/>
  <c r="AY1006" i="1"/>
  <c r="AX1006" i="1"/>
  <c r="AW1006" i="1"/>
  <c r="AV1006" i="1"/>
  <c r="AU1006" i="1"/>
  <c r="AT1006" i="1"/>
  <c r="AS1006" i="1"/>
  <c r="AR1006" i="1"/>
  <c r="AQ1006" i="1"/>
  <c r="AP1006" i="1"/>
  <c r="AO1006" i="1"/>
  <c r="AN1006" i="1"/>
  <c r="AM1006" i="1"/>
  <c r="AL1006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BQ1005" i="1"/>
  <c r="BP1005" i="1"/>
  <c r="BO1005" i="1"/>
  <c r="BN1005" i="1"/>
  <c r="BM1005" i="1"/>
  <c r="BL1005" i="1"/>
  <c r="BK1005" i="1"/>
  <c r="BJ1005" i="1"/>
  <c r="BI1005" i="1"/>
  <c r="BH1005" i="1"/>
  <c r="BG1005" i="1"/>
  <c r="BF1005" i="1"/>
  <c r="BE1005" i="1"/>
  <c r="BD1005" i="1"/>
  <c r="BC1005" i="1"/>
  <c r="BB1005" i="1"/>
  <c r="BA1005" i="1"/>
  <c r="AZ1005" i="1"/>
  <c r="AY1005" i="1"/>
  <c r="AX1005" i="1"/>
  <c r="AW1005" i="1"/>
  <c r="AV1005" i="1"/>
  <c r="AU1005" i="1"/>
  <c r="AT1005" i="1"/>
  <c r="AS1005" i="1"/>
  <c r="AR1005" i="1"/>
  <c r="AQ1005" i="1"/>
  <c r="AP1005" i="1"/>
  <c r="AO1005" i="1"/>
  <c r="AN1005" i="1"/>
  <c r="AM1005" i="1"/>
  <c r="AL1005" i="1"/>
  <c r="AK1005" i="1"/>
  <c r="AJ1005" i="1"/>
  <c r="AI1005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BQ1004" i="1"/>
  <c r="BP1004" i="1"/>
  <c r="BO1004" i="1"/>
  <c r="BN1004" i="1"/>
  <c r="BM1004" i="1"/>
  <c r="BL1004" i="1"/>
  <c r="BK1004" i="1"/>
  <c r="BJ1004" i="1"/>
  <c r="BI1004" i="1"/>
  <c r="BH1004" i="1"/>
  <c r="BG1004" i="1"/>
  <c r="BF1004" i="1"/>
  <c r="BE1004" i="1"/>
  <c r="BD1004" i="1"/>
  <c r="BC1004" i="1"/>
  <c r="BB1004" i="1"/>
  <c r="BA1004" i="1"/>
  <c r="AZ1004" i="1"/>
  <c r="AY1004" i="1"/>
  <c r="AX1004" i="1"/>
  <c r="AW1004" i="1"/>
  <c r="AV1004" i="1"/>
  <c r="AU1004" i="1"/>
  <c r="AT1004" i="1"/>
  <c r="AS1004" i="1"/>
  <c r="AR1004" i="1"/>
  <c r="AQ1004" i="1"/>
  <c r="AP1004" i="1"/>
  <c r="AO1004" i="1"/>
  <c r="AN1004" i="1"/>
  <c r="AM1004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BQ1003" i="1"/>
  <c r="BP1003" i="1"/>
  <c r="BO1003" i="1"/>
  <c r="BN1003" i="1"/>
  <c r="BM1003" i="1"/>
  <c r="BL1003" i="1"/>
  <c r="BK1003" i="1"/>
  <c r="BJ1003" i="1"/>
  <c r="BI1003" i="1"/>
  <c r="BH1003" i="1"/>
  <c r="BG1003" i="1"/>
  <c r="BF1003" i="1"/>
  <c r="BE1003" i="1"/>
  <c r="BD1003" i="1"/>
  <c r="BC1003" i="1"/>
  <c r="BB1003" i="1"/>
  <c r="BA1003" i="1"/>
  <c r="AZ1003" i="1"/>
  <c r="AY1003" i="1"/>
  <c r="AX1003" i="1"/>
  <c r="AW1003" i="1"/>
  <c r="AV1003" i="1"/>
  <c r="AU1003" i="1"/>
  <c r="AT1003" i="1"/>
  <c r="AS1003" i="1"/>
  <c r="AR1003" i="1"/>
  <c r="AQ1003" i="1"/>
  <c r="AP1003" i="1"/>
  <c r="AO1003" i="1"/>
  <c r="AN1003" i="1"/>
  <c r="AM1003" i="1"/>
  <c r="AL1003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BQ1002" i="1"/>
  <c r="BP1002" i="1"/>
  <c r="BO1002" i="1"/>
  <c r="BN1002" i="1"/>
  <c r="BM1002" i="1"/>
  <c r="BL1002" i="1"/>
  <c r="BK1002" i="1"/>
  <c r="BJ1002" i="1"/>
  <c r="BI1002" i="1"/>
  <c r="BH1002" i="1"/>
  <c r="BG1002" i="1"/>
  <c r="BF1002" i="1"/>
  <c r="BE1002" i="1"/>
  <c r="BD1002" i="1"/>
  <c r="BC1002" i="1"/>
  <c r="BB1002" i="1"/>
  <c r="BA1002" i="1"/>
  <c r="AZ1002" i="1"/>
  <c r="AY1002" i="1"/>
  <c r="AX1002" i="1"/>
  <c r="AW1002" i="1"/>
  <c r="AV1002" i="1"/>
  <c r="AU1002" i="1"/>
  <c r="AT1002" i="1"/>
  <c r="AS1002" i="1"/>
  <c r="AR1002" i="1"/>
  <c r="AQ1002" i="1"/>
  <c r="AP1002" i="1"/>
  <c r="AO1002" i="1"/>
  <c r="AN1002" i="1"/>
  <c r="AM1002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BQ1001" i="1"/>
  <c r="BP1001" i="1"/>
  <c r="BO1001" i="1"/>
  <c r="BN1001" i="1"/>
  <c r="BM1001" i="1"/>
  <c r="BL1001" i="1"/>
  <c r="BK1001" i="1"/>
  <c r="BJ1001" i="1"/>
  <c r="BI1001" i="1"/>
  <c r="BH1001" i="1"/>
  <c r="BG1001" i="1"/>
  <c r="BF1001" i="1"/>
  <c r="BE1001" i="1"/>
  <c r="BD1001" i="1"/>
  <c r="BC1001" i="1"/>
  <c r="BB1001" i="1"/>
  <c r="BA1001" i="1"/>
  <c r="AZ1001" i="1"/>
  <c r="AY1001" i="1"/>
  <c r="AX1001" i="1"/>
  <c r="AW1001" i="1"/>
  <c r="AV1001" i="1"/>
  <c r="AU1001" i="1"/>
  <c r="AT1001" i="1"/>
  <c r="AS1001" i="1"/>
  <c r="AR1001" i="1"/>
  <c r="AQ1001" i="1"/>
  <c r="AP1001" i="1"/>
  <c r="AO1001" i="1"/>
  <c r="AN1001" i="1"/>
  <c r="AM1001" i="1"/>
  <c r="AL1001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BQ1000" i="1"/>
  <c r="BP1000" i="1"/>
  <c r="BO1000" i="1"/>
  <c r="BN1000" i="1"/>
  <c r="BM1000" i="1"/>
  <c r="BL1000" i="1"/>
  <c r="BK1000" i="1"/>
  <c r="BJ1000" i="1"/>
  <c r="BI1000" i="1"/>
  <c r="BH1000" i="1"/>
  <c r="BG1000" i="1"/>
  <c r="BF1000" i="1"/>
  <c r="BE1000" i="1"/>
  <c r="BD1000" i="1"/>
  <c r="BC1000" i="1"/>
  <c r="BB1000" i="1"/>
  <c r="BA1000" i="1"/>
  <c r="AZ1000" i="1"/>
  <c r="AY1000" i="1"/>
  <c r="AX1000" i="1"/>
  <c r="AW1000" i="1"/>
  <c r="AV1000" i="1"/>
  <c r="AU1000" i="1"/>
  <c r="AT1000" i="1"/>
  <c r="AS1000" i="1"/>
  <c r="AR1000" i="1"/>
  <c r="AQ1000" i="1"/>
  <c r="AP1000" i="1"/>
  <c r="AO1000" i="1"/>
  <c r="AN1000" i="1"/>
  <c r="AM1000" i="1"/>
  <c r="AL1000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BQ999" i="1"/>
  <c r="BP999" i="1"/>
  <c r="BO999" i="1"/>
  <c r="BN999" i="1"/>
  <c r="BM999" i="1"/>
  <c r="BL999" i="1"/>
  <c r="BK999" i="1"/>
  <c r="BJ999" i="1"/>
  <c r="BI999" i="1"/>
  <c r="BH999" i="1"/>
  <c r="BG999" i="1"/>
  <c r="BF999" i="1"/>
  <c r="BE999" i="1"/>
  <c r="BD999" i="1"/>
  <c r="BC999" i="1"/>
  <c r="BB999" i="1"/>
  <c r="BA999" i="1"/>
  <c r="AZ999" i="1"/>
  <c r="AY999" i="1"/>
  <c r="AX999" i="1"/>
  <c r="AW999" i="1"/>
  <c r="AV999" i="1"/>
  <c r="AU999" i="1"/>
  <c r="AT999" i="1"/>
  <c r="AS999" i="1"/>
  <c r="AR999" i="1"/>
  <c r="AQ999" i="1"/>
  <c r="AP999" i="1"/>
  <c r="AO999" i="1"/>
  <c r="AN999" i="1"/>
  <c r="AM999" i="1"/>
  <c r="AL999" i="1"/>
  <c r="AK999" i="1"/>
  <c r="AJ999" i="1"/>
  <c r="AI999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BQ998" i="1"/>
  <c r="BP998" i="1"/>
  <c r="BO998" i="1"/>
  <c r="BN998" i="1"/>
  <c r="BM998" i="1"/>
  <c r="BL998" i="1"/>
  <c r="BK998" i="1"/>
  <c r="BJ998" i="1"/>
  <c r="BI998" i="1"/>
  <c r="BH998" i="1"/>
  <c r="BG998" i="1"/>
  <c r="BF998" i="1"/>
  <c r="BE998" i="1"/>
  <c r="BD998" i="1"/>
  <c r="BC998" i="1"/>
  <c r="BB998" i="1"/>
  <c r="BA998" i="1"/>
  <c r="AZ998" i="1"/>
  <c r="AY998" i="1"/>
  <c r="AX998" i="1"/>
  <c r="AW998" i="1"/>
  <c r="AV998" i="1"/>
  <c r="AU998" i="1"/>
  <c r="AT998" i="1"/>
  <c r="AS998" i="1"/>
  <c r="AR998" i="1"/>
  <c r="AQ998" i="1"/>
  <c r="AP998" i="1"/>
  <c r="AO998" i="1"/>
  <c r="AN998" i="1"/>
  <c r="AM998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BQ997" i="1"/>
  <c r="BP997" i="1"/>
  <c r="BO997" i="1"/>
  <c r="BN997" i="1"/>
  <c r="BM997" i="1"/>
  <c r="BL997" i="1"/>
  <c r="BK997" i="1"/>
  <c r="BJ997" i="1"/>
  <c r="BI997" i="1"/>
  <c r="BH997" i="1"/>
  <c r="BG997" i="1"/>
  <c r="BF997" i="1"/>
  <c r="BE997" i="1"/>
  <c r="BD997" i="1"/>
  <c r="BC997" i="1"/>
  <c r="BB997" i="1"/>
  <c r="BA997" i="1"/>
  <c r="AZ997" i="1"/>
  <c r="AY997" i="1"/>
  <c r="AX997" i="1"/>
  <c r="AW997" i="1"/>
  <c r="AV997" i="1"/>
  <c r="AU997" i="1"/>
  <c r="AT997" i="1"/>
  <c r="AS997" i="1"/>
  <c r="AR997" i="1"/>
  <c r="AQ997" i="1"/>
  <c r="AP997" i="1"/>
  <c r="AO997" i="1"/>
  <c r="AN997" i="1"/>
  <c r="AM997" i="1"/>
  <c r="AL997" i="1"/>
  <c r="AK997" i="1"/>
  <c r="AJ997" i="1"/>
  <c r="AI997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BQ996" i="1"/>
  <c r="BP996" i="1"/>
  <c r="BO996" i="1"/>
  <c r="BN996" i="1"/>
  <c r="BM996" i="1"/>
  <c r="BL996" i="1"/>
  <c r="BK996" i="1"/>
  <c r="BJ996" i="1"/>
  <c r="BI996" i="1"/>
  <c r="BH996" i="1"/>
  <c r="BG996" i="1"/>
  <c r="BF996" i="1"/>
  <c r="BE996" i="1"/>
  <c r="BD996" i="1"/>
  <c r="BC996" i="1"/>
  <c r="BB996" i="1"/>
  <c r="BA996" i="1"/>
  <c r="AZ996" i="1"/>
  <c r="AY996" i="1"/>
  <c r="AX996" i="1"/>
  <c r="AW996" i="1"/>
  <c r="AV996" i="1"/>
  <c r="AU996" i="1"/>
  <c r="AT996" i="1"/>
  <c r="AS996" i="1"/>
  <c r="AR996" i="1"/>
  <c r="AQ996" i="1"/>
  <c r="AP996" i="1"/>
  <c r="AO996" i="1"/>
  <c r="AN996" i="1"/>
  <c r="AM996" i="1"/>
  <c r="AL996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BQ995" i="1"/>
  <c r="BP995" i="1"/>
  <c r="BO995" i="1"/>
  <c r="BN995" i="1"/>
  <c r="BM995" i="1"/>
  <c r="BL995" i="1"/>
  <c r="BK995" i="1"/>
  <c r="BJ995" i="1"/>
  <c r="BI995" i="1"/>
  <c r="BH995" i="1"/>
  <c r="BG995" i="1"/>
  <c r="BF995" i="1"/>
  <c r="BE995" i="1"/>
  <c r="BD995" i="1"/>
  <c r="BC995" i="1"/>
  <c r="BB995" i="1"/>
  <c r="BA995" i="1"/>
  <c r="AZ995" i="1"/>
  <c r="AY995" i="1"/>
  <c r="AX995" i="1"/>
  <c r="AW995" i="1"/>
  <c r="AV995" i="1"/>
  <c r="AU995" i="1"/>
  <c r="AT995" i="1"/>
  <c r="AS995" i="1"/>
  <c r="AR995" i="1"/>
  <c r="AQ995" i="1"/>
  <c r="AP995" i="1"/>
  <c r="AO995" i="1"/>
  <c r="AN995" i="1"/>
  <c r="AM995" i="1"/>
  <c r="AL995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BQ994" i="1"/>
  <c r="BP994" i="1"/>
  <c r="BO994" i="1"/>
  <c r="BN994" i="1"/>
  <c r="BM994" i="1"/>
  <c r="BL994" i="1"/>
  <c r="BK994" i="1"/>
  <c r="BJ994" i="1"/>
  <c r="BI994" i="1"/>
  <c r="BH994" i="1"/>
  <c r="BG994" i="1"/>
  <c r="BF994" i="1"/>
  <c r="BE994" i="1"/>
  <c r="BD994" i="1"/>
  <c r="BC994" i="1"/>
  <c r="BB994" i="1"/>
  <c r="BA994" i="1"/>
  <c r="AZ994" i="1"/>
  <c r="AY994" i="1"/>
  <c r="AX994" i="1"/>
  <c r="AW994" i="1"/>
  <c r="AV994" i="1"/>
  <c r="AU994" i="1"/>
  <c r="AT994" i="1"/>
  <c r="AS994" i="1"/>
  <c r="AR994" i="1"/>
  <c r="AQ994" i="1"/>
  <c r="AP994" i="1"/>
  <c r="AO994" i="1"/>
  <c r="AN994" i="1"/>
  <c r="AM994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BQ993" i="1"/>
  <c r="BP993" i="1"/>
  <c r="BO993" i="1"/>
  <c r="BN993" i="1"/>
  <c r="BM993" i="1"/>
  <c r="BL993" i="1"/>
  <c r="BK993" i="1"/>
  <c r="BJ993" i="1"/>
  <c r="BI993" i="1"/>
  <c r="BH993" i="1"/>
  <c r="BG993" i="1"/>
  <c r="BF993" i="1"/>
  <c r="BE993" i="1"/>
  <c r="BD993" i="1"/>
  <c r="BC993" i="1"/>
  <c r="BB993" i="1"/>
  <c r="BA993" i="1"/>
  <c r="AZ993" i="1"/>
  <c r="AY993" i="1"/>
  <c r="AX993" i="1"/>
  <c r="AW993" i="1"/>
  <c r="AV993" i="1"/>
  <c r="AU993" i="1"/>
  <c r="AT993" i="1"/>
  <c r="AS993" i="1"/>
  <c r="AR993" i="1"/>
  <c r="AQ993" i="1"/>
  <c r="AP993" i="1"/>
  <c r="AO993" i="1"/>
  <c r="AN993" i="1"/>
  <c r="AM993" i="1"/>
  <c r="AL993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BQ992" i="1"/>
  <c r="BP992" i="1"/>
  <c r="BO992" i="1"/>
  <c r="BN992" i="1"/>
  <c r="BM992" i="1"/>
  <c r="BL992" i="1"/>
  <c r="BK992" i="1"/>
  <c r="BJ992" i="1"/>
  <c r="BI992" i="1"/>
  <c r="BH992" i="1"/>
  <c r="BG992" i="1"/>
  <c r="BF992" i="1"/>
  <c r="BE992" i="1"/>
  <c r="BD992" i="1"/>
  <c r="BC992" i="1"/>
  <c r="BB992" i="1"/>
  <c r="BA992" i="1"/>
  <c r="AZ992" i="1"/>
  <c r="AY992" i="1"/>
  <c r="AX992" i="1"/>
  <c r="AW992" i="1"/>
  <c r="AV992" i="1"/>
  <c r="AU992" i="1"/>
  <c r="AT992" i="1"/>
  <c r="AS992" i="1"/>
  <c r="AR992" i="1"/>
  <c r="AQ992" i="1"/>
  <c r="AP992" i="1"/>
  <c r="AO992" i="1"/>
  <c r="AN992" i="1"/>
  <c r="AM992" i="1"/>
  <c r="AL992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BQ991" i="1"/>
  <c r="BP991" i="1"/>
  <c r="BO991" i="1"/>
  <c r="BN991" i="1"/>
  <c r="BM991" i="1"/>
  <c r="BL991" i="1"/>
  <c r="BK991" i="1"/>
  <c r="BJ991" i="1"/>
  <c r="BI991" i="1"/>
  <c r="BH991" i="1"/>
  <c r="BG991" i="1"/>
  <c r="BF991" i="1"/>
  <c r="BE991" i="1"/>
  <c r="BD991" i="1"/>
  <c r="BC991" i="1"/>
  <c r="BB991" i="1"/>
  <c r="BA991" i="1"/>
  <c r="AZ991" i="1"/>
  <c r="AY991" i="1"/>
  <c r="AX991" i="1"/>
  <c r="AW991" i="1"/>
  <c r="AV991" i="1"/>
  <c r="AU991" i="1"/>
  <c r="AT991" i="1"/>
  <c r="AS991" i="1"/>
  <c r="AR991" i="1"/>
  <c r="AQ991" i="1"/>
  <c r="AP991" i="1"/>
  <c r="AO991" i="1"/>
  <c r="AN991" i="1"/>
  <c r="AM991" i="1"/>
  <c r="AL991" i="1"/>
  <c r="AK991" i="1"/>
  <c r="AJ991" i="1"/>
  <c r="AI991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BQ990" i="1"/>
  <c r="BP990" i="1"/>
  <c r="BO990" i="1"/>
  <c r="BN990" i="1"/>
  <c r="BM990" i="1"/>
  <c r="BL990" i="1"/>
  <c r="BK990" i="1"/>
  <c r="BJ990" i="1"/>
  <c r="BI990" i="1"/>
  <c r="BH990" i="1"/>
  <c r="BG990" i="1"/>
  <c r="BF990" i="1"/>
  <c r="BE990" i="1"/>
  <c r="BD990" i="1"/>
  <c r="BC990" i="1"/>
  <c r="BB990" i="1"/>
  <c r="BA990" i="1"/>
  <c r="AZ990" i="1"/>
  <c r="AY990" i="1"/>
  <c r="AX990" i="1"/>
  <c r="AW990" i="1"/>
  <c r="AV990" i="1"/>
  <c r="AU990" i="1"/>
  <c r="AT990" i="1"/>
  <c r="AS990" i="1"/>
  <c r="AR990" i="1"/>
  <c r="AQ990" i="1"/>
  <c r="AP990" i="1"/>
  <c r="AO990" i="1"/>
  <c r="AN990" i="1"/>
  <c r="AM990" i="1"/>
  <c r="AL990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BQ989" i="1"/>
  <c r="BP989" i="1"/>
  <c r="BO989" i="1"/>
  <c r="BN989" i="1"/>
  <c r="BM989" i="1"/>
  <c r="BL989" i="1"/>
  <c r="BK989" i="1"/>
  <c r="BJ989" i="1"/>
  <c r="BI989" i="1"/>
  <c r="BH989" i="1"/>
  <c r="BG989" i="1"/>
  <c r="BF989" i="1"/>
  <c r="BE989" i="1"/>
  <c r="BD989" i="1"/>
  <c r="BC989" i="1"/>
  <c r="BB989" i="1"/>
  <c r="BA989" i="1"/>
  <c r="AZ989" i="1"/>
  <c r="AY989" i="1"/>
  <c r="AX989" i="1"/>
  <c r="AW989" i="1"/>
  <c r="AV989" i="1"/>
  <c r="AU989" i="1"/>
  <c r="AT989" i="1"/>
  <c r="AS989" i="1"/>
  <c r="AR989" i="1"/>
  <c r="AQ989" i="1"/>
  <c r="AP989" i="1"/>
  <c r="AO989" i="1"/>
  <c r="AN989" i="1"/>
  <c r="AM989" i="1"/>
  <c r="AL989" i="1"/>
  <c r="AK989" i="1"/>
  <c r="AJ989" i="1"/>
  <c r="AI989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BQ988" i="1"/>
  <c r="BP988" i="1"/>
  <c r="BO988" i="1"/>
  <c r="BN988" i="1"/>
  <c r="BM988" i="1"/>
  <c r="BL988" i="1"/>
  <c r="BK988" i="1"/>
  <c r="BJ988" i="1"/>
  <c r="BI988" i="1"/>
  <c r="BH988" i="1"/>
  <c r="BG988" i="1"/>
  <c r="BF988" i="1"/>
  <c r="BE988" i="1"/>
  <c r="BD988" i="1"/>
  <c r="BC988" i="1"/>
  <c r="BB988" i="1"/>
  <c r="BA988" i="1"/>
  <c r="AZ988" i="1"/>
  <c r="AY988" i="1"/>
  <c r="AX988" i="1"/>
  <c r="AW988" i="1"/>
  <c r="AV988" i="1"/>
  <c r="AU988" i="1"/>
  <c r="AT988" i="1"/>
  <c r="AS988" i="1"/>
  <c r="AR988" i="1"/>
  <c r="AQ988" i="1"/>
  <c r="AP988" i="1"/>
  <c r="AO988" i="1"/>
  <c r="AN988" i="1"/>
  <c r="AM988" i="1"/>
  <c r="AL988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BQ987" i="1"/>
  <c r="BP987" i="1"/>
  <c r="BO987" i="1"/>
  <c r="BN987" i="1"/>
  <c r="BM987" i="1"/>
  <c r="BL987" i="1"/>
  <c r="BK987" i="1"/>
  <c r="BJ987" i="1"/>
  <c r="BI987" i="1"/>
  <c r="BH987" i="1"/>
  <c r="BG987" i="1"/>
  <c r="BF987" i="1"/>
  <c r="BE987" i="1"/>
  <c r="BD987" i="1"/>
  <c r="BC987" i="1"/>
  <c r="BB987" i="1"/>
  <c r="BA987" i="1"/>
  <c r="AZ987" i="1"/>
  <c r="AY987" i="1"/>
  <c r="AX987" i="1"/>
  <c r="AW987" i="1"/>
  <c r="AV987" i="1"/>
  <c r="AU987" i="1"/>
  <c r="AT987" i="1"/>
  <c r="AS987" i="1"/>
  <c r="AR987" i="1"/>
  <c r="AQ987" i="1"/>
  <c r="AP987" i="1"/>
  <c r="AO987" i="1"/>
  <c r="AN987" i="1"/>
  <c r="AM987" i="1"/>
  <c r="AL987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BQ986" i="1"/>
  <c r="BP986" i="1"/>
  <c r="BO986" i="1"/>
  <c r="BN986" i="1"/>
  <c r="BM986" i="1"/>
  <c r="BL986" i="1"/>
  <c r="BK986" i="1"/>
  <c r="BJ986" i="1"/>
  <c r="BI986" i="1"/>
  <c r="BH986" i="1"/>
  <c r="BG986" i="1"/>
  <c r="BF986" i="1"/>
  <c r="BE986" i="1"/>
  <c r="BD986" i="1"/>
  <c r="BC986" i="1"/>
  <c r="BB986" i="1"/>
  <c r="BA986" i="1"/>
  <c r="AZ986" i="1"/>
  <c r="AY986" i="1"/>
  <c r="AX986" i="1"/>
  <c r="AW986" i="1"/>
  <c r="AV986" i="1"/>
  <c r="AU986" i="1"/>
  <c r="AT986" i="1"/>
  <c r="AS986" i="1"/>
  <c r="AR986" i="1"/>
  <c r="AQ986" i="1"/>
  <c r="AP986" i="1"/>
  <c r="AO986" i="1"/>
  <c r="AN986" i="1"/>
  <c r="AM986" i="1"/>
  <c r="AL986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BQ985" i="1"/>
  <c r="BP985" i="1"/>
  <c r="BO985" i="1"/>
  <c r="BN985" i="1"/>
  <c r="BM985" i="1"/>
  <c r="BL985" i="1"/>
  <c r="BK985" i="1"/>
  <c r="BJ985" i="1"/>
  <c r="BI985" i="1"/>
  <c r="BH985" i="1"/>
  <c r="BG985" i="1"/>
  <c r="BF985" i="1"/>
  <c r="BE985" i="1"/>
  <c r="BD985" i="1"/>
  <c r="BC985" i="1"/>
  <c r="BB985" i="1"/>
  <c r="BA985" i="1"/>
  <c r="AZ985" i="1"/>
  <c r="AY985" i="1"/>
  <c r="AX985" i="1"/>
  <c r="AW985" i="1"/>
  <c r="AV985" i="1"/>
  <c r="AU985" i="1"/>
  <c r="AT985" i="1"/>
  <c r="AS985" i="1"/>
  <c r="AR985" i="1"/>
  <c r="AQ985" i="1"/>
  <c r="AP985" i="1"/>
  <c r="AO985" i="1"/>
  <c r="AN985" i="1"/>
  <c r="AM985" i="1"/>
  <c r="AL985" i="1"/>
  <c r="AK985" i="1"/>
  <c r="AJ985" i="1"/>
  <c r="AI985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BQ984" i="1"/>
  <c r="BP984" i="1"/>
  <c r="BO984" i="1"/>
  <c r="BN984" i="1"/>
  <c r="BM984" i="1"/>
  <c r="BL984" i="1"/>
  <c r="BK984" i="1"/>
  <c r="BJ984" i="1"/>
  <c r="BI984" i="1"/>
  <c r="BH984" i="1"/>
  <c r="BG984" i="1"/>
  <c r="BF984" i="1"/>
  <c r="BE984" i="1"/>
  <c r="BD984" i="1"/>
  <c r="BC984" i="1"/>
  <c r="BB984" i="1"/>
  <c r="BA984" i="1"/>
  <c r="AZ984" i="1"/>
  <c r="AY984" i="1"/>
  <c r="AX984" i="1"/>
  <c r="AW984" i="1"/>
  <c r="AV984" i="1"/>
  <c r="AU984" i="1"/>
  <c r="AT984" i="1"/>
  <c r="AS984" i="1"/>
  <c r="AR984" i="1"/>
  <c r="AQ984" i="1"/>
  <c r="AP984" i="1"/>
  <c r="AO984" i="1"/>
  <c r="AN984" i="1"/>
  <c r="AM984" i="1"/>
  <c r="AL984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BQ983" i="1"/>
  <c r="BP983" i="1"/>
  <c r="BO983" i="1"/>
  <c r="BN983" i="1"/>
  <c r="BM983" i="1"/>
  <c r="BL983" i="1"/>
  <c r="BK983" i="1"/>
  <c r="BJ983" i="1"/>
  <c r="BI983" i="1"/>
  <c r="BH983" i="1"/>
  <c r="BG983" i="1"/>
  <c r="BF983" i="1"/>
  <c r="BE983" i="1"/>
  <c r="BD983" i="1"/>
  <c r="BC983" i="1"/>
  <c r="BB983" i="1"/>
  <c r="BA983" i="1"/>
  <c r="AZ983" i="1"/>
  <c r="AY983" i="1"/>
  <c r="AX983" i="1"/>
  <c r="AW983" i="1"/>
  <c r="AV983" i="1"/>
  <c r="AU983" i="1"/>
  <c r="AT983" i="1"/>
  <c r="AS983" i="1"/>
  <c r="AR983" i="1"/>
  <c r="AQ983" i="1"/>
  <c r="AP983" i="1"/>
  <c r="AO983" i="1"/>
  <c r="AN983" i="1"/>
  <c r="AM983" i="1"/>
  <c r="AL983" i="1"/>
  <c r="AK983" i="1"/>
  <c r="AJ983" i="1"/>
  <c r="AI983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BQ982" i="1"/>
  <c r="BP982" i="1"/>
  <c r="BO982" i="1"/>
  <c r="BN982" i="1"/>
  <c r="BM982" i="1"/>
  <c r="BL982" i="1"/>
  <c r="BK982" i="1"/>
  <c r="BJ982" i="1"/>
  <c r="BI982" i="1"/>
  <c r="BH982" i="1"/>
  <c r="BG982" i="1"/>
  <c r="BF982" i="1"/>
  <c r="BE982" i="1"/>
  <c r="BD982" i="1"/>
  <c r="BC982" i="1"/>
  <c r="BB982" i="1"/>
  <c r="BA982" i="1"/>
  <c r="AZ982" i="1"/>
  <c r="AY982" i="1"/>
  <c r="AX982" i="1"/>
  <c r="AW982" i="1"/>
  <c r="AV982" i="1"/>
  <c r="AU982" i="1"/>
  <c r="AT982" i="1"/>
  <c r="AS982" i="1"/>
  <c r="AR982" i="1"/>
  <c r="AQ982" i="1"/>
  <c r="AP982" i="1"/>
  <c r="AO982" i="1"/>
  <c r="AN982" i="1"/>
  <c r="AM982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BQ981" i="1"/>
  <c r="BP981" i="1"/>
  <c r="BO981" i="1"/>
  <c r="BN981" i="1"/>
  <c r="BM981" i="1"/>
  <c r="BL981" i="1"/>
  <c r="BK981" i="1"/>
  <c r="BJ981" i="1"/>
  <c r="BI981" i="1"/>
  <c r="BH981" i="1"/>
  <c r="BG981" i="1"/>
  <c r="BF981" i="1"/>
  <c r="BE981" i="1"/>
  <c r="BD981" i="1"/>
  <c r="BC981" i="1"/>
  <c r="BB981" i="1"/>
  <c r="BA981" i="1"/>
  <c r="AZ981" i="1"/>
  <c r="AY981" i="1"/>
  <c r="AX981" i="1"/>
  <c r="AW981" i="1"/>
  <c r="AV981" i="1"/>
  <c r="AU981" i="1"/>
  <c r="AT981" i="1"/>
  <c r="AS981" i="1"/>
  <c r="AR981" i="1"/>
  <c r="AQ981" i="1"/>
  <c r="AP981" i="1"/>
  <c r="AO981" i="1"/>
  <c r="AN981" i="1"/>
  <c r="AM981" i="1"/>
  <c r="AL981" i="1"/>
  <c r="AK981" i="1"/>
  <c r="AJ981" i="1"/>
  <c r="AI981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BQ980" i="1"/>
  <c r="BP980" i="1"/>
  <c r="BO980" i="1"/>
  <c r="BN980" i="1"/>
  <c r="BM980" i="1"/>
  <c r="BL980" i="1"/>
  <c r="BK980" i="1"/>
  <c r="BJ980" i="1"/>
  <c r="BI980" i="1"/>
  <c r="BH980" i="1"/>
  <c r="BG980" i="1"/>
  <c r="BF980" i="1"/>
  <c r="BE980" i="1"/>
  <c r="BD980" i="1"/>
  <c r="BC980" i="1"/>
  <c r="BB980" i="1"/>
  <c r="BA980" i="1"/>
  <c r="AZ980" i="1"/>
  <c r="AY980" i="1"/>
  <c r="AX980" i="1"/>
  <c r="AW980" i="1"/>
  <c r="AV980" i="1"/>
  <c r="AU980" i="1"/>
  <c r="AT980" i="1"/>
  <c r="AS980" i="1"/>
  <c r="AR980" i="1"/>
  <c r="AQ980" i="1"/>
  <c r="AP980" i="1"/>
  <c r="AO980" i="1"/>
  <c r="AN980" i="1"/>
  <c r="AM980" i="1"/>
  <c r="AL980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BQ979" i="1"/>
  <c r="BP979" i="1"/>
  <c r="BO979" i="1"/>
  <c r="BN979" i="1"/>
  <c r="BM979" i="1"/>
  <c r="BL979" i="1"/>
  <c r="BK979" i="1"/>
  <c r="BJ979" i="1"/>
  <c r="BI979" i="1"/>
  <c r="BH979" i="1"/>
  <c r="BG979" i="1"/>
  <c r="BF979" i="1"/>
  <c r="BE979" i="1"/>
  <c r="BD979" i="1"/>
  <c r="BC979" i="1"/>
  <c r="BB979" i="1"/>
  <c r="BA979" i="1"/>
  <c r="AZ979" i="1"/>
  <c r="AY979" i="1"/>
  <c r="AX979" i="1"/>
  <c r="AW979" i="1"/>
  <c r="AV979" i="1"/>
  <c r="AU979" i="1"/>
  <c r="AT979" i="1"/>
  <c r="AS979" i="1"/>
  <c r="AR979" i="1"/>
  <c r="AQ979" i="1"/>
  <c r="AP979" i="1"/>
  <c r="AO979" i="1"/>
  <c r="AN979" i="1"/>
  <c r="AM979" i="1"/>
  <c r="AL979" i="1"/>
  <c r="AK979" i="1"/>
  <c r="AJ979" i="1"/>
  <c r="AI979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BQ978" i="1"/>
  <c r="BP978" i="1"/>
  <c r="BO978" i="1"/>
  <c r="BN978" i="1"/>
  <c r="BM978" i="1"/>
  <c r="BL978" i="1"/>
  <c r="BK978" i="1"/>
  <c r="BJ978" i="1"/>
  <c r="BI978" i="1"/>
  <c r="BH978" i="1"/>
  <c r="BG978" i="1"/>
  <c r="BF978" i="1"/>
  <c r="BE978" i="1"/>
  <c r="BD978" i="1"/>
  <c r="BC978" i="1"/>
  <c r="BB978" i="1"/>
  <c r="BA978" i="1"/>
  <c r="AZ978" i="1"/>
  <c r="AY978" i="1"/>
  <c r="AX978" i="1"/>
  <c r="AW978" i="1"/>
  <c r="AV978" i="1"/>
  <c r="AU978" i="1"/>
  <c r="AT978" i="1"/>
  <c r="AS978" i="1"/>
  <c r="AR978" i="1"/>
  <c r="AQ978" i="1"/>
  <c r="AP978" i="1"/>
  <c r="AO978" i="1"/>
  <c r="AN978" i="1"/>
  <c r="AM978" i="1"/>
  <c r="AL978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BQ977" i="1"/>
  <c r="BP977" i="1"/>
  <c r="BO977" i="1"/>
  <c r="BN977" i="1"/>
  <c r="BM977" i="1"/>
  <c r="BL977" i="1"/>
  <c r="BK977" i="1"/>
  <c r="BJ977" i="1"/>
  <c r="BI977" i="1"/>
  <c r="BH977" i="1"/>
  <c r="BG977" i="1"/>
  <c r="BF977" i="1"/>
  <c r="BE977" i="1"/>
  <c r="BD977" i="1"/>
  <c r="BC977" i="1"/>
  <c r="BB977" i="1"/>
  <c r="BA977" i="1"/>
  <c r="AZ977" i="1"/>
  <c r="AY977" i="1"/>
  <c r="AX977" i="1"/>
  <c r="AW977" i="1"/>
  <c r="AV977" i="1"/>
  <c r="AU977" i="1"/>
  <c r="AT977" i="1"/>
  <c r="AS977" i="1"/>
  <c r="AR977" i="1"/>
  <c r="AQ977" i="1"/>
  <c r="AP977" i="1"/>
  <c r="AO977" i="1"/>
  <c r="AN977" i="1"/>
  <c r="AM977" i="1"/>
  <c r="AL977" i="1"/>
  <c r="AK977" i="1"/>
  <c r="AJ977" i="1"/>
  <c r="AI977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BQ976" i="1"/>
  <c r="BP976" i="1"/>
  <c r="BO976" i="1"/>
  <c r="BN976" i="1"/>
  <c r="BM976" i="1"/>
  <c r="BL976" i="1"/>
  <c r="BK976" i="1"/>
  <c r="BJ976" i="1"/>
  <c r="BI976" i="1"/>
  <c r="BH976" i="1"/>
  <c r="BG976" i="1"/>
  <c r="BF976" i="1"/>
  <c r="BE976" i="1"/>
  <c r="BD976" i="1"/>
  <c r="BC976" i="1"/>
  <c r="BB976" i="1"/>
  <c r="BA976" i="1"/>
  <c r="AZ976" i="1"/>
  <c r="AY976" i="1"/>
  <c r="AX976" i="1"/>
  <c r="AW976" i="1"/>
  <c r="AV976" i="1"/>
  <c r="AU976" i="1"/>
  <c r="AT976" i="1"/>
  <c r="AS976" i="1"/>
  <c r="AR976" i="1"/>
  <c r="AQ976" i="1"/>
  <c r="AP976" i="1"/>
  <c r="AO976" i="1"/>
  <c r="AN976" i="1"/>
  <c r="AM976" i="1"/>
  <c r="AL976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BQ975" i="1"/>
  <c r="BP975" i="1"/>
  <c r="BO975" i="1"/>
  <c r="BN975" i="1"/>
  <c r="BM975" i="1"/>
  <c r="BL975" i="1"/>
  <c r="BK975" i="1"/>
  <c r="BJ975" i="1"/>
  <c r="BI975" i="1"/>
  <c r="BH975" i="1"/>
  <c r="BG975" i="1"/>
  <c r="BF975" i="1"/>
  <c r="BE975" i="1"/>
  <c r="BD975" i="1"/>
  <c r="BC975" i="1"/>
  <c r="BB975" i="1"/>
  <c r="BA975" i="1"/>
  <c r="AZ975" i="1"/>
  <c r="AY975" i="1"/>
  <c r="AX975" i="1"/>
  <c r="AW975" i="1"/>
  <c r="AV975" i="1"/>
  <c r="AU975" i="1"/>
  <c r="AT975" i="1"/>
  <c r="AS975" i="1"/>
  <c r="AR975" i="1"/>
  <c r="AQ975" i="1"/>
  <c r="AP975" i="1"/>
  <c r="AO975" i="1"/>
  <c r="AN975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BQ974" i="1"/>
  <c r="BP974" i="1"/>
  <c r="BO974" i="1"/>
  <c r="BN974" i="1"/>
  <c r="BM974" i="1"/>
  <c r="BL974" i="1"/>
  <c r="BK974" i="1"/>
  <c r="BJ974" i="1"/>
  <c r="BI974" i="1"/>
  <c r="BH974" i="1"/>
  <c r="BG974" i="1"/>
  <c r="BF974" i="1"/>
  <c r="BE974" i="1"/>
  <c r="BD974" i="1"/>
  <c r="BC974" i="1"/>
  <c r="BB974" i="1"/>
  <c r="BA974" i="1"/>
  <c r="AZ974" i="1"/>
  <c r="AY974" i="1"/>
  <c r="AX974" i="1"/>
  <c r="AW974" i="1"/>
  <c r="AV974" i="1"/>
  <c r="AU974" i="1"/>
  <c r="AT974" i="1"/>
  <c r="AS974" i="1"/>
  <c r="AR974" i="1"/>
  <c r="AQ974" i="1"/>
  <c r="AP974" i="1"/>
  <c r="AO974" i="1"/>
  <c r="AN974" i="1"/>
  <c r="AM974" i="1"/>
  <c r="AL974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BQ973" i="1"/>
  <c r="BP973" i="1"/>
  <c r="BO973" i="1"/>
  <c r="BN973" i="1"/>
  <c r="BM973" i="1"/>
  <c r="BL973" i="1"/>
  <c r="BK973" i="1"/>
  <c r="BJ973" i="1"/>
  <c r="BI973" i="1"/>
  <c r="BH973" i="1"/>
  <c r="BG973" i="1"/>
  <c r="BF973" i="1"/>
  <c r="BE973" i="1"/>
  <c r="BD973" i="1"/>
  <c r="BC973" i="1"/>
  <c r="BB973" i="1"/>
  <c r="BA973" i="1"/>
  <c r="AZ973" i="1"/>
  <c r="AY973" i="1"/>
  <c r="AX973" i="1"/>
  <c r="AW973" i="1"/>
  <c r="AV973" i="1"/>
  <c r="AU973" i="1"/>
  <c r="AT973" i="1"/>
  <c r="AS973" i="1"/>
  <c r="AR973" i="1"/>
  <c r="AQ973" i="1"/>
  <c r="AP973" i="1"/>
  <c r="AO973" i="1"/>
  <c r="AN973" i="1"/>
  <c r="AM973" i="1"/>
  <c r="AL973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BQ972" i="1"/>
  <c r="BP972" i="1"/>
  <c r="BO972" i="1"/>
  <c r="BN972" i="1"/>
  <c r="BM972" i="1"/>
  <c r="BL972" i="1"/>
  <c r="BK972" i="1"/>
  <c r="BJ972" i="1"/>
  <c r="BI972" i="1"/>
  <c r="BH972" i="1"/>
  <c r="BG972" i="1"/>
  <c r="BF972" i="1"/>
  <c r="BE972" i="1"/>
  <c r="BD972" i="1"/>
  <c r="BC972" i="1"/>
  <c r="BB972" i="1"/>
  <c r="BA972" i="1"/>
  <c r="AZ972" i="1"/>
  <c r="AY972" i="1"/>
  <c r="AX972" i="1"/>
  <c r="AW972" i="1"/>
  <c r="AV972" i="1"/>
  <c r="AU972" i="1"/>
  <c r="AT972" i="1"/>
  <c r="AS972" i="1"/>
  <c r="AR972" i="1"/>
  <c r="AQ972" i="1"/>
  <c r="AP972" i="1"/>
  <c r="AO972" i="1"/>
  <c r="AN972" i="1"/>
  <c r="AM972" i="1"/>
  <c r="AL972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BQ971" i="1"/>
  <c r="BP971" i="1"/>
  <c r="BO971" i="1"/>
  <c r="BN971" i="1"/>
  <c r="BM971" i="1"/>
  <c r="BL971" i="1"/>
  <c r="BK971" i="1"/>
  <c r="BJ971" i="1"/>
  <c r="BI971" i="1"/>
  <c r="BH971" i="1"/>
  <c r="BG971" i="1"/>
  <c r="BF971" i="1"/>
  <c r="BE971" i="1"/>
  <c r="BD971" i="1"/>
  <c r="BC971" i="1"/>
  <c r="BB971" i="1"/>
  <c r="BA971" i="1"/>
  <c r="AZ971" i="1"/>
  <c r="AY971" i="1"/>
  <c r="AX971" i="1"/>
  <c r="AW971" i="1"/>
  <c r="AV971" i="1"/>
  <c r="AU971" i="1"/>
  <c r="AT971" i="1"/>
  <c r="AS971" i="1"/>
  <c r="AR971" i="1"/>
  <c r="AQ971" i="1"/>
  <c r="AP971" i="1"/>
  <c r="AO971" i="1"/>
  <c r="AN971" i="1"/>
  <c r="AM971" i="1"/>
  <c r="AL971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BQ970" i="1"/>
  <c r="BP970" i="1"/>
  <c r="BO970" i="1"/>
  <c r="BN970" i="1"/>
  <c r="BM970" i="1"/>
  <c r="BL970" i="1"/>
  <c r="BK970" i="1"/>
  <c r="BJ970" i="1"/>
  <c r="BI970" i="1"/>
  <c r="BH970" i="1"/>
  <c r="BG970" i="1"/>
  <c r="BF970" i="1"/>
  <c r="BE970" i="1"/>
  <c r="BD970" i="1"/>
  <c r="BC970" i="1"/>
  <c r="BB970" i="1"/>
  <c r="BA970" i="1"/>
  <c r="AZ970" i="1"/>
  <c r="AY970" i="1"/>
  <c r="AX970" i="1"/>
  <c r="AW970" i="1"/>
  <c r="AV970" i="1"/>
  <c r="AU970" i="1"/>
  <c r="AT970" i="1"/>
  <c r="AS970" i="1"/>
  <c r="AR970" i="1"/>
  <c r="AQ970" i="1"/>
  <c r="AP970" i="1"/>
  <c r="AO970" i="1"/>
  <c r="AN970" i="1"/>
  <c r="AM970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BQ969" i="1"/>
  <c r="BP969" i="1"/>
  <c r="BO969" i="1"/>
  <c r="BN969" i="1"/>
  <c r="BM969" i="1"/>
  <c r="BL969" i="1"/>
  <c r="BK969" i="1"/>
  <c r="BJ969" i="1"/>
  <c r="BI969" i="1"/>
  <c r="BH969" i="1"/>
  <c r="BG969" i="1"/>
  <c r="BF969" i="1"/>
  <c r="BE969" i="1"/>
  <c r="BD969" i="1"/>
  <c r="BC969" i="1"/>
  <c r="BB969" i="1"/>
  <c r="BA969" i="1"/>
  <c r="AZ969" i="1"/>
  <c r="AY969" i="1"/>
  <c r="AX969" i="1"/>
  <c r="AW969" i="1"/>
  <c r="AV969" i="1"/>
  <c r="AU969" i="1"/>
  <c r="AT969" i="1"/>
  <c r="AS969" i="1"/>
  <c r="AR969" i="1"/>
  <c r="AQ969" i="1"/>
  <c r="AP969" i="1"/>
  <c r="AO969" i="1"/>
  <c r="AN969" i="1"/>
  <c r="AM969" i="1"/>
  <c r="AL969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BQ968" i="1"/>
  <c r="BP968" i="1"/>
  <c r="BO968" i="1"/>
  <c r="BN968" i="1"/>
  <c r="BM968" i="1"/>
  <c r="BL968" i="1"/>
  <c r="BK968" i="1"/>
  <c r="BJ968" i="1"/>
  <c r="BI968" i="1"/>
  <c r="BH968" i="1"/>
  <c r="BG968" i="1"/>
  <c r="BF968" i="1"/>
  <c r="BE968" i="1"/>
  <c r="BD968" i="1"/>
  <c r="BC968" i="1"/>
  <c r="BB968" i="1"/>
  <c r="BA968" i="1"/>
  <c r="AZ968" i="1"/>
  <c r="AY968" i="1"/>
  <c r="AX968" i="1"/>
  <c r="AW968" i="1"/>
  <c r="AV968" i="1"/>
  <c r="AU968" i="1"/>
  <c r="AT968" i="1"/>
  <c r="AS968" i="1"/>
  <c r="AR968" i="1"/>
  <c r="AQ968" i="1"/>
  <c r="AP968" i="1"/>
  <c r="AO968" i="1"/>
  <c r="AN968" i="1"/>
  <c r="AM968" i="1"/>
  <c r="AL968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BQ967" i="1"/>
  <c r="BP967" i="1"/>
  <c r="BO967" i="1"/>
  <c r="BN967" i="1"/>
  <c r="BM967" i="1"/>
  <c r="BL967" i="1"/>
  <c r="BK967" i="1"/>
  <c r="BJ967" i="1"/>
  <c r="BI967" i="1"/>
  <c r="BH967" i="1"/>
  <c r="BG967" i="1"/>
  <c r="BF967" i="1"/>
  <c r="BE967" i="1"/>
  <c r="BD967" i="1"/>
  <c r="BC967" i="1"/>
  <c r="BB967" i="1"/>
  <c r="BA967" i="1"/>
  <c r="AZ967" i="1"/>
  <c r="AY967" i="1"/>
  <c r="AX967" i="1"/>
  <c r="AW967" i="1"/>
  <c r="AV967" i="1"/>
  <c r="AU967" i="1"/>
  <c r="AT967" i="1"/>
  <c r="AS967" i="1"/>
  <c r="AR967" i="1"/>
  <c r="AQ967" i="1"/>
  <c r="AP967" i="1"/>
  <c r="AO967" i="1"/>
  <c r="AN967" i="1"/>
  <c r="AM967" i="1"/>
  <c r="AL967" i="1"/>
  <c r="AK967" i="1"/>
  <c r="AJ967" i="1"/>
  <c r="AI967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BQ966" i="1"/>
  <c r="BP966" i="1"/>
  <c r="BO966" i="1"/>
  <c r="BN966" i="1"/>
  <c r="BM966" i="1"/>
  <c r="BL966" i="1"/>
  <c r="BK966" i="1"/>
  <c r="BJ966" i="1"/>
  <c r="BI966" i="1"/>
  <c r="BH966" i="1"/>
  <c r="BG966" i="1"/>
  <c r="BF966" i="1"/>
  <c r="BE966" i="1"/>
  <c r="BD966" i="1"/>
  <c r="BC966" i="1"/>
  <c r="BB966" i="1"/>
  <c r="BA966" i="1"/>
  <c r="AZ966" i="1"/>
  <c r="AY966" i="1"/>
  <c r="AX966" i="1"/>
  <c r="AW966" i="1"/>
  <c r="AV966" i="1"/>
  <c r="AU966" i="1"/>
  <c r="AT966" i="1"/>
  <c r="AS966" i="1"/>
  <c r="AR966" i="1"/>
  <c r="AQ966" i="1"/>
  <c r="AP966" i="1"/>
  <c r="AO966" i="1"/>
  <c r="AN966" i="1"/>
  <c r="AM966" i="1"/>
  <c r="AL966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BQ965" i="1"/>
  <c r="BP965" i="1"/>
  <c r="BO965" i="1"/>
  <c r="BN965" i="1"/>
  <c r="BM965" i="1"/>
  <c r="BL965" i="1"/>
  <c r="BK965" i="1"/>
  <c r="BJ965" i="1"/>
  <c r="BI965" i="1"/>
  <c r="BH965" i="1"/>
  <c r="BG965" i="1"/>
  <c r="BF965" i="1"/>
  <c r="BE965" i="1"/>
  <c r="BD965" i="1"/>
  <c r="BC965" i="1"/>
  <c r="BB965" i="1"/>
  <c r="BA965" i="1"/>
  <c r="AZ965" i="1"/>
  <c r="AY965" i="1"/>
  <c r="AX965" i="1"/>
  <c r="AW965" i="1"/>
  <c r="AV965" i="1"/>
  <c r="AU965" i="1"/>
  <c r="AT965" i="1"/>
  <c r="AS965" i="1"/>
  <c r="AR965" i="1"/>
  <c r="AQ965" i="1"/>
  <c r="AP965" i="1"/>
  <c r="AO965" i="1"/>
  <c r="AN965" i="1"/>
  <c r="AM965" i="1"/>
  <c r="AL965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BQ964" i="1"/>
  <c r="BP964" i="1"/>
  <c r="BO964" i="1"/>
  <c r="BN964" i="1"/>
  <c r="BM964" i="1"/>
  <c r="BL964" i="1"/>
  <c r="BK964" i="1"/>
  <c r="BJ964" i="1"/>
  <c r="BI964" i="1"/>
  <c r="BH964" i="1"/>
  <c r="BG964" i="1"/>
  <c r="BF964" i="1"/>
  <c r="BE964" i="1"/>
  <c r="BD964" i="1"/>
  <c r="BC964" i="1"/>
  <c r="BB964" i="1"/>
  <c r="BA964" i="1"/>
  <c r="AZ964" i="1"/>
  <c r="AY964" i="1"/>
  <c r="AX964" i="1"/>
  <c r="AW964" i="1"/>
  <c r="AV964" i="1"/>
  <c r="AU964" i="1"/>
  <c r="AT964" i="1"/>
  <c r="AS964" i="1"/>
  <c r="AR964" i="1"/>
  <c r="AQ964" i="1"/>
  <c r="AP964" i="1"/>
  <c r="AO964" i="1"/>
  <c r="AN964" i="1"/>
  <c r="AM964" i="1"/>
  <c r="AL964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BQ963" i="1"/>
  <c r="BP963" i="1"/>
  <c r="BO963" i="1"/>
  <c r="BN963" i="1"/>
  <c r="BM963" i="1"/>
  <c r="BL963" i="1"/>
  <c r="BK963" i="1"/>
  <c r="BJ963" i="1"/>
  <c r="BI963" i="1"/>
  <c r="BH963" i="1"/>
  <c r="BG963" i="1"/>
  <c r="BF963" i="1"/>
  <c r="BE963" i="1"/>
  <c r="BD963" i="1"/>
  <c r="BC963" i="1"/>
  <c r="BB963" i="1"/>
  <c r="BA963" i="1"/>
  <c r="AZ963" i="1"/>
  <c r="AY963" i="1"/>
  <c r="AX963" i="1"/>
  <c r="AW963" i="1"/>
  <c r="AV963" i="1"/>
  <c r="AU963" i="1"/>
  <c r="AT963" i="1"/>
  <c r="AS963" i="1"/>
  <c r="AR963" i="1"/>
  <c r="AQ963" i="1"/>
  <c r="AP963" i="1"/>
  <c r="AO963" i="1"/>
  <c r="AN963" i="1"/>
  <c r="AM963" i="1"/>
  <c r="AL963" i="1"/>
  <c r="AK963" i="1"/>
  <c r="AJ963" i="1"/>
  <c r="AI963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BQ962" i="1"/>
  <c r="BP962" i="1"/>
  <c r="BO962" i="1"/>
  <c r="BN962" i="1"/>
  <c r="BM962" i="1"/>
  <c r="BL962" i="1"/>
  <c r="BK962" i="1"/>
  <c r="BJ962" i="1"/>
  <c r="BI962" i="1"/>
  <c r="BH962" i="1"/>
  <c r="BG962" i="1"/>
  <c r="BF962" i="1"/>
  <c r="BE962" i="1"/>
  <c r="BD962" i="1"/>
  <c r="BC962" i="1"/>
  <c r="BB962" i="1"/>
  <c r="BA962" i="1"/>
  <c r="AZ962" i="1"/>
  <c r="AY962" i="1"/>
  <c r="AX962" i="1"/>
  <c r="AW962" i="1"/>
  <c r="AV962" i="1"/>
  <c r="AU962" i="1"/>
  <c r="AT962" i="1"/>
  <c r="AS962" i="1"/>
  <c r="AR962" i="1"/>
  <c r="AQ962" i="1"/>
  <c r="AP962" i="1"/>
  <c r="AO962" i="1"/>
  <c r="AN962" i="1"/>
  <c r="AM962" i="1"/>
  <c r="AL962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BQ961" i="1"/>
  <c r="BP961" i="1"/>
  <c r="BO961" i="1"/>
  <c r="BN961" i="1"/>
  <c r="BM961" i="1"/>
  <c r="BL961" i="1"/>
  <c r="BK961" i="1"/>
  <c r="BJ961" i="1"/>
  <c r="BI961" i="1"/>
  <c r="BH961" i="1"/>
  <c r="BG961" i="1"/>
  <c r="BF961" i="1"/>
  <c r="BE961" i="1"/>
  <c r="BD961" i="1"/>
  <c r="BC961" i="1"/>
  <c r="BB961" i="1"/>
  <c r="BA961" i="1"/>
  <c r="AZ961" i="1"/>
  <c r="AY961" i="1"/>
  <c r="AX961" i="1"/>
  <c r="AW961" i="1"/>
  <c r="AV961" i="1"/>
  <c r="AU961" i="1"/>
  <c r="AT961" i="1"/>
  <c r="AS961" i="1"/>
  <c r="AR961" i="1"/>
  <c r="AQ961" i="1"/>
  <c r="AP961" i="1"/>
  <c r="AO961" i="1"/>
  <c r="AN961" i="1"/>
  <c r="AM961" i="1"/>
  <c r="AL961" i="1"/>
  <c r="AK961" i="1"/>
  <c r="AJ961" i="1"/>
  <c r="AI961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BQ960" i="1"/>
  <c r="BP960" i="1"/>
  <c r="BO960" i="1"/>
  <c r="BN960" i="1"/>
  <c r="BM960" i="1"/>
  <c r="BL960" i="1"/>
  <c r="BK960" i="1"/>
  <c r="BJ960" i="1"/>
  <c r="BI960" i="1"/>
  <c r="BH960" i="1"/>
  <c r="BG960" i="1"/>
  <c r="BF960" i="1"/>
  <c r="BE960" i="1"/>
  <c r="BD960" i="1"/>
  <c r="BC960" i="1"/>
  <c r="BB960" i="1"/>
  <c r="BA960" i="1"/>
  <c r="AZ960" i="1"/>
  <c r="AY960" i="1"/>
  <c r="AX960" i="1"/>
  <c r="AW960" i="1"/>
  <c r="AV960" i="1"/>
  <c r="AU960" i="1"/>
  <c r="AT960" i="1"/>
  <c r="AS960" i="1"/>
  <c r="AR960" i="1"/>
  <c r="AQ960" i="1"/>
  <c r="AP960" i="1"/>
  <c r="AO960" i="1"/>
  <c r="AN960" i="1"/>
  <c r="AM960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BQ959" i="1"/>
  <c r="BP959" i="1"/>
  <c r="BO959" i="1"/>
  <c r="BN959" i="1"/>
  <c r="BM959" i="1"/>
  <c r="BL959" i="1"/>
  <c r="BK959" i="1"/>
  <c r="BJ959" i="1"/>
  <c r="BI959" i="1"/>
  <c r="BH959" i="1"/>
  <c r="BG959" i="1"/>
  <c r="BF959" i="1"/>
  <c r="BE959" i="1"/>
  <c r="BD959" i="1"/>
  <c r="BC959" i="1"/>
  <c r="BB959" i="1"/>
  <c r="BA959" i="1"/>
  <c r="AZ959" i="1"/>
  <c r="AY959" i="1"/>
  <c r="AX959" i="1"/>
  <c r="AW959" i="1"/>
  <c r="AV959" i="1"/>
  <c r="AU959" i="1"/>
  <c r="AT959" i="1"/>
  <c r="AS959" i="1"/>
  <c r="AR959" i="1"/>
  <c r="AQ959" i="1"/>
  <c r="AP959" i="1"/>
  <c r="AO959" i="1"/>
  <c r="AN959" i="1"/>
  <c r="AM959" i="1"/>
  <c r="AL959" i="1"/>
  <c r="AK959" i="1"/>
  <c r="AJ959" i="1"/>
  <c r="AI959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BQ958" i="1"/>
  <c r="BP958" i="1"/>
  <c r="BO958" i="1"/>
  <c r="BN958" i="1"/>
  <c r="BM958" i="1"/>
  <c r="BL958" i="1"/>
  <c r="BK958" i="1"/>
  <c r="BJ958" i="1"/>
  <c r="BI958" i="1"/>
  <c r="BH958" i="1"/>
  <c r="BG958" i="1"/>
  <c r="BF958" i="1"/>
  <c r="BE958" i="1"/>
  <c r="BD958" i="1"/>
  <c r="BC958" i="1"/>
  <c r="BB958" i="1"/>
  <c r="BA958" i="1"/>
  <c r="AZ958" i="1"/>
  <c r="AY958" i="1"/>
  <c r="AX958" i="1"/>
  <c r="AW958" i="1"/>
  <c r="AV958" i="1"/>
  <c r="AU958" i="1"/>
  <c r="AT958" i="1"/>
  <c r="AS958" i="1"/>
  <c r="AR958" i="1"/>
  <c r="AQ958" i="1"/>
  <c r="AP958" i="1"/>
  <c r="AO958" i="1"/>
  <c r="AN958" i="1"/>
  <c r="AM958" i="1"/>
  <c r="AL958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BQ957" i="1"/>
  <c r="BP957" i="1"/>
  <c r="BO957" i="1"/>
  <c r="BN957" i="1"/>
  <c r="BM957" i="1"/>
  <c r="BL957" i="1"/>
  <c r="BK957" i="1"/>
  <c r="BJ957" i="1"/>
  <c r="BI957" i="1"/>
  <c r="BH957" i="1"/>
  <c r="BG957" i="1"/>
  <c r="BF957" i="1"/>
  <c r="BE957" i="1"/>
  <c r="BD957" i="1"/>
  <c r="BC957" i="1"/>
  <c r="BB957" i="1"/>
  <c r="BA957" i="1"/>
  <c r="AZ957" i="1"/>
  <c r="AY957" i="1"/>
  <c r="AX957" i="1"/>
  <c r="AW957" i="1"/>
  <c r="AV957" i="1"/>
  <c r="AU957" i="1"/>
  <c r="AT957" i="1"/>
  <c r="AS957" i="1"/>
  <c r="AR957" i="1"/>
  <c r="AQ957" i="1"/>
  <c r="AP957" i="1"/>
  <c r="AO957" i="1"/>
  <c r="AN957" i="1"/>
  <c r="AM957" i="1"/>
  <c r="AL957" i="1"/>
  <c r="AK957" i="1"/>
  <c r="AJ957" i="1"/>
  <c r="AI957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BQ956" i="1"/>
  <c r="BP956" i="1"/>
  <c r="BO956" i="1"/>
  <c r="BN956" i="1"/>
  <c r="BM956" i="1"/>
  <c r="BL956" i="1"/>
  <c r="BK956" i="1"/>
  <c r="BJ956" i="1"/>
  <c r="BI956" i="1"/>
  <c r="BH956" i="1"/>
  <c r="BG956" i="1"/>
  <c r="BF956" i="1"/>
  <c r="BE956" i="1"/>
  <c r="BD956" i="1"/>
  <c r="BC956" i="1"/>
  <c r="BB956" i="1"/>
  <c r="BA956" i="1"/>
  <c r="AZ956" i="1"/>
  <c r="AY956" i="1"/>
  <c r="AX956" i="1"/>
  <c r="AW956" i="1"/>
  <c r="AV956" i="1"/>
  <c r="AU956" i="1"/>
  <c r="AT956" i="1"/>
  <c r="AS956" i="1"/>
  <c r="AR956" i="1"/>
  <c r="AQ956" i="1"/>
  <c r="AP956" i="1"/>
  <c r="AO956" i="1"/>
  <c r="AN956" i="1"/>
  <c r="AM956" i="1"/>
  <c r="AL956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BQ955" i="1"/>
  <c r="BP955" i="1"/>
  <c r="BO955" i="1"/>
  <c r="BN955" i="1"/>
  <c r="BM955" i="1"/>
  <c r="BL955" i="1"/>
  <c r="BK955" i="1"/>
  <c r="BJ955" i="1"/>
  <c r="BI955" i="1"/>
  <c r="BH955" i="1"/>
  <c r="BG955" i="1"/>
  <c r="BF955" i="1"/>
  <c r="BE955" i="1"/>
  <c r="BD955" i="1"/>
  <c r="BC955" i="1"/>
  <c r="BB955" i="1"/>
  <c r="BA955" i="1"/>
  <c r="AZ955" i="1"/>
  <c r="AY955" i="1"/>
  <c r="AX955" i="1"/>
  <c r="AW955" i="1"/>
  <c r="AV955" i="1"/>
  <c r="AU955" i="1"/>
  <c r="AT955" i="1"/>
  <c r="AS955" i="1"/>
  <c r="AR955" i="1"/>
  <c r="AQ955" i="1"/>
  <c r="AP955" i="1"/>
  <c r="AO955" i="1"/>
  <c r="AN955" i="1"/>
  <c r="AM955" i="1"/>
  <c r="AL955" i="1"/>
  <c r="AK955" i="1"/>
  <c r="AJ955" i="1"/>
  <c r="AI955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BQ954" i="1"/>
  <c r="BP954" i="1"/>
  <c r="BO954" i="1"/>
  <c r="BN954" i="1"/>
  <c r="BM954" i="1"/>
  <c r="BL954" i="1"/>
  <c r="BK954" i="1"/>
  <c r="BJ954" i="1"/>
  <c r="BI954" i="1"/>
  <c r="BH954" i="1"/>
  <c r="BG954" i="1"/>
  <c r="BF954" i="1"/>
  <c r="BE954" i="1"/>
  <c r="BD954" i="1"/>
  <c r="BC954" i="1"/>
  <c r="BB954" i="1"/>
  <c r="BA954" i="1"/>
  <c r="AZ954" i="1"/>
  <c r="AY954" i="1"/>
  <c r="AX954" i="1"/>
  <c r="AW954" i="1"/>
  <c r="AV954" i="1"/>
  <c r="AU954" i="1"/>
  <c r="AT954" i="1"/>
  <c r="AS954" i="1"/>
  <c r="AR954" i="1"/>
  <c r="AQ954" i="1"/>
  <c r="AP954" i="1"/>
  <c r="AO954" i="1"/>
  <c r="AN954" i="1"/>
  <c r="AM954" i="1"/>
  <c r="AL954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BQ953" i="1"/>
  <c r="BP953" i="1"/>
  <c r="BO953" i="1"/>
  <c r="BN953" i="1"/>
  <c r="BM953" i="1"/>
  <c r="BL953" i="1"/>
  <c r="BK953" i="1"/>
  <c r="BJ953" i="1"/>
  <c r="BI953" i="1"/>
  <c r="BH953" i="1"/>
  <c r="BG953" i="1"/>
  <c r="BF953" i="1"/>
  <c r="BE953" i="1"/>
  <c r="BD953" i="1"/>
  <c r="BC953" i="1"/>
  <c r="BB953" i="1"/>
  <c r="BA953" i="1"/>
  <c r="AZ953" i="1"/>
  <c r="AY953" i="1"/>
  <c r="AX953" i="1"/>
  <c r="AW953" i="1"/>
  <c r="AV953" i="1"/>
  <c r="AU953" i="1"/>
  <c r="AT953" i="1"/>
  <c r="AS953" i="1"/>
  <c r="AR953" i="1"/>
  <c r="AQ953" i="1"/>
  <c r="AP953" i="1"/>
  <c r="AO953" i="1"/>
  <c r="AN953" i="1"/>
  <c r="AM953" i="1"/>
  <c r="AL953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BQ952" i="1"/>
  <c r="BP952" i="1"/>
  <c r="BO952" i="1"/>
  <c r="BN952" i="1"/>
  <c r="BM952" i="1"/>
  <c r="BL952" i="1"/>
  <c r="BK952" i="1"/>
  <c r="BJ952" i="1"/>
  <c r="BI952" i="1"/>
  <c r="BH952" i="1"/>
  <c r="BG952" i="1"/>
  <c r="BF952" i="1"/>
  <c r="BE952" i="1"/>
  <c r="BD952" i="1"/>
  <c r="BC952" i="1"/>
  <c r="BB952" i="1"/>
  <c r="BA952" i="1"/>
  <c r="AZ952" i="1"/>
  <c r="AY952" i="1"/>
  <c r="AX952" i="1"/>
  <c r="AW952" i="1"/>
  <c r="AV952" i="1"/>
  <c r="AU952" i="1"/>
  <c r="AT952" i="1"/>
  <c r="AS952" i="1"/>
  <c r="AR952" i="1"/>
  <c r="AQ952" i="1"/>
  <c r="AP952" i="1"/>
  <c r="AO952" i="1"/>
  <c r="AN952" i="1"/>
  <c r="AM952" i="1"/>
  <c r="AL952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BQ951" i="1"/>
  <c r="BP951" i="1"/>
  <c r="BO951" i="1"/>
  <c r="BN951" i="1"/>
  <c r="BM951" i="1"/>
  <c r="BL951" i="1"/>
  <c r="BK951" i="1"/>
  <c r="BJ951" i="1"/>
  <c r="BI951" i="1"/>
  <c r="BH951" i="1"/>
  <c r="BG951" i="1"/>
  <c r="BF951" i="1"/>
  <c r="BE951" i="1"/>
  <c r="BD951" i="1"/>
  <c r="BC951" i="1"/>
  <c r="BB951" i="1"/>
  <c r="BA951" i="1"/>
  <c r="AZ951" i="1"/>
  <c r="AY951" i="1"/>
  <c r="AX951" i="1"/>
  <c r="AW951" i="1"/>
  <c r="AV951" i="1"/>
  <c r="AU951" i="1"/>
  <c r="AT951" i="1"/>
  <c r="AS951" i="1"/>
  <c r="AR951" i="1"/>
  <c r="AQ951" i="1"/>
  <c r="AP951" i="1"/>
  <c r="AO951" i="1"/>
  <c r="AN951" i="1"/>
  <c r="AM951" i="1"/>
  <c r="AL951" i="1"/>
  <c r="AK951" i="1"/>
  <c r="AJ951" i="1"/>
  <c r="AI951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BQ950" i="1"/>
  <c r="BP950" i="1"/>
  <c r="BO950" i="1"/>
  <c r="BN950" i="1"/>
  <c r="BM950" i="1"/>
  <c r="BL950" i="1"/>
  <c r="BK950" i="1"/>
  <c r="BJ950" i="1"/>
  <c r="BI950" i="1"/>
  <c r="BH950" i="1"/>
  <c r="BG950" i="1"/>
  <c r="BF950" i="1"/>
  <c r="BE950" i="1"/>
  <c r="BD950" i="1"/>
  <c r="BC950" i="1"/>
  <c r="BB950" i="1"/>
  <c r="BA950" i="1"/>
  <c r="AZ950" i="1"/>
  <c r="AY950" i="1"/>
  <c r="AX950" i="1"/>
  <c r="AW950" i="1"/>
  <c r="AV950" i="1"/>
  <c r="AU950" i="1"/>
  <c r="AT950" i="1"/>
  <c r="AS950" i="1"/>
  <c r="AR950" i="1"/>
  <c r="AQ950" i="1"/>
  <c r="AP950" i="1"/>
  <c r="AO950" i="1"/>
  <c r="AN950" i="1"/>
  <c r="AM950" i="1"/>
  <c r="AL950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BQ949" i="1"/>
  <c r="BP949" i="1"/>
  <c r="BO949" i="1"/>
  <c r="BN949" i="1"/>
  <c r="BM949" i="1"/>
  <c r="BL949" i="1"/>
  <c r="BK949" i="1"/>
  <c r="BJ949" i="1"/>
  <c r="BI949" i="1"/>
  <c r="BH949" i="1"/>
  <c r="BG949" i="1"/>
  <c r="BF949" i="1"/>
  <c r="BE949" i="1"/>
  <c r="BD949" i="1"/>
  <c r="BC949" i="1"/>
  <c r="BB949" i="1"/>
  <c r="BA949" i="1"/>
  <c r="AZ949" i="1"/>
  <c r="AY949" i="1"/>
  <c r="AX949" i="1"/>
  <c r="AW949" i="1"/>
  <c r="AV949" i="1"/>
  <c r="AU949" i="1"/>
  <c r="AT949" i="1"/>
  <c r="AS949" i="1"/>
  <c r="AR949" i="1"/>
  <c r="AQ949" i="1"/>
  <c r="AP949" i="1"/>
  <c r="AO949" i="1"/>
  <c r="AN949" i="1"/>
  <c r="AM949" i="1"/>
  <c r="AL949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BQ948" i="1"/>
  <c r="BP948" i="1"/>
  <c r="BO948" i="1"/>
  <c r="BN948" i="1"/>
  <c r="BM948" i="1"/>
  <c r="BL948" i="1"/>
  <c r="BK948" i="1"/>
  <c r="BJ948" i="1"/>
  <c r="BI948" i="1"/>
  <c r="BH948" i="1"/>
  <c r="BG948" i="1"/>
  <c r="BF948" i="1"/>
  <c r="BE948" i="1"/>
  <c r="BD948" i="1"/>
  <c r="BC948" i="1"/>
  <c r="BB948" i="1"/>
  <c r="BA948" i="1"/>
  <c r="AZ948" i="1"/>
  <c r="AY948" i="1"/>
  <c r="AX948" i="1"/>
  <c r="AW948" i="1"/>
  <c r="AV948" i="1"/>
  <c r="AU948" i="1"/>
  <c r="AT948" i="1"/>
  <c r="AS948" i="1"/>
  <c r="AR948" i="1"/>
  <c r="AQ948" i="1"/>
  <c r="AP948" i="1"/>
  <c r="AO948" i="1"/>
  <c r="AN948" i="1"/>
  <c r="AM948" i="1"/>
  <c r="AL948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BQ947" i="1"/>
  <c r="BP947" i="1"/>
  <c r="BO947" i="1"/>
  <c r="BN947" i="1"/>
  <c r="BM947" i="1"/>
  <c r="BL947" i="1"/>
  <c r="BK947" i="1"/>
  <c r="BJ947" i="1"/>
  <c r="BI947" i="1"/>
  <c r="BH947" i="1"/>
  <c r="BG947" i="1"/>
  <c r="BF947" i="1"/>
  <c r="BE947" i="1"/>
  <c r="BD947" i="1"/>
  <c r="BC947" i="1"/>
  <c r="BB947" i="1"/>
  <c r="BA947" i="1"/>
  <c r="AZ947" i="1"/>
  <c r="AY947" i="1"/>
  <c r="AX947" i="1"/>
  <c r="AW947" i="1"/>
  <c r="AV947" i="1"/>
  <c r="AU947" i="1"/>
  <c r="AT947" i="1"/>
  <c r="AS947" i="1"/>
  <c r="AR947" i="1"/>
  <c r="AQ947" i="1"/>
  <c r="AP947" i="1"/>
  <c r="AO947" i="1"/>
  <c r="AN947" i="1"/>
  <c r="AM947" i="1"/>
  <c r="AL947" i="1"/>
  <c r="AK947" i="1"/>
  <c r="AJ947" i="1"/>
  <c r="AI947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BQ946" i="1"/>
  <c r="BP946" i="1"/>
  <c r="BO946" i="1"/>
  <c r="BN946" i="1"/>
  <c r="BM946" i="1"/>
  <c r="BL946" i="1"/>
  <c r="BK946" i="1"/>
  <c r="BJ946" i="1"/>
  <c r="BI946" i="1"/>
  <c r="BH946" i="1"/>
  <c r="BG946" i="1"/>
  <c r="BF946" i="1"/>
  <c r="BE946" i="1"/>
  <c r="BD946" i="1"/>
  <c r="BC946" i="1"/>
  <c r="BB946" i="1"/>
  <c r="BA946" i="1"/>
  <c r="AZ946" i="1"/>
  <c r="AY946" i="1"/>
  <c r="AX946" i="1"/>
  <c r="AW946" i="1"/>
  <c r="AV946" i="1"/>
  <c r="AU946" i="1"/>
  <c r="AT946" i="1"/>
  <c r="AS946" i="1"/>
  <c r="AR946" i="1"/>
  <c r="AQ946" i="1"/>
  <c r="AP946" i="1"/>
  <c r="AO946" i="1"/>
  <c r="AN946" i="1"/>
  <c r="AM946" i="1"/>
  <c r="AL946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BQ945" i="1"/>
  <c r="BP945" i="1"/>
  <c r="BO945" i="1"/>
  <c r="BN945" i="1"/>
  <c r="BM945" i="1"/>
  <c r="BL945" i="1"/>
  <c r="BK945" i="1"/>
  <c r="BJ945" i="1"/>
  <c r="BI945" i="1"/>
  <c r="BH945" i="1"/>
  <c r="BG945" i="1"/>
  <c r="BF945" i="1"/>
  <c r="BE945" i="1"/>
  <c r="BD945" i="1"/>
  <c r="BC945" i="1"/>
  <c r="BB945" i="1"/>
  <c r="BA945" i="1"/>
  <c r="AZ945" i="1"/>
  <c r="AY945" i="1"/>
  <c r="AX945" i="1"/>
  <c r="AW945" i="1"/>
  <c r="AV945" i="1"/>
  <c r="AU945" i="1"/>
  <c r="AT945" i="1"/>
  <c r="AS945" i="1"/>
  <c r="AR945" i="1"/>
  <c r="AQ945" i="1"/>
  <c r="AP945" i="1"/>
  <c r="AO945" i="1"/>
  <c r="AN945" i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BQ944" i="1"/>
  <c r="BP944" i="1"/>
  <c r="BO944" i="1"/>
  <c r="BN944" i="1"/>
  <c r="BM944" i="1"/>
  <c r="BL944" i="1"/>
  <c r="BK944" i="1"/>
  <c r="BJ944" i="1"/>
  <c r="BI944" i="1"/>
  <c r="BH944" i="1"/>
  <c r="BG944" i="1"/>
  <c r="BF944" i="1"/>
  <c r="BE944" i="1"/>
  <c r="BD944" i="1"/>
  <c r="BC944" i="1"/>
  <c r="BB944" i="1"/>
  <c r="BA944" i="1"/>
  <c r="AZ944" i="1"/>
  <c r="AY944" i="1"/>
  <c r="AX944" i="1"/>
  <c r="AW944" i="1"/>
  <c r="AV944" i="1"/>
  <c r="AU944" i="1"/>
  <c r="AT944" i="1"/>
  <c r="AS944" i="1"/>
  <c r="AR944" i="1"/>
  <c r="AQ944" i="1"/>
  <c r="AP944" i="1"/>
  <c r="AO944" i="1"/>
  <c r="AN944" i="1"/>
  <c r="AM944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BQ943" i="1"/>
  <c r="BP943" i="1"/>
  <c r="BO943" i="1"/>
  <c r="BN943" i="1"/>
  <c r="BM943" i="1"/>
  <c r="BL943" i="1"/>
  <c r="BK943" i="1"/>
  <c r="BJ943" i="1"/>
  <c r="BI943" i="1"/>
  <c r="BH943" i="1"/>
  <c r="BG943" i="1"/>
  <c r="BF943" i="1"/>
  <c r="BE943" i="1"/>
  <c r="BD943" i="1"/>
  <c r="BC943" i="1"/>
  <c r="BB943" i="1"/>
  <c r="BA943" i="1"/>
  <c r="AZ943" i="1"/>
  <c r="AY943" i="1"/>
  <c r="AX943" i="1"/>
  <c r="AW943" i="1"/>
  <c r="AV943" i="1"/>
  <c r="AU943" i="1"/>
  <c r="AT943" i="1"/>
  <c r="AS943" i="1"/>
  <c r="AR943" i="1"/>
  <c r="AQ943" i="1"/>
  <c r="AP943" i="1"/>
  <c r="AO943" i="1"/>
  <c r="AN943" i="1"/>
  <c r="AM943" i="1"/>
  <c r="AL943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BQ942" i="1"/>
  <c r="BP942" i="1"/>
  <c r="BO942" i="1"/>
  <c r="BN942" i="1"/>
  <c r="BM942" i="1"/>
  <c r="BL942" i="1"/>
  <c r="BK942" i="1"/>
  <c r="BJ942" i="1"/>
  <c r="BI942" i="1"/>
  <c r="BH942" i="1"/>
  <c r="BG942" i="1"/>
  <c r="BF942" i="1"/>
  <c r="BE942" i="1"/>
  <c r="BD942" i="1"/>
  <c r="BC942" i="1"/>
  <c r="BB942" i="1"/>
  <c r="BA942" i="1"/>
  <c r="AZ942" i="1"/>
  <c r="AY942" i="1"/>
  <c r="AX942" i="1"/>
  <c r="AW942" i="1"/>
  <c r="AV942" i="1"/>
  <c r="AU942" i="1"/>
  <c r="AT942" i="1"/>
  <c r="AS942" i="1"/>
  <c r="AR942" i="1"/>
  <c r="AQ942" i="1"/>
  <c r="AP942" i="1"/>
  <c r="AO942" i="1"/>
  <c r="AN942" i="1"/>
  <c r="AM942" i="1"/>
  <c r="AL942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BQ941" i="1"/>
  <c r="BP941" i="1"/>
  <c r="BO941" i="1"/>
  <c r="BN941" i="1"/>
  <c r="BM941" i="1"/>
  <c r="BL941" i="1"/>
  <c r="BK941" i="1"/>
  <c r="BJ941" i="1"/>
  <c r="BI941" i="1"/>
  <c r="BH941" i="1"/>
  <c r="BG941" i="1"/>
  <c r="BF941" i="1"/>
  <c r="BE941" i="1"/>
  <c r="BD941" i="1"/>
  <c r="BC941" i="1"/>
  <c r="BB941" i="1"/>
  <c r="BA941" i="1"/>
  <c r="AZ941" i="1"/>
  <c r="AY941" i="1"/>
  <c r="AX941" i="1"/>
  <c r="AW941" i="1"/>
  <c r="AV941" i="1"/>
  <c r="AU941" i="1"/>
  <c r="AT941" i="1"/>
  <c r="AS941" i="1"/>
  <c r="AR941" i="1"/>
  <c r="AQ941" i="1"/>
  <c r="AP941" i="1"/>
  <c r="AO941" i="1"/>
  <c r="AN941" i="1"/>
  <c r="AM941" i="1"/>
  <c r="AL941" i="1"/>
  <c r="AK941" i="1"/>
  <c r="AJ941" i="1"/>
  <c r="AI941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BQ940" i="1"/>
  <c r="BP940" i="1"/>
  <c r="BO940" i="1"/>
  <c r="BN940" i="1"/>
  <c r="BM940" i="1"/>
  <c r="BL940" i="1"/>
  <c r="BK940" i="1"/>
  <c r="BJ940" i="1"/>
  <c r="BI940" i="1"/>
  <c r="BH940" i="1"/>
  <c r="BG940" i="1"/>
  <c r="BF940" i="1"/>
  <c r="BE940" i="1"/>
  <c r="BD940" i="1"/>
  <c r="BC940" i="1"/>
  <c r="BB940" i="1"/>
  <c r="BA940" i="1"/>
  <c r="AZ940" i="1"/>
  <c r="AY940" i="1"/>
  <c r="AX940" i="1"/>
  <c r="AW940" i="1"/>
  <c r="AV940" i="1"/>
  <c r="AU940" i="1"/>
  <c r="AT940" i="1"/>
  <c r="AS940" i="1"/>
  <c r="AR940" i="1"/>
  <c r="AQ940" i="1"/>
  <c r="AP940" i="1"/>
  <c r="AO940" i="1"/>
  <c r="AN940" i="1"/>
  <c r="AM940" i="1"/>
  <c r="AL940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BQ939" i="1"/>
  <c r="BP939" i="1"/>
  <c r="BO939" i="1"/>
  <c r="BN939" i="1"/>
  <c r="BM939" i="1"/>
  <c r="BL939" i="1"/>
  <c r="BK939" i="1"/>
  <c r="BJ939" i="1"/>
  <c r="BI939" i="1"/>
  <c r="BH939" i="1"/>
  <c r="BG939" i="1"/>
  <c r="BF939" i="1"/>
  <c r="BE939" i="1"/>
  <c r="BD939" i="1"/>
  <c r="BC939" i="1"/>
  <c r="BB939" i="1"/>
  <c r="BA939" i="1"/>
  <c r="AZ939" i="1"/>
  <c r="AY939" i="1"/>
  <c r="AX939" i="1"/>
  <c r="AW939" i="1"/>
  <c r="AV939" i="1"/>
  <c r="AU939" i="1"/>
  <c r="AT939" i="1"/>
  <c r="AS939" i="1"/>
  <c r="AR939" i="1"/>
  <c r="AQ939" i="1"/>
  <c r="AP939" i="1"/>
  <c r="AO939" i="1"/>
  <c r="AN939" i="1"/>
  <c r="AM939" i="1"/>
  <c r="AL939" i="1"/>
  <c r="AK939" i="1"/>
  <c r="AJ939" i="1"/>
  <c r="AI939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BQ938" i="1"/>
  <c r="BP938" i="1"/>
  <c r="BO938" i="1"/>
  <c r="BN938" i="1"/>
  <c r="BM938" i="1"/>
  <c r="BL938" i="1"/>
  <c r="BK938" i="1"/>
  <c r="BJ938" i="1"/>
  <c r="BI938" i="1"/>
  <c r="BH938" i="1"/>
  <c r="BG938" i="1"/>
  <c r="BF938" i="1"/>
  <c r="BE938" i="1"/>
  <c r="BD938" i="1"/>
  <c r="BC938" i="1"/>
  <c r="BB938" i="1"/>
  <c r="BA938" i="1"/>
  <c r="AZ938" i="1"/>
  <c r="AY938" i="1"/>
  <c r="AX938" i="1"/>
  <c r="AW938" i="1"/>
  <c r="AV938" i="1"/>
  <c r="AU938" i="1"/>
  <c r="AT938" i="1"/>
  <c r="AS938" i="1"/>
  <c r="AR938" i="1"/>
  <c r="AQ938" i="1"/>
  <c r="AP938" i="1"/>
  <c r="AO938" i="1"/>
  <c r="AN938" i="1"/>
  <c r="AM938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BQ937" i="1"/>
  <c r="BP937" i="1"/>
  <c r="BO937" i="1"/>
  <c r="BN937" i="1"/>
  <c r="BM937" i="1"/>
  <c r="BL937" i="1"/>
  <c r="BK937" i="1"/>
  <c r="BJ937" i="1"/>
  <c r="BI937" i="1"/>
  <c r="BH937" i="1"/>
  <c r="BG937" i="1"/>
  <c r="BF937" i="1"/>
  <c r="BE937" i="1"/>
  <c r="BD937" i="1"/>
  <c r="BC937" i="1"/>
  <c r="BB937" i="1"/>
  <c r="BA937" i="1"/>
  <c r="AZ937" i="1"/>
  <c r="AY937" i="1"/>
  <c r="AX937" i="1"/>
  <c r="AW937" i="1"/>
  <c r="AV937" i="1"/>
  <c r="AU937" i="1"/>
  <c r="AT937" i="1"/>
  <c r="AS937" i="1"/>
  <c r="AR937" i="1"/>
  <c r="AQ937" i="1"/>
  <c r="AP937" i="1"/>
  <c r="AO937" i="1"/>
  <c r="AN937" i="1"/>
  <c r="AM937" i="1"/>
  <c r="AL937" i="1"/>
  <c r="AK937" i="1"/>
  <c r="AJ937" i="1"/>
  <c r="AI937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BQ936" i="1"/>
  <c r="BP936" i="1"/>
  <c r="BO936" i="1"/>
  <c r="BN936" i="1"/>
  <c r="BM936" i="1"/>
  <c r="BL936" i="1"/>
  <c r="BK936" i="1"/>
  <c r="BJ936" i="1"/>
  <c r="BI936" i="1"/>
  <c r="BH936" i="1"/>
  <c r="BG936" i="1"/>
  <c r="BF936" i="1"/>
  <c r="BE936" i="1"/>
  <c r="BD936" i="1"/>
  <c r="BC936" i="1"/>
  <c r="BB936" i="1"/>
  <c r="BA936" i="1"/>
  <c r="AZ936" i="1"/>
  <c r="AY936" i="1"/>
  <c r="AX936" i="1"/>
  <c r="AW936" i="1"/>
  <c r="AV936" i="1"/>
  <c r="AU936" i="1"/>
  <c r="AT936" i="1"/>
  <c r="AS936" i="1"/>
  <c r="AR936" i="1"/>
  <c r="AQ936" i="1"/>
  <c r="AP936" i="1"/>
  <c r="AO936" i="1"/>
  <c r="AN936" i="1"/>
  <c r="AM936" i="1"/>
  <c r="AL936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BQ935" i="1"/>
  <c r="BP935" i="1"/>
  <c r="BO935" i="1"/>
  <c r="BN935" i="1"/>
  <c r="BM935" i="1"/>
  <c r="BL935" i="1"/>
  <c r="BK935" i="1"/>
  <c r="BJ935" i="1"/>
  <c r="BI935" i="1"/>
  <c r="BH935" i="1"/>
  <c r="BG935" i="1"/>
  <c r="BF935" i="1"/>
  <c r="BE935" i="1"/>
  <c r="BD935" i="1"/>
  <c r="BC935" i="1"/>
  <c r="BB935" i="1"/>
  <c r="BA935" i="1"/>
  <c r="AZ935" i="1"/>
  <c r="AY935" i="1"/>
  <c r="AX935" i="1"/>
  <c r="AW935" i="1"/>
  <c r="AV935" i="1"/>
  <c r="AU935" i="1"/>
  <c r="AT935" i="1"/>
  <c r="AS935" i="1"/>
  <c r="AR935" i="1"/>
  <c r="AQ935" i="1"/>
  <c r="AP935" i="1"/>
  <c r="AO935" i="1"/>
  <c r="AN935" i="1"/>
  <c r="AM935" i="1"/>
  <c r="AL935" i="1"/>
  <c r="AK935" i="1"/>
  <c r="AJ935" i="1"/>
  <c r="AI935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BQ934" i="1"/>
  <c r="BP934" i="1"/>
  <c r="BO934" i="1"/>
  <c r="BN934" i="1"/>
  <c r="BM934" i="1"/>
  <c r="BL934" i="1"/>
  <c r="BK934" i="1"/>
  <c r="BJ934" i="1"/>
  <c r="BI934" i="1"/>
  <c r="BH934" i="1"/>
  <c r="BG934" i="1"/>
  <c r="BF934" i="1"/>
  <c r="BE934" i="1"/>
  <c r="BD934" i="1"/>
  <c r="BC934" i="1"/>
  <c r="BB934" i="1"/>
  <c r="BA934" i="1"/>
  <c r="AZ934" i="1"/>
  <c r="AY934" i="1"/>
  <c r="AX934" i="1"/>
  <c r="AW934" i="1"/>
  <c r="AV934" i="1"/>
  <c r="AU934" i="1"/>
  <c r="AT934" i="1"/>
  <c r="AS934" i="1"/>
  <c r="AR934" i="1"/>
  <c r="AQ934" i="1"/>
  <c r="AP934" i="1"/>
  <c r="AO934" i="1"/>
  <c r="AN934" i="1"/>
  <c r="AM934" i="1"/>
  <c r="AL934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BQ933" i="1"/>
  <c r="BP933" i="1"/>
  <c r="BO933" i="1"/>
  <c r="BN933" i="1"/>
  <c r="BM933" i="1"/>
  <c r="BL933" i="1"/>
  <c r="BK933" i="1"/>
  <c r="BJ933" i="1"/>
  <c r="BI933" i="1"/>
  <c r="BH933" i="1"/>
  <c r="BG933" i="1"/>
  <c r="BF933" i="1"/>
  <c r="BE933" i="1"/>
  <c r="BD933" i="1"/>
  <c r="BC933" i="1"/>
  <c r="BB933" i="1"/>
  <c r="BA933" i="1"/>
  <c r="AZ933" i="1"/>
  <c r="AY933" i="1"/>
  <c r="AX933" i="1"/>
  <c r="AW933" i="1"/>
  <c r="AV933" i="1"/>
  <c r="AU933" i="1"/>
  <c r="AT933" i="1"/>
  <c r="AS933" i="1"/>
  <c r="AR933" i="1"/>
  <c r="AQ933" i="1"/>
  <c r="AP933" i="1"/>
  <c r="AO933" i="1"/>
  <c r="AN933" i="1"/>
  <c r="AM933" i="1"/>
  <c r="AL933" i="1"/>
  <c r="AK933" i="1"/>
  <c r="AJ933" i="1"/>
  <c r="AI933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BQ932" i="1"/>
  <c r="BP932" i="1"/>
  <c r="BO932" i="1"/>
  <c r="BN932" i="1"/>
  <c r="BM932" i="1"/>
  <c r="BL932" i="1"/>
  <c r="BK932" i="1"/>
  <c r="BJ932" i="1"/>
  <c r="BI932" i="1"/>
  <c r="BH932" i="1"/>
  <c r="BG932" i="1"/>
  <c r="BF932" i="1"/>
  <c r="BE932" i="1"/>
  <c r="BD932" i="1"/>
  <c r="BC932" i="1"/>
  <c r="BB932" i="1"/>
  <c r="BA932" i="1"/>
  <c r="AZ932" i="1"/>
  <c r="AY932" i="1"/>
  <c r="AX932" i="1"/>
  <c r="AW932" i="1"/>
  <c r="AV932" i="1"/>
  <c r="AU932" i="1"/>
  <c r="AT932" i="1"/>
  <c r="AS932" i="1"/>
  <c r="AR932" i="1"/>
  <c r="AQ932" i="1"/>
  <c r="AP932" i="1"/>
  <c r="AO932" i="1"/>
  <c r="AN932" i="1"/>
  <c r="AM932" i="1"/>
  <c r="AL932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BQ931" i="1"/>
  <c r="BP931" i="1"/>
  <c r="BO931" i="1"/>
  <c r="BN931" i="1"/>
  <c r="BM931" i="1"/>
  <c r="BL931" i="1"/>
  <c r="BK931" i="1"/>
  <c r="BJ931" i="1"/>
  <c r="BI931" i="1"/>
  <c r="BH931" i="1"/>
  <c r="BG931" i="1"/>
  <c r="BF931" i="1"/>
  <c r="BE931" i="1"/>
  <c r="BD931" i="1"/>
  <c r="BC931" i="1"/>
  <c r="BB931" i="1"/>
  <c r="BA931" i="1"/>
  <c r="AZ931" i="1"/>
  <c r="AY931" i="1"/>
  <c r="AX931" i="1"/>
  <c r="AW931" i="1"/>
  <c r="AV931" i="1"/>
  <c r="AU931" i="1"/>
  <c r="AT931" i="1"/>
  <c r="AS931" i="1"/>
  <c r="AR931" i="1"/>
  <c r="AQ931" i="1"/>
  <c r="AP931" i="1"/>
  <c r="AO931" i="1"/>
  <c r="AN931" i="1"/>
  <c r="AM931" i="1"/>
  <c r="AL931" i="1"/>
  <c r="AK931" i="1"/>
  <c r="AJ931" i="1"/>
  <c r="AI931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BQ930" i="1"/>
  <c r="BP930" i="1"/>
  <c r="BO930" i="1"/>
  <c r="BN930" i="1"/>
  <c r="BM930" i="1"/>
  <c r="BL930" i="1"/>
  <c r="BK930" i="1"/>
  <c r="BJ930" i="1"/>
  <c r="BI930" i="1"/>
  <c r="BH930" i="1"/>
  <c r="BG930" i="1"/>
  <c r="BF930" i="1"/>
  <c r="BE930" i="1"/>
  <c r="BD930" i="1"/>
  <c r="BC930" i="1"/>
  <c r="BB930" i="1"/>
  <c r="BA930" i="1"/>
  <c r="AZ930" i="1"/>
  <c r="AY930" i="1"/>
  <c r="AX930" i="1"/>
  <c r="AW930" i="1"/>
  <c r="AV930" i="1"/>
  <c r="AU930" i="1"/>
  <c r="AT930" i="1"/>
  <c r="AS930" i="1"/>
  <c r="AR930" i="1"/>
  <c r="AQ930" i="1"/>
  <c r="AP930" i="1"/>
  <c r="AO930" i="1"/>
  <c r="AN930" i="1"/>
  <c r="AM930" i="1"/>
  <c r="AL930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BQ929" i="1"/>
  <c r="BP929" i="1"/>
  <c r="BO929" i="1"/>
  <c r="BN929" i="1"/>
  <c r="BM929" i="1"/>
  <c r="BL929" i="1"/>
  <c r="BK929" i="1"/>
  <c r="BJ929" i="1"/>
  <c r="BI929" i="1"/>
  <c r="BH929" i="1"/>
  <c r="BG929" i="1"/>
  <c r="BF929" i="1"/>
  <c r="BE929" i="1"/>
  <c r="BD929" i="1"/>
  <c r="BC929" i="1"/>
  <c r="BB929" i="1"/>
  <c r="BA929" i="1"/>
  <c r="AZ929" i="1"/>
  <c r="AY929" i="1"/>
  <c r="AX929" i="1"/>
  <c r="AW929" i="1"/>
  <c r="AV929" i="1"/>
  <c r="AU929" i="1"/>
  <c r="AT929" i="1"/>
  <c r="AS929" i="1"/>
  <c r="AR929" i="1"/>
  <c r="AQ929" i="1"/>
  <c r="AP929" i="1"/>
  <c r="AO929" i="1"/>
  <c r="AN929" i="1"/>
  <c r="AM929" i="1"/>
  <c r="AL929" i="1"/>
  <c r="AK929" i="1"/>
  <c r="AJ929" i="1"/>
  <c r="AI929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BQ928" i="1"/>
  <c r="BP928" i="1"/>
  <c r="BO928" i="1"/>
  <c r="BN928" i="1"/>
  <c r="BM928" i="1"/>
  <c r="BL928" i="1"/>
  <c r="BK928" i="1"/>
  <c r="BJ928" i="1"/>
  <c r="BI928" i="1"/>
  <c r="BH928" i="1"/>
  <c r="BG928" i="1"/>
  <c r="BF928" i="1"/>
  <c r="BE928" i="1"/>
  <c r="BD928" i="1"/>
  <c r="BC928" i="1"/>
  <c r="BB928" i="1"/>
  <c r="BA928" i="1"/>
  <c r="AZ928" i="1"/>
  <c r="AY928" i="1"/>
  <c r="AX928" i="1"/>
  <c r="AW928" i="1"/>
  <c r="AV928" i="1"/>
  <c r="AU928" i="1"/>
  <c r="AT928" i="1"/>
  <c r="AS928" i="1"/>
  <c r="AR928" i="1"/>
  <c r="AQ928" i="1"/>
  <c r="AP928" i="1"/>
  <c r="AO928" i="1"/>
  <c r="AN928" i="1"/>
  <c r="AM928" i="1"/>
  <c r="AL928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BQ927" i="1"/>
  <c r="BP927" i="1"/>
  <c r="BO927" i="1"/>
  <c r="BN927" i="1"/>
  <c r="BM927" i="1"/>
  <c r="BL927" i="1"/>
  <c r="BK927" i="1"/>
  <c r="BJ927" i="1"/>
  <c r="BI927" i="1"/>
  <c r="BH927" i="1"/>
  <c r="BG927" i="1"/>
  <c r="BF927" i="1"/>
  <c r="BE927" i="1"/>
  <c r="BD927" i="1"/>
  <c r="BC927" i="1"/>
  <c r="BB927" i="1"/>
  <c r="BA927" i="1"/>
  <c r="AZ927" i="1"/>
  <c r="AY927" i="1"/>
  <c r="AX927" i="1"/>
  <c r="AW927" i="1"/>
  <c r="AV927" i="1"/>
  <c r="AU927" i="1"/>
  <c r="AT927" i="1"/>
  <c r="AS927" i="1"/>
  <c r="AR927" i="1"/>
  <c r="AQ927" i="1"/>
  <c r="AP927" i="1"/>
  <c r="AO927" i="1"/>
  <c r="AN927" i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BQ926" i="1"/>
  <c r="BP926" i="1"/>
  <c r="BO926" i="1"/>
  <c r="BN926" i="1"/>
  <c r="BM926" i="1"/>
  <c r="BL926" i="1"/>
  <c r="BK926" i="1"/>
  <c r="BJ926" i="1"/>
  <c r="BI926" i="1"/>
  <c r="BH926" i="1"/>
  <c r="BG926" i="1"/>
  <c r="BF926" i="1"/>
  <c r="BE926" i="1"/>
  <c r="BD926" i="1"/>
  <c r="BC926" i="1"/>
  <c r="BB926" i="1"/>
  <c r="BA926" i="1"/>
  <c r="AZ926" i="1"/>
  <c r="AY926" i="1"/>
  <c r="AX926" i="1"/>
  <c r="AW926" i="1"/>
  <c r="AV926" i="1"/>
  <c r="AU926" i="1"/>
  <c r="AT926" i="1"/>
  <c r="AS926" i="1"/>
  <c r="AR926" i="1"/>
  <c r="AQ926" i="1"/>
  <c r="AP926" i="1"/>
  <c r="AO926" i="1"/>
  <c r="AN926" i="1"/>
  <c r="AM926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BQ925" i="1"/>
  <c r="BP925" i="1"/>
  <c r="BO925" i="1"/>
  <c r="BN925" i="1"/>
  <c r="BM925" i="1"/>
  <c r="BL925" i="1"/>
  <c r="BK925" i="1"/>
  <c r="BJ925" i="1"/>
  <c r="BI925" i="1"/>
  <c r="BH925" i="1"/>
  <c r="BG925" i="1"/>
  <c r="BF925" i="1"/>
  <c r="BE925" i="1"/>
  <c r="BD925" i="1"/>
  <c r="BC925" i="1"/>
  <c r="BB925" i="1"/>
  <c r="BA925" i="1"/>
  <c r="AZ925" i="1"/>
  <c r="AY925" i="1"/>
  <c r="AX925" i="1"/>
  <c r="AW925" i="1"/>
  <c r="AV925" i="1"/>
  <c r="AU925" i="1"/>
  <c r="AT925" i="1"/>
  <c r="AS925" i="1"/>
  <c r="AR925" i="1"/>
  <c r="AQ925" i="1"/>
  <c r="AP925" i="1"/>
  <c r="AO925" i="1"/>
  <c r="AN925" i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BQ924" i="1"/>
  <c r="BP924" i="1"/>
  <c r="BO924" i="1"/>
  <c r="BN924" i="1"/>
  <c r="BM924" i="1"/>
  <c r="BL924" i="1"/>
  <c r="BK924" i="1"/>
  <c r="BJ924" i="1"/>
  <c r="BI924" i="1"/>
  <c r="BH924" i="1"/>
  <c r="BG924" i="1"/>
  <c r="BF924" i="1"/>
  <c r="BE924" i="1"/>
  <c r="BD924" i="1"/>
  <c r="BC924" i="1"/>
  <c r="BB924" i="1"/>
  <c r="BA924" i="1"/>
  <c r="AZ924" i="1"/>
  <c r="AY924" i="1"/>
  <c r="AX924" i="1"/>
  <c r="AW924" i="1"/>
  <c r="AV924" i="1"/>
  <c r="AU924" i="1"/>
  <c r="AT924" i="1"/>
  <c r="AS924" i="1"/>
  <c r="AR924" i="1"/>
  <c r="AQ924" i="1"/>
  <c r="AP924" i="1"/>
  <c r="AO924" i="1"/>
  <c r="AN924" i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BQ923" i="1"/>
  <c r="BP923" i="1"/>
  <c r="BO923" i="1"/>
  <c r="BN923" i="1"/>
  <c r="BM923" i="1"/>
  <c r="BL923" i="1"/>
  <c r="BK923" i="1"/>
  <c r="BJ923" i="1"/>
  <c r="BI923" i="1"/>
  <c r="BH923" i="1"/>
  <c r="BG923" i="1"/>
  <c r="BF923" i="1"/>
  <c r="BE923" i="1"/>
  <c r="BD923" i="1"/>
  <c r="BC923" i="1"/>
  <c r="BB923" i="1"/>
  <c r="BA923" i="1"/>
  <c r="AZ923" i="1"/>
  <c r="AY923" i="1"/>
  <c r="AX923" i="1"/>
  <c r="AW923" i="1"/>
  <c r="AV923" i="1"/>
  <c r="AU923" i="1"/>
  <c r="AT923" i="1"/>
  <c r="AS923" i="1"/>
  <c r="AR923" i="1"/>
  <c r="AQ923" i="1"/>
  <c r="AP923" i="1"/>
  <c r="AO923" i="1"/>
  <c r="AN923" i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BQ922" i="1"/>
  <c r="BP922" i="1"/>
  <c r="BO922" i="1"/>
  <c r="BN922" i="1"/>
  <c r="BM922" i="1"/>
  <c r="BL922" i="1"/>
  <c r="BK922" i="1"/>
  <c r="BJ922" i="1"/>
  <c r="BI922" i="1"/>
  <c r="BH922" i="1"/>
  <c r="BG922" i="1"/>
  <c r="BF922" i="1"/>
  <c r="BE922" i="1"/>
  <c r="BD922" i="1"/>
  <c r="BC922" i="1"/>
  <c r="BB922" i="1"/>
  <c r="BA922" i="1"/>
  <c r="AZ922" i="1"/>
  <c r="AY922" i="1"/>
  <c r="AX922" i="1"/>
  <c r="AW922" i="1"/>
  <c r="AV922" i="1"/>
  <c r="AU922" i="1"/>
  <c r="AT922" i="1"/>
  <c r="AS922" i="1"/>
  <c r="AR922" i="1"/>
  <c r="AQ922" i="1"/>
  <c r="AP922" i="1"/>
  <c r="AO922" i="1"/>
  <c r="AN922" i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BQ921" i="1"/>
  <c r="BP921" i="1"/>
  <c r="BO921" i="1"/>
  <c r="BN921" i="1"/>
  <c r="BM921" i="1"/>
  <c r="BL921" i="1"/>
  <c r="BK921" i="1"/>
  <c r="BJ921" i="1"/>
  <c r="BI921" i="1"/>
  <c r="BH921" i="1"/>
  <c r="BG921" i="1"/>
  <c r="BF921" i="1"/>
  <c r="BE921" i="1"/>
  <c r="BD921" i="1"/>
  <c r="BC921" i="1"/>
  <c r="BB921" i="1"/>
  <c r="BA921" i="1"/>
  <c r="AZ921" i="1"/>
  <c r="AY921" i="1"/>
  <c r="AX921" i="1"/>
  <c r="AW921" i="1"/>
  <c r="AV921" i="1"/>
  <c r="AU921" i="1"/>
  <c r="AT921" i="1"/>
  <c r="AS921" i="1"/>
  <c r="AR921" i="1"/>
  <c r="AQ921" i="1"/>
  <c r="AP921" i="1"/>
  <c r="AO921" i="1"/>
  <c r="AN921" i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BQ920" i="1"/>
  <c r="BP920" i="1"/>
  <c r="BO920" i="1"/>
  <c r="BN920" i="1"/>
  <c r="BM920" i="1"/>
  <c r="BL920" i="1"/>
  <c r="BK920" i="1"/>
  <c r="BJ920" i="1"/>
  <c r="BI920" i="1"/>
  <c r="BH920" i="1"/>
  <c r="BG920" i="1"/>
  <c r="BF920" i="1"/>
  <c r="BE920" i="1"/>
  <c r="BD920" i="1"/>
  <c r="BC920" i="1"/>
  <c r="BB920" i="1"/>
  <c r="BA920" i="1"/>
  <c r="AZ920" i="1"/>
  <c r="AY920" i="1"/>
  <c r="AX920" i="1"/>
  <c r="AW920" i="1"/>
  <c r="AV920" i="1"/>
  <c r="AU920" i="1"/>
  <c r="AT920" i="1"/>
  <c r="AS920" i="1"/>
  <c r="AR920" i="1"/>
  <c r="AQ920" i="1"/>
  <c r="AP920" i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BQ919" i="1"/>
  <c r="BP919" i="1"/>
  <c r="BO919" i="1"/>
  <c r="BN919" i="1"/>
  <c r="BM919" i="1"/>
  <c r="BL919" i="1"/>
  <c r="BK919" i="1"/>
  <c r="BJ919" i="1"/>
  <c r="BI919" i="1"/>
  <c r="BH919" i="1"/>
  <c r="BG919" i="1"/>
  <c r="BF919" i="1"/>
  <c r="BE919" i="1"/>
  <c r="BD919" i="1"/>
  <c r="BC919" i="1"/>
  <c r="BB919" i="1"/>
  <c r="BA919" i="1"/>
  <c r="AZ919" i="1"/>
  <c r="AY919" i="1"/>
  <c r="AX919" i="1"/>
  <c r="AW919" i="1"/>
  <c r="AV919" i="1"/>
  <c r="AU919" i="1"/>
  <c r="AT919" i="1"/>
  <c r="AS919" i="1"/>
  <c r="AR919" i="1"/>
  <c r="AQ919" i="1"/>
  <c r="AP919" i="1"/>
  <c r="AO919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BQ918" i="1"/>
  <c r="BP918" i="1"/>
  <c r="BO918" i="1"/>
  <c r="BN918" i="1"/>
  <c r="BM918" i="1"/>
  <c r="BL918" i="1"/>
  <c r="BK918" i="1"/>
  <c r="BJ918" i="1"/>
  <c r="BI918" i="1"/>
  <c r="BH918" i="1"/>
  <c r="BG918" i="1"/>
  <c r="BF918" i="1"/>
  <c r="BE918" i="1"/>
  <c r="BD918" i="1"/>
  <c r="BC918" i="1"/>
  <c r="BB918" i="1"/>
  <c r="BA918" i="1"/>
  <c r="AZ918" i="1"/>
  <c r="AY918" i="1"/>
  <c r="AX918" i="1"/>
  <c r="AW918" i="1"/>
  <c r="AV918" i="1"/>
  <c r="AU918" i="1"/>
  <c r="AT918" i="1"/>
  <c r="AS918" i="1"/>
  <c r="AR918" i="1"/>
  <c r="AQ918" i="1"/>
  <c r="AP918" i="1"/>
  <c r="AO918" i="1"/>
  <c r="AN918" i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BQ917" i="1"/>
  <c r="BP917" i="1"/>
  <c r="BO917" i="1"/>
  <c r="BN917" i="1"/>
  <c r="BM917" i="1"/>
  <c r="BL917" i="1"/>
  <c r="BK917" i="1"/>
  <c r="BJ917" i="1"/>
  <c r="BI917" i="1"/>
  <c r="BH917" i="1"/>
  <c r="BG917" i="1"/>
  <c r="BF917" i="1"/>
  <c r="BE917" i="1"/>
  <c r="BD917" i="1"/>
  <c r="BC917" i="1"/>
  <c r="BB917" i="1"/>
  <c r="BA917" i="1"/>
  <c r="AZ917" i="1"/>
  <c r="AY917" i="1"/>
  <c r="AX917" i="1"/>
  <c r="AW917" i="1"/>
  <c r="AV917" i="1"/>
  <c r="AU917" i="1"/>
  <c r="AT917" i="1"/>
  <c r="AS917" i="1"/>
  <c r="AR917" i="1"/>
  <c r="AQ917" i="1"/>
  <c r="AP917" i="1"/>
  <c r="AO917" i="1"/>
  <c r="AN917" i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BQ916" i="1"/>
  <c r="BP916" i="1"/>
  <c r="BO916" i="1"/>
  <c r="BN916" i="1"/>
  <c r="BM916" i="1"/>
  <c r="BL916" i="1"/>
  <c r="BK916" i="1"/>
  <c r="BJ916" i="1"/>
  <c r="BI916" i="1"/>
  <c r="BH916" i="1"/>
  <c r="BG916" i="1"/>
  <c r="BF916" i="1"/>
  <c r="BE916" i="1"/>
  <c r="BD916" i="1"/>
  <c r="BC916" i="1"/>
  <c r="BB916" i="1"/>
  <c r="BA916" i="1"/>
  <c r="AZ916" i="1"/>
  <c r="AY916" i="1"/>
  <c r="AX916" i="1"/>
  <c r="AW916" i="1"/>
  <c r="AV916" i="1"/>
  <c r="AU916" i="1"/>
  <c r="AT916" i="1"/>
  <c r="AS916" i="1"/>
  <c r="AR916" i="1"/>
  <c r="AQ916" i="1"/>
  <c r="AP916" i="1"/>
  <c r="AO916" i="1"/>
  <c r="AN916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BQ915" i="1"/>
  <c r="BP915" i="1"/>
  <c r="BO915" i="1"/>
  <c r="BN915" i="1"/>
  <c r="BM915" i="1"/>
  <c r="BL915" i="1"/>
  <c r="BK915" i="1"/>
  <c r="BJ915" i="1"/>
  <c r="BI915" i="1"/>
  <c r="BH915" i="1"/>
  <c r="BG915" i="1"/>
  <c r="BF915" i="1"/>
  <c r="BE915" i="1"/>
  <c r="BD915" i="1"/>
  <c r="BC915" i="1"/>
  <c r="BB915" i="1"/>
  <c r="BA915" i="1"/>
  <c r="AZ915" i="1"/>
  <c r="AY915" i="1"/>
  <c r="AX915" i="1"/>
  <c r="AW915" i="1"/>
  <c r="AV915" i="1"/>
  <c r="AU915" i="1"/>
  <c r="AT915" i="1"/>
  <c r="AS915" i="1"/>
  <c r="AR915" i="1"/>
  <c r="AQ915" i="1"/>
  <c r="AP915" i="1"/>
  <c r="AO915" i="1"/>
  <c r="AN915" i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BQ914" i="1"/>
  <c r="BP914" i="1"/>
  <c r="BO914" i="1"/>
  <c r="BN914" i="1"/>
  <c r="BM914" i="1"/>
  <c r="BL914" i="1"/>
  <c r="BK914" i="1"/>
  <c r="BJ914" i="1"/>
  <c r="BI914" i="1"/>
  <c r="BH914" i="1"/>
  <c r="BG914" i="1"/>
  <c r="BF914" i="1"/>
  <c r="BE914" i="1"/>
  <c r="BD914" i="1"/>
  <c r="BC914" i="1"/>
  <c r="BB914" i="1"/>
  <c r="BA914" i="1"/>
  <c r="AZ914" i="1"/>
  <c r="AY914" i="1"/>
  <c r="AX914" i="1"/>
  <c r="AW914" i="1"/>
  <c r="AV914" i="1"/>
  <c r="AU914" i="1"/>
  <c r="AT914" i="1"/>
  <c r="AS914" i="1"/>
  <c r="AR914" i="1"/>
  <c r="AQ914" i="1"/>
  <c r="AP914" i="1"/>
  <c r="AO914" i="1"/>
  <c r="AN914" i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BQ913" i="1"/>
  <c r="BP913" i="1"/>
  <c r="BO913" i="1"/>
  <c r="BN913" i="1"/>
  <c r="BM913" i="1"/>
  <c r="BL913" i="1"/>
  <c r="BK913" i="1"/>
  <c r="BJ913" i="1"/>
  <c r="BI913" i="1"/>
  <c r="BH913" i="1"/>
  <c r="BG913" i="1"/>
  <c r="BF913" i="1"/>
  <c r="BE913" i="1"/>
  <c r="BD913" i="1"/>
  <c r="BC913" i="1"/>
  <c r="BB913" i="1"/>
  <c r="BA913" i="1"/>
  <c r="AZ913" i="1"/>
  <c r="AY913" i="1"/>
  <c r="AX913" i="1"/>
  <c r="AW913" i="1"/>
  <c r="AV913" i="1"/>
  <c r="AU913" i="1"/>
  <c r="AT913" i="1"/>
  <c r="AS913" i="1"/>
  <c r="AR913" i="1"/>
  <c r="AQ913" i="1"/>
  <c r="AP913" i="1"/>
  <c r="AO913" i="1"/>
  <c r="AN913" i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BQ912" i="1"/>
  <c r="BP912" i="1"/>
  <c r="BO912" i="1"/>
  <c r="BN912" i="1"/>
  <c r="BM912" i="1"/>
  <c r="BL912" i="1"/>
  <c r="BK912" i="1"/>
  <c r="BJ912" i="1"/>
  <c r="BI912" i="1"/>
  <c r="BH912" i="1"/>
  <c r="BG912" i="1"/>
  <c r="BF912" i="1"/>
  <c r="BE912" i="1"/>
  <c r="BD912" i="1"/>
  <c r="BC912" i="1"/>
  <c r="BB912" i="1"/>
  <c r="BA912" i="1"/>
  <c r="AZ912" i="1"/>
  <c r="AY912" i="1"/>
  <c r="AX912" i="1"/>
  <c r="AW912" i="1"/>
  <c r="AV912" i="1"/>
  <c r="AU912" i="1"/>
  <c r="AT912" i="1"/>
  <c r="AS912" i="1"/>
  <c r="AR912" i="1"/>
  <c r="AQ912" i="1"/>
  <c r="AP912" i="1"/>
  <c r="AO912" i="1"/>
  <c r="AN912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BQ911" i="1"/>
  <c r="BP911" i="1"/>
  <c r="BO911" i="1"/>
  <c r="BN911" i="1"/>
  <c r="BM911" i="1"/>
  <c r="BL911" i="1"/>
  <c r="BK911" i="1"/>
  <c r="BJ911" i="1"/>
  <c r="BI911" i="1"/>
  <c r="BH911" i="1"/>
  <c r="BG911" i="1"/>
  <c r="BF911" i="1"/>
  <c r="BE911" i="1"/>
  <c r="BD911" i="1"/>
  <c r="BC911" i="1"/>
  <c r="BB911" i="1"/>
  <c r="BA911" i="1"/>
  <c r="AZ911" i="1"/>
  <c r="AY911" i="1"/>
  <c r="AX911" i="1"/>
  <c r="AW911" i="1"/>
  <c r="AV911" i="1"/>
  <c r="AU911" i="1"/>
  <c r="AT911" i="1"/>
  <c r="AS911" i="1"/>
  <c r="AR911" i="1"/>
  <c r="AQ911" i="1"/>
  <c r="AP911" i="1"/>
  <c r="AO911" i="1"/>
  <c r="AN911" i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BQ910" i="1"/>
  <c r="BP910" i="1"/>
  <c r="BO910" i="1"/>
  <c r="BN910" i="1"/>
  <c r="BM910" i="1"/>
  <c r="BL910" i="1"/>
  <c r="BK910" i="1"/>
  <c r="BJ910" i="1"/>
  <c r="BI910" i="1"/>
  <c r="BH910" i="1"/>
  <c r="BG910" i="1"/>
  <c r="BF910" i="1"/>
  <c r="BE910" i="1"/>
  <c r="BD910" i="1"/>
  <c r="BC910" i="1"/>
  <c r="BB910" i="1"/>
  <c r="BA910" i="1"/>
  <c r="AZ910" i="1"/>
  <c r="AY910" i="1"/>
  <c r="AX910" i="1"/>
  <c r="AW910" i="1"/>
  <c r="AV910" i="1"/>
  <c r="AU910" i="1"/>
  <c r="AT910" i="1"/>
  <c r="AS910" i="1"/>
  <c r="AR910" i="1"/>
  <c r="AQ910" i="1"/>
  <c r="AP910" i="1"/>
  <c r="AO910" i="1"/>
  <c r="AN910" i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BQ909" i="1"/>
  <c r="BP909" i="1"/>
  <c r="BO909" i="1"/>
  <c r="BN909" i="1"/>
  <c r="BM909" i="1"/>
  <c r="BL909" i="1"/>
  <c r="BK909" i="1"/>
  <c r="BJ909" i="1"/>
  <c r="BI909" i="1"/>
  <c r="BH909" i="1"/>
  <c r="BG909" i="1"/>
  <c r="BF909" i="1"/>
  <c r="BE909" i="1"/>
  <c r="BD909" i="1"/>
  <c r="BC909" i="1"/>
  <c r="BB909" i="1"/>
  <c r="BA909" i="1"/>
  <c r="AZ909" i="1"/>
  <c r="AY909" i="1"/>
  <c r="AX909" i="1"/>
  <c r="AW909" i="1"/>
  <c r="AV909" i="1"/>
  <c r="AU909" i="1"/>
  <c r="AT909" i="1"/>
  <c r="AS909" i="1"/>
  <c r="AR909" i="1"/>
  <c r="AQ909" i="1"/>
  <c r="AP909" i="1"/>
  <c r="AO909" i="1"/>
  <c r="AN909" i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BQ908" i="1"/>
  <c r="BP908" i="1"/>
  <c r="BO908" i="1"/>
  <c r="BN908" i="1"/>
  <c r="BM908" i="1"/>
  <c r="BL908" i="1"/>
  <c r="BK908" i="1"/>
  <c r="BJ908" i="1"/>
  <c r="BI908" i="1"/>
  <c r="BH908" i="1"/>
  <c r="BG908" i="1"/>
  <c r="BF908" i="1"/>
  <c r="BE908" i="1"/>
  <c r="BD908" i="1"/>
  <c r="BC908" i="1"/>
  <c r="BB908" i="1"/>
  <c r="BA908" i="1"/>
  <c r="AZ908" i="1"/>
  <c r="AY908" i="1"/>
  <c r="AX908" i="1"/>
  <c r="AW908" i="1"/>
  <c r="AV908" i="1"/>
  <c r="AU908" i="1"/>
  <c r="AT908" i="1"/>
  <c r="AS908" i="1"/>
  <c r="AR908" i="1"/>
  <c r="AQ908" i="1"/>
  <c r="AP908" i="1"/>
  <c r="AO908" i="1"/>
  <c r="AN908" i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BQ907" i="1"/>
  <c r="BP907" i="1"/>
  <c r="BO907" i="1"/>
  <c r="BN907" i="1"/>
  <c r="BM907" i="1"/>
  <c r="BL907" i="1"/>
  <c r="BK907" i="1"/>
  <c r="BJ907" i="1"/>
  <c r="BI907" i="1"/>
  <c r="BH907" i="1"/>
  <c r="BG907" i="1"/>
  <c r="BF907" i="1"/>
  <c r="BE907" i="1"/>
  <c r="BD907" i="1"/>
  <c r="BC907" i="1"/>
  <c r="BB907" i="1"/>
  <c r="BA907" i="1"/>
  <c r="AZ907" i="1"/>
  <c r="AY907" i="1"/>
  <c r="AX907" i="1"/>
  <c r="AW907" i="1"/>
  <c r="AV907" i="1"/>
  <c r="AU907" i="1"/>
  <c r="AT907" i="1"/>
  <c r="AS907" i="1"/>
  <c r="AR907" i="1"/>
  <c r="AQ907" i="1"/>
  <c r="AP907" i="1"/>
  <c r="AO907" i="1"/>
  <c r="AN907" i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BQ906" i="1"/>
  <c r="BP906" i="1"/>
  <c r="BO906" i="1"/>
  <c r="BN906" i="1"/>
  <c r="BM906" i="1"/>
  <c r="BL906" i="1"/>
  <c r="BK906" i="1"/>
  <c r="BJ906" i="1"/>
  <c r="BI906" i="1"/>
  <c r="BH906" i="1"/>
  <c r="BG906" i="1"/>
  <c r="BF906" i="1"/>
  <c r="BE906" i="1"/>
  <c r="BD906" i="1"/>
  <c r="BC906" i="1"/>
  <c r="BB906" i="1"/>
  <c r="BA906" i="1"/>
  <c r="AZ906" i="1"/>
  <c r="AY906" i="1"/>
  <c r="AX906" i="1"/>
  <c r="AW906" i="1"/>
  <c r="AV906" i="1"/>
  <c r="AU906" i="1"/>
  <c r="AT906" i="1"/>
  <c r="AS906" i="1"/>
  <c r="AR906" i="1"/>
  <c r="AQ906" i="1"/>
  <c r="AP906" i="1"/>
  <c r="AO906" i="1"/>
  <c r="AN906" i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BQ905" i="1"/>
  <c r="BP905" i="1"/>
  <c r="BO905" i="1"/>
  <c r="BN905" i="1"/>
  <c r="BM905" i="1"/>
  <c r="BL905" i="1"/>
  <c r="BK905" i="1"/>
  <c r="BJ905" i="1"/>
  <c r="BI905" i="1"/>
  <c r="BH905" i="1"/>
  <c r="BG905" i="1"/>
  <c r="BF905" i="1"/>
  <c r="BE905" i="1"/>
  <c r="BD905" i="1"/>
  <c r="BC905" i="1"/>
  <c r="BB905" i="1"/>
  <c r="BA905" i="1"/>
  <c r="AZ905" i="1"/>
  <c r="AY905" i="1"/>
  <c r="AX905" i="1"/>
  <c r="AW905" i="1"/>
  <c r="AV905" i="1"/>
  <c r="AU905" i="1"/>
  <c r="AT905" i="1"/>
  <c r="AS905" i="1"/>
  <c r="AR905" i="1"/>
  <c r="AQ905" i="1"/>
  <c r="AP905" i="1"/>
  <c r="AO905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BQ904" i="1"/>
  <c r="BP904" i="1"/>
  <c r="BO904" i="1"/>
  <c r="BN904" i="1"/>
  <c r="BM904" i="1"/>
  <c r="BL904" i="1"/>
  <c r="BK904" i="1"/>
  <c r="BJ904" i="1"/>
  <c r="BI904" i="1"/>
  <c r="BH904" i="1"/>
  <c r="BG904" i="1"/>
  <c r="BF904" i="1"/>
  <c r="BE904" i="1"/>
  <c r="BD904" i="1"/>
  <c r="BC904" i="1"/>
  <c r="BB904" i="1"/>
  <c r="BA904" i="1"/>
  <c r="AZ904" i="1"/>
  <c r="AY904" i="1"/>
  <c r="AX904" i="1"/>
  <c r="AW904" i="1"/>
  <c r="AV904" i="1"/>
  <c r="AU904" i="1"/>
  <c r="AT904" i="1"/>
  <c r="AS904" i="1"/>
  <c r="AR904" i="1"/>
  <c r="AQ904" i="1"/>
  <c r="AP904" i="1"/>
  <c r="AO904" i="1"/>
  <c r="AN904" i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BQ903" i="1"/>
  <c r="BP903" i="1"/>
  <c r="BO903" i="1"/>
  <c r="BN903" i="1"/>
  <c r="BM903" i="1"/>
  <c r="BL903" i="1"/>
  <c r="BK903" i="1"/>
  <c r="BJ903" i="1"/>
  <c r="BI903" i="1"/>
  <c r="BH903" i="1"/>
  <c r="BG903" i="1"/>
  <c r="BF903" i="1"/>
  <c r="BE903" i="1"/>
  <c r="BD903" i="1"/>
  <c r="BC903" i="1"/>
  <c r="BB903" i="1"/>
  <c r="BA903" i="1"/>
  <c r="AZ903" i="1"/>
  <c r="AY903" i="1"/>
  <c r="AX903" i="1"/>
  <c r="AW903" i="1"/>
  <c r="AV903" i="1"/>
  <c r="AU903" i="1"/>
  <c r="AT903" i="1"/>
  <c r="AS903" i="1"/>
  <c r="AR903" i="1"/>
  <c r="AQ903" i="1"/>
  <c r="AP903" i="1"/>
  <c r="AO903" i="1"/>
  <c r="AN903" i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BQ902" i="1"/>
  <c r="BP902" i="1"/>
  <c r="BO902" i="1"/>
  <c r="BN902" i="1"/>
  <c r="BM902" i="1"/>
  <c r="BL902" i="1"/>
  <c r="BK902" i="1"/>
  <c r="BJ902" i="1"/>
  <c r="BI902" i="1"/>
  <c r="BH902" i="1"/>
  <c r="BG902" i="1"/>
  <c r="BF902" i="1"/>
  <c r="BE902" i="1"/>
  <c r="BD902" i="1"/>
  <c r="BC902" i="1"/>
  <c r="BB902" i="1"/>
  <c r="BA902" i="1"/>
  <c r="AZ902" i="1"/>
  <c r="AY902" i="1"/>
  <c r="AX902" i="1"/>
  <c r="AW902" i="1"/>
  <c r="AV902" i="1"/>
  <c r="AU902" i="1"/>
  <c r="AT902" i="1"/>
  <c r="AS902" i="1"/>
  <c r="AR902" i="1"/>
  <c r="AQ902" i="1"/>
  <c r="AP902" i="1"/>
  <c r="AO902" i="1"/>
  <c r="AN902" i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BQ901" i="1"/>
  <c r="BP901" i="1"/>
  <c r="BO901" i="1"/>
  <c r="BN901" i="1"/>
  <c r="BM901" i="1"/>
  <c r="BL901" i="1"/>
  <c r="BK901" i="1"/>
  <c r="BJ901" i="1"/>
  <c r="BI901" i="1"/>
  <c r="BH901" i="1"/>
  <c r="BG901" i="1"/>
  <c r="BF901" i="1"/>
  <c r="BE901" i="1"/>
  <c r="BD901" i="1"/>
  <c r="BC901" i="1"/>
  <c r="BB901" i="1"/>
  <c r="BA901" i="1"/>
  <c r="AZ901" i="1"/>
  <c r="AY901" i="1"/>
  <c r="AX901" i="1"/>
  <c r="AW901" i="1"/>
  <c r="AV901" i="1"/>
  <c r="AU901" i="1"/>
  <c r="AT901" i="1"/>
  <c r="AS901" i="1"/>
  <c r="AR901" i="1"/>
  <c r="AQ901" i="1"/>
  <c r="AP901" i="1"/>
  <c r="AO901" i="1"/>
  <c r="AN901" i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BQ900" i="1"/>
  <c r="BP900" i="1"/>
  <c r="BO900" i="1"/>
  <c r="BN900" i="1"/>
  <c r="BM900" i="1"/>
  <c r="BL900" i="1"/>
  <c r="BK900" i="1"/>
  <c r="BJ900" i="1"/>
  <c r="BI900" i="1"/>
  <c r="BH900" i="1"/>
  <c r="BG900" i="1"/>
  <c r="BF900" i="1"/>
  <c r="BE900" i="1"/>
  <c r="BD900" i="1"/>
  <c r="BC900" i="1"/>
  <c r="BB900" i="1"/>
  <c r="BA900" i="1"/>
  <c r="AZ900" i="1"/>
  <c r="AY900" i="1"/>
  <c r="AX900" i="1"/>
  <c r="AW900" i="1"/>
  <c r="AV900" i="1"/>
  <c r="AU900" i="1"/>
  <c r="AT900" i="1"/>
  <c r="AS900" i="1"/>
  <c r="AR900" i="1"/>
  <c r="AQ900" i="1"/>
  <c r="AP900" i="1"/>
  <c r="AO900" i="1"/>
  <c r="AN900" i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BQ899" i="1"/>
  <c r="BP899" i="1"/>
  <c r="BO899" i="1"/>
  <c r="BN899" i="1"/>
  <c r="BM899" i="1"/>
  <c r="BL899" i="1"/>
  <c r="BK899" i="1"/>
  <c r="BJ899" i="1"/>
  <c r="BI899" i="1"/>
  <c r="BH899" i="1"/>
  <c r="BG899" i="1"/>
  <c r="BF899" i="1"/>
  <c r="BE899" i="1"/>
  <c r="BD899" i="1"/>
  <c r="BC899" i="1"/>
  <c r="BB899" i="1"/>
  <c r="BA899" i="1"/>
  <c r="AZ899" i="1"/>
  <c r="AY899" i="1"/>
  <c r="AX899" i="1"/>
  <c r="AW899" i="1"/>
  <c r="AV899" i="1"/>
  <c r="AU899" i="1"/>
  <c r="AT899" i="1"/>
  <c r="AS899" i="1"/>
  <c r="AR899" i="1"/>
  <c r="AQ899" i="1"/>
  <c r="AP899" i="1"/>
  <c r="AO899" i="1"/>
  <c r="AN899" i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BQ898" i="1"/>
  <c r="BP898" i="1"/>
  <c r="BO898" i="1"/>
  <c r="BN898" i="1"/>
  <c r="BM898" i="1"/>
  <c r="BL898" i="1"/>
  <c r="BK898" i="1"/>
  <c r="BJ898" i="1"/>
  <c r="BI898" i="1"/>
  <c r="BH898" i="1"/>
  <c r="BG898" i="1"/>
  <c r="BF898" i="1"/>
  <c r="BE898" i="1"/>
  <c r="BD898" i="1"/>
  <c r="BC898" i="1"/>
  <c r="BB898" i="1"/>
  <c r="BA898" i="1"/>
  <c r="AZ898" i="1"/>
  <c r="AY898" i="1"/>
  <c r="AX898" i="1"/>
  <c r="AW898" i="1"/>
  <c r="AV898" i="1"/>
  <c r="AU898" i="1"/>
  <c r="AT898" i="1"/>
  <c r="AS898" i="1"/>
  <c r="AR898" i="1"/>
  <c r="AQ898" i="1"/>
  <c r="AP898" i="1"/>
  <c r="AO898" i="1"/>
  <c r="AN898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BQ897" i="1"/>
  <c r="BP897" i="1"/>
  <c r="BO897" i="1"/>
  <c r="BN897" i="1"/>
  <c r="BM897" i="1"/>
  <c r="BL897" i="1"/>
  <c r="BK897" i="1"/>
  <c r="BJ897" i="1"/>
  <c r="BI897" i="1"/>
  <c r="BH897" i="1"/>
  <c r="BG897" i="1"/>
  <c r="BF897" i="1"/>
  <c r="BE897" i="1"/>
  <c r="BD897" i="1"/>
  <c r="BC897" i="1"/>
  <c r="BB897" i="1"/>
  <c r="BA897" i="1"/>
  <c r="AZ897" i="1"/>
  <c r="AY897" i="1"/>
  <c r="AX897" i="1"/>
  <c r="AW897" i="1"/>
  <c r="AV897" i="1"/>
  <c r="AU897" i="1"/>
  <c r="AT897" i="1"/>
  <c r="AS897" i="1"/>
  <c r="AR897" i="1"/>
  <c r="AQ897" i="1"/>
  <c r="AP897" i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BQ896" i="1"/>
  <c r="BP896" i="1"/>
  <c r="BO896" i="1"/>
  <c r="BN896" i="1"/>
  <c r="BM896" i="1"/>
  <c r="BL896" i="1"/>
  <c r="BK896" i="1"/>
  <c r="BJ896" i="1"/>
  <c r="BI896" i="1"/>
  <c r="BH896" i="1"/>
  <c r="BG896" i="1"/>
  <c r="BF896" i="1"/>
  <c r="BE896" i="1"/>
  <c r="BD896" i="1"/>
  <c r="BC896" i="1"/>
  <c r="BB896" i="1"/>
  <c r="BA896" i="1"/>
  <c r="AZ896" i="1"/>
  <c r="AY896" i="1"/>
  <c r="AX896" i="1"/>
  <c r="AW896" i="1"/>
  <c r="AV896" i="1"/>
  <c r="AU896" i="1"/>
  <c r="AT896" i="1"/>
  <c r="AS896" i="1"/>
  <c r="AR896" i="1"/>
  <c r="AQ896" i="1"/>
  <c r="AP896" i="1"/>
  <c r="AO896" i="1"/>
  <c r="AN896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BQ895" i="1"/>
  <c r="BP895" i="1"/>
  <c r="BO895" i="1"/>
  <c r="BN895" i="1"/>
  <c r="BM895" i="1"/>
  <c r="BL895" i="1"/>
  <c r="BK895" i="1"/>
  <c r="BJ895" i="1"/>
  <c r="BI895" i="1"/>
  <c r="BH895" i="1"/>
  <c r="BG895" i="1"/>
  <c r="BF895" i="1"/>
  <c r="BE895" i="1"/>
  <c r="BD895" i="1"/>
  <c r="BC895" i="1"/>
  <c r="BB895" i="1"/>
  <c r="BA895" i="1"/>
  <c r="AZ895" i="1"/>
  <c r="AY895" i="1"/>
  <c r="AX895" i="1"/>
  <c r="AW895" i="1"/>
  <c r="AV895" i="1"/>
  <c r="AU895" i="1"/>
  <c r="AT895" i="1"/>
  <c r="AS895" i="1"/>
  <c r="AR895" i="1"/>
  <c r="AQ895" i="1"/>
  <c r="AP895" i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BQ894" i="1"/>
  <c r="BP894" i="1"/>
  <c r="BO894" i="1"/>
  <c r="BN894" i="1"/>
  <c r="BM894" i="1"/>
  <c r="BL894" i="1"/>
  <c r="BK894" i="1"/>
  <c r="BJ894" i="1"/>
  <c r="BI894" i="1"/>
  <c r="BH894" i="1"/>
  <c r="BG894" i="1"/>
  <c r="BF894" i="1"/>
  <c r="BE894" i="1"/>
  <c r="BD894" i="1"/>
  <c r="BC894" i="1"/>
  <c r="BB894" i="1"/>
  <c r="BA894" i="1"/>
  <c r="AZ894" i="1"/>
  <c r="AY894" i="1"/>
  <c r="AX894" i="1"/>
  <c r="AW894" i="1"/>
  <c r="AV894" i="1"/>
  <c r="AU894" i="1"/>
  <c r="AT894" i="1"/>
  <c r="AS894" i="1"/>
  <c r="AR894" i="1"/>
  <c r="AQ894" i="1"/>
  <c r="AP894" i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BQ893" i="1"/>
  <c r="BP893" i="1"/>
  <c r="BO893" i="1"/>
  <c r="BN893" i="1"/>
  <c r="BM893" i="1"/>
  <c r="BL893" i="1"/>
  <c r="BK893" i="1"/>
  <c r="BJ893" i="1"/>
  <c r="BI893" i="1"/>
  <c r="BH893" i="1"/>
  <c r="BG893" i="1"/>
  <c r="BF893" i="1"/>
  <c r="BE893" i="1"/>
  <c r="BD893" i="1"/>
  <c r="BC893" i="1"/>
  <c r="BB893" i="1"/>
  <c r="BA893" i="1"/>
  <c r="AZ893" i="1"/>
  <c r="AY893" i="1"/>
  <c r="AX893" i="1"/>
  <c r="AW893" i="1"/>
  <c r="AV893" i="1"/>
  <c r="AU893" i="1"/>
  <c r="AT893" i="1"/>
  <c r="AS893" i="1"/>
  <c r="AR893" i="1"/>
  <c r="AQ893" i="1"/>
  <c r="AP893" i="1"/>
  <c r="AO893" i="1"/>
  <c r="AN893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BQ892" i="1"/>
  <c r="BP892" i="1"/>
  <c r="BO892" i="1"/>
  <c r="BN892" i="1"/>
  <c r="BM892" i="1"/>
  <c r="BL892" i="1"/>
  <c r="BK892" i="1"/>
  <c r="BJ892" i="1"/>
  <c r="BI892" i="1"/>
  <c r="BH892" i="1"/>
  <c r="BG892" i="1"/>
  <c r="BF892" i="1"/>
  <c r="BE892" i="1"/>
  <c r="BD892" i="1"/>
  <c r="BC892" i="1"/>
  <c r="BB892" i="1"/>
  <c r="BA892" i="1"/>
  <c r="AZ892" i="1"/>
  <c r="AY892" i="1"/>
  <c r="AX892" i="1"/>
  <c r="AW892" i="1"/>
  <c r="AV892" i="1"/>
  <c r="AU892" i="1"/>
  <c r="AT892" i="1"/>
  <c r="AS892" i="1"/>
  <c r="AR892" i="1"/>
  <c r="AQ892" i="1"/>
  <c r="AP892" i="1"/>
  <c r="AO892" i="1"/>
  <c r="AN892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BQ891" i="1"/>
  <c r="BP891" i="1"/>
  <c r="BO891" i="1"/>
  <c r="BN891" i="1"/>
  <c r="BM891" i="1"/>
  <c r="BL891" i="1"/>
  <c r="BK891" i="1"/>
  <c r="BJ891" i="1"/>
  <c r="BI891" i="1"/>
  <c r="BH891" i="1"/>
  <c r="BG891" i="1"/>
  <c r="BF891" i="1"/>
  <c r="BE891" i="1"/>
  <c r="BD891" i="1"/>
  <c r="BC891" i="1"/>
  <c r="BB891" i="1"/>
  <c r="BA891" i="1"/>
  <c r="AZ891" i="1"/>
  <c r="AY891" i="1"/>
  <c r="AX891" i="1"/>
  <c r="AW891" i="1"/>
  <c r="AV891" i="1"/>
  <c r="AU891" i="1"/>
  <c r="AT891" i="1"/>
  <c r="AS891" i="1"/>
  <c r="AR891" i="1"/>
  <c r="AQ891" i="1"/>
  <c r="AP891" i="1"/>
  <c r="AO891" i="1"/>
  <c r="AN891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BQ890" i="1"/>
  <c r="BP890" i="1"/>
  <c r="BO890" i="1"/>
  <c r="BN890" i="1"/>
  <c r="BM890" i="1"/>
  <c r="BL890" i="1"/>
  <c r="BK890" i="1"/>
  <c r="BJ890" i="1"/>
  <c r="BI890" i="1"/>
  <c r="BH890" i="1"/>
  <c r="BG890" i="1"/>
  <c r="BF890" i="1"/>
  <c r="BE890" i="1"/>
  <c r="BD890" i="1"/>
  <c r="BC890" i="1"/>
  <c r="BB890" i="1"/>
  <c r="BA890" i="1"/>
  <c r="AZ890" i="1"/>
  <c r="AY890" i="1"/>
  <c r="AX890" i="1"/>
  <c r="AW890" i="1"/>
  <c r="AV890" i="1"/>
  <c r="AU890" i="1"/>
  <c r="AT890" i="1"/>
  <c r="AS890" i="1"/>
  <c r="AR890" i="1"/>
  <c r="AQ890" i="1"/>
  <c r="AP890" i="1"/>
  <c r="AO890" i="1"/>
  <c r="AN890" i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BQ889" i="1"/>
  <c r="BP889" i="1"/>
  <c r="BO889" i="1"/>
  <c r="BN889" i="1"/>
  <c r="BM889" i="1"/>
  <c r="BL889" i="1"/>
  <c r="BK889" i="1"/>
  <c r="BJ889" i="1"/>
  <c r="BI889" i="1"/>
  <c r="BH889" i="1"/>
  <c r="BG889" i="1"/>
  <c r="BF889" i="1"/>
  <c r="BE889" i="1"/>
  <c r="BD889" i="1"/>
  <c r="BC889" i="1"/>
  <c r="BB889" i="1"/>
  <c r="BA889" i="1"/>
  <c r="AZ889" i="1"/>
  <c r="AY889" i="1"/>
  <c r="AX889" i="1"/>
  <c r="AW889" i="1"/>
  <c r="AV889" i="1"/>
  <c r="AU889" i="1"/>
  <c r="AT889" i="1"/>
  <c r="AS889" i="1"/>
  <c r="AR889" i="1"/>
  <c r="AQ889" i="1"/>
  <c r="AP889" i="1"/>
  <c r="AO889" i="1"/>
  <c r="AN889" i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BQ888" i="1"/>
  <c r="BP888" i="1"/>
  <c r="BO888" i="1"/>
  <c r="BN888" i="1"/>
  <c r="BM888" i="1"/>
  <c r="BL888" i="1"/>
  <c r="BK888" i="1"/>
  <c r="BJ888" i="1"/>
  <c r="BI888" i="1"/>
  <c r="BH888" i="1"/>
  <c r="BG888" i="1"/>
  <c r="BF888" i="1"/>
  <c r="BE888" i="1"/>
  <c r="BD888" i="1"/>
  <c r="BC888" i="1"/>
  <c r="BB888" i="1"/>
  <c r="BA888" i="1"/>
  <c r="AZ888" i="1"/>
  <c r="AY888" i="1"/>
  <c r="AX888" i="1"/>
  <c r="AW888" i="1"/>
  <c r="AV888" i="1"/>
  <c r="AU888" i="1"/>
  <c r="AT888" i="1"/>
  <c r="AS888" i="1"/>
  <c r="AR888" i="1"/>
  <c r="AQ888" i="1"/>
  <c r="AP888" i="1"/>
  <c r="AO888" i="1"/>
  <c r="AN888" i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BQ887" i="1"/>
  <c r="BP887" i="1"/>
  <c r="BO887" i="1"/>
  <c r="BN887" i="1"/>
  <c r="BM887" i="1"/>
  <c r="BL887" i="1"/>
  <c r="BK887" i="1"/>
  <c r="BJ887" i="1"/>
  <c r="BI887" i="1"/>
  <c r="BH887" i="1"/>
  <c r="BG887" i="1"/>
  <c r="BF887" i="1"/>
  <c r="BE887" i="1"/>
  <c r="BD887" i="1"/>
  <c r="BC887" i="1"/>
  <c r="BB887" i="1"/>
  <c r="BA887" i="1"/>
  <c r="AZ887" i="1"/>
  <c r="AY887" i="1"/>
  <c r="AX887" i="1"/>
  <c r="AW887" i="1"/>
  <c r="AV887" i="1"/>
  <c r="AU887" i="1"/>
  <c r="AT887" i="1"/>
  <c r="AS887" i="1"/>
  <c r="AR887" i="1"/>
  <c r="AQ887" i="1"/>
  <c r="AP887" i="1"/>
  <c r="AO887" i="1"/>
  <c r="AN887" i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BQ886" i="1"/>
  <c r="BP886" i="1"/>
  <c r="BO886" i="1"/>
  <c r="BN886" i="1"/>
  <c r="BM886" i="1"/>
  <c r="BL886" i="1"/>
  <c r="BK886" i="1"/>
  <c r="BJ886" i="1"/>
  <c r="BI886" i="1"/>
  <c r="BH886" i="1"/>
  <c r="BG886" i="1"/>
  <c r="BF886" i="1"/>
  <c r="BE886" i="1"/>
  <c r="BD886" i="1"/>
  <c r="BC886" i="1"/>
  <c r="BB886" i="1"/>
  <c r="BA886" i="1"/>
  <c r="AZ886" i="1"/>
  <c r="AY886" i="1"/>
  <c r="AX886" i="1"/>
  <c r="AW886" i="1"/>
  <c r="AV886" i="1"/>
  <c r="AU886" i="1"/>
  <c r="AT886" i="1"/>
  <c r="AS886" i="1"/>
  <c r="AR886" i="1"/>
  <c r="AQ886" i="1"/>
  <c r="AP886" i="1"/>
  <c r="AO886" i="1"/>
  <c r="AN886" i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BQ885" i="1"/>
  <c r="BP885" i="1"/>
  <c r="BO885" i="1"/>
  <c r="BN885" i="1"/>
  <c r="BM885" i="1"/>
  <c r="BL885" i="1"/>
  <c r="BK885" i="1"/>
  <c r="BJ885" i="1"/>
  <c r="BI885" i="1"/>
  <c r="BH885" i="1"/>
  <c r="BG885" i="1"/>
  <c r="BF885" i="1"/>
  <c r="BE885" i="1"/>
  <c r="BD885" i="1"/>
  <c r="BC885" i="1"/>
  <c r="BB885" i="1"/>
  <c r="BA885" i="1"/>
  <c r="AZ885" i="1"/>
  <c r="AY885" i="1"/>
  <c r="AX885" i="1"/>
  <c r="AW885" i="1"/>
  <c r="AV885" i="1"/>
  <c r="AU885" i="1"/>
  <c r="AT885" i="1"/>
  <c r="AS885" i="1"/>
  <c r="AR885" i="1"/>
  <c r="AQ885" i="1"/>
  <c r="AP885" i="1"/>
  <c r="AO885" i="1"/>
  <c r="AN885" i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BQ884" i="1"/>
  <c r="BP884" i="1"/>
  <c r="BO884" i="1"/>
  <c r="BN884" i="1"/>
  <c r="BM884" i="1"/>
  <c r="BL884" i="1"/>
  <c r="BK884" i="1"/>
  <c r="BJ884" i="1"/>
  <c r="BI884" i="1"/>
  <c r="BH884" i="1"/>
  <c r="BG884" i="1"/>
  <c r="BF884" i="1"/>
  <c r="BE884" i="1"/>
  <c r="BD884" i="1"/>
  <c r="BC884" i="1"/>
  <c r="BB884" i="1"/>
  <c r="BA884" i="1"/>
  <c r="AZ884" i="1"/>
  <c r="AY884" i="1"/>
  <c r="AX884" i="1"/>
  <c r="AW884" i="1"/>
  <c r="AV884" i="1"/>
  <c r="AU884" i="1"/>
  <c r="AT884" i="1"/>
  <c r="AS884" i="1"/>
  <c r="AR884" i="1"/>
  <c r="AQ884" i="1"/>
  <c r="AP884" i="1"/>
  <c r="AO884" i="1"/>
  <c r="AN884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BQ883" i="1"/>
  <c r="BP883" i="1"/>
  <c r="BO883" i="1"/>
  <c r="BN883" i="1"/>
  <c r="BM883" i="1"/>
  <c r="BL883" i="1"/>
  <c r="BK883" i="1"/>
  <c r="BJ883" i="1"/>
  <c r="BI883" i="1"/>
  <c r="BH883" i="1"/>
  <c r="BG883" i="1"/>
  <c r="BF883" i="1"/>
  <c r="BE883" i="1"/>
  <c r="BD883" i="1"/>
  <c r="BC883" i="1"/>
  <c r="BB883" i="1"/>
  <c r="BA883" i="1"/>
  <c r="AZ883" i="1"/>
  <c r="AY883" i="1"/>
  <c r="AX883" i="1"/>
  <c r="AW883" i="1"/>
  <c r="AV883" i="1"/>
  <c r="AU883" i="1"/>
  <c r="AT883" i="1"/>
  <c r="AS883" i="1"/>
  <c r="AR883" i="1"/>
  <c r="AQ883" i="1"/>
  <c r="AP883" i="1"/>
  <c r="AO883" i="1"/>
  <c r="AN883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BQ882" i="1"/>
  <c r="BP882" i="1"/>
  <c r="BO882" i="1"/>
  <c r="BN882" i="1"/>
  <c r="BM882" i="1"/>
  <c r="BL882" i="1"/>
  <c r="BK882" i="1"/>
  <c r="BJ882" i="1"/>
  <c r="BI882" i="1"/>
  <c r="BH882" i="1"/>
  <c r="BG882" i="1"/>
  <c r="BF882" i="1"/>
  <c r="BE882" i="1"/>
  <c r="BD882" i="1"/>
  <c r="BC882" i="1"/>
  <c r="BB882" i="1"/>
  <c r="BA882" i="1"/>
  <c r="AZ882" i="1"/>
  <c r="AY882" i="1"/>
  <c r="AX882" i="1"/>
  <c r="AW882" i="1"/>
  <c r="AV882" i="1"/>
  <c r="AU882" i="1"/>
  <c r="AT882" i="1"/>
  <c r="AS882" i="1"/>
  <c r="AR882" i="1"/>
  <c r="AQ882" i="1"/>
  <c r="AP882" i="1"/>
  <c r="AO882" i="1"/>
  <c r="AN882" i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BQ881" i="1"/>
  <c r="BP881" i="1"/>
  <c r="BO881" i="1"/>
  <c r="BN881" i="1"/>
  <c r="BM881" i="1"/>
  <c r="BL881" i="1"/>
  <c r="BK881" i="1"/>
  <c r="BJ881" i="1"/>
  <c r="BI881" i="1"/>
  <c r="BH881" i="1"/>
  <c r="BG881" i="1"/>
  <c r="BF881" i="1"/>
  <c r="BE881" i="1"/>
  <c r="BD881" i="1"/>
  <c r="BC881" i="1"/>
  <c r="BB881" i="1"/>
  <c r="BA881" i="1"/>
  <c r="AZ881" i="1"/>
  <c r="AY881" i="1"/>
  <c r="AX881" i="1"/>
  <c r="AW881" i="1"/>
  <c r="AV881" i="1"/>
  <c r="AU881" i="1"/>
  <c r="AT881" i="1"/>
  <c r="AS881" i="1"/>
  <c r="AR881" i="1"/>
  <c r="AQ881" i="1"/>
  <c r="AP881" i="1"/>
  <c r="AO881" i="1"/>
  <c r="AN881" i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BQ880" i="1"/>
  <c r="BP880" i="1"/>
  <c r="BO880" i="1"/>
  <c r="BN880" i="1"/>
  <c r="BM880" i="1"/>
  <c r="BL880" i="1"/>
  <c r="BK880" i="1"/>
  <c r="BJ880" i="1"/>
  <c r="BI880" i="1"/>
  <c r="BH880" i="1"/>
  <c r="BG880" i="1"/>
  <c r="BF880" i="1"/>
  <c r="BE880" i="1"/>
  <c r="BD880" i="1"/>
  <c r="BC880" i="1"/>
  <c r="BB880" i="1"/>
  <c r="BA880" i="1"/>
  <c r="AZ880" i="1"/>
  <c r="AY880" i="1"/>
  <c r="AX880" i="1"/>
  <c r="AW880" i="1"/>
  <c r="AV880" i="1"/>
  <c r="AU880" i="1"/>
  <c r="AT880" i="1"/>
  <c r="AS880" i="1"/>
  <c r="AR880" i="1"/>
  <c r="AQ880" i="1"/>
  <c r="AP880" i="1"/>
  <c r="AO880" i="1"/>
  <c r="AN880" i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BQ879" i="1"/>
  <c r="BP879" i="1"/>
  <c r="BO879" i="1"/>
  <c r="BN879" i="1"/>
  <c r="BM879" i="1"/>
  <c r="BL879" i="1"/>
  <c r="BK879" i="1"/>
  <c r="BJ879" i="1"/>
  <c r="BI879" i="1"/>
  <c r="BH879" i="1"/>
  <c r="BG879" i="1"/>
  <c r="BF879" i="1"/>
  <c r="BE879" i="1"/>
  <c r="BD879" i="1"/>
  <c r="BC879" i="1"/>
  <c r="BB879" i="1"/>
  <c r="BA879" i="1"/>
  <c r="AZ879" i="1"/>
  <c r="AY879" i="1"/>
  <c r="AX879" i="1"/>
  <c r="AW879" i="1"/>
  <c r="AV879" i="1"/>
  <c r="AU879" i="1"/>
  <c r="AT879" i="1"/>
  <c r="AS879" i="1"/>
  <c r="AR879" i="1"/>
  <c r="AQ879" i="1"/>
  <c r="AP879" i="1"/>
  <c r="AO879" i="1"/>
  <c r="AN879" i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BQ878" i="1"/>
  <c r="BP878" i="1"/>
  <c r="BO878" i="1"/>
  <c r="BN878" i="1"/>
  <c r="BM878" i="1"/>
  <c r="BL878" i="1"/>
  <c r="BK878" i="1"/>
  <c r="BJ878" i="1"/>
  <c r="BI878" i="1"/>
  <c r="BH878" i="1"/>
  <c r="BG878" i="1"/>
  <c r="BF878" i="1"/>
  <c r="BE878" i="1"/>
  <c r="BD878" i="1"/>
  <c r="BC878" i="1"/>
  <c r="BB878" i="1"/>
  <c r="BA878" i="1"/>
  <c r="AZ878" i="1"/>
  <c r="AY878" i="1"/>
  <c r="AX878" i="1"/>
  <c r="AW878" i="1"/>
  <c r="AV878" i="1"/>
  <c r="AU878" i="1"/>
  <c r="AT878" i="1"/>
  <c r="AS878" i="1"/>
  <c r="AR878" i="1"/>
  <c r="AQ878" i="1"/>
  <c r="AP878" i="1"/>
  <c r="AO878" i="1"/>
  <c r="AN878" i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BQ877" i="1"/>
  <c r="BP877" i="1"/>
  <c r="BO877" i="1"/>
  <c r="BN877" i="1"/>
  <c r="BM877" i="1"/>
  <c r="BL877" i="1"/>
  <c r="BK877" i="1"/>
  <c r="BJ877" i="1"/>
  <c r="BI877" i="1"/>
  <c r="BH877" i="1"/>
  <c r="BG877" i="1"/>
  <c r="BF877" i="1"/>
  <c r="BE877" i="1"/>
  <c r="BD877" i="1"/>
  <c r="BC877" i="1"/>
  <c r="BB877" i="1"/>
  <c r="BA877" i="1"/>
  <c r="AZ877" i="1"/>
  <c r="AY877" i="1"/>
  <c r="AX877" i="1"/>
  <c r="AW877" i="1"/>
  <c r="AV877" i="1"/>
  <c r="AU877" i="1"/>
  <c r="AT877" i="1"/>
  <c r="AS877" i="1"/>
  <c r="AR877" i="1"/>
  <c r="AQ877" i="1"/>
  <c r="AP877" i="1"/>
  <c r="AO877" i="1"/>
  <c r="AN877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BQ876" i="1"/>
  <c r="BP876" i="1"/>
  <c r="BO876" i="1"/>
  <c r="BN876" i="1"/>
  <c r="BM876" i="1"/>
  <c r="BL876" i="1"/>
  <c r="BK876" i="1"/>
  <c r="BJ876" i="1"/>
  <c r="BI876" i="1"/>
  <c r="BH876" i="1"/>
  <c r="BG876" i="1"/>
  <c r="BF876" i="1"/>
  <c r="BE876" i="1"/>
  <c r="BD876" i="1"/>
  <c r="BC876" i="1"/>
  <c r="BB876" i="1"/>
  <c r="BA876" i="1"/>
  <c r="AZ876" i="1"/>
  <c r="AY876" i="1"/>
  <c r="AX876" i="1"/>
  <c r="AW876" i="1"/>
  <c r="AV876" i="1"/>
  <c r="AU876" i="1"/>
  <c r="AT876" i="1"/>
  <c r="AS876" i="1"/>
  <c r="AR876" i="1"/>
  <c r="AQ876" i="1"/>
  <c r="AP876" i="1"/>
  <c r="AO876" i="1"/>
  <c r="AN876" i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BQ875" i="1"/>
  <c r="BP875" i="1"/>
  <c r="BO875" i="1"/>
  <c r="BN875" i="1"/>
  <c r="BM875" i="1"/>
  <c r="BL875" i="1"/>
  <c r="BK875" i="1"/>
  <c r="BJ875" i="1"/>
  <c r="BI875" i="1"/>
  <c r="BH875" i="1"/>
  <c r="BG875" i="1"/>
  <c r="BF875" i="1"/>
  <c r="BE875" i="1"/>
  <c r="BD875" i="1"/>
  <c r="BC875" i="1"/>
  <c r="BB875" i="1"/>
  <c r="BA875" i="1"/>
  <c r="AZ875" i="1"/>
  <c r="AY875" i="1"/>
  <c r="AX875" i="1"/>
  <c r="AW875" i="1"/>
  <c r="AV875" i="1"/>
  <c r="AU875" i="1"/>
  <c r="AT875" i="1"/>
  <c r="AS875" i="1"/>
  <c r="AR875" i="1"/>
  <c r="AQ875" i="1"/>
  <c r="AP875" i="1"/>
  <c r="AO875" i="1"/>
  <c r="AN875" i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BQ874" i="1"/>
  <c r="BP874" i="1"/>
  <c r="BO874" i="1"/>
  <c r="BN874" i="1"/>
  <c r="BM874" i="1"/>
  <c r="BL874" i="1"/>
  <c r="BK874" i="1"/>
  <c r="BJ874" i="1"/>
  <c r="BI874" i="1"/>
  <c r="BH874" i="1"/>
  <c r="BG874" i="1"/>
  <c r="BF874" i="1"/>
  <c r="BE874" i="1"/>
  <c r="BD874" i="1"/>
  <c r="BC874" i="1"/>
  <c r="BB874" i="1"/>
  <c r="BA874" i="1"/>
  <c r="AZ874" i="1"/>
  <c r="AY874" i="1"/>
  <c r="AX874" i="1"/>
  <c r="AW874" i="1"/>
  <c r="AV874" i="1"/>
  <c r="AU874" i="1"/>
  <c r="AT874" i="1"/>
  <c r="AS874" i="1"/>
  <c r="AR874" i="1"/>
  <c r="AQ874" i="1"/>
  <c r="AP874" i="1"/>
  <c r="AO874" i="1"/>
  <c r="AN874" i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BQ873" i="1"/>
  <c r="BP873" i="1"/>
  <c r="BO873" i="1"/>
  <c r="BN873" i="1"/>
  <c r="BM873" i="1"/>
  <c r="BL873" i="1"/>
  <c r="BK873" i="1"/>
  <c r="BJ873" i="1"/>
  <c r="BI873" i="1"/>
  <c r="BH873" i="1"/>
  <c r="BG873" i="1"/>
  <c r="BF873" i="1"/>
  <c r="BE873" i="1"/>
  <c r="BD873" i="1"/>
  <c r="BC873" i="1"/>
  <c r="BB873" i="1"/>
  <c r="BA873" i="1"/>
  <c r="AZ873" i="1"/>
  <c r="AY873" i="1"/>
  <c r="AX873" i="1"/>
  <c r="AW873" i="1"/>
  <c r="AV873" i="1"/>
  <c r="AU873" i="1"/>
  <c r="AT873" i="1"/>
  <c r="AS873" i="1"/>
  <c r="AR873" i="1"/>
  <c r="AQ873" i="1"/>
  <c r="AP873" i="1"/>
  <c r="AO873" i="1"/>
  <c r="AN873" i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BQ872" i="1"/>
  <c r="BP872" i="1"/>
  <c r="BO872" i="1"/>
  <c r="BN872" i="1"/>
  <c r="BM872" i="1"/>
  <c r="BL872" i="1"/>
  <c r="BK872" i="1"/>
  <c r="BJ872" i="1"/>
  <c r="BI872" i="1"/>
  <c r="BH872" i="1"/>
  <c r="BG872" i="1"/>
  <c r="BF872" i="1"/>
  <c r="BE872" i="1"/>
  <c r="BD872" i="1"/>
  <c r="BC872" i="1"/>
  <c r="BB872" i="1"/>
  <c r="BA872" i="1"/>
  <c r="AZ872" i="1"/>
  <c r="AY872" i="1"/>
  <c r="AX872" i="1"/>
  <c r="AW872" i="1"/>
  <c r="AV872" i="1"/>
  <c r="AU872" i="1"/>
  <c r="AT872" i="1"/>
  <c r="AS872" i="1"/>
  <c r="AR872" i="1"/>
  <c r="AQ872" i="1"/>
  <c r="AP872" i="1"/>
  <c r="AO872" i="1"/>
  <c r="AN872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BQ871" i="1"/>
  <c r="BP871" i="1"/>
  <c r="BO871" i="1"/>
  <c r="BN871" i="1"/>
  <c r="BM871" i="1"/>
  <c r="BL871" i="1"/>
  <c r="BK871" i="1"/>
  <c r="BJ871" i="1"/>
  <c r="BI871" i="1"/>
  <c r="BH871" i="1"/>
  <c r="BG871" i="1"/>
  <c r="BF871" i="1"/>
  <c r="BE871" i="1"/>
  <c r="BD871" i="1"/>
  <c r="BC871" i="1"/>
  <c r="BB871" i="1"/>
  <c r="BA871" i="1"/>
  <c r="AZ871" i="1"/>
  <c r="AY871" i="1"/>
  <c r="AX871" i="1"/>
  <c r="AW871" i="1"/>
  <c r="AV871" i="1"/>
  <c r="AU871" i="1"/>
  <c r="AT871" i="1"/>
  <c r="AS871" i="1"/>
  <c r="AR871" i="1"/>
  <c r="AQ871" i="1"/>
  <c r="AP871" i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BQ870" i="1"/>
  <c r="BP870" i="1"/>
  <c r="BO870" i="1"/>
  <c r="BN870" i="1"/>
  <c r="BM870" i="1"/>
  <c r="BL870" i="1"/>
  <c r="BK870" i="1"/>
  <c r="BJ870" i="1"/>
  <c r="BI870" i="1"/>
  <c r="BH870" i="1"/>
  <c r="BG870" i="1"/>
  <c r="BF870" i="1"/>
  <c r="BE870" i="1"/>
  <c r="BD870" i="1"/>
  <c r="BC870" i="1"/>
  <c r="BB870" i="1"/>
  <c r="BA870" i="1"/>
  <c r="AZ870" i="1"/>
  <c r="AY870" i="1"/>
  <c r="AX870" i="1"/>
  <c r="AW870" i="1"/>
  <c r="AV870" i="1"/>
  <c r="AU870" i="1"/>
  <c r="AT870" i="1"/>
  <c r="AS870" i="1"/>
  <c r="AR870" i="1"/>
  <c r="AQ870" i="1"/>
  <c r="AP870" i="1"/>
  <c r="AO870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BQ869" i="1"/>
  <c r="BP869" i="1"/>
  <c r="BO869" i="1"/>
  <c r="BN869" i="1"/>
  <c r="BM869" i="1"/>
  <c r="BL869" i="1"/>
  <c r="BK869" i="1"/>
  <c r="BJ869" i="1"/>
  <c r="BI869" i="1"/>
  <c r="BH869" i="1"/>
  <c r="BG869" i="1"/>
  <c r="BF869" i="1"/>
  <c r="BE869" i="1"/>
  <c r="BD869" i="1"/>
  <c r="BC869" i="1"/>
  <c r="BB869" i="1"/>
  <c r="BA869" i="1"/>
  <c r="AZ869" i="1"/>
  <c r="AY869" i="1"/>
  <c r="AX869" i="1"/>
  <c r="AW869" i="1"/>
  <c r="AV869" i="1"/>
  <c r="AU869" i="1"/>
  <c r="AT869" i="1"/>
  <c r="AS869" i="1"/>
  <c r="AR869" i="1"/>
  <c r="AQ869" i="1"/>
  <c r="AP869" i="1"/>
  <c r="AO869" i="1"/>
  <c r="AN869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BQ868" i="1"/>
  <c r="BP868" i="1"/>
  <c r="BO868" i="1"/>
  <c r="BN868" i="1"/>
  <c r="BM868" i="1"/>
  <c r="BL868" i="1"/>
  <c r="BK868" i="1"/>
  <c r="BJ868" i="1"/>
  <c r="BI868" i="1"/>
  <c r="BH868" i="1"/>
  <c r="BG868" i="1"/>
  <c r="BF868" i="1"/>
  <c r="BE868" i="1"/>
  <c r="BD868" i="1"/>
  <c r="BC868" i="1"/>
  <c r="BB868" i="1"/>
  <c r="BA868" i="1"/>
  <c r="AZ868" i="1"/>
  <c r="AY868" i="1"/>
  <c r="AX868" i="1"/>
  <c r="AW868" i="1"/>
  <c r="AV868" i="1"/>
  <c r="AU868" i="1"/>
  <c r="AT868" i="1"/>
  <c r="AS868" i="1"/>
  <c r="AR868" i="1"/>
  <c r="AQ868" i="1"/>
  <c r="AP868" i="1"/>
  <c r="AO868" i="1"/>
  <c r="AN868" i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BQ867" i="1"/>
  <c r="BP867" i="1"/>
  <c r="BO867" i="1"/>
  <c r="BN867" i="1"/>
  <c r="BM867" i="1"/>
  <c r="BL867" i="1"/>
  <c r="BK867" i="1"/>
  <c r="BJ867" i="1"/>
  <c r="BI867" i="1"/>
  <c r="BH867" i="1"/>
  <c r="BG867" i="1"/>
  <c r="BF867" i="1"/>
  <c r="BE867" i="1"/>
  <c r="BD867" i="1"/>
  <c r="BC867" i="1"/>
  <c r="BB867" i="1"/>
  <c r="BA867" i="1"/>
  <c r="AZ867" i="1"/>
  <c r="AY867" i="1"/>
  <c r="AX867" i="1"/>
  <c r="AW867" i="1"/>
  <c r="AV867" i="1"/>
  <c r="AU867" i="1"/>
  <c r="AT867" i="1"/>
  <c r="AS867" i="1"/>
  <c r="AR867" i="1"/>
  <c r="AQ867" i="1"/>
  <c r="AP867" i="1"/>
  <c r="AO867" i="1"/>
  <c r="AN867" i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BQ866" i="1"/>
  <c r="BP866" i="1"/>
  <c r="BO866" i="1"/>
  <c r="BN866" i="1"/>
  <c r="BM866" i="1"/>
  <c r="BL866" i="1"/>
  <c r="BK866" i="1"/>
  <c r="BJ866" i="1"/>
  <c r="BI866" i="1"/>
  <c r="BH866" i="1"/>
  <c r="BG866" i="1"/>
  <c r="BF866" i="1"/>
  <c r="BE866" i="1"/>
  <c r="BD866" i="1"/>
  <c r="BC866" i="1"/>
  <c r="BB866" i="1"/>
  <c r="BA866" i="1"/>
  <c r="AZ866" i="1"/>
  <c r="AY866" i="1"/>
  <c r="AX866" i="1"/>
  <c r="AW866" i="1"/>
  <c r="AV866" i="1"/>
  <c r="AU866" i="1"/>
  <c r="AT866" i="1"/>
  <c r="AS866" i="1"/>
  <c r="AR866" i="1"/>
  <c r="AQ866" i="1"/>
  <c r="AP866" i="1"/>
  <c r="AO866" i="1"/>
  <c r="AN866" i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BQ865" i="1"/>
  <c r="BP865" i="1"/>
  <c r="BO865" i="1"/>
  <c r="BN865" i="1"/>
  <c r="BM865" i="1"/>
  <c r="BL865" i="1"/>
  <c r="BK865" i="1"/>
  <c r="BJ865" i="1"/>
  <c r="BI865" i="1"/>
  <c r="BH865" i="1"/>
  <c r="BG865" i="1"/>
  <c r="BF865" i="1"/>
  <c r="BE865" i="1"/>
  <c r="BD865" i="1"/>
  <c r="BC865" i="1"/>
  <c r="BB865" i="1"/>
  <c r="BA865" i="1"/>
  <c r="AZ865" i="1"/>
  <c r="AY865" i="1"/>
  <c r="AX865" i="1"/>
  <c r="AW865" i="1"/>
  <c r="AV865" i="1"/>
  <c r="AU865" i="1"/>
  <c r="AT865" i="1"/>
  <c r="AS865" i="1"/>
  <c r="AR865" i="1"/>
  <c r="AQ865" i="1"/>
  <c r="AP865" i="1"/>
  <c r="AO865" i="1"/>
  <c r="AN865" i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BQ864" i="1"/>
  <c r="BP864" i="1"/>
  <c r="BO864" i="1"/>
  <c r="BN864" i="1"/>
  <c r="BM864" i="1"/>
  <c r="BL864" i="1"/>
  <c r="BK864" i="1"/>
  <c r="BJ864" i="1"/>
  <c r="BI864" i="1"/>
  <c r="BH864" i="1"/>
  <c r="BG864" i="1"/>
  <c r="BF864" i="1"/>
  <c r="BE864" i="1"/>
  <c r="BD864" i="1"/>
  <c r="BC864" i="1"/>
  <c r="BB864" i="1"/>
  <c r="BA864" i="1"/>
  <c r="AZ864" i="1"/>
  <c r="AY864" i="1"/>
  <c r="AX864" i="1"/>
  <c r="AW864" i="1"/>
  <c r="AV864" i="1"/>
  <c r="AU864" i="1"/>
  <c r="AT864" i="1"/>
  <c r="AS864" i="1"/>
  <c r="AR864" i="1"/>
  <c r="AQ864" i="1"/>
  <c r="AP864" i="1"/>
  <c r="AO864" i="1"/>
  <c r="AN864" i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BQ863" i="1"/>
  <c r="BP863" i="1"/>
  <c r="BO863" i="1"/>
  <c r="BN863" i="1"/>
  <c r="BM863" i="1"/>
  <c r="BL863" i="1"/>
  <c r="BK863" i="1"/>
  <c r="BJ863" i="1"/>
  <c r="BI863" i="1"/>
  <c r="BH863" i="1"/>
  <c r="BG863" i="1"/>
  <c r="BF863" i="1"/>
  <c r="BE863" i="1"/>
  <c r="BD863" i="1"/>
  <c r="BC863" i="1"/>
  <c r="BB863" i="1"/>
  <c r="BA863" i="1"/>
  <c r="AZ863" i="1"/>
  <c r="AY863" i="1"/>
  <c r="AX863" i="1"/>
  <c r="AW863" i="1"/>
  <c r="AV863" i="1"/>
  <c r="AU863" i="1"/>
  <c r="AT863" i="1"/>
  <c r="AS863" i="1"/>
  <c r="AR863" i="1"/>
  <c r="AQ863" i="1"/>
  <c r="AP863" i="1"/>
  <c r="AO863" i="1"/>
  <c r="AN863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BQ862" i="1"/>
  <c r="BP862" i="1"/>
  <c r="BO862" i="1"/>
  <c r="BN862" i="1"/>
  <c r="BM862" i="1"/>
  <c r="BL862" i="1"/>
  <c r="BK862" i="1"/>
  <c r="BJ862" i="1"/>
  <c r="BI862" i="1"/>
  <c r="BH862" i="1"/>
  <c r="BG862" i="1"/>
  <c r="BF862" i="1"/>
  <c r="BE862" i="1"/>
  <c r="BD862" i="1"/>
  <c r="BC862" i="1"/>
  <c r="BB862" i="1"/>
  <c r="BA862" i="1"/>
  <c r="AZ862" i="1"/>
  <c r="AY862" i="1"/>
  <c r="AX862" i="1"/>
  <c r="AW862" i="1"/>
  <c r="AV862" i="1"/>
  <c r="AU862" i="1"/>
  <c r="AT862" i="1"/>
  <c r="AS862" i="1"/>
  <c r="AR862" i="1"/>
  <c r="AQ862" i="1"/>
  <c r="AP862" i="1"/>
  <c r="AO862" i="1"/>
  <c r="AN862" i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BQ861" i="1"/>
  <c r="BP861" i="1"/>
  <c r="BO861" i="1"/>
  <c r="BN861" i="1"/>
  <c r="BM861" i="1"/>
  <c r="BL861" i="1"/>
  <c r="BK861" i="1"/>
  <c r="BJ861" i="1"/>
  <c r="BI861" i="1"/>
  <c r="BH861" i="1"/>
  <c r="BG861" i="1"/>
  <c r="BF861" i="1"/>
  <c r="BE861" i="1"/>
  <c r="BD861" i="1"/>
  <c r="BC861" i="1"/>
  <c r="BB861" i="1"/>
  <c r="BA861" i="1"/>
  <c r="AZ861" i="1"/>
  <c r="AY861" i="1"/>
  <c r="AX861" i="1"/>
  <c r="AW861" i="1"/>
  <c r="AV861" i="1"/>
  <c r="AU861" i="1"/>
  <c r="AT861" i="1"/>
  <c r="AS861" i="1"/>
  <c r="AR861" i="1"/>
  <c r="AQ861" i="1"/>
  <c r="AP861" i="1"/>
  <c r="AO861" i="1"/>
  <c r="AN861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BQ860" i="1"/>
  <c r="BP860" i="1"/>
  <c r="BO860" i="1"/>
  <c r="BN860" i="1"/>
  <c r="BM860" i="1"/>
  <c r="BL860" i="1"/>
  <c r="BK860" i="1"/>
  <c r="BJ860" i="1"/>
  <c r="BI860" i="1"/>
  <c r="BH860" i="1"/>
  <c r="BG860" i="1"/>
  <c r="BF860" i="1"/>
  <c r="BE860" i="1"/>
  <c r="BD860" i="1"/>
  <c r="BC860" i="1"/>
  <c r="BB860" i="1"/>
  <c r="BA860" i="1"/>
  <c r="AZ860" i="1"/>
  <c r="AY860" i="1"/>
  <c r="AX860" i="1"/>
  <c r="AW860" i="1"/>
  <c r="AV860" i="1"/>
  <c r="AU860" i="1"/>
  <c r="AT860" i="1"/>
  <c r="AS860" i="1"/>
  <c r="AR860" i="1"/>
  <c r="AQ860" i="1"/>
  <c r="AP860" i="1"/>
  <c r="AO860" i="1"/>
  <c r="AN860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BQ859" i="1"/>
  <c r="BP859" i="1"/>
  <c r="BO859" i="1"/>
  <c r="BN859" i="1"/>
  <c r="BM859" i="1"/>
  <c r="BL859" i="1"/>
  <c r="BK859" i="1"/>
  <c r="BJ859" i="1"/>
  <c r="BI859" i="1"/>
  <c r="BH859" i="1"/>
  <c r="BG859" i="1"/>
  <c r="BF859" i="1"/>
  <c r="BE859" i="1"/>
  <c r="BD859" i="1"/>
  <c r="BC859" i="1"/>
  <c r="BB859" i="1"/>
  <c r="BA859" i="1"/>
  <c r="AZ859" i="1"/>
  <c r="AY859" i="1"/>
  <c r="AX859" i="1"/>
  <c r="AW859" i="1"/>
  <c r="AV859" i="1"/>
  <c r="AU859" i="1"/>
  <c r="AT859" i="1"/>
  <c r="AS859" i="1"/>
  <c r="AR859" i="1"/>
  <c r="AQ859" i="1"/>
  <c r="AP859" i="1"/>
  <c r="AO859" i="1"/>
  <c r="AN859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BQ858" i="1"/>
  <c r="BP858" i="1"/>
  <c r="BO858" i="1"/>
  <c r="BN858" i="1"/>
  <c r="BM858" i="1"/>
  <c r="BL858" i="1"/>
  <c r="BK858" i="1"/>
  <c r="BJ858" i="1"/>
  <c r="BI858" i="1"/>
  <c r="BH858" i="1"/>
  <c r="BG858" i="1"/>
  <c r="BF858" i="1"/>
  <c r="BE858" i="1"/>
  <c r="BD858" i="1"/>
  <c r="BC858" i="1"/>
  <c r="BB858" i="1"/>
  <c r="BA858" i="1"/>
  <c r="AZ858" i="1"/>
  <c r="AY858" i="1"/>
  <c r="AX858" i="1"/>
  <c r="AW858" i="1"/>
  <c r="AV858" i="1"/>
  <c r="AU858" i="1"/>
  <c r="AT858" i="1"/>
  <c r="AS858" i="1"/>
  <c r="AR858" i="1"/>
  <c r="AQ858" i="1"/>
  <c r="AP858" i="1"/>
  <c r="AO858" i="1"/>
  <c r="AN858" i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BQ857" i="1"/>
  <c r="BP857" i="1"/>
  <c r="BO857" i="1"/>
  <c r="BN857" i="1"/>
  <c r="BM857" i="1"/>
  <c r="BL857" i="1"/>
  <c r="BK857" i="1"/>
  <c r="BJ857" i="1"/>
  <c r="BI857" i="1"/>
  <c r="BH857" i="1"/>
  <c r="BG857" i="1"/>
  <c r="BF857" i="1"/>
  <c r="BE857" i="1"/>
  <c r="BD857" i="1"/>
  <c r="BC857" i="1"/>
  <c r="BB857" i="1"/>
  <c r="BA857" i="1"/>
  <c r="AZ857" i="1"/>
  <c r="AY857" i="1"/>
  <c r="AX857" i="1"/>
  <c r="AW857" i="1"/>
  <c r="AV857" i="1"/>
  <c r="AU857" i="1"/>
  <c r="AT857" i="1"/>
  <c r="AS857" i="1"/>
  <c r="AR857" i="1"/>
  <c r="AQ857" i="1"/>
  <c r="AP857" i="1"/>
  <c r="AO857" i="1"/>
  <c r="AN857" i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BQ856" i="1"/>
  <c r="BP856" i="1"/>
  <c r="BO856" i="1"/>
  <c r="BN856" i="1"/>
  <c r="BM856" i="1"/>
  <c r="BL856" i="1"/>
  <c r="BK856" i="1"/>
  <c r="BJ856" i="1"/>
  <c r="BI856" i="1"/>
  <c r="BH856" i="1"/>
  <c r="BG856" i="1"/>
  <c r="BF856" i="1"/>
  <c r="BE856" i="1"/>
  <c r="BD856" i="1"/>
  <c r="BC856" i="1"/>
  <c r="BB856" i="1"/>
  <c r="BA856" i="1"/>
  <c r="AZ856" i="1"/>
  <c r="AY856" i="1"/>
  <c r="AX856" i="1"/>
  <c r="AW856" i="1"/>
  <c r="AV856" i="1"/>
  <c r="AU856" i="1"/>
  <c r="AT856" i="1"/>
  <c r="AS856" i="1"/>
  <c r="AR856" i="1"/>
  <c r="AQ856" i="1"/>
  <c r="AP856" i="1"/>
  <c r="AO856" i="1"/>
  <c r="AN856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BQ855" i="1"/>
  <c r="BP855" i="1"/>
  <c r="BO855" i="1"/>
  <c r="BN855" i="1"/>
  <c r="BM855" i="1"/>
  <c r="BL855" i="1"/>
  <c r="BK855" i="1"/>
  <c r="BJ855" i="1"/>
  <c r="BI855" i="1"/>
  <c r="BH855" i="1"/>
  <c r="BG855" i="1"/>
  <c r="BF855" i="1"/>
  <c r="BE855" i="1"/>
  <c r="BD855" i="1"/>
  <c r="BC855" i="1"/>
  <c r="BB855" i="1"/>
  <c r="BA855" i="1"/>
  <c r="AZ855" i="1"/>
  <c r="AY855" i="1"/>
  <c r="AX855" i="1"/>
  <c r="AW855" i="1"/>
  <c r="AV855" i="1"/>
  <c r="AU855" i="1"/>
  <c r="AT855" i="1"/>
  <c r="AS855" i="1"/>
  <c r="AR855" i="1"/>
  <c r="AQ855" i="1"/>
  <c r="AP855" i="1"/>
  <c r="AO855" i="1"/>
  <c r="AN855" i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BQ854" i="1"/>
  <c r="BP854" i="1"/>
  <c r="BO854" i="1"/>
  <c r="BN854" i="1"/>
  <c r="BM854" i="1"/>
  <c r="BL854" i="1"/>
  <c r="BK854" i="1"/>
  <c r="BJ854" i="1"/>
  <c r="BI854" i="1"/>
  <c r="BH854" i="1"/>
  <c r="BG854" i="1"/>
  <c r="BF854" i="1"/>
  <c r="BE854" i="1"/>
  <c r="BD854" i="1"/>
  <c r="BC854" i="1"/>
  <c r="BB854" i="1"/>
  <c r="BA854" i="1"/>
  <c r="AZ854" i="1"/>
  <c r="AY854" i="1"/>
  <c r="AX854" i="1"/>
  <c r="AW854" i="1"/>
  <c r="AV854" i="1"/>
  <c r="AU854" i="1"/>
  <c r="AT854" i="1"/>
  <c r="AS854" i="1"/>
  <c r="AR854" i="1"/>
  <c r="AQ854" i="1"/>
  <c r="AP854" i="1"/>
  <c r="AO854" i="1"/>
  <c r="AN854" i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BQ853" i="1"/>
  <c r="BP853" i="1"/>
  <c r="BO853" i="1"/>
  <c r="BN853" i="1"/>
  <c r="BM853" i="1"/>
  <c r="BL853" i="1"/>
  <c r="BK853" i="1"/>
  <c r="BJ853" i="1"/>
  <c r="BI853" i="1"/>
  <c r="BH853" i="1"/>
  <c r="BG853" i="1"/>
  <c r="BF853" i="1"/>
  <c r="BE853" i="1"/>
  <c r="BD853" i="1"/>
  <c r="BC853" i="1"/>
  <c r="BB853" i="1"/>
  <c r="BA853" i="1"/>
  <c r="AZ853" i="1"/>
  <c r="AY853" i="1"/>
  <c r="AX853" i="1"/>
  <c r="AW853" i="1"/>
  <c r="AV853" i="1"/>
  <c r="AU853" i="1"/>
  <c r="AT853" i="1"/>
  <c r="AS853" i="1"/>
  <c r="AR853" i="1"/>
  <c r="AQ853" i="1"/>
  <c r="AP853" i="1"/>
  <c r="AO853" i="1"/>
  <c r="AN853" i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BQ852" i="1"/>
  <c r="BP852" i="1"/>
  <c r="BO852" i="1"/>
  <c r="BN852" i="1"/>
  <c r="BM852" i="1"/>
  <c r="BL852" i="1"/>
  <c r="BK852" i="1"/>
  <c r="BJ852" i="1"/>
  <c r="BI852" i="1"/>
  <c r="BH852" i="1"/>
  <c r="BG852" i="1"/>
  <c r="BF852" i="1"/>
  <c r="BE852" i="1"/>
  <c r="BD852" i="1"/>
  <c r="BC852" i="1"/>
  <c r="BB852" i="1"/>
  <c r="BA852" i="1"/>
  <c r="AZ852" i="1"/>
  <c r="AY852" i="1"/>
  <c r="AX852" i="1"/>
  <c r="AW852" i="1"/>
  <c r="AV852" i="1"/>
  <c r="AU852" i="1"/>
  <c r="AT852" i="1"/>
  <c r="AS852" i="1"/>
  <c r="AR852" i="1"/>
  <c r="AQ852" i="1"/>
  <c r="AP852" i="1"/>
  <c r="AO852" i="1"/>
  <c r="AN852" i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BQ851" i="1"/>
  <c r="BP851" i="1"/>
  <c r="BO851" i="1"/>
  <c r="BN851" i="1"/>
  <c r="BM851" i="1"/>
  <c r="BL851" i="1"/>
  <c r="BK851" i="1"/>
  <c r="BJ851" i="1"/>
  <c r="BI851" i="1"/>
  <c r="BH851" i="1"/>
  <c r="BG851" i="1"/>
  <c r="BF851" i="1"/>
  <c r="BE851" i="1"/>
  <c r="BD851" i="1"/>
  <c r="BC851" i="1"/>
  <c r="BB851" i="1"/>
  <c r="BA851" i="1"/>
  <c r="AZ851" i="1"/>
  <c r="AY851" i="1"/>
  <c r="AX851" i="1"/>
  <c r="AW851" i="1"/>
  <c r="AV851" i="1"/>
  <c r="AU851" i="1"/>
  <c r="AT851" i="1"/>
  <c r="AS851" i="1"/>
  <c r="AR851" i="1"/>
  <c r="AQ851" i="1"/>
  <c r="AP851" i="1"/>
  <c r="AO851" i="1"/>
  <c r="AN851" i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BQ850" i="1"/>
  <c r="BP850" i="1"/>
  <c r="BO850" i="1"/>
  <c r="BN850" i="1"/>
  <c r="BM850" i="1"/>
  <c r="BL850" i="1"/>
  <c r="BK850" i="1"/>
  <c r="BJ850" i="1"/>
  <c r="BI850" i="1"/>
  <c r="BH850" i="1"/>
  <c r="BG850" i="1"/>
  <c r="BF850" i="1"/>
  <c r="BE850" i="1"/>
  <c r="BD850" i="1"/>
  <c r="BC850" i="1"/>
  <c r="BB850" i="1"/>
  <c r="BA850" i="1"/>
  <c r="AZ850" i="1"/>
  <c r="AY850" i="1"/>
  <c r="AX850" i="1"/>
  <c r="AW850" i="1"/>
  <c r="AV850" i="1"/>
  <c r="AU850" i="1"/>
  <c r="AT850" i="1"/>
  <c r="AS850" i="1"/>
  <c r="AR850" i="1"/>
  <c r="AQ850" i="1"/>
  <c r="AP850" i="1"/>
  <c r="AO850" i="1"/>
  <c r="AN850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BQ849" i="1"/>
  <c r="BP849" i="1"/>
  <c r="BO849" i="1"/>
  <c r="BN849" i="1"/>
  <c r="BM849" i="1"/>
  <c r="BL849" i="1"/>
  <c r="BK849" i="1"/>
  <c r="BJ849" i="1"/>
  <c r="BI849" i="1"/>
  <c r="BH849" i="1"/>
  <c r="BG849" i="1"/>
  <c r="BF849" i="1"/>
  <c r="BE849" i="1"/>
  <c r="BD849" i="1"/>
  <c r="BC849" i="1"/>
  <c r="BB849" i="1"/>
  <c r="BA849" i="1"/>
  <c r="AZ849" i="1"/>
  <c r="AY849" i="1"/>
  <c r="AX849" i="1"/>
  <c r="AW849" i="1"/>
  <c r="AV849" i="1"/>
  <c r="AU849" i="1"/>
  <c r="AT849" i="1"/>
  <c r="AS849" i="1"/>
  <c r="AR849" i="1"/>
  <c r="AQ849" i="1"/>
  <c r="AP849" i="1"/>
  <c r="AO849" i="1"/>
  <c r="AN849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BQ848" i="1"/>
  <c r="BP848" i="1"/>
  <c r="BO848" i="1"/>
  <c r="BN848" i="1"/>
  <c r="BM848" i="1"/>
  <c r="BL848" i="1"/>
  <c r="BK848" i="1"/>
  <c r="BJ848" i="1"/>
  <c r="BI848" i="1"/>
  <c r="BH848" i="1"/>
  <c r="BG848" i="1"/>
  <c r="BF848" i="1"/>
  <c r="BE848" i="1"/>
  <c r="BD848" i="1"/>
  <c r="BC848" i="1"/>
  <c r="BB848" i="1"/>
  <c r="BA848" i="1"/>
  <c r="AZ848" i="1"/>
  <c r="AY848" i="1"/>
  <c r="AX848" i="1"/>
  <c r="AW848" i="1"/>
  <c r="AV848" i="1"/>
  <c r="AU848" i="1"/>
  <c r="AT848" i="1"/>
  <c r="AS848" i="1"/>
  <c r="AR848" i="1"/>
  <c r="AQ848" i="1"/>
  <c r="AP848" i="1"/>
  <c r="AO848" i="1"/>
  <c r="AN848" i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BQ847" i="1"/>
  <c r="BP847" i="1"/>
  <c r="BO847" i="1"/>
  <c r="BN847" i="1"/>
  <c r="BM847" i="1"/>
  <c r="BL847" i="1"/>
  <c r="BK847" i="1"/>
  <c r="BJ847" i="1"/>
  <c r="BI847" i="1"/>
  <c r="BH847" i="1"/>
  <c r="BG847" i="1"/>
  <c r="BF847" i="1"/>
  <c r="BE847" i="1"/>
  <c r="BD847" i="1"/>
  <c r="BC847" i="1"/>
  <c r="BB847" i="1"/>
  <c r="BA847" i="1"/>
  <c r="AZ847" i="1"/>
  <c r="AY847" i="1"/>
  <c r="AX847" i="1"/>
  <c r="AW847" i="1"/>
  <c r="AV847" i="1"/>
  <c r="AU847" i="1"/>
  <c r="AT847" i="1"/>
  <c r="AS847" i="1"/>
  <c r="AR847" i="1"/>
  <c r="AQ847" i="1"/>
  <c r="AP847" i="1"/>
  <c r="AO847" i="1"/>
  <c r="AN847" i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BQ846" i="1"/>
  <c r="BP846" i="1"/>
  <c r="BO846" i="1"/>
  <c r="BN846" i="1"/>
  <c r="BM846" i="1"/>
  <c r="BL846" i="1"/>
  <c r="BK846" i="1"/>
  <c r="BJ846" i="1"/>
  <c r="BI846" i="1"/>
  <c r="BH846" i="1"/>
  <c r="BG846" i="1"/>
  <c r="BF846" i="1"/>
  <c r="BE846" i="1"/>
  <c r="BD846" i="1"/>
  <c r="BC846" i="1"/>
  <c r="BB846" i="1"/>
  <c r="BA846" i="1"/>
  <c r="AZ846" i="1"/>
  <c r="AY846" i="1"/>
  <c r="AX846" i="1"/>
  <c r="AW846" i="1"/>
  <c r="AV846" i="1"/>
  <c r="AU846" i="1"/>
  <c r="AT846" i="1"/>
  <c r="AS846" i="1"/>
  <c r="AR846" i="1"/>
  <c r="AQ846" i="1"/>
  <c r="AP846" i="1"/>
  <c r="AO846" i="1"/>
  <c r="AN846" i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BQ845" i="1"/>
  <c r="BP845" i="1"/>
  <c r="BO845" i="1"/>
  <c r="BN845" i="1"/>
  <c r="BM845" i="1"/>
  <c r="BL845" i="1"/>
  <c r="BK845" i="1"/>
  <c r="BJ845" i="1"/>
  <c r="BI845" i="1"/>
  <c r="BH845" i="1"/>
  <c r="BG845" i="1"/>
  <c r="BF845" i="1"/>
  <c r="BE845" i="1"/>
  <c r="BD845" i="1"/>
  <c r="BC845" i="1"/>
  <c r="BB845" i="1"/>
  <c r="BA845" i="1"/>
  <c r="AZ845" i="1"/>
  <c r="AY845" i="1"/>
  <c r="AX845" i="1"/>
  <c r="AW845" i="1"/>
  <c r="AV845" i="1"/>
  <c r="AU845" i="1"/>
  <c r="AT845" i="1"/>
  <c r="AS845" i="1"/>
  <c r="AR845" i="1"/>
  <c r="AQ845" i="1"/>
  <c r="AP845" i="1"/>
  <c r="AO845" i="1"/>
  <c r="AN845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BQ844" i="1"/>
  <c r="BP844" i="1"/>
  <c r="BO844" i="1"/>
  <c r="BN844" i="1"/>
  <c r="BM844" i="1"/>
  <c r="BL844" i="1"/>
  <c r="BK844" i="1"/>
  <c r="BJ844" i="1"/>
  <c r="BI844" i="1"/>
  <c r="BH844" i="1"/>
  <c r="BG844" i="1"/>
  <c r="BF844" i="1"/>
  <c r="BE844" i="1"/>
  <c r="BD844" i="1"/>
  <c r="BC844" i="1"/>
  <c r="BB844" i="1"/>
  <c r="BA844" i="1"/>
  <c r="AZ844" i="1"/>
  <c r="AY844" i="1"/>
  <c r="AX844" i="1"/>
  <c r="AW844" i="1"/>
  <c r="AV844" i="1"/>
  <c r="AU844" i="1"/>
  <c r="AT844" i="1"/>
  <c r="AS844" i="1"/>
  <c r="AR844" i="1"/>
  <c r="AQ844" i="1"/>
  <c r="AP844" i="1"/>
  <c r="AO844" i="1"/>
  <c r="AN844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BQ843" i="1"/>
  <c r="BP843" i="1"/>
  <c r="BO843" i="1"/>
  <c r="BN843" i="1"/>
  <c r="BM843" i="1"/>
  <c r="BL843" i="1"/>
  <c r="BK843" i="1"/>
  <c r="BJ843" i="1"/>
  <c r="BI843" i="1"/>
  <c r="BH843" i="1"/>
  <c r="BG843" i="1"/>
  <c r="BF843" i="1"/>
  <c r="BE843" i="1"/>
  <c r="BD843" i="1"/>
  <c r="BC843" i="1"/>
  <c r="BB843" i="1"/>
  <c r="BA843" i="1"/>
  <c r="AZ843" i="1"/>
  <c r="AY843" i="1"/>
  <c r="AX843" i="1"/>
  <c r="AW843" i="1"/>
  <c r="AV843" i="1"/>
  <c r="AU843" i="1"/>
  <c r="AT843" i="1"/>
  <c r="AS843" i="1"/>
  <c r="AR843" i="1"/>
  <c r="AQ843" i="1"/>
  <c r="AP843" i="1"/>
  <c r="AO843" i="1"/>
  <c r="AN843" i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BQ842" i="1"/>
  <c r="BP842" i="1"/>
  <c r="BO842" i="1"/>
  <c r="BN842" i="1"/>
  <c r="BM842" i="1"/>
  <c r="BL842" i="1"/>
  <c r="BK842" i="1"/>
  <c r="BJ842" i="1"/>
  <c r="BI842" i="1"/>
  <c r="BH842" i="1"/>
  <c r="BG842" i="1"/>
  <c r="BF842" i="1"/>
  <c r="BE842" i="1"/>
  <c r="BD842" i="1"/>
  <c r="BC842" i="1"/>
  <c r="BB842" i="1"/>
  <c r="BA842" i="1"/>
  <c r="AZ842" i="1"/>
  <c r="AY842" i="1"/>
  <c r="AX842" i="1"/>
  <c r="AW842" i="1"/>
  <c r="AV842" i="1"/>
  <c r="AU842" i="1"/>
  <c r="AT842" i="1"/>
  <c r="AS842" i="1"/>
  <c r="AR842" i="1"/>
  <c r="AQ842" i="1"/>
  <c r="AP842" i="1"/>
  <c r="AO842" i="1"/>
  <c r="AN842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BQ841" i="1"/>
  <c r="BP841" i="1"/>
  <c r="BO841" i="1"/>
  <c r="BN841" i="1"/>
  <c r="BM841" i="1"/>
  <c r="BL841" i="1"/>
  <c r="BK841" i="1"/>
  <c r="BJ841" i="1"/>
  <c r="BI841" i="1"/>
  <c r="BH841" i="1"/>
  <c r="BG841" i="1"/>
  <c r="BF841" i="1"/>
  <c r="BE841" i="1"/>
  <c r="BD841" i="1"/>
  <c r="BC841" i="1"/>
  <c r="BB841" i="1"/>
  <c r="BA841" i="1"/>
  <c r="AZ841" i="1"/>
  <c r="AY841" i="1"/>
  <c r="AX841" i="1"/>
  <c r="AW841" i="1"/>
  <c r="AV841" i="1"/>
  <c r="AU841" i="1"/>
  <c r="AT841" i="1"/>
  <c r="AS841" i="1"/>
  <c r="AR841" i="1"/>
  <c r="AQ841" i="1"/>
  <c r="AP841" i="1"/>
  <c r="AO841" i="1"/>
  <c r="AN841" i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BQ840" i="1"/>
  <c r="BP840" i="1"/>
  <c r="BO840" i="1"/>
  <c r="BN840" i="1"/>
  <c r="BM840" i="1"/>
  <c r="BL840" i="1"/>
  <c r="BK840" i="1"/>
  <c r="BJ840" i="1"/>
  <c r="BI840" i="1"/>
  <c r="BH840" i="1"/>
  <c r="BG840" i="1"/>
  <c r="BF840" i="1"/>
  <c r="BE840" i="1"/>
  <c r="BD840" i="1"/>
  <c r="BC840" i="1"/>
  <c r="BB840" i="1"/>
  <c r="BA840" i="1"/>
  <c r="AZ840" i="1"/>
  <c r="AY840" i="1"/>
  <c r="AX840" i="1"/>
  <c r="AW840" i="1"/>
  <c r="AV840" i="1"/>
  <c r="AU840" i="1"/>
  <c r="AT840" i="1"/>
  <c r="AS840" i="1"/>
  <c r="AR840" i="1"/>
  <c r="AQ840" i="1"/>
  <c r="AP840" i="1"/>
  <c r="AO840" i="1"/>
  <c r="AN840" i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BQ839" i="1"/>
  <c r="BP839" i="1"/>
  <c r="BO839" i="1"/>
  <c r="BN839" i="1"/>
  <c r="BM839" i="1"/>
  <c r="BL839" i="1"/>
  <c r="BK839" i="1"/>
  <c r="BJ839" i="1"/>
  <c r="BI839" i="1"/>
  <c r="BH839" i="1"/>
  <c r="BG839" i="1"/>
  <c r="BF839" i="1"/>
  <c r="BE839" i="1"/>
  <c r="BD839" i="1"/>
  <c r="BC839" i="1"/>
  <c r="BB839" i="1"/>
  <c r="BA839" i="1"/>
  <c r="AZ839" i="1"/>
  <c r="AY839" i="1"/>
  <c r="AX839" i="1"/>
  <c r="AW839" i="1"/>
  <c r="AV839" i="1"/>
  <c r="AU839" i="1"/>
  <c r="AT839" i="1"/>
  <c r="AS839" i="1"/>
  <c r="AR839" i="1"/>
  <c r="AQ839" i="1"/>
  <c r="AP839" i="1"/>
  <c r="AO839" i="1"/>
  <c r="AN839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BQ838" i="1"/>
  <c r="BP838" i="1"/>
  <c r="BO838" i="1"/>
  <c r="BN838" i="1"/>
  <c r="BM838" i="1"/>
  <c r="BL838" i="1"/>
  <c r="BK838" i="1"/>
  <c r="BJ838" i="1"/>
  <c r="BI838" i="1"/>
  <c r="BH838" i="1"/>
  <c r="BG838" i="1"/>
  <c r="BF838" i="1"/>
  <c r="BE838" i="1"/>
  <c r="BD838" i="1"/>
  <c r="BC838" i="1"/>
  <c r="BB838" i="1"/>
  <c r="BA838" i="1"/>
  <c r="AZ838" i="1"/>
  <c r="AY838" i="1"/>
  <c r="AX838" i="1"/>
  <c r="AW838" i="1"/>
  <c r="AV838" i="1"/>
  <c r="AU838" i="1"/>
  <c r="AT838" i="1"/>
  <c r="AS838" i="1"/>
  <c r="AR838" i="1"/>
  <c r="AQ838" i="1"/>
  <c r="AP838" i="1"/>
  <c r="AO838" i="1"/>
  <c r="AN838" i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BQ837" i="1"/>
  <c r="BP837" i="1"/>
  <c r="BO837" i="1"/>
  <c r="BN837" i="1"/>
  <c r="BM837" i="1"/>
  <c r="BL837" i="1"/>
  <c r="BK837" i="1"/>
  <c r="BJ837" i="1"/>
  <c r="BI837" i="1"/>
  <c r="BH837" i="1"/>
  <c r="BG837" i="1"/>
  <c r="BF837" i="1"/>
  <c r="BE837" i="1"/>
  <c r="BD837" i="1"/>
  <c r="BC837" i="1"/>
  <c r="BB837" i="1"/>
  <c r="BA837" i="1"/>
  <c r="AZ837" i="1"/>
  <c r="AY837" i="1"/>
  <c r="AX837" i="1"/>
  <c r="AW837" i="1"/>
  <c r="AV837" i="1"/>
  <c r="AU837" i="1"/>
  <c r="AT837" i="1"/>
  <c r="AS837" i="1"/>
  <c r="AR837" i="1"/>
  <c r="AQ837" i="1"/>
  <c r="AP837" i="1"/>
  <c r="AO837" i="1"/>
  <c r="AN837" i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BQ836" i="1"/>
  <c r="BP836" i="1"/>
  <c r="BO836" i="1"/>
  <c r="BN836" i="1"/>
  <c r="BM836" i="1"/>
  <c r="BL836" i="1"/>
  <c r="BK836" i="1"/>
  <c r="BJ836" i="1"/>
  <c r="BI836" i="1"/>
  <c r="BH836" i="1"/>
  <c r="BG836" i="1"/>
  <c r="BF836" i="1"/>
  <c r="BE836" i="1"/>
  <c r="BD836" i="1"/>
  <c r="BC836" i="1"/>
  <c r="BB836" i="1"/>
  <c r="BA836" i="1"/>
  <c r="AZ836" i="1"/>
  <c r="AY836" i="1"/>
  <c r="AX836" i="1"/>
  <c r="AW836" i="1"/>
  <c r="AV836" i="1"/>
  <c r="AU836" i="1"/>
  <c r="AT836" i="1"/>
  <c r="AS836" i="1"/>
  <c r="AR836" i="1"/>
  <c r="AQ836" i="1"/>
  <c r="AP836" i="1"/>
  <c r="AO836" i="1"/>
  <c r="AN836" i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BQ835" i="1"/>
  <c r="BP835" i="1"/>
  <c r="BO835" i="1"/>
  <c r="BN835" i="1"/>
  <c r="BM835" i="1"/>
  <c r="BL835" i="1"/>
  <c r="BK835" i="1"/>
  <c r="BJ835" i="1"/>
  <c r="BI835" i="1"/>
  <c r="BH835" i="1"/>
  <c r="BG835" i="1"/>
  <c r="BF835" i="1"/>
  <c r="BE835" i="1"/>
  <c r="BD835" i="1"/>
  <c r="BC835" i="1"/>
  <c r="BB835" i="1"/>
  <c r="BA835" i="1"/>
  <c r="AZ835" i="1"/>
  <c r="AY835" i="1"/>
  <c r="AX835" i="1"/>
  <c r="AW835" i="1"/>
  <c r="AV835" i="1"/>
  <c r="AU835" i="1"/>
  <c r="AT835" i="1"/>
  <c r="AS835" i="1"/>
  <c r="AR835" i="1"/>
  <c r="AQ835" i="1"/>
  <c r="AP835" i="1"/>
  <c r="AO835" i="1"/>
  <c r="AN835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BQ834" i="1"/>
  <c r="BP834" i="1"/>
  <c r="BO834" i="1"/>
  <c r="BN834" i="1"/>
  <c r="BM834" i="1"/>
  <c r="BL834" i="1"/>
  <c r="BK834" i="1"/>
  <c r="BJ834" i="1"/>
  <c r="BI834" i="1"/>
  <c r="BH834" i="1"/>
  <c r="BG834" i="1"/>
  <c r="BF834" i="1"/>
  <c r="BE834" i="1"/>
  <c r="BD834" i="1"/>
  <c r="BC834" i="1"/>
  <c r="BB834" i="1"/>
  <c r="BA834" i="1"/>
  <c r="AZ834" i="1"/>
  <c r="AY834" i="1"/>
  <c r="AX834" i="1"/>
  <c r="AW834" i="1"/>
  <c r="AV834" i="1"/>
  <c r="AU834" i="1"/>
  <c r="AT834" i="1"/>
  <c r="AS834" i="1"/>
  <c r="AR834" i="1"/>
  <c r="AQ834" i="1"/>
  <c r="AP834" i="1"/>
  <c r="AO834" i="1"/>
  <c r="AN834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BQ833" i="1"/>
  <c r="BP833" i="1"/>
  <c r="BO833" i="1"/>
  <c r="BN833" i="1"/>
  <c r="BM833" i="1"/>
  <c r="BL833" i="1"/>
  <c r="BK833" i="1"/>
  <c r="BJ833" i="1"/>
  <c r="BI833" i="1"/>
  <c r="BH833" i="1"/>
  <c r="BG833" i="1"/>
  <c r="BF833" i="1"/>
  <c r="BE833" i="1"/>
  <c r="BD833" i="1"/>
  <c r="BC833" i="1"/>
  <c r="BB833" i="1"/>
  <c r="BA833" i="1"/>
  <c r="AZ833" i="1"/>
  <c r="AY833" i="1"/>
  <c r="AX833" i="1"/>
  <c r="AW833" i="1"/>
  <c r="AV833" i="1"/>
  <c r="AU833" i="1"/>
  <c r="AT833" i="1"/>
  <c r="AS833" i="1"/>
  <c r="AR833" i="1"/>
  <c r="AQ833" i="1"/>
  <c r="AP833" i="1"/>
  <c r="AO833" i="1"/>
  <c r="AN833" i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BQ832" i="1"/>
  <c r="BP832" i="1"/>
  <c r="BO832" i="1"/>
  <c r="BN832" i="1"/>
  <c r="BM832" i="1"/>
  <c r="BL832" i="1"/>
  <c r="BK832" i="1"/>
  <c r="BJ832" i="1"/>
  <c r="BI832" i="1"/>
  <c r="BH832" i="1"/>
  <c r="BG832" i="1"/>
  <c r="BF832" i="1"/>
  <c r="BE832" i="1"/>
  <c r="BD832" i="1"/>
  <c r="BC832" i="1"/>
  <c r="BB832" i="1"/>
  <c r="BA832" i="1"/>
  <c r="AZ832" i="1"/>
  <c r="AY832" i="1"/>
  <c r="AX832" i="1"/>
  <c r="AW832" i="1"/>
  <c r="AV832" i="1"/>
  <c r="AU832" i="1"/>
  <c r="AT832" i="1"/>
  <c r="AS832" i="1"/>
  <c r="AR832" i="1"/>
  <c r="AQ832" i="1"/>
  <c r="AP832" i="1"/>
  <c r="AO832" i="1"/>
  <c r="AN832" i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BQ831" i="1"/>
  <c r="BP831" i="1"/>
  <c r="BO831" i="1"/>
  <c r="BN831" i="1"/>
  <c r="BM831" i="1"/>
  <c r="BL831" i="1"/>
  <c r="BK831" i="1"/>
  <c r="BJ831" i="1"/>
  <c r="BI831" i="1"/>
  <c r="BH831" i="1"/>
  <c r="BG831" i="1"/>
  <c r="BF831" i="1"/>
  <c r="BE831" i="1"/>
  <c r="BD831" i="1"/>
  <c r="BC831" i="1"/>
  <c r="BB831" i="1"/>
  <c r="BA831" i="1"/>
  <c r="AZ831" i="1"/>
  <c r="AY831" i="1"/>
  <c r="AX831" i="1"/>
  <c r="AW831" i="1"/>
  <c r="AV831" i="1"/>
  <c r="AU831" i="1"/>
  <c r="AT831" i="1"/>
  <c r="AS831" i="1"/>
  <c r="AR831" i="1"/>
  <c r="AQ831" i="1"/>
  <c r="AP831" i="1"/>
  <c r="AO831" i="1"/>
  <c r="AN831" i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BQ830" i="1"/>
  <c r="BP830" i="1"/>
  <c r="BO830" i="1"/>
  <c r="BN830" i="1"/>
  <c r="BM830" i="1"/>
  <c r="BL830" i="1"/>
  <c r="BK830" i="1"/>
  <c r="BJ830" i="1"/>
  <c r="BI830" i="1"/>
  <c r="BH830" i="1"/>
  <c r="BG830" i="1"/>
  <c r="BF830" i="1"/>
  <c r="BE830" i="1"/>
  <c r="BD830" i="1"/>
  <c r="BC830" i="1"/>
  <c r="BB830" i="1"/>
  <c r="BA830" i="1"/>
  <c r="AZ830" i="1"/>
  <c r="AY830" i="1"/>
  <c r="AX830" i="1"/>
  <c r="AW830" i="1"/>
  <c r="AV830" i="1"/>
  <c r="AU830" i="1"/>
  <c r="AT830" i="1"/>
  <c r="AS830" i="1"/>
  <c r="AR830" i="1"/>
  <c r="AQ830" i="1"/>
  <c r="AP830" i="1"/>
  <c r="AO830" i="1"/>
  <c r="AN830" i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BQ829" i="1"/>
  <c r="BP829" i="1"/>
  <c r="BO829" i="1"/>
  <c r="BN829" i="1"/>
  <c r="BM829" i="1"/>
  <c r="BL829" i="1"/>
  <c r="BK829" i="1"/>
  <c r="BJ829" i="1"/>
  <c r="BI829" i="1"/>
  <c r="BH829" i="1"/>
  <c r="BG829" i="1"/>
  <c r="BF829" i="1"/>
  <c r="BE829" i="1"/>
  <c r="BD829" i="1"/>
  <c r="BC829" i="1"/>
  <c r="BB829" i="1"/>
  <c r="BA829" i="1"/>
  <c r="AZ829" i="1"/>
  <c r="AY829" i="1"/>
  <c r="AX829" i="1"/>
  <c r="AW829" i="1"/>
  <c r="AV829" i="1"/>
  <c r="AU829" i="1"/>
  <c r="AT829" i="1"/>
  <c r="AS829" i="1"/>
  <c r="AR829" i="1"/>
  <c r="AQ829" i="1"/>
  <c r="AP829" i="1"/>
  <c r="AO829" i="1"/>
  <c r="AN829" i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BQ828" i="1"/>
  <c r="BP828" i="1"/>
  <c r="BO828" i="1"/>
  <c r="BN828" i="1"/>
  <c r="BM828" i="1"/>
  <c r="BL828" i="1"/>
  <c r="BK828" i="1"/>
  <c r="BJ828" i="1"/>
  <c r="BI828" i="1"/>
  <c r="BH828" i="1"/>
  <c r="BG828" i="1"/>
  <c r="BF828" i="1"/>
  <c r="BE828" i="1"/>
  <c r="BD828" i="1"/>
  <c r="BC828" i="1"/>
  <c r="BB828" i="1"/>
  <c r="BA828" i="1"/>
  <c r="AZ828" i="1"/>
  <c r="AY828" i="1"/>
  <c r="AX828" i="1"/>
  <c r="AW828" i="1"/>
  <c r="AV828" i="1"/>
  <c r="AU828" i="1"/>
  <c r="AT828" i="1"/>
  <c r="AS828" i="1"/>
  <c r="AR828" i="1"/>
  <c r="AQ828" i="1"/>
  <c r="AP828" i="1"/>
  <c r="AO828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BQ827" i="1"/>
  <c r="BP827" i="1"/>
  <c r="BO827" i="1"/>
  <c r="BN827" i="1"/>
  <c r="BM827" i="1"/>
  <c r="BL827" i="1"/>
  <c r="BK827" i="1"/>
  <c r="BJ827" i="1"/>
  <c r="BI827" i="1"/>
  <c r="BH827" i="1"/>
  <c r="BG827" i="1"/>
  <c r="BF827" i="1"/>
  <c r="BE827" i="1"/>
  <c r="BD827" i="1"/>
  <c r="BC827" i="1"/>
  <c r="BB827" i="1"/>
  <c r="BA827" i="1"/>
  <c r="AZ827" i="1"/>
  <c r="AY827" i="1"/>
  <c r="AX827" i="1"/>
  <c r="AW827" i="1"/>
  <c r="AV827" i="1"/>
  <c r="AU827" i="1"/>
  <c r="AT827" i="1"/>
  <c r="AS827" i="1"/>
  <c r="AR827" i="1"/>
  <c r="AQ827" i="1"/>
  <c r="AP827" i="1"/>
  <c r="AO827" i="1"/>
  <c r="AN827" i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BQ826" i="1"/>
  <c r="BP826" i="1"/>
  <c r="BO826" i="1"/>
  <c r="BN826" i="1"/>
  <c r="BM826" i="1"/>
  <c r="BL826" i="1"/>
  <c r="BK826" i="1"/>
  <c r="BJ826" i="1"/>
  <c r="BI826" i="1"/>
  <c r="BH826" i="1"/>
  <c r="BG826" i="1"/>
  <c r="BF826" i="1"/>
  <c r="BE826" i="1"/>
  <c r="BD826" i="1"/>
  <c r="BC826" i="1"/>
  <c r="BB826" i="1"/>
  <c r="BA826" i="1"/>
  <c r="AZ826" i="1"/>
  <c r="AY826" i="1"/>
  <c r="AX826" i="1"/>
  <c r="AW826" i="1"/>
  <c r="AV826" i="1"/>
  <c r="AU826" i="1"/>
  <c r="AT826" i="1"/>
  <c r="AS826" i="1"/>
  <c r="AR826" i="1"/>
  <c r="AQ826" i="1"/>
  <c r="AP826" i="1"/>
  <c r="AO826" i="1"/>
  <c r="AN826" i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BQ825" i="1"/>
  <c r="BP825" i="1"/>
  <c r="BO825" i="1"/>
  <c r="BN825" i="1"/>
  <c r="BM825" i="1"/>
  <c r="BL825" i="1"/>
  <c r="BK825" i="1"/>
  <c r="BJ825" i="1"/>
  <c r="BI825" i="1"/>
  <c r="BH825" i="1"/>
  <c r="BG825" i="1"/>
  <c r="BF825" i="1"/>
  <c r="BE825" i="1"/>
  <c r="BD825" i="1"/>
  <c r="BC825" i="1"/>
  <c r="BB825" i="1"/>
  <c r="BA825" i="1"/>
  <c r="AZ825" i="1"/>
  <c r="AY825" i="1"/>
  <c r="AX825" i="1"/>
  <c r="AW825" i="1"/>
  <c r="AV825" i="1"/>
  <c r="AU825" i="1"/>
  <c r="AT825" i="1"/>
  <c r="AS825" i="1"/>
  <c r="AR825" i="1"/>
  <c r="AQ825" i="1"/>
  <c r="AP825" i="1"/>
  <c r="AO825" i="1"/>
  <c r="AN825" i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BQ824" i="1"/>
  <c r="BP824" i="1"/>
  <c r="BO824" i="1"/>
  <c r="BN824" i="1"/>
  <c r="BM824" i="1"/>
  <c r="BL824" i="1"/>
  <c r="BK824" i="1"/>
  <c r="BJ824" i="1"/>
  <c r="BI824" i="1"/>
  <c r="BH824" i="1"/>
  <c r="BG824" i="1"/>
  <c r="BF824" i="1"/>
  <c r="BE824" i="1"/>
  <c r="BD824" i="1"/>
  <c r="BC824" i="1"/>
  <c r="BB824" i="1"/>
  <c r="BA824" i="1"/>
  <c r="AZ824" i="1"/>
  <c r="AY824" i="1"/>
  <c r="AX824" i="1"/>
  <c r="AW824" i="1"/>
  <c r="AV824" i="1"/>
  <c r="AU824" i="1"/>
  <c r="AT824" i="1"/>
  <c r="AS824" i="1"/>
  <c r="AR824" i="1"/>
  <c r="AQ824" i="1"/>
  <c r="AP824" i="1"/>
  <c r="AO824" i="1"/>
  <c r="AN824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BQ823" i="1"/>
  <c r="BP823" i="1"/>
  <c r="BO823" i="1"/>
  <c r="BN823" i="1"/>
  <c r="BM823" i="1"/>
  <c r="BL823" i="1"/>
  <c r="BK823" i="1"/>
  <c r="BJ823" i="1"/>
  <c r="BI823" i="1"/>
  <c r="BH823" i="1"/>
  <c r="BG823" i="1"/>
  <c r="BF823" i="1"/>
  <c r="BE823" i="1"/>
  <c r="BD823" i="1"/>
  <c r="BC823" i="1"/>
  <c r="BB823" i="1"/>
  <c r="BA823" i="1"/>
  <c r="AZ823" i="1"/>
  <c r="AY823" i="1"/>
  <c r="AX823" i="1"/>
  <c r="AW823" i="1"/>
  <c r="AV823" i="1"/>
  <c r="AU823" i="1"/>
  <c r="AT823" i="1"/>
  <c r="AS823" i="1"/>
  <c r="AR823" i="1"/>
  <c r="AQ823" i="1"/>
  <c r="AP823" i="1"/>
  <c r="AO823" i="1"/>
  <c r="AN823" i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BQ822" i="1"/>
  <c r="BP822" i="1"/>
  <c r="BO822" i="1"/>
  <c r="BN822" i="1"/>
  <c r="BM822" i="1"/>
  <c r="BL822" i="1"/>
  <c r="BK822" i="1"/>
  <c r="BJ822" i="1"/>
  <c r="BI822" i="1"/>
  <c r="BH822" i="1"/>
  <c r="BG822" i="1"/>
  <c r="BF822" i="1"/>
  <c r="BE822" i="1"/>
  <c r="BD822" i="1"/>
  <c r="BC822" i="1"/>
  <c r="BB822" i="1"/>
  <c r="BA822" i="1"/>
  <c r="AZ822" i="1"/>
  <c r="AY822" i="1"/>
  <c r="AX822" i="1"/>
  <c r="AW822" i="1"/>
  <c r="AV822" i="1"/>
  <c r="AU822" i="1"/>
  <c r="AT822" i="1"/>
  <c r="AS822" i="1"/>
  <c r="AR822" i="1"/>
  <c r="AQ822" i="1"/>
  <c r="AP822" i="1"/>
  <c r="AO822" i="1"/>
  <c r="AN822" i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BQ821" i="1"/>
  <c r="BP821" i="1"/>
  <c r="BO821" i="1"/>
  <c r="BN821" i="1"/>
  <c r="BM821" i="1"/>
  <c r="BL821" i="1"/>
  <c r="BK821" i="1"/>
  <c r="BJ821" i="1"/>
  <c r="BI821" i="1"/>
  <c r="BH821" i="1"/>
  <c r="BG821" i="1"/>
  <c r="BF821" i="1"/>
  <c r="BE821" i="1"/>
  <c r="BD821" i="1"/>
  <c r="BC821" i="1"/>
  <c r="BB821" i="1"/>
  <c r="BA821" i="1"/>
  <c r="AZ821" i="1"/>
  <c r="AY821" i="1"/>
  <c r="AX821" i="1"/>
  <c r="AW821" i="1"/>
  <c r="AV821" i="1"/>
  <c r="AU821" i="1"/>
  <c r="AT821" i="1"/>
  <c r="AS821" i="1"/>
  <c r="AR821" i="1"/>
  <c r="AQ821" i="1"/>
  <c r="AP821" i="1"/>
  <c r="AO821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BQ820" i="1"/>
  <c r="BP820" i="1"/>
  <c r="BO820" i="1"/>
  <c r="BN820" i="1"/>
  <c r="BM820" i="1"/>
  <c r="BL820" i="1"/>
  <c r="BK820" i="1"/>
  <c r="BJ820" i="1"/>
  <c r="BI820" i="1"/>
  <c r="BH820" i="1"/>
  <c r="BG820" i="1"/>
  <c r="BF820" i="1"/>
  <c r="BE820" i="1"/>
  <c r="BD820" i="1"/>
  <c r="BC820" i="1"/>
  <c r="BB820" i="1"/>
  <c r="BA820" i="1"/>
  <c r="AZ820" i="1"/>
  <c r="AY820" i="1"/>
  <c r="AX820" i="1"/>
  <c r="AW820" i="1"/>
  <c r="AV820" i="1"/>
  <c r="AU820" i="1"/>
  <c r="AT820" i="1"/>
  <c r="AS820" i="1"/>
  <c r="AR820" i="1"/>
  <c r="AQ820" i="1"/>
  <c r="AP820" i="1"/>
  <c r="AO820" i="1"/>
  <c r="AN820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BQ819" i="1"/>
  <c r="BP819" i="1"/>
  <c r="BO819" i="1"/>
  <c r="BN819" i="1"/>
  <c r="BM819" i="1"/>
  <c r="BL819" i="1"/>
  <c r="BK819" i="1"/>
  <c r="BJ819" i="1"/>
  <c r="BI819" i="1"/>
  <c r="BH819" i="1"/>
  <c r="BG819" i="1"/>
  <c r="BF819" i="1"/>
  <c r="BE819" i="1"/>
  <c r="BD819" i="1"/>
  <c r="BC819" i="1"/>
  <c r="BB819" i="1"/>
  <c r="BA819" i="1"/>
  <c r="AZ819" i="1"/>
  <c r="AY819" i="1"/>
  <c r="AX819" i="1"/>
  <c r="AW819" i="1"/>
  <c r="AV819" i="1"/>
  <c r="AU819" i="1"/>
  <c r="AT819" i="1"/>
  <c r="AS819" i="1"/>
  <c r="AR819" i="1"/>
  <c r="AQ819" i="1"/>
  <c r="AP819" i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BQ818" i="1"/>
  <c r="BP818" i="1"/>
  <c r="BO818" i="1"/>
  <c r="BN818" i="1"/>
  <c r="BM818" i="1"/>
  <c r="BL818" i="1"/>
  <c r="BK818" i="1"/>
  <c r="BJ818" i="1"/>
  <c r="BI818" i="1"/>
  <c r="BH818" i="1"/>
  <c r="BG818" i="1"/>
  <c r="BF818" i="1"/>
  <c r="BE818" i="1"/>
  <c r="BD818" i="1"/>
  <c r="BC818" i="1"/>
  <c r="BB818" i="1"/>
  <c r="BA818" i="1"/>
  <c r="AZ818" i="1"/>
  <c r="AY818" i="1"/>
  <c r="AX818" i="1"/>
  <c r="AW818" i="1"/>
  <c r="AV818" i="1"/>
  <c r="AU818" i="1"/>
  <c r="AT818" i="1"/>
  <c r="AS818" i="1"/>
  <c r="AR818" i="1"/>
  <c r="AQ818" i="1"/>
  <c r="AP818" i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BQ817" i="1"/>
  <c r="BP817" i="1"/>
  <c r="BO817" i="1"/>
  <c r="BN817" i="1"/>
  <c r="BM817" i="1"/>
  <c r="BL817" i="1"/>
  <c r="BK817" i="1"/>
  <c r="BJ817" i="1"/>
  <c r="BI817" i="1"/>
  <c r="BH817" i="1"/>
  <c r="BG817" i="1"/>
  <c r="BF817" i="1"/>
  <c r="BE817" i="1"/>
  <c r="BD817" i="1"/>
  <c r="BC817" i="1"/>
  <c r="BB817" i="1"/>
  <c r="BA817" i="1"/>
  <c r="AZ817" i="1"/>
  <c r="AY817" i="1"/>
  <c r="AX817" i="1"/>
  <c r="AW817" i="1"/>
  <c r="AV817" i="1"/>
  <c r="AU817" i="1"/>
  <c r="AT817" i="1"/>
  <c r="AS817" i="1"/>
  <c r="AR817" i="1"/>
  <c r="AQ817" i="1"/>
  <c r="AP817" i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BQ816" i="1"/>
  <c r="BP816" i="1"/>
  <c r="BO816" i="1"/>
  <c r="BN816" i="1"/>
  <c r="BM816" i="1"/>
  <c r="BL816" i="1"/>
  <c r="BK816" i="1"/>
  <c r="BJ816" i="1"/>
  <c r="BI816" i="1"/>
  <c r="BH816" i="1"/>
  <c r="BG816" i="1"/>
  <c r="BF816" i="1"/>
  <c r="BE816" i="1"/>
  <c r="BD816" i="1"/>
  <c r="BC816" i="1"/>
  <c r="BB816" i="1"/>
  <c r="BA816" i="1"/>
  <c r="AZ816" i="1"/>
  <c r="AY816" i="1"/>
  <c r="AX816" i="1"/>
  <c r="AW816" i="1"/>
  <c r="AV816" i="1"/>
  <c r="AU816" i="1"/>
  <c r="AT816" i="1"/>
  <c r="AS816" i="1"/>
  <c r="AR816" i="1"/>
  <c r="AQ816" i="1"/>
  <c r="AP816" i="1"/>
  <c r="AO816" i="1"/>
  <c r="AN816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BQ815" i="1"/>
  <c r="BP815" i="1"/>
  <c r="BO815" i="1"/>
  <c r="BN815" i="1"/>
  <c r="BM815" i="1"/>
  <c r="BL815" i="1"/>
  <c r="BK815" i="1"/>
  <c r="BJ815" i="1"/>
  <c r="BI815" i="1"/>
  <c r="BH815" i="1"/>
  <c r="BG815" i="1"/>
  <c r="BF815" i="1"/>
  <c r="BE815" i="1"/>
  <c r="BD815" i="1"/>
  <c r="BC815" i="1"/>
  <c r="BB815" i="1"/>
  <c r="BA815" i="1"/>
  <c r="AZ815" i="1"/>
  <c r="AY815" i="1"/>
  <c r="AX815" i="1"/>
  <c r="AW815" i="1"/>
  <c r="AV815" i="1"/>
  <c r="AU815" i="1"/>
  <c r="AT815" i="1"/>
  <c r="AS815" i="1"/>
  <c r="AR815" i="1"/>
  <c r="AQ815" i="1"/>
  <c r="AP815" i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BQ814" i="1"/>
  <c r="BP814" i="1"/>
  <c r="BO814" i="1"/>
  <c r="BN814" i="1"/>
  <c r="BM814" i="1"/>
  <c r="BL814" i="1"/>
  <c r="BK814" i="1"/>
  <c r="BJ814" i="1"/>
  <c r="BI814" i="1"/>
  <c r="BH814" i="1"/>
  <c r="BG814" i="1"/>
  <c r="BF814" i="1"/>
  <c r="BE814" i="1"/>
  <c r="BD814" i="1"/>
  <c r="BC814" i="1"/>
  <c r="BB814" i="1"/>
  <c r="BA814" i="1"/>
  <c r="AZ814" i="1"/>
  <c r="AY814" i="1"/>
  <c r="AX814" i="1"/>
  <c r="AW814" i="1"/>
  <c r="AV814" i="1"/>
  <c r="AU814" i="1"/>
  <c r="AT814" i="1"/>
  <c r="AS814" i="1"/>
  <c r="AR814" i="1"/>
  <c r="AQ814" i="1"/>
  <c r="AP814" i="1"/>
  <c r="AO814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BQ813" i="1"/>
  <c r="BP813" i="1"/>
  <c r="BO813" i="1"/>
  <c r="BN813" i="1"/>
  <c r="BM813" i="1"/>
  <c r="BL813" i="1"/>
  <c r="BK813" i="1"/>
  <c r="BJ813" i="1"/>
  <c r="BI813" i="1"/>
  <c r="BH813" i="1"/>
  <c r="BG813" i="1"/>
  <c r="BF813" i="1"/>
  <c r="BE813" i="1"/>
  <c r="BD813" i="1"/>
  <c r="BC813" i="1"/>
  <c r="BB813" i="1"/>
  <c r="BA813" i="1"/>
  <c r="AZ813" i="1"/>
  <c r="AY813" i="1"/>
  <c r="AX813" i="1"/>
  <c r="AW813" i="1"/>
  <c r="AV813" i="1"/>
  <c r="AU813" i="1"/>
  <c r="AT813" i="1"/>
  <c r="AS813" i="1"/>
  <c r="AR813" i="1"/>
  <c r="AQ813" i="1"/>
  <c r="AP813" i="1"/>
  <c r="AO813" i="1"/>
  <c r="AN813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BQ812" i="1"/>
  <c r="BP812" i="1"/>
  <c r="BO812" i="1"/>
  <c r="BN812" i="1"/>
  <c r="BM812" i="1"/>
  <c r="BL812" i="1"/>
  <c r="BK812" i="1"/>
  <c r="BJ812" i="1"/>
  <c r="BI812" i="1"/>
  <c r="BH812" i="1"/>
  <c r="BG812" i="1"/>
  <c r="BF812" i="1"/>
  <c r="BE812" i="1"/>
  <c r="BD812" i="1"/>
  <c r="BC812" i="1"/>
  <c r="BB812" i="1"/>
  <c r="BA812" i="1"/>
  <c r="AZ812" i="1"/>
  <c r="AY812" i="1"/>
  <c r="AX812" i="1"/>
  <c r="AW812" i="1"/>
  <c r="AV812" i="1"/>
  <c r="AU812" i="1"/>
  <c r="AT812" i="1"/>
  <c r="AS812" i="1"/>
  <c r="AR812" i="1"/>
  <c r="AQ812" i="1"/>
  <c r="AP812" i="1"/>
  <c r="AO812" i="1"/>
  <c r="AN812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BQ811" i="1"/>
  <c r="BP811" i="1"/>
  <c r="BO811" i="1"/>
  <c r="BN811" i="1"/>
  <c r="BM811" i="1"/>
  <c r="BL811" i="1"/>
  <c r="BK811" i="1"/>
  <c r="BJ811" i="1"/>
  <c r="BI811" i="1"/>
  <c r="BH811" i="1"/>
  <c r="BG811" i="1"/>
  <c r="BF811" i="1"/>
  <c r="BE811" i="1"/>
  <c r="BD811" i="1"/>
  <c r="BC811" i="1"/>
  <c r="BB811" i="1"/>
  <c r="BA811" i="1"/>
  <c r="AZ811" i="1"/>
  <c r="AY811" i="1"/>
  <c r="AX811" i="1"/>
  <c r="AW811" i="1"/>
  <c r="AV811" i="1"/>
  <c r="AU811" i="1"/>
  <c r="AT811" i="1"/>
  <c r="AS811" i="1"/>
  <c r="AR811" i="1"/>
  <c r="AQ811" i="1"/>
  <c r="AP811" i="1"/>
  <c r="AO811" i="1"/>
  <c r="AN811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BQ810" i="1"/>
  <c r="BP810" i="1"/>
  <c r="BO810" i="1"/>
  <c r="BN810" i="1"/>
  <c r="BM810" i="1"/>
  <c r="BL810" i="1"/>
  <c r="BK810" i="1"/>
  <c r="BJ810" i="1"/>
  <c r="BI810" i="1"/>
  <c r="BH810" i="1"/>
  <c r="BG810" i="1"/>
  <c r="BF810" i="1"/>
  <c r="BE810" i="1"/>
  <c r="BD810" i="1"/>
  <c r="BC810" i="1"/>
  <c r="BB810" i="1"/>
  <c r="BA810" i="1"/>
  <c r="AZ810" i="1"/>
  <c r="AY810" i="1"/>
  <c r="AX810" i="1"/>
  <c r="AW810" i="1"/>
  <c r="AV810" i="1"/>
  <c r="AU810" i="1"/>
  <c r="AT810" i="1"/>
  <c r="AS810" i="1"/>
  <c r="AR810" i="1"/>
  <c r="AQ810" i="1"/>
  <c r="AP810" i="1"/>
  <c r="AO810" i="1"/>
  <c r="AN810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BQ809" i="1"/>
  <c r="BP809" i="1"/>
  <c r="BO809" i="1"/>
  <c r="BN809" i="1"/>
  <c r="BM809" i="1"/>
  <c r="BL809" i="1"/>
  <c r="BK809" i="1"/>
  <c r="BJ809" i="1"/>
  <c r="BI809" i="1"/>
  <c r="BH809" i="1"/>
  <c r="BG809" i="1"/>
  <c r="BF809" i="1"/>
  <c r="BE809" i="1"/>
  <c r="BD809" i="1"/>
  <c r="BC809" i="1"/>
  <c r="BB809" i="1"/>
  <c r="BA809" i="1"/>
  <c r="AZ809" i="1"/>
  <c r="AY809" i="1"/>
  <c r="AX809" i="1"/>
  <c r="AW809" i="1"/>
  <c r="AV809" i="1"/>
  <c r="AU809" i="1"/>
  <c r="AT809" i="1"/>
  <c r="AS809" i="1"/>
  <c r="AR809" i="1"/>
  <c r="AQ809" i="1"/>
  <c r="AP809" i="1"/>
  <c r="AO809" i="1"/>
  <c r="AN809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BQ808" i="1"/>
  <c r="BP808" i="1"/>
  <c r="BO808" i="1"/>
  <c r="BN808" i="1"/>
  <c r="BM808" i="1"/>
  <c r="BL808" i="1"/>
  <c r="BK808" i="1"/>
  <c r="BJ808" i="1"/>
  <c r="BI808" i="1"/>
  <c r="BH808" i="1"/>
  <c r="BG808" i="1"/>
  <c r="BF808" i="1"/>
  <c r="BE808" i="1"/>
  <c r="BD808" i="1"/>
  <c r="BC808" i="1"/>
  <c r="BB808" i="1"/>
  <c r="BA808" i="1"/>
  <c r="AZ808" i="1"/>
  <c r="AY808" i="1"/>
  <c r="AX808" i="1"/>
  <c r="AW808" i="1"/>
  <c r="AV808" i="1"/>
  <c r="AU808" i="1"/>
  <c r="AT808" i="1"/>
  <c r="AS808" i="1"/>
  <c r="AR808" i="1"/>
  <c r="AQ808" i="1"/>
  <c r="AP808" i="1"/>
  <c r="AO808" i="1"/>
  <c r="AN808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BQ807" i="1"/>
  <c r="BP807" i="1"/>
  <c r="BO807" i="1"/>
  <c r="BN807" i="1"/>
  <c r="BM807" i="1"/>
  <c r="BL807" i="1"/>
  <c r="BK807" i="1"/>
  <c r="BJ807" i="1"/>
  <c r="BI807" i="1"/>
  <c r="BH807" i="1"/>
  <c r="BG807" i="1"/>
  <c r="BF807" i="1"/>
  <c r="BE807" i="1"/>
  <c r="BD807" i="1"/>
  <c r="BC807" i="1"/>
  <c r="BB807" i="1"/>
  <c r="BA807" i="1"/>
  <c r="AZ807" i="1"/>
  <c r="AY807" i="1"/>
  <c r="AX807" i="1"/>
  <c r="AW807" i="1"/>
  <c r="AV807" i="1"/>
  <c r="AU807" i="1"/>
  <c r="AT807" i="1"/>
  <c r="AS807" i="1"/>
  <c r="AR807" i="1"/>
  <c r="AQ807" i="1"/>
  <c r="AP807" i="1"/>
  <c r="AO807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BQ806" i="1"/>
  <c r="BP806" i="1"/>
  <c r="BO806" i="1"/>
  <c r="BN806" i="1"/>
  <c r="BM806" i="1"/>
  <c r="BL806" i="1"/>
  <c r="BK806" i="1"/>
  <c r="BJ806" i="1"/>
  <c r="BI806" i="1"/>
  <c r="BH806" i="1"/>
  <c r="BG806" i="1"/>
  <c r="BF806" i="1"/>
  <c r="BE806" i="1"/>
  <c r="BD806" i="1"/>
  <c r="BC806" i="1"/>
  <c r="BB806" i="1"/>
  <c r="BA806" i="1"/>
  <c r="AZ806" i="1"/>
  <c r="AY806" i="1"/>
  <c r="AX806" i="1"/>
  <c r="AW806" i="1"/>
  <c r="AV806" i="1"/>
  <c r="AU806" i="1"/>
  <c r="AT806" i="1"/>
  <c r="AS806" i="1"/>
  <c r="AR806" i="1"/>
  <c r="AQ806" i="1"/>
  <c r="AP806" i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BQ805" i="1"/>
  <c r="BP805" i="1"/>
  <c r="BO805" i="1"/>
  <c r="BN805" i="1"/>
  <c r="BM805" i="1"/>
  <c r="BL805" i="1"/>
  <c r="BK805" i="1"/>
  <c r="BJ805" i="1"/>
  <c r="BI805" i="1"/>
  <c r="BH805" i="1"/>
  <c r="BG805" i="1"/>
  <c r="BF805" i="1"/>
  <c r="BE805" i="1"/>
  <c r="BD805" i="1"/>
  <c r="BC805" i="1"/>
  <c r="BB805" i="1"/>
  <c r="BA805" i="1"/>
  <c r="AZ805" i="1"/>
  <c r="AY805" i="1"/>
  <c r="AX805" i="1"/>
  <c r="AW805" i="1"/>
  <c r="AV805" i="1"/>
  <c r="AU805" i="1"/>
  <c r="AT805" i="1"/>
  <c r="AS805" i="1"/>
  <c r="AR805" i="1"/>
  <c r="AQ805" i="1"/>
  <c r="AP805" i="1"/>
  <c r="AO805" i="1"/>
  <c r="AN805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BQ804" i="1"/>
  <c r="BP804" i="1"/>
  <c r="BO804" i="1"/>
  <c r="BN804" i="1"/>
  <c r="BM804" i="1"/>
  <c r="BL804" i="1"/>
  <c r="BK804" i="1"/>
  <c r="BJ804" i="1"/>
  <c r="BI804" i="1"/>
  <c r="BH804" i="1"/>
  <c r="BG804" i="1"/>
  <c r="BF804" i="1"/>
  <c r="BE804" i="1"/>
  <c r="BD804" i="1"/>
  <c r="BC804" i="1"/>
  <c r="BB804" i="1"/>
  <c r="BA804" i="1"/>
  <c r="AZ804" i="1"/>
  <c r="AY804" i="1"/>
  <c r="AX804" i="1"/>
  <c r="AW804" i="1"/>
  <c r="AV804" i="1"/>
  <c r="AU804" i="1"/>
  <c r="AT804" i="1"/>
  <c r="AS804" i="1"/>
  <c r="AR804" i="1"/>
  <c r="AQ804" i="1"/>
  <c r="AP804" i="1"/>
  <c r="AO804" i="1"/>
  <c r="AN804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BQ803" i="1"/>
  <c r="BP803" i="1"/>
  <c r="BO803" i="1"/>
  <c r="BN803" i="1"/>
  <c r="BM803" i="1"/>
  <c r="BL803" i="1"/>
  <c r="BK803" i="1"/>
  <c r="BJ803" i="1"/>
  <c r="BI803" i="1"/>
  <c r="BH803" i="1"/>
  <c r="BG803" i="1"/>
  <c r="BF803" i="1"/>
  <c r="BE803" i="1"/>
  <c r="BD803" i="1"/>
  <c r="BC803" i="1"/>
  <c r="BB803" i="1"/>
  <c r="BA803" i="1"/>
  <c r="AZ803" i="1"/>
  <c r="AY803" i="1"/>
  <c r="AX803" i="1"/>
  <c r="AW803" i="1"/>
  <c r="AV803" i="1"/>
  <c r="AU803" i="1"/>
  <c r="AT803" i="1"/>
  <c r="AS803" i="1"/>
  <c r="AR803" i="1"/>
  <c r="AQ803" i="1"/>
  <c r="AP803" i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BQ802" i="1"/>
  <c r="BP802" i="1"/>
  <c r="BO802" i="1"/>
  <c r="BN802" i="1"/>
  <c r="BM802" i="1"/>
  <c r="BL802" i="1"/>
  <c r="BK802" i="1"/>
  <c r="BJ802" i="1"/>
  <c r="BI802" i="1"/>
  <c r="BH802" i="1"/>
  <c r="BG802" i="1"/>
  <c r="BF802" i="1"/>
  <c r="BE802" i="1"/>
  <c r="BD802" i="1"/>
  <c r="BC802" i="1"/>
  <c r="BB802" i="1"/>
  <c r="BA802" i="1"/>
  <c r="AZ802" i="1"/>
  <c r="AY802" i="1"/>
  <c r="AX802" i="1"/>
  <c r="AW802" i="1"/>
  <c r="AV802" i="1"/>
  <c r="AU802" i="1"/>
  <c r="AT802" i="1"/>
  <c r="AS802" i="1"/>
  <c r="AR802" i="1"/>
  <c r="AQ802" i="1"/>
  <c r="AP802" i="1"/>
  <c r="AO802" i="1"/>
  <c r="AN802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BQ801" i="1"/>
  <c r="BP801" i="1"/>
  <c r="BO801" i="1"/>
  <c r="BN801" i="1"/>
  <c r="BM801" i="1"/>
  <c r="BL801" i="1"/>
  <c r="BK801" i="1"/>
  <c r="BJ801" i="1"/>
  <c r="BI801" i="1"/>
  <c r="BH801" i="1"/>
  <c r="BG801" i="1"/>
  <c r="BF801" i="1"/>
  <c r="BE801" i="1"/>
  <c r="BD801" i="1"/>
  <c r="BC801" i="1"/>
  <c r="BB801" i="1"/>
  <c r="BA801" i="1"/>
  <c r="AZ801" i="1"/>
  <c r="AY801" i="1"/>
  <c r="AX801" i="1"/>
  <c r="AW801" i="1"/>
  <c r="AV801" i="1"/>
  <c r="AU801" i="1"/>
  <c r="AT801" i="1"/>
  <c r="AS801" i="1"/>
  <c r="AR801" i="1"/>
  <c r="AQ801" i="1"/>
  <c r="AP801" i="1"/>
  <c r="AO801" i="1"/>
  <c r="AN801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BQ800" i="1"/>
  <c r="BP800" i="1"/>
  <c r="BO800" i="1"/>
  <c r="BN800" i="1"/>
  <c r="BM800" i="1"/>
  <c r="BL800" i="1"/>
  <c r="BK800" i="1"/>
  <c r="BJ800" i="1"/>
  <c r="BI800" i="1"/>
  <c r="BH800" i="1"/>
  <c r="BG800" i="1"/>
  <c r="BF800" i="1"/>
  <c r="BE800" i="1"/>
  <c r="BD800" i="1"/>
  <c r="BC800" i="1"/>
  <c r="BB800" i="1"/>
  <c r="BA800" i="1"/>
  <c r="AZ800" i="1"/>
  <c r="AY800" i="1"/>
  <c r="AX800" i="1"/>
  <c r="AW800" i="1"/>
  <c r="AV800" i="1"/>
  <c r="AU800" i="1"/>
  <c r="AT800" i="1"/>
  <c r="AS800" i="1"/>
  <c r="AR800" i="1"/>
  <c r="AQ800" i="1"/>
  <c r="AP800" i="1"/>
  <c r="AO800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BQ799" i="1"/>
  <c r="BP799" i="1"/>
  <c r="BO799" i="1"/>
  <c r="BN799" i="1"/>
  <c r="BM799" i="1"/>
  <c r="BL799" i="1"/>
  <c r="BK799" i="1"/>
  <c r="BJ799" i="1"/>
  <c r="BI799" i="1"/>
  <c r="BH799" i="1"/>
  <c r="BG799" i="1"/>
  <c r="BF799" i="1"/>
  <c r="BE799" i="1"/>
  <c r="BD799" i="1"/>
  <c r="BC799" i="1"/>
  <c r="BB799" i="1"/>
  <c r="BA799" i="1"/>
  <c r="AZ799" i="1"/>
  <c r="AY799" i="1"/>
  <c r="AX799" i="1"/>
  <c r="AW799" i="1"/>
  <c r="AV799" i="1"/>
  <c r="AU799" i="1"/>
  <c r="AT799" i="1"/>
  <c r="AS799" i="1"/>
  <c r="AR799" i="1"/>
  <c r="AQ799" i="1"/>
  <c r="AP799" i="1"/>
  <c r="AO799" i="1"/>
  <c r="AN799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BQ798" i="1"/>
  <c r="BP798" i="1"/>
  <c r="BO798" i="1"/>
  <c r="BN798" i="1"/>
  <c r="BM798" i="1"/>
  <c r="BL798" i="1"/>
  <c r="BK798" i="1"/>
  <c r="BJ798" i="1"/>
  <c r="BI798" i="1"/>
  <c r="BH798" i="1"/>
  <c r="BG798" i="1"/>
  <c r="BF798" i="1"/>
  <c r="BE798" i="1"/>
  <c r="BD798" i="1"/>
  <c r="BC798" i="1"/>
  <c r="BB798" i="1"/>
  <c r="BA798" i="1"/>
  <c r="AZ798" i="1"/>
  <c r="AY798" i="1"/>
  <c r="AX798" i="1"/>
  <c r="AW798" i="1"/>
  <c r="AV798" i="1"/>
  <c r="AU798" i="1"/>
  <c r="AT798" i="1"/>
  <c r="AS798" i="1"/>
  <c r="AR798" i="1"/>
  <c r="AQ798" i="1"/>
  <c r="AP798" i="1"/>
  <c r="AO798" i="1"/>
  <c r="AN798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BQ797" i="1"/>
  <c r="BP797" i="1"/>
  <c r="BO797" i="1"/>
  <c r="BN797" i="1"/>
  <c r="BM797" i="1"/>
  <c r="BL797" i="1"/>
  <c r="BK797" i="1"/>
  <c r="BJ797" i="1"/>
  <c r="BI797" i="1"/>
  <c r="BH797" i="1"/>
  <c r="BG797" i="1"/>
  <c r="BF797" i="1"/>
  <c r="BE797" i="1"/>
  <c r="BD797" i="1"/>
  <c r="BC797" i="1"/>
  <c r="BB797" i="1"/>
  <c r="BA797" i="1"/>
  <c r="AZ797" i="1"/>
  <c r="AY797" i="1"/>
  <c r="AX797" i="1"/>
  <c r="AW797" i="1"/>
  <c r="AV797" i="1"/>
  <c r="AU797" i="1"/>
  <c r="AT797" i="1"/>
  <c r="AS797" i="1"/>
  <c r="AR797" i="1"/>
  <c r="AQ797" i="1"/>
  <c r="AP797" i="1"/>
  <c r="AO797" i="1"/>
  <c r="AN797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BQ796" i="1"/>
  <c r="BP796" i="1"/>
  <c r="BO796" i="1"/>
  <c r="BN796" i="1"/>
  <c r="BM796" i="1"/>
  <c r="BL796" i="1"/>
  <c r="BK796" i="1"/>
  <c r="BJ796" i="1"/>
  <c r="BI796" i="1"/>
  <c r="BH796" i="1"/>
  <c r="BG796" i="1"/>
  <c r="BF796" i="1"/>
  <c r="BE796" i="1"/>
  <c r="BD796" i="1"/>
  <c r="BC796" i="1"/>
  <c r="BB796" i="1"/>
  <c r="BA796" i="1"/>
  <c r="AZ796" i="1"/>
  <c r="AY796" i="1"/>
  <c r="AX796" i="1"/>
  <c r="AW796" i="1"/>
  <c r="AV796" i="1"/>
  <c r="AU796" i="1"/>
  <c r="AT796" i="1"/>
  <c r="AS796" i="1"/>
  <c r="AR796" i="1"/>
  <c r="AQ796" i="1"/>
  <c r="AP796" i="1"/>
  <c r="AO796" i="1"/>
  <c r="AN796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BQ795" i="1"/>
  <c r="BP795" i="1"/>
  <c r="BO795" i="1"/>
  <c r="BN795" i="1"/>
  <c r="BM795" i="1"/>
  <c r="BL795" i="1"/>
  <c r="BK795" i="1"/>
  <c r="BJ795" i="1"/>
  <c r="BI795" i="1"/>
  <c r="BH795" i="1"/>
  <c r="BG795" i="1"/>
  <c r="BF795" i="1"/>
  <c r="BE795" i="1"/>
  <c r="BD795" i="1"/>
  <c r="BC795" i="1"/>
  <c r="BB795" i="1"/>
  <c r="BA795" i="1"/>
  <c r="AZ795" i="1"/>
  <c r="AY795" i="1"/>
  <c r="AX795" i="1"/>
  <c r="AW795" i="1"/>
  <c r="AV795" i="1"/>
  <c r="AU795" i="1"/>
  <c r="AT795" i="1"/>
  <c r="AS795" i="1"/>
  <c r="AR795" i="1"/>
  <c r="AQ795" i="1"/>
  <c r="AP795" i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BQ794" i="1"/>
  <c r="BP794" i="1"/>
  <c r="BO794" i="1"/>
  <c r="BN794" i="1"/>
  <c r="BM794" i="1"/>
  <c r="BL794" i="1"/>
  <c r="BK794" i="1"/>
  <c r="BJ794" i="1"/>
  <c r="BI794" i="1"/>
  <c r="BH794" i="1"/>
  <c r="BG794" i="1"/>
  <c r="BF794" i="1"/>
  <c r="BE794" i="1"/>
  <c r="BD794" i="1"/>
  <c r="BC794" i="1"/>
  <c r="BB794" i="1"/>
  <c r="BA794" i="1"/>
  <c r="AZ794" i="1"/>
  <c r="AY794" i="1"/>
  <c r="AX794" i="1"/>
  <c r="AW794" i="1"/>
  <c r="AV794" i="1"/>
  <c r="AU794" i="1"/>
  <c r="AT794" i="1"/>
  <c r="AS794" i="1"/>
  <c r="AR794" i="1"/>
  <c r="AQ794" i="1"/>
  <c r="AP794" i="1"/>
  <c r="AO794" i="1"/>
  <c r="AN794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BQ793" i="1"/>
  <c r="BP793" i="1"/>
  <c r="BO793" i="1"/>
  <c r="BN793" i="1"/>
  <c r="BM793" i="1"/>
  <c r="BL793" i="1"/>
  <c r="BK793" i="1"/>
  <c r="BJ793" i="1"/>
  <c r="BI793" i="1"/>
  <c r="BH793" i="1"/>
  <c r="BG793" i="1"/>
  <c r="BF793" i="1"/>
  <c r="BE793" i="1"/>
  <c r="BD793" i="1"/>
  <c r="BC793" i="1"/>
  <c r="BB793" i="1"/>
  <c r="BA793" i="1"/>
  <c r="AZ793" i="1"/>
  <c r="AY793" i="1"/>
  <c r="AX793" i="1"/>
  <c r="AW793" i="1"/>
  <c r="AV793" i="1"/>
  <c r="AU793" i="1"/>
  <c r="AT793" i="1"/>
  <c r="AS793" i="1"/>
  <c r="AR793" i="1"/>
  <c r="AQ793" i="1"/>
  <c r="AP793" i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BQ792" i="1"/>
  <c r="BP792" i="1"/>
  <c r="BO792" i="1"/>
  <c r="BN792" i="1"/>
  <c r="BM792" i="1"/>
  <c r="BL792" i="1"/>
  <c r="BK792" i="1"/>
  <c r="BJ792" i="1"/>
  <c r="BI792" i="1"/>
  <c r="BH792" i="1"/>
  <c r="BG792" i="1"/>
  <c r="BF792" i="1"/>
  <c r="BE792" i="1"/>
  <c r="BD792" i="1"/>
  <c r="BC792" i="1"/>
  <c r="BB792" i="1"/>
  <c r="BA792" i="1"/>
  <c r="AZ792" i="1"/>
  <c r="AY792" i="1"/>
  <c r="AX792" i="1"/>
  <c r="AW792" i="1"/>
  <c r="AV792" i="1"/>
  <c r="AU792" i="1"/>
  <c r="AT792" i="1"/>
  <c r="AS792" i="1"/>
  <c r="AR792" i="1"/>
  <c r="AQ792" i="1"/>
  <c r="AP792" i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BQ791" i="1"/>
  <c r="BP791" i="1"/>
  <c r="BO791" i="1"/>
  <c r="BN791" i="1"/>
  <c r="BM791" i="1"/>
  <c r="BL791" i="1"/>
  <c r="BK791" i="1"/>
  <c r="BJ791" i="1"/>
  <c r="BI791" i="1"/>
  <c r="BH791" i="1"/>
  <c r="BG791" i="1"/>
  <c r="BF791" i="1"/>
  <c r="BE791" i="1"/>
  <c r="BD791" i="1"/>
  <c r="BC791" i="1"/>
  <c r="BB791" i="1"/>
  <c r="BA791" i="1"/>
  <c r="AZ791" i="1"/>
  <c r="AY791" i="1"/>
  <c r="AX791" i="1"/>
  <c r="AW791" i="1"/>
  <c r="AV791" i="1"/>
  <c r="AU791" i="1"/>
  <c r="AT791" i="1"/>
  <c r="AS791" i="1"/>
  <c r="AR791" i="1"/>
  <c r="AQ791" i="1"/>
  <c r="AP791" i="1"/>
  <c r="AO791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BQ790" i="1"/>
  <c r="BP790" i="1"/>
  <c r="BO790" i="1"/>
  <c r="BN790" i="1"/>
  <c r="BM790" i="1"/>
  <c r="BL790" i="1"/>
  <c r="BK790" i="1"/>
  <c r="BJ790" i="1"/>
  <c r="BI790" i="1"/>
  <c r="BH790" i="1"/>
  <c r="BG790" i="1"/>
  <c r="BF790" i="1"/>
  <c r="BE790" i="1"/>
  <c r="BD790" i="1"/>
  <c r="BC790" i="1"/>
  <c r="BB790" i="1"/>
  <c r="BA790" i="1"/>
  <c r="AZ790" i="1"/>
  <c r="AY790" i="1"/>
  <c r="AX790" i="1"/>
  <c r="AW790" i="1"/>
  <c r="AV790" i="1"/>
  <c r="AU790" i="1"/>
  <c r="AT790" i="1"/>
  <c r="AS790" i="1"/>
  <c r="AR790" i="1"/>
  <c r="AQ790" i="1"/>
  <c r="AP790" i="1"/>
  <c r="AO790" i="1"/>
  <c r="AN790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BQ789" i="1"/>
  <c r="BP789" i="1"/>
  <c r="BO789" i="1"/>
  <c r="BN789" i="1"/>
  <c r="BM789" i="1"/>
  <c r="BL789" i="1"/>
  <c r="BK789" i="1"/>
  <c r="BJ789" i="1"/>
  <c r="BI789" i="1"/>
  <c r="BH789" i="1"/>
  <c r="BG789" i="1"/>
  <c r="BF789" i="1"/>
  <c r="BE789" i="1"/>
  <c r="BD789" i="1"/>
  <c r="BC789" i="1"/>
  <c r="BB789" i="1"/>
  <c r="BA789" i="1"/>
  <c r="AZ789" i="1"/>
  <c r="AY789" i="1"/>
  <c r="AX789" i="1"/>
  <c r="AW789" i="1"/>
  <c r="AV789" i="1"/>
  <c r="AU789" i="1"/>
  <c r="AT789" i="1"/>
  <c r="AS789" i="1"/>
  <c r="AR789" i="1"/>
  <c r="AQ789" i="1"/>
  <c r="AP789" i="1"/>
  <c r="AO789" i="1"/>
  <c r="AN789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BQ788" i="1"/>
  <c r="BP788" i="1"/>
  <c r="BO788" i="1"/>
  <c r="BN788" i="1"/>
  <c r="BM788" i="1"/>
  <c r="BL788" i="1"/>
  <c r="BK788" i="1"/>
  <c r="BJ788" i="1"/>
  <c r="BI788" i="1"/>
  <c r="BH788" i="1"/>
  <c r="BG788" i="1"/>
  <c r="BF788" i="1"/>
  <c r="BE788" i="1"/>
  <c r="BD788" i="1"/>
  <c r="BC788" i="1"/>
  <c r="BB788" i="1"/>
  <c r="BA788" i="1"/>
  <c r="AZ788" i="1"/>
  <c r="AY788" i="1"/>
  <c r="AX788" i="1"/>
  <c r="AW788" i="1"/>
  <c r="AV788" i="1"/>
  <c r="AU788" i="1"/>
  <c r="AT788" i="1"/>
  <c r="AS788" i="1"/>
  <c r="AR788" i="1"/>
  <c r="AQ788" i="1"/>
  <c r="AP788" i="1"/>
  <c r="AO788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BQ787" i="1"/>
  <c r="BP787" i="1"/>
  <c r="BO787" i="1"/>
  <c r="BN787" i="1"/>
  <c r="BM787" i="1"/>
  <c r="BL787" i="1"/>
  <c r="BK787" i="1"/>
  <c r="BJ787" i="1"/>
  <c r="BI787" i="1"/>
  <c r="BH787" i="1"/>
  <c r="BG787" i="1"/>
  <c r="BF787" i="1"/>
  <c r="BE787" i="1"/>
  <c r="BD787" i="1"/>
  <c r="BC787" i="1"/>
  <c r="BB787" i="1"/>
  <c r="BA787" i="1"/>
  <c r="AZ787" i="1"/>
  <c r="AY787" i="1"/>
  <c r="AX787" i="1"/>
  <c r="AW787" i="1"/>
  <c r="AV787" i="1"/>
  <c r="AU787" i="1"/>
  <c r="AT787" i="1"/>
  <c r="AS787" i="1"/>
  <c r="AR787" i="1"/>
  <c r="AQ787" i="1"/>
  <c r="AP787" i="1"/>
  <c r="AO787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BQ786" i="1"/>
  <c r="BP786" i="1"/>
  <c r="BO786" i="1"/>
  <c r="BN786" i="1"/>
  <c r="BM786" i="1"/>
  <c r="BL786" i="1"/>
  <c r="BK786" i="1"/>
  <c r="BJ786" i="1"/>
  <c r="BI786" i="1"/>
  <c r="BH786" i="1"/>
  <c r="BG786" i="1"/>
  <c r="BF786" i="1"/>
  <c r="BE786" i="1"/>
  <c r="BD786" i="1"/>
  <c r="BC786" i="1"/>
  <c r="BB786" i="1"/>
  <c r="BA786" i="1"/>
  <c r="AZ786" i="1"/>
  <c r="AY786" i="1"/>
  <c r="AX786" i="1"/>
  <c r="AW786" i="1"/>
  <c r="AV786" i="1"/>
  <c r="AU786" i="1"/>
  <c r="AT786" i="1"/>
  <c r="AS786" i="1"/>
  <c r="AR786" i="1"/>
  <c r="AQ786" i="1"/>
  <c r="AP786" i="1"/>
  <c r="AO786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BQ785" i="1"/>
  <c r="BP785" i="1"/>
  <c r="BO785" i="1"/>
  <c r="BN785" i="1"/>
  <c r="BM785" i="1"/>
  <c r="BL785" i="1"/>
  <c r="BK785" i="1"/>
  <c r="BJ785" i="1"/>
  <c r="BI785" i="1"/>
  <c r="BH785" i="1"/>
  <c r="BG785" i="1"/>
  <c r="BF785" i="1"/>
  <c r="BE785" i="1"/>
  <c r="BD785" i="1"/>
  <c r="BC785" i="1"/>
  <c r="BB785" i="1"/>
  <c r="BA785" i="1"/>
  <c r="AZ785" i="1"/>
  <c r="AY785" i="1"/>
  <c r="AX785" i="1"/>
  <c r="AW785" i="1"/>
  <c r="AV785" i="1"/>
  <c r="AU785" i="1"/>
  <c r="AT785" i="1"/>
  <c r="AS785" i="1"/>
  <c r="AR785" i="1"/>
  <c r="AQ785" i="1"/>
  <c r="AP785" i="1"/>
  <c r="AO785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BQ784" i="1"/>
  <c r="BP784" i="1"/>
  <c r="BO784" i="1"/>
  <c r="BN784" i="1"/>
  <c r="BM784" i="1"/>
  <c r="BL784" i="1"/>
  <c r="BK784" i="1"/>
  <c r="BJ784" i="1"/>
  <c r="BI784" i="1"/>
  <c r="BH784" i="1"/>
  <c r="BG784" i="1"/>
  <c r="BF784" i="1"/>
  <c r="BE784" i="1"/>
  <c r="BD784" i="1"/>
  <c r="BC784" i="1"/>
  <c r="BB784" i="1"/>
  <c r="BA784" i="1"/>
  <c r="AZ784" i="1"/>
  <c r="AY784" i="1"/>
  <c r="AX784" i="1"/>
  <c r="AW784" i="1"/>
  <c r="AV784" i="1"/>
  <c r="AU784" i="1"/>
  <c r="AT784" i="1"/>
  <c r="AS784" i="1"/>
  <c r="AR784" i="1"/>
  <c r="AQ784" i="1"/>
  <c r="AP784" i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BQ783" i="1"/>
  <c r="BP783" i="1"/>
  <c r="BO783" i="1"/>
  <c r="BN783" i="1"/>
  <c r="BM783" i="1"/>
  <c r="BL783" i="1"/>
  <c r="BK783" i="1"/>
  <c r="BJ783" i="1"/>
  <c r="BI783" i="1"/>
  <c r="BH783" i="1"/>
  <c r="BG783" i="1"/>
  <c r="BF783" i="1"/>
  <c r="BE783" i="1"/>
  <c r="BD783" i="1"/>
  <c r="BC783" i="1"/>
  <c r="BB783" i="1"/>
  <c r="BA783" i="1"/>
  <c r="AZ783" i="1"/>
  <c r="AY783" i="1"/>
  <c r="AX783" i="1"/>
  <c r="AW783" i="1"/>
  <c r="AV783" i="1"/>
  <c r="AU783" i="1"/>
  <c r="AT783" i="1"/>
  <c r="AS783" i="1"/>
  <c r="AR783" i="1"/>
  <c r="AQ783" i="1"/>
  <c r="AP783" i="1"/>
  <c r="AO783" i="1"/>
  <c r="AN783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BQ782" i="1"/>
  <c r="BP782" i="1"/>
  <c r="BO782" i="1"/>
  <c r="BN782" i="1"/>
  <c r="BM782" i="1"/>
  <c r="BL782" i="1"/>
  <c r="BK782" i="1"/>
  <c r="BJ782" i="1"/>
  <c r="BI782" i="1"/>
  <c r="BH782" i="1"/>
  <c r="BG782" i="1"/>
  <c r="BF782" i="1"/>
  <c r="BE782" i="1"/>
  <c r="BD782" i="1"/>
  <c r="BC782" i="1"/>
  <c r="BB782" i="1"/>
  <c r="BA782" i="1"/>
  <c r="AZ782" i="1"/>
  <c r="AY782" i="1"/>
  <c r="AX782" i="1"/>
  <c r="AW782" i="1"/>
  <c r="AV782" i="1"/>
  <c r="AU782" i="1"/>
  <c r="AT782" i="1"/>
  <c r="AS782" i="1"/>
  <c r="AR782" i="1"/>
  <c r="AQ782" i="1"/>
  <c r="AP782" i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BQ781" i="1"/>
  <c r="BP781" i="1"/>
  <c r="BO781" i="1"/>
  <c r="BN781" i="1"/>
  <c r="BM781" i="1"/>
  <c r="BL781" i="1"/>
  <c r="BK781" i="1"/>
  <c r="BJ781" i="1"/>
  <c r="BI781" i="1"/>
  <c r="BH781" i="1"/>
  <c r="BG781" i="1"/>
  <c r="BF781" i="1"/>
  <c r="BE781" i="1"/>
  <c r="BD781" i="1"/>
  <c r="BC781" i="1"/>
  <c r="BB781" i="1"/>
  <c r="BA781" i="1"/>
  <c r="AZ781" i="1"/>
  <c r="AY781" i="1"/>
  <c r="AX781" i="1"/>
  <c r="AW781" i="1"/>
  <c r="AV781" i="1"/>
  <c r="AU781" i="1"/>
  <c r="AT781" i="1"/>
  <c r="AS781" i="1"/>
  <c r="AR781" i="1"/>
  <c r="AQ781" i="1"/>
  <c r="AP781" i="1"/>
  <c r="AO781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BQ780" i="1"/>
  <c r="BP780" i="1"/>
  <c r="BO780" i="1"/>
  <c r="BN780" i="1"/>
  <c r="BM780" i="1"/>
  <c r="BL780" i="1"/>
  <c r="BK780" i="1"/>
  <c r="BJ780" i="1"/>
  <c r="BI780" i="1"/>
  <c r="BH780" i="1"/>
  <c r="BG780" i="1"/>
  <c r="BF780" i="1"/>
  <c r="BE780" i="1"/>
  <c r="BD780" i="1"/>
  <c r="BC780" i="1"/>
  <c r="BB780" i="1"/>
  <c r="BA780" i="1"/>
  <c r="AZ780" i="1"/>
  <c r="AY780" i="1"/>
  <c r="AX780" i="1"/>
  <c r="AW780" i="1"/>
  <c r="AV780" i="1"/>
  <c r="AU780" i="1"/>
  <c r="AT780" i="1"/>
  <c r="AS780" i="1"/>
  <c r="AR780" i="1"/>
  <c r="AQ780" i="1"/>
  <c r="AP780" i="1"/>
  <c r="AO780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BQ779" i="1"/>
  <c r="BP779" i="1"/>
  <c r="BO779" i="1"/>
  <c r="BN779" i="1"/>
  <c r="BM779" i="1"/>
  <c r="BL779" i="1"/>
  <c r="BK779" i="1"/>
  <c r="BJ779" i="1"/>
  <c r="BI779" i="1"/>
  <c r="BH779" i="1"/>
  <c r="BG779" i="1"/>
  <c r="BF779" i="1"/>
  <c r="BE779" i="1"/>
  <c r="BD779" i="1"/>
  <c r="BC779" i="1"/>
  <c r="BB779" i="1"/>
  <c r="BA779" i="1"/>
  <c r="AZ779" i="1"/>
  <c r="AY779" i="1"/>
  <c r="AX779" i="1"/>
  <c r="AW779" i="1"/>
  <c r="AV779" i="1"/>
  <c r="AU779" i="1"/>
  <c r="AT779" i="1"/>
  <c r="AS779" i="1"/>
  <c r="AR779" i="1"/>
  <c r="AQ779" i="1"/>
  <c r="AP779" i="1"/>
  <c r="AO779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BQ778" i="1"/>
  <c r="BP778" i="1"/>
  <c r="BO778" i="1"/>
  <c r="BN778" i="1"/>
  <c r="BM778" i="1"/>
  <c r="BL778" i="1"/>
  <c r="BK778" i="1"/>
  <c r="BJ778" i="1"/>
  <c r="BI778" i="1"/>
  <c r="BH778" i="1"/>
  <c r="BG778" i="1"/>
  <c r="BF778" i="1"/>
  <c r="BE778" i="1"/>
  <c r="BD778" i="1"/>
  <c r="BC778" i="1"/>
  <c r="BB778" i="1"/>
  <c r="BA778" i="1"/>
  <c r="AZ778" i="1"/>
  <c r="AY778" i="1"/>
  <c r="AX778" i="1"/>
  <c r="AW778" i="1"/>
  <c r="AV778" i="1"/>
  <c r="AU778" i="1"/>
  <c r="AT778" i="1"/>
  <c r="AS778" i="1"/>
  <c r="AR778" i="1"/>
  <c r="AQ778" i="1"/>
  <c r="AP778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BQ777" i="1"/>
  <c r="BP777" i="1"/>
  <c r="BO777" i="1"/>
  <c r="BN777" i="1"/>
  <c r="BM777" i="1"/>
  <c r="BL777" i="1"/>
  <c r="BK777" i="1"/>
  <c r="BJ777" i="1"/>
  <c r="BI777" i="1"/>
  <c r="BH777" i="1"/>
  <c r="BG777" i="1"/>
  <c r="BF777" i="1"/>
  <c r="BE777" i="1"/>
  <c r="BD777" i="1"/>
  <c r="BC777" i="1"/>
  <c r="BB777" i="1"/>
  <c r="BA777" i="1"/>
  <c r="AZ777" i="1"/>
  <c r="AY777" i="1"/>
  <c r="AX777" i="1"/>
  <c r="AW777" i="1"/>
  <c r="AV777" i="1"/>
  <c r="AU777" i="1"/>
  <c r="AT777" i="1"/>
  <c r="AS777" i="1"/>
  <c r="AR777" i="1"/>
  <c r="AQ777" i="1"/>
  <c r="AP777" i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BQ776" i="1"/>
  <c r="BP776" i="1"/>
  <c r="BO776" i="1"/>
  <c r="BN776" i="1"/>
  <c r="BM776" i="1"/>
  <c r="BL776" i="1"/>
  <c r="BK776" i="1"/>
  <c r="BJ776" i="1"/>
  <c r="BI776" i="1"/>
  <c r="BH776" i="1"/>
  <c r="BG776" i="1"/>
  <c r="BF776" i="1"/>
  <c r="BE776" i="1"/>
  <c r="BD776" i="1"/>
  <c r="BC776" i="1"/>
  <c r="BB776" i="1"/>
  <c r="BA776" i="1"/>
  <c r="AZ776" i="1"/>
  <c r="AY776" i="1"/>
  <c r="AX776" i="1"/>
  <c r="AW776" i="1"/>
  <c r="AV776" i="1"/>
  <c r="AU776" i="1"/>
  <c r="AT776" i="1"/>
  <c r="AS776" i="1"/>
  <c r="AR776" i="1"/>
  <c r="AQ776" i="1"/>
  <c r="AP776" i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BQ775" i="1"/>
  <c r="BP775" i="1"/>
  <c r="BO775" i="1"/>
  <c r="BN775" i="1"/>
  <c r="BM775" i="1"/>
  <c r="BL775" i="1"/>
  <c r="BK775" i="1"/>
  <c r="BJ775" i="1"/>
  <c r="BI775" i="1"/>
  <c r="BH775" i="1"/>
  <c r="BG775" i="1"/>
  <c r="BF775" i="1"/>
  <c r="BE775" i="1"/>
  <c r="BD775" i="1"/>
  <c r="BC775" i="1"/>
  <c r="BB775" i="1"/>
  <c r="BA775" i="1"/>
  <c r="AZ775" i="1"/>
  <c r="AY775" i="1"/>
  <c r="AX775" i="1"/>
  <c r="AW775" i="1"/>
  <c r="AV775" i="1"/>
  <c r="AU775" i="1"/>
  <c r="AT775" i="1"/>
  <c r="AS775" i="1"/>
  <c r="AR775" i="1"/>
  <c r="AQ775" i="1"/>
  <c r="AP775" i="1"/>
  <c r="AO775" i="1"/>
  <c r="AN775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BQ774" i="1"/>
  <c r="BP774" i="1"/>
  <c r="BO774" i="1"/>
  <c r="BN774" i="1"/>
  <c r="BM774" i="1"/>
  <c r="BL774" i="1"/>
  <c r="BK774" i="1"/>
  <c r="BJ774" i="1"/>
  <c r="BI774" i="1"/>
  <c r="BH774" i="1"/>
  <c r="BG774" i="1"/>
  <c r="BF774" i="1"/>
  <c r="BE774" i="1"/>
  <c r="BD774" i="1"/>
  <c r="BC774" i="1"/>
  <c r="BB774" i="1"/>
  <c r="BA774" i="1"/>
  <c r="AZ774" i="1"/>
  <c r="AY774" i="1"/>
  <c r="AX774" i="1"/>
  <c r="AW774" i="1"/>
  <c r="AV774" i="1"/>
  <c r="AU774" i="1"/>
  <c r="AT774" i="1"/>
  <c r="AS774" i="1"/>
  <c r="AR774" i="1"/>
  <c r="AQ774" i="1"/>
  <c r="AP774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BQ773" i="1"/>
  <c r="BP773" i="1"/>
  <c r="BO773" i="1"/>
  <c r="BN773" i="1"/>
  <c r="BM773" i="1"/>
  <c r="BL773" i="1"/>
  <c r="BK773" i="1"/>
  <c r="BJ773" i="1"/>
  <c r="BI773" i="1"/>
  <c r="BH773" i="1"/>
  <c r="BG773" i="1"/>
  <c r="BF773" i="1"/>
  <c r="BE773" i="1"/>
  <c r="BD773" i="1"/>
  <c r="BC773" i="1"/>
  <c r="BB773" i="1"/>
  <c r="BA773" i="1"/>
  <c r="AZ773" i="1"/>
  <c r="AY773" i="1"/>
  <c r="AX773" i="1"/>
  <c r="AW773" i="1"/>
  <c r="AV773" i="1"/>
  <c r="AU773" i="1"/>
  <c r="AT773" i="1"/>
  <c r="AS773" i="1"/>
  <c r="AR773" i="1"/>
  <c r="AQ773" i="1"/>
  <c r="AP773" i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BQ772" i="1"/>
  <c r="BP772" i="1"/>
  <c r="BO772" i="1"/>
  <c r="BN772" i="1"/>
  <c r="BM772" i="1"/>
  <c r="BL772" i="1"/>
  <c r="BK772" i="1"/>
  <c r="BJ772" i="1"/>
  <c r="BI772" i="1"/>
  <c r="BH772" i="1"/>
  <c r="BG772" i="1"/>
  <c r="BF772" i="1"/>
  <c r="BE772" i="1"/>
  <c r="BD772" i="1"/>
  <c r="BC772" i="1"/>
  <c r="BB772" i="1"/>
  <c r="BA772" i="1"/>
  <c r="AZ772" i="1"/>
  <c r="AY772" i="1"/>
  <c r="AX772" i="1"/>
  <c r="AW772" i="1"/>
  <c r="AV772" i="1"/>
  <c r="AU772" i="1"/>
  <c r="AT772" i="1"/>
  <c r="AS772" i="1"/>
  <c r="AR772" i="1"/>
  <c r="AQ772" i="1"/>
  <c r="AP772" i="1"/>
  <c r="AO772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BQ771" i="1"/>
  <c r="BP771" i="1"/>
  <c r="BO771" i="1"/>
  <c r="BN771" i="1"/>
  <c r="BM771" i="1"/>
  <c r="BL771" i="1"/>
  <c r="BK771" i="1"/>
  <c r="BJ771" i="1"/>
  <c r="BI771" i="1"/>
  <c r="BH771" i="1"/>
  <c r="BG771" i="1"/>
  <c r="BF771" i="1"/>
  <c r="BE771" i="1"/>
  <c r="BD771" i="1"/>
  <c r="BC771" i="1"/>
  <c r="BB771" i="1"/>
  <c r="BA771" i="1"/>
  <c r="AZ771" i="1"/>
  <c r="AY771" i="1"/>
  <c r="AX771" i="1"/>
  <c r="AW771" i="1"/>
  <c r="AV771" i="1"/>
  <c r="AU771" i="1"/>
  <c r="AT771" i="1"/>
  <c r="AS771" i="1"/>
  <c r="AR771" i="1"/>
  <c r="AQ771" i="1"/>
  <c r="AP771" i="1"/>
  <c r="AO771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BQ770" i="1"/>
  <c r="BP770" i="1"/>
  <c r="BO770" i="1"/>
  <c r="BN770" i="1"/>
  <c r="BM770" i="1"/>
  <c r="BL770" i="1"/>
  <c r="BK770" i="1"/>
  <c r="BJ770" i="1"/>
  <c r="BI770" i="1"/>
  <c r="BH770" i="1"/>
  <c r="BG770" i="1"/>
  <c r="BF770" i="1"/>
  <c r="BE770" i="1"/>
  <c r="BD770" i="1"/>
  <c r="BC770" i="1"/>
  <c r="BB770" i="1"/>
  <c r="BA770" i="1"/>
  <c r="AZ770" i="1"/>
  <c r="AY770" i="1"/>
  <c r="AX770" i="1"/>
  <c r="AW770" i="1"/>
  <c r="AV770" i="1"/>
  <c r="AU770" i="1"/>
  <c r="AT770" i="1"/>
  <c r="AS770" i="1"/>
  <c r="AR770" i="1"/>
  <c r="AQ770" i="1"/>
  <c r="AP770" i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BQ769" i="1"/>
  <c r="BP769" i="1"/>
  <c r="BO769" i="1"/>
  <c r="BN769" i="1"/>
  <c r="BM769" i="1"/>
  <c r="BL769" i="1"/>
  <c r="BK769" i="1"/>
  <c r="BJ769" i="1"/>
  <c r="BI769" i="1"/>
  <c r="BH769" i="1"/>
  <c r="BG769" i="1"/>
  <c r="BF769" i="1"/>
  <c r="BE769" i="1"/>
  <c r="BD769" i="1"/>
  <c r="BC769" i="1"/>
  <c r="BB769" i="1"/>
  <c r="BA769" i="1"/>
  <c r="AZ769" i="1"/>
  <c r="AY769" i="1"/>
  <c r="AX769" i="1"/>
  <c r="AW769" i="1"/>
  <c r="AV769" i="1"/>
  <c r="AU769" i="1"/>
  <c r="AT769" i="1"/>
  <c r="AS769" i="1"/>
  <c r="AR769" i="1"/>
  <c r="AQ769" i="1"/>
  <c r="AP769" i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BQ768" i="1"/>
  <c r="BP768" i="1"/>
  <c r="BO768" i="1"/>
  <c r="BN768" i="1"/>
  <c r="BM768" i="1"/>
  <c r="BL768" i="1"/>
  <c r="BK768" i="1"/>
  <c r="BJ768" i="1"/>
  <c r="BI768" i="1"/>
  <c r="BH768" i="1"/>
  <c r="BG768" i="1"/>
  <c r="BF768" i="1"/>
  <c r="BE768" i="1"/>
  <c r="BD768" i="1"/>
  <c r="BC768" i="1"/>
  <c r="BB768" i="1"/>
  <c r="BA768" i="1"/>
  <c r="AZ768" i="1"/>
  <c r="AY768" i="1"/>
  <c r="AX768" i="1"/>
  <c r="AW768" i="1"/>
  <c r="AV768" i="1"/>
  <c r="AU768" i="1"/>
  <c r="AT768" i="1"/>
  <c r="AS768" i="1"/>
  <c r="AR768" i="1"/>
  <c r="AQ768" i="1"/>
  <c r="AP768" i="1"/>
  <c r="AO768" i="1"/>
  <c r="AN768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BQ767" i="1"/>
  <c r="BP767" i="1"/>
  <c r="BO767" i="1"/>
  <c r="BN767" i="1"/>
  <c r="BM767" i="1"/>
  <c r="BL767" i="1"/>
  <c r="BK767" i="1"/>
  <c r="BJ767" i="1"/>
  <c r="BI767" i="1"/>
  <c r="BH767" i="1"/>
  <c r="BG767" i="1"/>
  <c r="BF767" i="1"/>
  <c r="BE767" i="1"/>
  <c r="BD767" i="1"/>
  <c r="BC767" i="1"/>
  <c r="BB767" i="1"/>
  <c r="BA767" i="1"/>
  <c r="AZ767" i="1"/>
  <c r="AY767" i="1"/>
  <c r="AX767" i="1"/>
  <c r="AW767" i="1"/>
  <c r="AV767" i="1"/>
  <c r="AU767" i="1"/>
  <c r="AT767" i="1"/>
  <c r="AS767" i="1"/>
  <c r="AR767" i="1"/>
  <c r="AQ767" i="1"/>
  <c r="AP767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BQ766" i="1"/>
  <c r="BP766" i="1"/>
  <c r="BO766" i="1"/>
  <c r="BN766" i="1"/>
  <c r="BM766" i="1"/>
  <c r="BL766" i="1"/>
  <c r="BK766" i="1"/>
  <c r="BJ766" i="1"/>
  <c r="BI766" i="1"/>
  <c r="BH766" i="1"/>
  <c r="BG766" i="1"/>
  <c r="BF766" i="1"/>
  <c r="BE766" i="1"/>
  <c r="BD766" i="1"/>
  <c r="BC766" i="1"/>
  <c r="BB766" i="1"/>
  <c r="BA766" i="1"/>
  <c r="AZ766" i="1"/>
  <c r="AY766" i="1"/>
  <c r="AX766" i="1"/>
  <c r="AW766" i="1"/>
  <c r="AV766" i="1"/>
  <c r="AU766" i="1"/>
  <c r="AT766" i="1"/>
  <c r="AS766" i="1"/>
  <c r="AR766" i="1"/>
  <c r="AQ766" i="1"/>
  <c r="AP766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BQ765" i="1"/>
  <c r="BP765" i="1"/>
  <c r="BO765" i="1"/>
  <c r="BN765" i="1"/>
  <c r="BM765" i="1"/>
  <c r="BL765" i="1"/>
  <c r="BK765" i="1"/>
  <c r="BJ765" i="1"/>
  <c r="BI765" i="1"/>
  <c r="BH765" i="1"/>
  <c r="BG765" i="1"/>
  <c r="BF765" i="1"/>
  <c r="BE765" i="1"/>
  <c r="BD765" i="1"/>
  <c r="BC765" i="1"/>
  <c r="BB765" i="1"/>
  <c r="BA765" i="1"/>
  <c r="AZ765" i="1"/>
  <c r="AY765" i="1"/>
  <c r="AX765" i="1"/>
  <c r="AW765" i="1"/>
  <c r="AV765" i="1"/>
  <c r="AU765" i="1"/>
  <c r="AT765" i="1"/>
  <c r="AS765" i="1"/>
  <c r="AR765" i="1"/>
  <c r="AQ765" i="1"/>
  <c r="AP765" i="1"/>
  <c r="AO765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BQ764" i="1"/>
  <c r="BP764" i="1"/>
  <c r="BO764" i="1"/>
  <c r="BN764" i="1"/>
  <c r="BM764" i="1"/>
  <c r="BL764" i="1"/>
  <c r="BK764" i="1"/>
  <c r="BJ764" i="1"/>
  <c r="BI764" i="1"/>
  <c r="BH764" i="1"/>
  <c r="BG764" i="1"/>
  <c r="BF764" i="1"/>
  <c r="BE764" i="1"/>
  <c r="BD764" i="1"/>
  <c r="BC764" i="1"/>
  <c r="BB764" i="1"/>
  <c r="BA764" i="1"/>
  <c r="AZ764" i="1"/>
  <c r="AY764" i="1"/>
  <c r="AX764" i="1"/>
  <c r="AW764" i="1"/>
  <c r="AV764" i="1"/>
  <c r="AU764" i="1"/>
  <c r="AT764" i="1"/>
  <c r="AS764" i="1"/>
  <c r="AR764" i="1"/>
  <c r="AQ764" i="1"/>
  <c r="AP764" i="1"/>
  <c r="AO764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BQ763" i="1"/>
  <c r="BP763" i="1"/>
  <c r="BO763" i="1"/>
  <c r="BN763" i="1"/>
  <c r="BM763" i="1"/>
  <c r="BL763" i="1"/>
  <c r="BK763" i="1"/>
  <c r="BJ763" i="1"/>
  <c r="BI763" i="1"/>
  <c r="BH763" i="1"/>
  <c r="BG763" i="1"/>
  <c r="BF763" i="1"/>
  <c r="BE763" i="1"/>
  <c r="BD763" i="1"/>
  <c r="BC763" i="1"/>
  <c r="BB763" i="1"/>
  <c r="BA763" i="1"/>
  <c r="AZ763" i="1"/>
  <c r="AY763" i="1"/>
  <c r="AX763" i="1"/>
  <c r="AW763" i="1"/>
  <c r="AV763" i="1"/>
  <c r="AU763" i="1"/>
  <c r="AT763" i="1"/>
  <c r="AS763" i="1"/>
  <c r="AR763" i="1"/>
  <c r="AQ763" i="1"/>
  <c r="AP763" i="1"/>
  <c r="AO763" i="1"/>
  <c r="AN763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BQ762" i="1"/>
  <c r="BP762" i="1"/>
  <c r="BO762" i="1"/>
  <c r="BN762" i="1"/>
  <c r="BM762" i="1"/>
  <c r="BL762" i="1"/>
  <c r="BK762" i="1"/>
  <c r="BJ762" i="1"/>
  <c r="BI762" i="1"/>
  <c r="BH762" i="1"/>
  <c r="BG762" i="1"/>
  <c r="BF762" i="1"/>
  <c r="BE762" i="1"/>
  <c r="BD762" i="1"/>
  <c r="BC762" i="1"/>
  <c r="BB762" i="1"/>
  <c r="BA762" i="1"/>
  <c r="AZ762" i="1"/>
  <c r="AY762" i="1"/>
  <c r="AX762" i="1"/>
  <c r="AW762" i="1"/>
  <c r="AV762" i="1"/>
  <c r="AU762" i="1"/>
  <c r="AT762" i="1"/>
  <c r="AS762" i="1"/>
  <c r="AR762" i="1"/>
  <c r="AQ762" i="1"/>
  <c r="AP762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BQ761" i="1"/>
  <c r="BP761" i="1"/>
  <c r="BO761" i="1"/>
  <c r="BN761" i="1"/>
  <c r="BM761" i="1"/>
  <c r="BL761" i="1"/>
  <c r="BK761" i="1"/>
  <c r="BJ761" i="1"/>
  <c r="BI761" i="1"/>
  <c r="BH761" i="1"/>
  <c r="BG761" i="1"/>
  <c r="BF761" i="1"/>
  <c r="BE761" i="1"/>
  <c r="BD761" i="1"/>
  <c r="BC761" i="1"/>
  <c r="BB761" i="1"/>
  <c r="BA761" i="1"/>
  <c r="AZ761" i="1"/>
  <c r="AY761" i="1"/>
  <c r="AX761" i="1"/>
  <c r="AW761" i="1"/>
  <c r="AV761" i="1"/>
  <c r="AU761" i="1"/>
  <c r="AT761" i="1"/>
  <c r="AS761" i="1"/>
  <c r="AR761" i="1"/>
  <c r="AQ761" i="1"/>
  <c r="AP761" i="1"/>
  <c r="AO761" i="1"/>
  <c r="AN761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BQ760" i="1"/>
  <c r="BP760" i="1"/>
  <c r="BO760" i="1"/>
  <c r="BN760" i="1"/>
  <c r="BM760" i="1"/>
  <c r="BL760" i="1"/>
  <c r="BK760" i="1"/>
  <c r="BJ760" i="1"/>
  <c r="BI760" i="1"/>
  <c r="BH760" i="1"/>
  <c r="BG760" i="1"/>
  <c r="BF760" i="1"/>
  <c r="BE760" i="1"/>
  <c r="BD760" i="1"/>
  <c r="BC760" i="1"/>
  <c r="BB760" i="1"/>
  <c r="BA760" i="1"/>
  <c r="AZ760" i="1"/>
  <c r="AY760" i="1"/>
  <c r="AX760" i="1"/>
  <c r="AW760" i="1"/>
  <c r="AV760" i="1"/>
  <c r="AU760" i="1"/>
  <c r="AT760" i="1"/>
  <c r="AS760" i="1"/>
  <c r="AR760" i="1"/>
  <c r="AQ760" i="1"/>
  <c r="AP760" i="1"/>
  <c r="AO760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BQ759" i="1"/>
  <c r="BP759" i="1"/>
  <c r="BO759" i="1"/>
  <c r="BN759" i="1"/>
  <c r="BM759" i="1"/>
  <c r="BL759" i="1"/>
  <c r="BK759" i="1"/>
  <c r="BJ759" i="1"/>
  <c r="BI759" i="1"/>
  <c r="BH759" i="1"/>
  <c r="BG759" i="1"/>
  <c r="BF759" i="1"/>
  <c r="BE759" i="1"/>
  <c r="BD759" i="1"/>
  <c r="BC759" i="1"/>
  <c r="BB759" i="1"/>
  <c r="BA759" i="1"/>
  <c r="AZ759" i="1"/>
  <c r="AY759" i="1"/>
  <c r="AX759" i="1"/>
  <c r="AW759" i="1"/>
  <c r="AV759" i="1"/>
  <c r="AU759" i="1"/>
  <c r="AT759" i="1"/>
  <c r="AS759" i="1"/>
  <c r="AR759" i="1"/>
  <c r="AQ759" i="1"/>
  <c r="AP759" i="1"/>
  <c r="AO759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BQ758" i="1"/>
  <c r="BP758" i="1"/>
  <c r="BO758" i="1"/>
  <c r="BN758" i="1"/>
  <c r="BM758" i="1"/>
  <c r="BL758" i="1"/>
  <c r="BK758" i="1"/>
  <c r="BJ758" i="1"/>
  <c r="BI758" i="1"/>
  <c r="BH758" i="1"/>
  <c r="BG758" i="1"/>
  <c r="BF758" i="1"/>
  <c r="BE758" i="1"/>
  <c r="BD758" i="1"/>
  <c r="BC758" i="1"/>
  <c r="BB758" i="1"/>
  <c r="BA758" i="1"/>
  <c r="AZ758" i="1"/>
  <c r="AY758" i="1"/>
  <c r="AX758" i="1"/>
  <c r="AW758" i="1"/>
  <c r="AV758" i="1"/>
  <c r="AU758" i="1"/>
  <c r="AT758" i="1"/>
  <c r="AS758" i="1"/>
  <c r="AR758" i="1"/>
  <c r="AQ758" i="1"/>
  <c r="AP758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BQ757" i="1"/>
  <c r="BP757" i="1"/>
  <c r="BO757" i="1"/>
  <c r="BN757" i="1"/>
  <c r="BM757" i="1"/>
  <c r="BL757" i="1"/>
  <c r="BK757" i="1"/>
  <c r="BJ757" i="1"/>
  <c r="BI757" i="1"/>
  <c r="BH757" i="1"/>
  <c r="BG757" i="1"/>
  <c r="BF757" i="1"/>
  <c r="BE757" i="1"/>
  <c r="BD757" i="1"/>
  <c r="BC757" i="1"/>
  <c r="BB757" i="1"/>
  <c r="BA757" i="1"/>
  <c r="AZ757" i="1"/>
  <c r="AY757" i="1"/>
  <c r="AX757" i="1"/>
  <c r="AW757" i="1"/>
  <c r="AV757" i="1"/>
  <c r="AU757" i="1"/>
  <c r="AT757" i="1"/>
  <c r="AS757" i="1"/>
  <c r="AR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BQ756" i="1"/>
  <c r="BP756" i="1"/>
  <c r="BO756" i="1"/>
  <c r="BN756" i="1"/>
  <c r="BM756" i="1"/>
  <c r="BL756" i="1"/>
  <c r="BK756" i="1"/>
  <c r="BJ756" i="1"/>
  <c r="BI756" i="1"/>
  <c r="BH756" i="1"/>
  <c r="BG756" i="1"/>
  <c r="BF756" i="1"/>
  <c r="BE756" i="1"/>
  <c r="BD756" i="1"/>
  <c r="BC756" i="1"/>
  <c r="BB756" i="1"/>
  <c r="BA756" i="1"/>
  <c r="AZ756" i="1"/>
  <c r="AY756" i="1"/>
  <c r="AX756" i="1"/>
  <c r="AW756" i="1"/>
  <c r="AV756" i="1"/>
  <c r="AU756" i="1"/>
  <c r="AT756" i="1"/>
  <c r="AS756" i="1"/>
  <c r="AR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BQ755" i="1"/>
  <c r="BP755" i="1"/>
  <c r="BO755" i="1"/>
  <c r="BN755" i="1"/>
  <c r="BM755" i="1"/>
  <c r="BL755" i="1"/>
  <c r="BK755" i="1"/>
  <c r="BJ755" i="1"/>
  <c r="BI755" i="1"/>
  <c r="BH755" i="1"/>
  <c r="BG755" i="1"/>
  <c r="BF755" i="1"/>
  <c r="BE755" i="1"/>
  <c r="BD755" i="1"/>
  <c r="BC755" i="1"/>
  <c r="BB755" i="1"/>
  <c r="BA755" i="1"/>
  <c r="AZ755" i="1"/>
  <c r="AY755" i="1"/>
  <c r="AX755" i="1"/>
  <c r="AW755" i="1"/>
  <c r="AV755" i="1"/>
  <c r="AU755" i="1"/>
  <c r="AT755" i="1"/>
  <c r="AS755" i="1"/>
  <c r="AR755" i="1"/>
  <c r="AQ755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BQ754" i="1"/>
  <c r="BP754" i="1"/>
  <c r="BO754" i="1"/>
  <c r="BN754" i="1"/>
  <c r="BM754" i="1"/>
  <c r="BL754" i="1"/>
  <c r="BK754" i="1"/>
  <c r="BJ754" i="1"/>
  <c r="BI754" i="1"/>
  <c r="BH754" i="1"/>
  <c r="BG754" i="1"/>
  <c r="BF754" i="1"/>
  <c r="BE754" i="1"/>
  <c r="BD754" i="1"/>
  <c r="BC754" i="1"/>
  <c r="BB754" i="1"/>
  <c r="BA754" i="1"/>
  <c r="AZ754" i="1"/>
  <c r="AY754" i="1"/>
  <c r="AX754" i="1"/>
  <c r="AW754" i="1"/>
  <c r="AV754" i="1"/>
  <c r="AU754" i="1"/>
  <c r="AT754" i="1"/>
  <c r="AS754" i="1"/>
  <c r="AR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BQ753" i="1"/>
  <c r="BP753" i="1"/>
  <c r="BO753" i="1"/>
  <c r="BN753" i="1"/>
  <c r="BM753" i="1"/>
  <c r="BL753" i="1"/>
  <c r="BK753" i="1"/>
  <c r="BJ753" i="1"/>
  <c r="BI753" i="1"/>
  <c r="BH753" i="1"/>
  <c r="BG753" i="1"/>
  <c r="BF753" i="1"/>
  <c r="BE753" i="1"/>
  <c r="BD753" i="1"/>
  <c r="BC753" i="1"/>
  <c r="BB753" i="1"/>
  <c r="BA753" i="1"/>
  <c r="AZ753" i="1"/>
  <c r="AY753" i="1"/>
  <c r="AX753" i="1"/>
  <c r="AW753" i="1"/>
  <c r="AV753" i="1"/>
  <c r="AU753" i="1"/>
  <c r="AT753" i="1"/>
  <c r="AS753" i="1"/>
  <c r="AR753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BQ752" i="1"/>
  <c r="BP752" i="1"/>
  <c r="BO752" i="1"/>
  <c r="BN752" i="1"/>
  <c r="BM752" i="1"/>
  <c r="BL752" i="1"/>
  <c r="BK752" i="1"/>
  <c r="BJ752" i="1"/>
  <c r="BI752" i="1"/>
  <c r="BH752" i="1"/>
  <c r="BG752" i="1"/>
  <c r="BF752" i="1"/>
  <c r="BE752" i="1"/>
  <c r="BD752" i="1"/>
  <c r="BC752" i="1"/>
  <c r="BB752" i="1"/>
  <c r="BA752" i="1"/>
  <c r="AZ752" i="1"/>
  <c r="AY752" i="1"/>
  <c r="AX752" i="1"/>
  <c r="AW752" i="1"/>
  <c r="AV752" i="1"/>
  <c r="AU752" i="1"/>
  <c r="AT752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BQ751" i="1"/>
  <c r="BP751" i="1"/>
  <c r="BO751" i="1"/>
  <c r="BN751" i="1"/>
  <c r="BM751" i="1"/>
  <c r="BL751" i="1"/>
  <c r="BK751" i="1"/>
  <c r="BJ751" i="1"/>
  <c r="BI751" i="1"/>
  <c r="BH751" i="1"/>
  <c r="BG751" i="1"/>
  <c r="BF751" i="1"/>
  <c r="BE751" i="1"/>
  <c r="BD751" i="1"/>
  <c r="BC751" i="1"/>
  <c r="BB751" i="1"/>
  <c r="BA751" i="1"/>
  <c r="AZ751" i="1"/>
  <c r="AY751" i="1"/>
  <c r="AX751" i="1"/>
  <c r="AW751" i="1"/>
  <c r="AV751" i="1"/>
  <c r="AU751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BQ750" i="1"/>
  <c r="BP750" i="1"/>
  <c r="BO750" i="1"/>
  <c r="BN750" i="1"/>
  <c r="BM750" i="1"/>
  <c r="BL750" i="1"/>
  <c r="BK750" i="1"/>
  <c r="BJ750" i="1"/>
  <c r="BI750" i="1"/>
  <c r="BH750" i="1"/>
  <c r="BG750" i="1"/>
  <c r="BF750" i="1"/>
  <c r="BE750" i="1"/>
  <c r="BD750" i="1"/>
  <c r="BC750" i="1"/>
  <c r="BB750" i="1"/>
  <c r="BA750" i="1"/>
  <c r="AZ750" i="1"/>
  <c r="AY750" i="1"/>
  <c r="AX750" i="1"/>
  <c r="AW750" i="1"/>
  <c r="AV750" i="1"/>
  <c r="AU750" i="1"/>
  <c r="AT750" i="1"/>
  <c r="AS750" i="1"/>
  <c r="AR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BQ749" i="1"/>
  <c r="BP749" i="1"/>
  <c r="BO749" i="1"/>
  <c r="BN749" i="1"/>
  <c r="BM749" i="1"/>
  <c r="BL749" i="1"/>
  <c r="BK749" i="1"/>
  <c r="BJ749" i="1"/>
  <c r="BI749" i="1"/>
  <c r="BH749" i="1"/>
  <c r="BG749" i="1"/>
  <c r="BF749" i="1"/>
  <c r="BE749" i="1"/>
  <c r="BD749" i="1"/>
  <c r="BC749" i="1"/>
  <c r="BB749" i="1"/>
  <c r="BA749" i="1"/>
  <c r="AZ749" i="1"/>
  <c r="AY749" i="1"/>
  <c r="AX749" i="1"/>
  <c r="AW749" i="1"/>
  <c r="AV749" i="1"/>
  <c r="AU749" i="1"/>
  <c r="AT749" i="1"/>
  <c r="AS749" i="1"/>
  <c r="AR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BQ748" i="1"/>
  <c r="BP748" i="1"/>
  <c r="BO748" i="1"/>
  <c r="BN748" i="1"/>
  <c r="BM748" i="1"/>
  <c r="BL748" i="1"/>
  <c r="BK748" i="1"/>
  <c r="BJ748" i="1"/>
  <c r="BI748" i="1"/>
  <c r="BH748" i="1"/>
  <c r="BG748" i="1"/>
  <c r="BF748" i="1"/>
  <c r="BE748" i="1"/>
  <c r="BD748" i="1"/>
  <c r="BC748" i="1"/>
  <c r="BB748" i="1"/>
  <c r="BA748" i="1"/>
  <c r="AZ748" i="1"/>
  <c r="AY748" i="1"/>
  <c r="AX748" i="1"/>
  <c r="AW748" i="1"/>
  <c r="AV748" i="1"/>
  <c r="AU748" i="1"/>
  <c r="AT748" i="1"/>
  <c r="AS748" i="1"/>
  <c r="AR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BQ747" i="1"/>
  <c r="BP747" i="1"/>
  <c r="BO747" i="1"/>
  <c r="BN747" i="1"/>
  <c r="BM747" i="1"/>
  <c r="BL747" i="1"/>
  <c r="BK747" i="1"/>
  <c r="BJ747" i="1"/>
  <c r="BI747" i="1"/>
  <c r="BH747" i="1"/>
  <c r="BG747" i="1"/>
  <c r="BF747" i="1"/>
  <c r="BE747" i="1"/>
  <c r="BD747" i="1"/>
  <c r="BC747" i="1"/>
  <c r="BB747" i="1"/>
  <c r="BA747" i="1"/>
  <c r="AZ747" i="1"/>
  <c r="AY747" i="1"/>
  <c r="AX747" i="1"/>
  <c r="AW747" i="1"/>
  <c r="AV747" i="1"/>
  <c r="AU747" i="1"/>
  <c r="AT747" i="1"/>
  <c r="AS747" i="1"/>
  <c r="AR747" i="1"/>
  <c r="AQ747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BQ746" i="1"/>
  <c r="BP746" i="1"/>
  <c r="BO746" i="1"/>
  <c r="BN746" i="1"/>
  <c r="BM746" i="1"/>
  <c r="BL746" i="1"/>
  <c r="BK746" i="1"/>
  <c r="BJ746" i="1"/>
  <c r="BI746" i="1"/>
  <c r="BH746" i="1"/>
  <c r="BG746" i="1"/>
  <c r="BF746" i="1"/>
  <c r="BE746" i="1"/>
  <c r="BD746" i="1"/>
  <c r="BC746" i="1"/>
  <c r="BB746" i="1"/>
  <c r="BA746" i="1"/>
  <c r="AZ746" i="1"/>
  <c r="AY746" i="1"/>
  <c r="AX746" i="1"/>
  <c r="AW746" i="1"/>
  <c r="AV746" i="1"/>
  <c r="AU746" i="1"/>
  <c r="AT746" i="1"/>
  <c r="AS746" i="1"/>
  <c r="AR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BQ745" i="1"/>
  <c r="BP745" i="1"/>
  <c r="BO745" i="1"/>
  <c r="BN745" i="1"/>
  <c r="BM745" i="1"/>
  <c r="BL745" i="1"/>
  <c r="BK745" i="1"/>
  <c r="BJ745" i="1"/>
  <c r="BI745" i="1"/>
  <c r="BH745" i="1"/>
  <c r="BG745" i="1"/>
  <c r="BF745" i="1"/>
  <c r="BE745" i="1"/>
  <c r="BD745" i="1"/>
  <c r="BC745" i="1"/>
  <c r="BB745" i="1"/>
  <c r="BA745" i="1"/>
  <c r="AZ745" i="1"/>
  <c r="AY745" i="1"/>
  <c r="AX745" i="1"/>
  <c r="AW745" i="1"/>
  <c r="AV745" i="1"/>
  <c r="AU745" i="1"/>
  <c r="AT745" i="1"/>
  <c r="AS745" i="1"/>
  <c r="AR745" i="1"/>
  <c r="AQ745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BQ744" i="1"/>
  <c r="BP744" i="1"/>
  <c r="BO744" i="1"/>
  <c r="BN744" i="1"/>
  <c r="BM744" i="1"/>
  <c r="BL744" i="1"/>
  <c r="BK744" i="1"/>
  <c r="BJ744" i="1"/>
  <c r="BI744" i="1"/>
  <c r="BH744" i="1"/>
  <c r="BG744" i="1"/>
  <c r="BF744" i="1"/>
  <c r="BE744" i="1"/>
  <c r="BD744" i="1"/>
  <c r="BC744" i="1"/>
  <c r="BB744" i="1"/>
  <c r="BA744" i="1"/>
  <c r="AZ744" i="1"/>
  <c r="AY744" i="1"/>
  <c r="AX744" i="1"/>
  <c r="AW744" i="1"/>
  <c r="AV744" i="1"/>
  <c r="AU744" i="1"/>
  <c r="AT744" i="1"/>
  <c r="AS744" i="1"/>
  <c r="AR744" i="1"/>
  <c r="AQ744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BQ743" i="1"/>
  <c r="BP743" i="1"/>
  <c r="BO743" i="1"/>
  <c r="BN743" i="1"/>
  <c r="BM743" i="1"/>
  <c r="BL743" i="1"/>
  <c r="BK743" i="1"/>
  <c r="BJ743" i="1"/>
  <c r="BI743" i="1"/>
  <c r="BH743" i="1"/>
  <c r="BG743" i="1"/>
  <c r="BF743" i="1"/>
  <c r="BE743" i="1"/>
  <c r="BD743" i="1"/>
  <c r="BC743" i="1"/>
  <c r="BB743" i="1"/>
  <c r="BA743" i="1"/>
  <c r="AZ743" i="1"/>
  <c r="AY743" i="1"/>
  <c r="AX743" i="1"/>
  <c r="AW743" i="1"/>
  <c r="AV743" i="1"/>
  <c r="AU743" i="1"/>
  <c r="AT743" i="1"/>
  <c r="AS743" i="1"/>
  <c r="AR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BQ742" i="1"/>
  <c r="BP742" i="1"/>
  <c r="BO742" i="1"/>
  <c r="BN742" i="1"/>
  <c r="BM742" i="1"/>
  <c r="BL742" i="1"/>
  <c r="BK742" i="1"/>
  <c r="BJ742" i="1"/>
  <c r="BI742" i="1"/>
  <c r="BH742" i="1"/>
  <c r="BG742" i="1"/>
  <c r="BF742" i="1"/>
  <c r="BE742" i="1"/>
  <c r="BD742" i="1"/>
  <c r="BC742" i="1"/>
  <c r="BB742" i="1"/>
  <c r="BA742" i="1"/>
  <c r="AZ742" i="1"/>
  <c r="AY742" i="1"/>
  <c r="AX742" i="1"/>
  <c r="AW742" i="1"/>
  <c r="AV742" i="1"/>
  <c r="AU742" i="1"/>
  <c r="AT742" i="1"/>
  <c r="AS742" i="1"/>
  <c r="AR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BQ741" i="1"/>
  <c r="BP741" i="1"/>
  <c r="BO741" i="1"/>
  <c r="BN741" i="1"/>
  <c r="BM741" i="1"/>
  <c r="BL741" i="1"/>
  <c r="BK741" i="1"/>
  <c r="BJ741" i="1"/>
  <c r="BI741" i="1"/>
  <c r="BH741" i="1"/>
  <c r="BG741" i="1"/>
  <c r="BF741" i="1"/>
  <c r="BE741" i="1"/>
  <c r="BD741" i="1"/>
  <c r="BC741" i="1"/>
  <c r="BB741" i="1"/>
  <c r="BA741" i="1"/>
  <c r="AZ741" i="1"/>
  <c r="AY741" i="1"/>
  <c r="AX741" i="1"/>
  <c r="AW741" i="1"/>
  <c r="AV741" i="1"/>
  <c r="AU741" i="1"/>
  <c r="AT741" i="1"/>
  <c r="AS741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BQ740" i="1"/>
  <c r="BP740" i="1"/>
  <c r="BO740" i="1"/>
  <c r="BN740" i="1"/>
  <c r="BM740" i="1"/>
  <c r="BL740" i="1"/>
  <c r="BK740" i="1"/>
  <c r="BJ740" i="1"/>
  <c r="BI740" i="1"/>
  <c r="BH740" i="1"/>
  <c r="BG740" i="1"/>
  <c r="BF740" i="1"/>
  <c r="BE740" i="1"/>
  <c r="BD740" i="1"/>
  <c r="BC740" i="1"/>
  <c r="BB740" i="1"/>
  <c r="BA740" i="1"/>
  <c r="AZ740" i="1"/>
  <c r="AY740" i="1"/>
  <c r="AX740" i="1"/>
  <c r="AW740" i="1"/>
  <c r="AV740" i="1"/>
  <c r="AU740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BQ739" i="1"/>
  <c r="BP739" i="1"/>
  <c r="BO739" i="1"/>
  <c r="BN739" i="1"/>
  <c r="BM739" i="1"/>
  <c r="BL739" i="1"/>
  <c r="BK739" i="1"/>
  <c r="BJ739" i="1"/>
  <c r="BI739" i="1"/>
  <c r="BH739" i="1"/>
  <c r="BG739" i="1"/>
  <c r="BF739" i="1"/>
  <c r="BE739" i="1"/>
  <c r="BD739" i="1"/>
  <c r="BC739" i="1"/>
  <c r="BB739" i="1"/>
  <c r="BA739" i="1"/>
  <c r="AZ739" i="1"/>
  <c r="AY739" i="1"/>
  <c r="AX739" i="1"/>
  <c r="AW739" i="1"/>
  <c r="AV739" i="1"/>
  <c r="AU739" i="1"/>
  <c r="AT739" i="1"/>
  <c r="AS739" i="1"/>
  <c r="AR739" i="1"/>
  <c r="AQ739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BQ738" i="1"/>
  <c r="BP738" i="1"/>
  <c r="BO738" i="1"/>
  <c r="BN738" i="1"/>
  <c r="BM738" i="1"/>
  <c r="BL738" i="1"/>
  <c r="BK738" i="1"/>
  <c r="BJ738" i="1"/>
  <c r="BI738" i="1"/>
  <c r="BH738" i="1"/>
  <c r="BG738" i="1"/>
  <c r="BF738" i="1"/>
  <c r="BE738" i="1"/>
  <c r="BD738" i="1"/>
  <c r="BC738" i="1"/>
  <c r="BB738" i="1"/>
  <c r="BA738" i="1"/>
  <c r="AZ738" i="1"/>
  <c r="AY738" i="1"/>
  <c r="AX738" i="1"/>
  <c r="AW738" i="1"/>
  <c r="AV738" i="1"/>
  <c r="AU738" i="1"/>
  <c r="AT738" i="1"/>
  <c r="AS738" i="1"/>
  <c r="AR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BQ737" i="1"/>
  <c r="BP737" i="1"/>
  <c r="BO737" i="1"/>
  <c r="BN737" i="1"/>
  <c r="BM737" i="1"/>
  <c r="BL737" i="1"/>
  <c r="BK737" i="1"/>
  <c r="BJ737" i="1"/>
  <c r="BI737" i="1"/>
  <c r="BH737" i="1"/>
  <c r="BG737" i="1"/>
  <c r="BF737" i="1"/>
  <c r="BE737" i="1"/>
  <c r="BD737" i="1"/>
  <c r="BC737" i="1"/>
  <c r="BB737" i="1"/>
  <c r="BA737" i="1"/>
  <c r="AZ737" i="1"/>
  <c r="AY737" i="1"/>
  <c r="AX737" i="1"/>
  <c r="AW737" i="1"/>
  <c r="AV737" i="1"/>
  <c r="AU737" i="1"/>
  <c r="AT737" i="1"/>
  <c r="AS737" i="1"/>
  <c r="AR737" i="1"/>
  <c r="AQ737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BQ736" i="1"/>
  <c r="BP736" i="1"/>
  <c r="BO736" i="1"/>
  <c r="BN736" i="1"/>
  <c r="BM736" i="1"/>
  <c r="BL736" i="1"/>
  <c r="BK736" i="1"/>
  <c r="BJ736" i="1"/>
  <c r="BI736" i="1"/>
  <c r="BH736" i="1"/>
  <c r="BG736" i="1"/>
  <c r="BF736" i="1"/>
  <c r="BE736" i="1"/>
  <c r="BD736" i="1"/>
  <c r="BC736" i="1"/>
  <c r="BB736" i="1"/>
  <c r="BA736" i="1"/>
  <c r="AZ736" i="1"/>
  <c r="AY736" i="1"/>
  <c r="AX736" i="1"/>
  <c r="AW736" i="1"/>
  <c r="AV736" i="1"/>
  <c r="AU736" i="1"/>
  <c r="AT736" i="1"/>
  <c r="AS736" i="1"/>
  <c r="AR736" i="1"/>
  <c r="AQ736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BQ735" i="1"/>
  <c r="BP735" i="1"/>
  <c r="BO735" i="1"/>
  <c r="BN735" i="1"/>
  <c r="BM735" i="1"/>
  <c r="BL735" i="1"/>
  <c r="BK735" i="1"/>
  <c r="BJ735" i="1"/>
  <c r="BI735" i="1"/>
  <c r="BH735" i="1"/>
  <c r="BG735" i="1"/>
  <c r="BF735" i="1"/>
  <c r="BE735" i="1"/>
  <c r="BD735" i="1"/>
  <c r="BC735" i="1"/>
  <c r="BB735" i="1"/>
  <c r="BA735" i="1"/>
  <c r="AZ735" i="1"/>
  <c r="AY735" i="1"/>
  <c r="AX735" i="1"/>
  <c r="AW735" i="1"/>
  <c r="AV735" i="1"/>
  <c r="AU735" i="1"/>
  <c r="AT735" i="1"/>
  <c r="AS735" i="1"/>
  <c r="AR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BQ734" i="1"/>
  <c r="BP734" i="1"/>
  <c r="BO734" i="1"/>
  <c r="BN734" i="1"/>
  <c r="BM734" i="1"/>
  <c r="BL734" i="1"/>
  <c r="BK734" i="1"/>
  <c r="BJ734" i="1"/>
  <c r="BI734" i="1"/>
  <c r="BH734" i="1"/>
  <c r="BG734" i="1"/>
  <c r="BF734" i="1"/>
  <c r="BE734" i="1"/>
  <c r="BD734" i="1"/>
  <c r="BC734" i="1"/>
  <c r="BB734" i="1"/>
  <c r="BA734" i="1"/>
  <c r="AZ734" i="1"/>
  <c r="AY734" i="1"/>
  <c r="AX734" i="1"/>
  <c r="AW734" i="1"/>
  <c r="AV734" i="1"/>
  <c r="AU734" i="1"/>
  <c r="AT734" i="1"/>
  <c r="AS734" i="1"/>
  <c r="AR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BQ733" i="1"/>
  <c r="BP733" i="1"/>
  <c r="BO733" i="1"/>
  <c r="BN733" i="1"/>
  <c r="BM733" i="1"/>
  <c r="BL733" i="1"/>
  <c r="BK733" i="1"/>
  <c r="BJ733" i="1"/>
  <c r="BI733" i="1"/>
  <c r="BH733" i="1"/>
  <c r="BG733" i="1"/>
  <c r="BF733" i="1"/>
  <c r="BE733" i="1"/>
  <c r="BD733" i="1"/>
  <c r="BC733" i="1"/>
  <c r="BB733" i="1"/>
  <c r="BA733" i="1"/>
  <c r="AZ733" i="1"/>
  <c r="AY733" i="1"/>
  <c r="AX733" i="1"/>
  <c r="AW733" i="1"/>
  <c r="AV733" i="1"/>
  <c r="AU733" i="1"/>
  <c r="AT733" i="1"/>
  <c r="AS733" i="1"/>
  <c r="AR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BQ732" i="1"/>
  <c r="BP732" i="1"/>
  <c r="BO732" i="1"/>
  <c r="BN732" i="1"/>
  <c r="BM732" i="1"/>
  <c r="BL732" i="1"/>
  <c r="BK732" i="1"/>
  <c r="BJ732" i="1"/>
  <c r="BI732" i="1"/>
  <c r="BH732" i="1"/>
  <c r="BG732" i="1"/>
  <c r="BF732" i="1"/>
  <c r="BE732" i="1"/>
  <c r="BD732" i="1"/>
  <c r="BC732" i="1"/>
  <c r="BB732" i="1"/>
  <c r="BA732" i="1"/>
  <c r="AZ732" i="1"/>
  <c r="AY732" i="1"/>
  <c r="AX732" i="1"/>
  <c r="AW732" i="1"/>
  <c r="AV732" i="1"/>
  <c r="AU732" i="1"/>
  <c r="AT732" i="1"/>
  <c r="AS732" i="1"/>
  <c r="AR732" i="1"/>
  <c r="AQ732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BQ731" i="1"/>
  <c r="BP731" i="1"/>
  <c r="BO731" i="1"/>
  <c r="BN731" i="1"/>
  <c r="BM731" i="1"/>
  <c r="BL731" i="1"/>
  <c r="BK731" i="1"/>
  <c r="BJ731" i="1"/>
  <c r="BI731" i="1"/>
  <c r="BH731" i="1"/>
  <c r="BG731" i="1"/>
  <c r="BF731" i="1"/>
  <c r="BE731" i="1"/>
  <c r="BD731" i="1"/>
  <c r="BC731" i="1"/>
  <c r="BB731" i="1"/>
  <c r="BA731" i="1"/>
  <c r="AZ731" i="1"/>
  <c r="AY731" i="1"/>
  <c r="AX731" i="1"/>
  <c r="AW731" i="1"/>
  <c r="AV731" i="1"/>
  <c r="AU731" i="1"/>
  <c r="AT731" i="1"/>
  <c r="AS731" i="1"/>
  <c r="AR731" i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BQ730" i="1"/>
  <c r="BP730" i="1"/>
  <c r="BO730" i="1"/>
  <c r="BN730" i="1"/>
  <c r="BM730" i="1"/>
  <c r="BL730" i="1"/>
  <c r="BK730" i="1"/>
  <c r="BJ730" i="1"/>
  <c r="BI730" i="1"/>
  <c r="BH730" i="1"/>
  <c r="BG730" i="1"/>
  <c r="BF730" i="1"/>
  <c r="BE730" i="1"/>
  <c r="BD730" i="1"/>
  <c r="BC730" i="1"/>
  <c r="BB730" i="1"/>
  <c r="BA730" i="1"/>
  <c r="AZ730" i="1"/>
  <c r="AY730" i="1"/>
  <c r="AX730" i="1"/>
  <c r="AW730" i="1"/>
  <c r="AV730" i="1"/>
  <c r="AU730" i="1"/>
  <c r="AT730" i="1"/>
  <c r="AS730" i="1"/>
  <c r="AR730" i="1"/>
  <c r="AQ730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BQ729" i="1"/>
  <c r="BP729" i="1"/>
  <c r="BO729" i="1"/>
  <c r="BN729" i="1"/>
  <c r="BM729" i="1"/>
  <c r="BL729" i="1"/>
  <c r="BK729" i="1"/>
  <c r="BJ729" i="1"/>
  <c r="BI729" i="1"/>
  <c r="BH729" i="1"/>
  <c r="BG729" i="1"/>
  <c r="BF729" i="1"/>
  <c r="BE729" i="1"/>
  <c r="BD729" i="1"/>
  <c r="BC729" i="1"/>
  <c r="BB729" i="1"/>
  <c r="BA729" i="1"/>
  <c r="AZ729" i="1"/>
  <c r="AY729" i="1"/>
  <c r="AX729" i="1"/>
  <c r="AW729" i="1"/>
  <c r="AV729" i="1"/>
  <c r="AU729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BQ728" i="1"/>
  <c r="BP728" i="1"/>
  <c r="BO728" i="1"/>
  <c r="BN728" i="1"/>
  <c r="BM728" i="1"/>
  <c r="BL728" i="1"/>
  <c r="BK728" i="1"/>
  <c r="BJ728" i="1"/>
  <c r="BI728" i="1"/>
  <c r="BH728" i="1"/>
  <c r="BG728" i="1"/>
  <c r="BF728" i="1"/>
  <c r="BE728" i="1"/>
  <c r="BD728" i="1"/>
  <c r="BC728" i="1"/>
  <c r="BB728" i="1"/>
  <c r="BA728" i="1"/>
  <c r="AZ728" i="1"/>
  <c r="AY728" i="1"/>
  <c r="AX728" i="1"/>
  <c r="AW728" i="1"/>
  <c r="AV728" i="1"/>
  <c r="AU728" i="1"/>
  <c r="AT728" i="1"/>
  <c r="AS728" i="1"/>
  <c r="AR728" i="1"/>
  <c r="AQ728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BQ727" i="1"/>
  <c r="BP727" i="1"/>
  <c r="BO727" i="1"/>
  <c r="BN727" i="1"/>
  <c r="BM727" i="1"/>
  <c r="BL727" i="1"/>
  <c r="BK727" i="1"/>
  <c r="BJ727" i="1"/>
  <c r="BI727" i="1"/>
  <c r="BH727" i="1"/>
  <c r="BG727" i="1"/>
  <c r="BF727" i="1"/>
  <c r="BE727" i="1"/>
  <c r="BD727" i="1"/>
  <c r="BC727" i="1"/>
  <c r="BB727" i="1"/>
  <c r="BA727" i="1"/>
  <c r="AZ727" i="1"/>
  <c r="AY727" i="1"/>
  <c r="AX727" i="1"/>
  <c r="AW727" i="1"/>
  <c r="AV727" i="1"/>
  <c r="AU727" i="1"/>
  <c r="AT727" i="1"/>
  <c r="AS727" i="1"/>
  <c r="AR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BQ726" i="1"/>
  <c r="BP726" i="1"/>
  <c r="BO726" i="1"/>
  <c r="BN726" i="1"/>
  <c r="BM726" i="1"/>
  <c r="BL726" i="1"/>
  <c r="BK726" i="1"/>
  <c r="BJ726" i="1"/>
  <c r="BI726" i="1"/>
  <c r="BH726" i="1"/>
  <c r="BG726" i="1"/>
  <c r="BF726" i="1"/>
  <c r="BE726" i="1"/>
  <c r="BD726" i="1"/>
  <c r="BC726" i="1"/>
  <c r="BB726" i="1"/>
  <c r="BA726" i="1"/>
  <c r="AZ726" i="1"/>
  <c r="AY726" i="1"/>
  <c r="AX726" i="1"/>
  <c r="AW726" i="1"/>
  <c r="AV726" i="1"/>
  <c r="AU726" i="1"/>
  <c r="AT726" i="1"/>
  <c r="AS726" i="1"/>
  <c r="AR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BQ725" i="1"/>
  <c r="BP725" i="1"/>
  <c r="BO725" i="1"/>
  <c r="BN725" i="1"/>
  <c r="BM725" i="1"/>
  <c r="BL725" i="1"/>
  <c r="BK725" i="1"/>
  <c r="BJ725" i="1"/>
  <c r="BI725" i="1"/>
  <c r="BH725" i="1"/>
  <c r="BG725" i="1"/>
  <c r="BF725" i="1"/>
  <c r="BE725" i="1"/>
  <c r="BD725" i="1"/>
  <c r="BC725" i="1"/>
  <c r="BB725" i="1"/>
  <c r="BA725" i="1"/>
  <c r="AZ725" i="1"/>
  <c r="AY725" i="1"/>
  <c r="AX725" i="1"/>
  <c r="AW725" i="1"/>
  <c r="AV725" i="1"/>
  <c r="AU725" i="1"/>
  <c r="AT725" i="1"/>
  <c r="AS725" i="1"/>
  <c r="AR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BQ724" i="1"/>
  <c r="BP724" i="1"/>
  <c r="BO724" i="1"/>
  <c r="BN724" i="1"/>
  <c r="BM724" i="1"/>
  <c r="BL724" i="1"/>
  <c r="BK724" i="1"/>
  <c r="BJ724" i="1"/>
  <c r="BI724" i="1"/>
  <c r="BH724" i="1"/>
  <c r="BG724" i="1"/>
  <c r="BF724" i="1"/>
  <c r="BE724" i="1"/>
  <c r="BD724" i="1"/>
  <c r="BC724" i="1"/>
  <c r="BB724" i="1"/>
  <c r="BA724" i="1"/>
  <c r="AZ724" i="1"/>
  <c r="AY724" i="1"/>
  <c r="AX724" i="1"/>
  <c r="AW724" i="1"/>
  <c r="AV724" i="1"/>
  <c r="AU724" i="1"/>
  <c r="AT724" i="1"/>
  <c r="AS724" i="1"/>
  <c r="AR724" i="1"/>
  <c r="AQ724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BQ723" i="1"/>
  <c r="BP723" i="1"/>
  <c r="BO723" i="1"/>
  <c r="BN723" i="1"/>
  <c r="BM723" i="1"/>
  <c r="BL723" i="1"/>
  <c r="BK723" i="1"/>
  <c r="BJ723" i="1"/>
  <c r="BI723" i="1"/>
  <c r="BH723" i="1"/>
  <c r="BG723" i="1"/>
  <c r="BF723" i="1"/>
  <c r="BE723" i="1"/>
  <c r="BD723" i="1"/>
  <c r="BC723" i="1"/>
  <c r="BB723" i="1"/>
  <c r="BA723" i="1"/>
  <c r="AZ723" i="1"/>
  <c r="AY723" i="1"/>
  <c r="AX723" i="1"/>
  <c r="AW723" i="1"/>
  <c r="AV723" i="1"/>
  <c r="AU723" i="1"/>
  <c r="AT723" i="1"/>
  <c r="AS723" i="1"/>
  <c r="AR723" i="1"/>
  <c r="AQ723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BQ722" i="1"/>
  <c r="BP722" i="1"/>
  <c r="BO722" i="1"/>
  <c r="BN722" i="1"/>
  <c r="BM722" i="1"/>
  <c r="BL722" i="1"/>
  <c r="BK722" i="1"/>
  <c r="BJ722" i="1"/>
  <c r="BI722" i="1"/>
  <c r="BH722" i="1"/>
  <c r="BG722" i="1"/>
  <c r="BF722" i="1"/>
  <c r="BE722" i="1"/>
  <c r="BD722" i="1"/>
  <c r="BC722" i="1"/>
  <c r="BB722" i="1"/>
  <c r="BA722" i="1"/>
  <c r="AZ722" i="1"/>
  <c r="AY722" i="1"/>
  <c r="AX722" i="1"/>
  <c r="AW722" i="1"/>
  <c r="AV722" i="1"/>
  <c r="AU722" i="1"/>
  <c r="AT722" i="1"/>
  <c r="AS722" i="1"/>
  <c r="AR722" i="1"/>
  <c r="AQ722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BQ721" i="1"/>
  <c r="BP721" i="1"/>
  <c r="BO721" i="1"/>
  <c r="BN721" i="1"/>
  <c r="BM721" i="1"/>
  <c r="BL721" i="1"/>
  <c r="BK721" i="1"/>
  <c r="BJ721" i="1"/>
  <c r="BI721" i="1"/>
  <c r="BH721" i="1"/>
  <c r="BG721" i="1"/>
  <c r="BF721" i="1"/>
  <c r="BE721" i="1"/>
  <c r="BD721" i="1"/>
  <c r="BC721" i="1"/>
  <c r="BB721" i="1"/>
  <c r="BA721" i="1"/>
  <c r="AZ721" i="1"/>
  <c r="AY721" i="1"/>
  <c r="AX721" i="1"/>
  <c r="AW721" i="1"/>
  <c r="AV721" i="1"/>
  <c r="AU721" i="1"/>
  <c r="AT721" i="1"/>
  <c r="AS721" i="1"/>
  <c r="AR721" i="1"/>
  <c r="AQ721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BQ720" i="1"/>
  <c r="BP720" i="1"/>
  <c r="BO720" i="1"/>
  <c r="BN720" i="1"/>
  <c r="BM720" i="1"/>
  <c r="BL720" i="1"/>
  <c r="BK720" i="1"/>
  <c r="BJ720" i="1"/>
  <c r="BI720" i="1"/>
  <c r="BH720" i="1"/>
  <c r="BG720" i="1"/>
  <c r="BF720" i="1"/>
  <c r="BE720" i="1"/>
  <c r="BD720" i="1"/>
  <c r="BC720" i="1"/>
  <c r="BB720" i="1"/>
  <c r="BA720" i="1"/>
  <c r="AZ720" i="1"/>
  <c r="AY720" i="1"/>
  <c r="AX720" i="1"/>
  <c r="AW720" i="1"/>
  <c r="AV720" i="1"/>
  <c r="AU720" i="1"/>
  <c r="AT720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BQ719" i="1"/>
  <c r="BP719" i="1"/>
  <c r="BO719" i="1"/>
  <c r="BN719" i="1"/>
  <c r="BM719" i="1"/>
  <c r="BL719" i="1"/>
  <c r="BK719" i="1"/>
  <c r="BJ719" i="1"/>
  <c r="BI719" i="1"/>
  <c r="BH719" i="1"/>
  <c r="BG719" i="1"/>
  <c r="BF719" i="1"/>
  <c r="BE719" i="1"/>
  <c r="BD719" i="1"/>
  <c r="BC719" i="1"/>
  <c r="BB719" i="1"/>
  <c r="BA719" i="1"/>
  <c r="AZ719" i="1"/>
  <c r="AY719" i="1"/>
  <c r="AX719" i="1"/>
  <c r="AW719" i="1"/>
  <c r="AV719" i="1"/>
  <c r="AU719" i="1"/>
  <c r="AT719" i="1"/>
  <c r="AS719" i="1"/>
  <c r="AR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BQ718" i="1"/>
  <c r="BP718" i="1"/>
  <c r="BO718" i="1"/>
  <c r="BN718" i="1"/>
  <c r="BM718" i="1"/>
  <c r="BL718" i="1"/>
  <c r="BK718" i="1"/>
  <c r="BJ718" i="1"/>
  <c r="BI718" i="1"/>
  <c r="BH718" i="1"/>
  <c r="BG718" i="1"/>
  <c r="BF718" i="1"/>
  <c r="BE718" i="1"/>
  <c r="BD718" i="1"/>
  <c r="BC718" i="1"/>
  <c r="BB718" i="1"/>
  <c r="BA718" i="1"/>
  <c r="AZ718" i="1"/>
  <c r="AY718" i="1"/>
  <c r="AX718" i="1"/>
  <c r="AW718" i="1"/>
  <c r="AV718" i="1"/>
  <c r="AU718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BQ717" i="1"/>
  <c r="BP717" i="1"/>
  <c r="BO717" i="1"/>
  <c r="BN717" i="1"/>
  <c r="BM717" i="1"/>
  <c r="BL717" i="1"/>
  <c r="BK717" i="1"/>
  <c r="BJ717" i="1"/>
  <c r="BI717" i="1"/>
  <c r="BH717" i="1"/>
  <c r="BG717" i="1"/>
  <c r="BF717" i="1"/>
  <c r="BE717" i="1"/>
  <c r="BD717" i="1"/>
  <c r="BC717" i="1"/>
  <c r="BB717" i="1"/>
  <c r="BA717" i="1"/>
  <c r="AZ717" i="1"/>
  <c r="AY717" i="1"/>
  <c r="AX717" i="1"/>
  <c r="AW717" i="1"/>
  <c r="AV717" i="1"/>
  <c r="AU717" i="1"/>
  <c r="AT717" i="1"/>
  <c r="AS717" i="1"/>
  <c r="AR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BQ716" i="1"/>
  <c r="BP716" i="1"/>
  <c r="BO716" i="1"/>
  <c r="BN716" i="1"/>
  <c r="BM716" i="1"/>
  <c r="BL716" i="1"/>
  <c r="BK716" i="1"/>
  <c r="BJ716" i="1"/>
  <c r="BI716" i="1"/>
  <c r="BH716" i="1"/>
  <c r="BG716" i="1"/>
  <c r="BF716" i="1"/>
  <c r="BE716" i="1"/>
  <c r="BD716" i="1"/>
  <c r="BC716" i="1"/>
  <c r="BB716" i="1"/>
  <c r="BA716" i="1"/>
  <c r="AZ716" i="1"/>
  <c r="AY716" i="1"/>
  <c r="AX716" i="1"/>
  <c r="AW716" i="1"/>
  <c r="AV716" i="1"/>
  <c r="AU716" i="1"/>
  <c r="AT716" i="1"/>
  <c r="AS716" i="1"/>
  <c r="AR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BQ715" i="1"/>
  <c r="BP715" i="1"/>
  <c r="BO715" i="1"/>
  <c r="BN715" i="1"/>
  <c r="BM715" i="1"/>
  <c r="BL715" i="1"/>
  <c r="BK715" i="1"/>
  <c r="BJ715" i="1"/>
  <c r="BI715" i="1"/>
  <c r="BH715" i="1"/>
  <c r="BG715" i="1"/>
  <c r="BF715" i="1"/>
  <c r="BE715" i="1"/>
  <c r="BD715" i="1"/>
  <c r="BC715" i="1"/>
  <c r="BB715" i="1"/>
  <c r="BA715" i="1"/>
  <c r="AZ715" i="1"/>
  <c r="AY715" i="1"/>
  <c r="AX715" i="1"/>
  <c r="AW715" i="1"/>
  <c r="AV715" i="1"/>
  <c r="AU715" i="1"/>
  <c r="AT715" i="1"/>
  <c r="AS715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BQ714" i="1"/>
  <c r="BP714" i="1"/>
  <c r="BO714" i="1"/>
  <c r="BN714" i="1"/>
  <c r="BM714" i="1"/>
  <c r="BL714" i="1"/>
  <c r="BK714" i="1"/>
  <c r="BJ714" i="1"/>
  <c r="BI714" i="1"/>
  <c r="BH714" i="1"/>
  <c r="BG714" i="1"/>
  <c r="BF714" i="1"/>
  <c r="BE714" i="1"/>
  <c r="BD714" i="1"/>
  <c r="BC714" i="1"/>
  <c r="BB714" i="1"/>
  <c r="BA714" i="1"/>
  <c r="AZ714" i="1"/>
  <c r="AY714" i="1"/>
  <c r="AX714" i="1"/>
  <c r="AW714" i="1"/>
  <c r="AV714" i="1"/>
  <c r="AU714" i="1"/>
  <c r="AT714" i="1"/>
  <c r="AS714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BQ713" i="1"/>
  <c r="BP713" i="1"/>
  <c r="BO713" i="1"/>
  <c r="BN713" i="1"/>
  <c r="BM713" i="1"/>
  <c r="BL713" i="1"/>
  <c r="BK713" i="1"/>
  <c r="BJ713" i="1"/>
  <c r="BI713" i="1"/>
  <c r="BH713" i="1"/>
  <c r="BG713" i="1"/>
  <c r="BF713" i="1"/>
  <c r="BE713" i="1"/>
  <c r="BD713" i="1"/>
  <c r="BC713" i="1"/>
  <c r="BB713" i="1"/>
  <c r="BA713" i="1"/>
  <c r="AZ713" i="1"/>
  <c r="AY713" i="1"/>
  <c r="AX713" i="1"/>
  <c r="AW713" i="1"/>
  <c r="AV713" i="1"/>
  <c r="AU713" i="1"/>
  <c r="AT713" i="1"/>
  <c r="AS713" i="1"/>
  <c r="AR713" i="1"/>
  <c r="AQ713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BQ712" i="1"/>
  <c r="BP712" i="1"/>
  <c r="BO712" i="1"/>
  <c r="BN712" i="1"/>
  <c r="BM712" i="1"/>
  <c r="BL712" i="1"/>
  <c r="BK712" i="1"/>
  <c r="BJ712" i="1"/>
  <c r="BI712" i="1"/>
  <c r="BH712" i="1"/>
  <c r="BG712" i="1"/>
  <c r="BF712" i="1"/>
  <c r="BE712" i="1"/>
  <c r="BD712" i="1"/>
  <c r="BC712" i="1"/>
  <c r="BB712" i="1"/>
  <c r="BA712" i="1"/>
  <c r="AZ712" i="1"/>
  <c r="AY712" i="1"/>
  <c r="AX712" i="1"/>
  <c r="AW712" i="1"/>
  <c r="AV712" i="1"/>
  <c r="AU712" i="1"/>
  <c r="AT712" i="1"/>
  <c r="AS712" i="1"/>
  <c r="AR712" i="1"/>
  <c r="AQ712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BQ711" i="1"/>
  <c r="BP711" i="1"/>
  <c r="BO711" i="1"/>
  <c r="BN711" i="1"/>
  <c r="BM711" i="1"/>
  <c r="BL711" i="1"/>
  <c r="BK711" i="1"/>
  <c r="BJ711" i="1"/>
  <c r="BI711" i="1"/>
  <c r="BH711" i="1"/>
  <c r="BG711" i="1"/>
  <c r="BF711" i="1"/>
  <c r="BE711" i="1"/>
  <c r="BD711" i="1"/>
  <c r="BC711" i="1"/>
  <c r="BB711" i="1"/>
  <c r="BA711" i="1"/>
  <c r="AZ711" i="1"/>
  <c r="AY711" i="1"/>
  <c r="AX711" i="1"/>
  <c r="AW711" i="1"/>
  <c r="AV711" i="1"/>
  <c r="AU711" i="1"/>
  <c r="AT711" i="1"/>
  <c r="AS711" i="1"/>
  <c r="AR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BQ710" i="1"/>
  <c r="BP710" i="1"/>
  <c r="BO710" i="1"/>
  <c r="BN710" i="1"/>
  <c r="BM710" i="1"/>
  <c r="BL710" i="1"/>
  <c r="BK710" i="1"/>
  <c r="BJ710" i="1"/>
  <c r="BI710" i="1"/>
  <c r="BH710" i="1"/>
  <c r="BG710" i="1"/>
  <c r="BF710" i="1"/>
  <c r="BE710" i="1"/>
  <c r="BD710" i="1"/>
  <c r="BC710" i="1"/>
  <c r="BB710" i="1"/>
  <c r="BA710" i="1"/>
  <c r="AZ710" i="1"/>
  <c r="AY710" i="1"/>
  <c r="AX710" i="1"/>
  <c r="AW710" i="1"/>
  <c r="AV710" i="1"/>
  <c r="AU710" i="1"/>
  <c r="AT710" i="1"/>
  <c r="AS710" i="1"/>
  <c r="AR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BQ709" i="1"/>
  <c r="BP709" i="1"/>
  <c r="BO709" i="1"/>
  <c r="BN709" i="1"/>
  <c r="BM709" i="1"/>
  <c r="BL709" i="1"/>
  <c r="BK709" i="1"/>
  <c r="BJ709" i="1"/>
  <c r="BI709" i="1"/>
  <c r="BH709" i="1"/>
  <c r="BG709" i="1"/>
  <c r="BF709" i="1"/>
  <c r="BE709" i="1"/>
  <c r="BD709" i="1"/>
  <c r="BC709" i="1"/>
  <c r="BB709" i="1"/>
  <c r="BA709" i="1"/>
  <c r="AZ709" i="1"/>
  <c r="AY709" i="1"/>
  <c r="AX709" i="1"/>
  <c r="AW709" i="1"/>
  <c r="AV709" i="1"/>
  <c r="AU709" i="1"/>
  <c r="AT709" i="1"/>
  <c r="AS709" i="1"/>
  <c r="AR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BQ708" i="1"/>
  <c r="BP708" i="1"/>
  <c r="BO708" i="1"/>
  <c r="BN708" i="1"/>
  <c r="BM708" i="1"/>
  <c r="BL708" i="1"/>
  <c r="BK708" i="1"/>
  <c r="BJ708" i="1"/>
  <c r="BI708" i="1"/>
  <c r="BH708" i="1"/>
  <c r="BG708" i="1"/>
  <c r="BF708" i="1"/>
  <c r="BE708" i="1"/>
  <c r="BD708" i="1"/>
  <c r="BC708" i="1"/>
  <c r="BB708" i="1"/>
  <c r="BA708" i="1"/>
  <c r="AZ708" i="1"/>
  <c r="AY708" i="1"/>
  <c r="AX708" i="1"/>
  <c r="AW708" i="1"/>
  <c r="AV708" i="1"/>
  <c r="AU708" i="1"/>
  <c r="AT708" i="1"/>
  <c r="AS708" i="1"/>
  <c r="AR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BQ707" i="1"/>
  <c r="BP707" i="1"/>
  <c r="BO707" i="1"/>
  <c r="BN707" i="1"/>
  <c r="BM707" i="1"/>
  <c r="BL707" i="1"/>
  <c r="BK707" i="1"/>
  <c r="BJ707" i="1"/>
  <c r="BI707" i="1"/>
  <c r="BH707" i="1"/>
  <c r="BG707" i="1"/>
  <c r="BF707" i="1"/>
  <c r="BE707" i="1"/>
  <c r="BD707" i="1"/>
  <c r="BC707" i="1"/>
  <c r="BB707" i="1"/>
  <c r="BA707" i="1"/>
  <c r="AZ707" i="1"/>
  <c r="AY707" i="1"/>
  <c r="AX707" i="1"/>
  <c r="AW707" i="1"/>
  <c r="AV707" i="1"/>
  <c r="AU707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BQ706" i="1"/>
  <c r="BP706" i="1"/>
  <c r="BO706" i="1"/>
  <c r="BN706" i="1"/>
  <c r="BM706" i="1"/>
  <c r="BL706" i="1"/>
  <c r="BK706" i="1"/>
  <c r="BJ706" i="1"/>
  <c r="BI706" i="1"/>
  <c r="BH706" i="1"/>
  <c r="BG706" i="1"/>
  <c r="BF706" i="1"/>
  <c r="BE706" i="1"/>
  <c r="BD706" i="1"/>
  <c r="BC706" i="1"/>
  <c r="BB706" i="1"/>
  <c r="BA706" i="1"/>
  <c r="AZ706" i="1"/>
  <c r="AY706" i="1"/>
  <c r="AX706" i="1"/>
  <c r="AW706" i="1"/>
  <c r="AV706" i="1"/>
  <c r="AU706" i="1"/>
  <c r="AT706" i="1"/>
  <c r="AS706" i="1"/>
  <c r="AR706" i="1"/>
  <c r="AQ706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BQ705" i="1"/>
  <c r="BP705" i="1"/>
  <c r="BO705" i="1"/>
  <c r="BN705" i="1"/>
  <c r="BM705" i="1"/>
  <c r="BL705" i="1"/>
  <c r="BK705" i="1"/>
  <c r="BJ705" i="1"/>
  <c r="BI705" i="1"/>
  <c r="BH705" i="1"/>
  <c r="BG705" i="1"/>
  <c r="BF705" i="1"/>
  <c r="BE705" i="1"/>
  <c r="BD705" i="1"/>
  <c r="BC705" i="1"/>
  <c r="BB705" i="1"/>
  <c r="BA705" i="1"/>
  <c r="AZ705" i="1"/>
  <c r="AY705" i="1"/>
  <c r="AX705" i="1"/>
  <c r="AW705" i="1"/>
  <c r="AV705" i="1"/>
  <c r="AU705" i="1"/>
  <c r="AT705" i="1"/>
  <c r="AS705" i="1"/>
  <c r="AR705" i="1"/>
  <c r="AQ705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BQ704" i="1"/>
  <c r="BP704" i="1"/>
  <c r="BO704" i="1"/>
  <c r="BN704" i="1"/>
  <c r="BM704" i="1"/>
  <c r="BL704" i="1"/>
  <c r="BK704" i="1"/>
  <c r="BJ704" i="1"/>
  <c r="BI704" i="1"/>
  <c r="BH704" i="1"/>
  <c r="BG704" i="1"/>
  <c r="BF704" i="1"/>
  <c r="BE704" i="1"/>
  <c r="BD704" i="1"/>
  <c r="BC704" i="1"/>
  <c r="BB704" i="1"/>
  <c r="BA704" i="1"/>
  <c r="AZ704" i="1"/>
  <c r="AY704" i="1"/>
  <c r="AX704" i="1"/>
  <c r="AW704" i="1"/>
  <c r="AV704" i="1"/>
  <c r="AU704" i="1"/>
  <c r="AT704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BQ703" i="1"/>
  <c r="BP703" i="1"/>
  <c r="BO703" i="1"/>
  <c r="BN703" i="1"/>
  <c r="BM703" i="1"/>
  <c r="BL703" i="1"/>
  <c r="BK703" i="1"/>
  <c r="BJ703" i="1"/>
  <c r="BI703" i="1"/>
  <c r="BH703" i="1"/>
  <c r="BG703" i="1"/>
  <c r="BF703" i="1"/>
  <c r="BE703" i="1"/>
  <c r="BD703" i="1"/>
  <c r="BC703" i="1"/>
  <c r="BB703" i="1"/>
  <c r="BA703" i="1"/>
  <c r="AZ703" i="1"/>
  <c r="AY703" i="1"/>
  <c r="AX703" i="1"/>
  <c r="AW703" i="1"/>
  <c r="AV703" i="1"/>
  <c r="AU703" i="1"/>
  <c r="AT703" i="1"/>
  <c r="AS703" i="1"/>
  <c r="AR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BQ702" i="1"/>
  <c r="BP702" i="1"/>
  <c r="BO702" i="1"/>
  <c r="BN702" i="1"/>
  <c r="BM702" i="1"/>
  <c r="BL702" i="1"/>
  <c r="BK702" i="1"/>
  <c r="BJ702" i="1"/>
  <c r="BI702" i="1"/>
  <c r="BH702" i="1"/>
  <c r="BG702" i="1"/>
  <c r="BF702" i="1"/>
  <c r="BE702" i="1"/>
  <c r="BD702" i="1"/>
  <c r="BC702" i="1"/>
  <c r="BB702" i="1"/>
  <c r="BA702" i="1"/>
  <c r="AZ702" i="1"/>
  <c r="AY702" i="1"/>
  <c r="AX702" i="1"/>
  <c r="AW702" i="1"/>
  <c r="AV702" i="1"/>
  <c r="AU702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BQ701" i="1"/>
  <c r="BP701" i="1"/>
  <c r="BO701" i="1"/>
  <c r="BN701" i="1"/>
  <c r="BM701" i="1"/>
  <c r="BL701" i="1"/>
  <c r="BK701" i="1"/>
  <c r="BJ701" i="1"/>
  <c r="BI701" i="1"/>
  <c r="BH701" i="1"/>
  <c r="BG701" i="1"/>
  <c r="BF701" i="1"/>
  <c r="BE701" i="1"/>
  <c r="BD701" i="1"/>
  <c r="BC701" i="1"/>
  <c r="BB701" i="1"/>
  <c r="BA701" i="1"/>
  <c r="AZ701" i="1"/>
  <c r="AY701" i="1"/>
  <c r="AX701" i="1"/>
  <c r="AW701" i="1"/>
  <c r="AV701" i="1"/>
  <c r="AU701" i="1"/>
  <c r="AT701" i="1"/>
  <c r="AS701" i="1"/>
  <c r="AR701" i="1"/>
  <c r="AQ701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BQ700" i="1"/>
  <c r="BP700" i="1"/>
  <c r="BO700" i="1"/>
  <c r="BN700" i="1"/>
  <c r="BM700" i="1"/>
  <c r="BL700" i="1"/>
  <c r="BK700" i="1"/>
  <c r="BJ700" i="1"/>
  <c r="BI700" i="1"/>
  <c r="BH700" i="1"/>
  <c r="BG700" i="1"/>
  <c r="BF700" i="1"/>
  <c r="BE700" i="1"/>
  <c r="BD700" i="1"/>
  <c r="BC700" i="1"/>
  <c r="BB700" i="1"/>
  <c r="BA700" i="1"/>
  <c r="AZ700" i="1"/>
  <c r="AY700" i="1"/>
  <c r="AX700" i="1"/>
  <c r="AW700" i="1"/>
  <c r="AV700" i="1"/>
  <c r="AU700" i="1"/>
  <c r="AT700" i="1"/>
  <c r="AS700" i="1"/>
  <c r="AR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BQ699" i="1"/>
  <c r="BP699" i="1"/>
  <c r="BO699" i="1"/>
  <c r="BN699" i="1"/>
  <c r="BM699" i="1"/>
  <c r="BL699" i="1"/>
  <c r="BK699" i="1"/>
  <c r="BJ699" i="1"/>
  <c r="BI699" i="1"/>
  <c r="BH699" i="1"/>
  <c r="BG699" i="1"/>
  <c r="BF699" i="1"/>
  <c r="BE699" i="1"/>
  <c r="BD699" i="1"/>
  <c r="BC699" i="1"/>
  <c r="BB699" i="1"/>
  <c r="BA699" i="1"/>
  <c r="AZ699" i="1"/>
  <c r="AY699" i="1"/>
  <c r="AX699" i="1"/>
  <c r="AW699" i="1"/>
  <c r="AV699" i="1"/>
  <c r="AU699" i="1"/>
  <c r="AT699" i="1"/>
  <c r="AS699" i="1"/>
  <c r="AR699" i="1"/>
  <c r="AQ699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BQ698" i="1"/>
  <c r="BP698" i="1"/>
  <c r="BO698" i="1"/>
  <c r="BN698" i="1"/>
  <c r="BM698" i="1"/>
  <c r="BL698" i="1"/>
  <c r="BK698" i="1"/>
  <c r="BJ698" i="1"/>
  <c r="BI698" i="1"/>
  <c r="BH698" i="1"/>
  <c r="BG698" i="1"/>
  <c r="BF698" i="1"/>
  <c r="BE698" i="1"/>
  <c r="BD698" i="1"/>
  <c r="BC698" i="1"/>
  <c r="BB698" i="1"/>
  <c r="BA698" i="1"/>
  <c r="AZ698" i="1"/>
  <c r="AY698" i="1"/>
  <c r="AX698" i="1"/>
  <c r="AW698" i="1"/>
  <c r="AV698" i="1"/>
  <c r="AU698" i="1"/>
  <c r="AT698" i="1"/>
  <c r="AS698" i="1"/>
  <c r="AR698" i="1"/>
  <c r="AQ69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BQ697" i="1"/>
  <c r="BP697" i="1"/>
  <c r="BO697" i="1"/>
  <c r="BN697" i="1"/>
  <c r="BM697" i="1"/>
  <c r="BL697" i="1"/>
  <c r="BK697" i="1"/>
  <c r="BJ697" i="1"/>
  <c r="BI697" i="1"/>
  <c r="BH697" i="1"/>
  <c r="BG697" i="1"/>
  <c r="BF697" i="1"/>
  <c r="BE697" i="1"/>
  <c r="BD697" i="1"/>
  <c r="BC697" i="1"/>
  <c r="BB697" i="1"/>
  <c r="BA697" i="1"/>
  <c r="AZ697" i="1"/>
  <c r="AY697" i="1"/>
  <c r="AX697" i="1"/>
  <c r="AW697" i="1"/>
  <c r="AV697" i="1"/>
  <c r="AU697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BQ696" i="1"/>
  <c r="BP696" i="1"/>
  <c r="BO696" i="1"/>
  <c r="BN696" i="1"/>
  <c r="BM696" i="1"/>
  <c r="BL696" i="1"/>
  <c r="BK696" i="1"/>
  <c r="BJ696" i="1"/>
  <c r="BI696" i="1"/>
  <c r="BH696" i="1"/>
  <c r="BG696" i="1"/>
  <c r="BF696" i="1"/>
  <c r="BE696" i="1"/>
  <c r="BD696" i="1"/>
  <c r="BC696" i="1"/>
  <c r="BB696" i="1"/>
  <c r="BA696" i="1"/>
  <c r="AZ696" i="1"/>
  <c r="AY696" i="1"/>
  <c r="AX696" i="1"/>
  <c r="AW696" i="1"/>
  <c r="AV696" i="1"/>
  <c r="AU696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BQ695" i="1"/>
  <c r="BP695" i="1"/>
  <c r="BO695" i="1"/>
  <c r="BN695" i="1"/>
  <c r="BM695" i="1"/>
  <c r="BL695" i="1"/>
  <c r="BK695" i="1"/>
  <c r="BJ695" i="1"/>
  <c r="BI695" i="1"/>
  <c r="BH695" i="1"/>
  <c r="BG695" i="1"/>
  <c r="BF695" i="1"/>
  <c r="BE695" i="1"/>
  <c r="BD695" i="1"/>
  <c r="BC695" i="1"/>
  <c r="BB695" i="1"/>
  <c r="BA695" i="1"/>
  <c r="AZ695" i="1"/>
  <c r="AY695" i="1"/>
  <c r="AX695" i="1"/>
  <c r="AW695" i="1"/>
  <c r="AV695" i="1"/>
  <c r="AU695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BQ694" i="1"/>
  <c r="BP694" i="1"/>
  <c r="BO694" i="1"/>
  <c r="BN694" i="1"/>
  <c r="BM694" i="1"/>
  <c r="BL694" i="1"/>
  <c r="BK694" i="1"/>
  <c r="BJ694" i="1"/>
  <c r="BI694" i="1"/>
  <c r="BH694" i="1"/>
  <c r="BG694" i="1"/>
  <c r="BF694" i="1"/>
  <c r="BE694" i="1"/>
  <c r="BD694" i="1"/>
  <c r="BC694" i="1"/>
  <c r="BB694" i="1"/>
  <c r="BA694" i="1"/>
  <c r="AZ694" i="1"/>
  <c r="AY694" i="1"/>
  <c r="AX694" i="1"/>
  <c r="AW694" i="1"/>
  <c r="AV694" i="1"/>
  <c r="AU694" i="1"/>
  <c r="AT694" i="1"/>
  <c r="AS694" i="1"/>
  <c r="AR694" i="1"/>
  <c r="AQ694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BQ693" i="1"/>
  <c r="BP693" i="1"/>
  <c r="BO693" i="1"/>
  <c r="BN693" i="1"/>
  <c r="BM693" i="1"/>
  <c r="BL693" i="1"/>
  <c r="BK693" i="1"/>
  <c r="BJ693" i="1"/>
  <c r="BI693" i="1"/>
  <c r="BH693" i="1"/>
  <c r="BG693" i="1"/>
  <c r="BF693" i="1"/>
  <c r="BE693" i="1"/>
  <c r="BD693" i="1"/>
  <c r="BC693" i="1"/>
  <c r="BB693" i="1"/>
  <c r="BA693" i="1"/>
  <c r="AZ693" i="1"/>
  <c r="AY693" i="1"/>
  <c r="AX693" i="1"/>
  <c r="AW693" i="1"/>
  <c r="AV693" i="1"/>
  <c r="AU693" i="1"/>
  <c r="AT693" i="1"/>
  <c r="AS693" i="1"/>
  <c r="AR693" i="1"/>
  <c r="AQ693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BQ692" i="1"/>
  <c r="BP692" i="1"/>
  <c r="BO692" i="1"/>
  <c r="BN692" i="1"/>
  <c r="BM692" i="1"/>
  <c r="BL692" i="1"/>
  <c r="BK692" i="1"/>
  <c r="BJ692" i="1"/>
  <c r="BI692" i="1"/>
  <c r="BH692" i="1"/>
  <c r="BG692" i="1"/>
  <c r="BF692" i="1"/>
  <c r="BE692" i="1"/>
  <c r="BD692" i="1"/>
  <c r="BC692" i="1"/>
  <c r="BB692" i="1"/>
  <c r="BA692" i="1"/>
  <c r="AZ692" i="1"/>
  <c r="AY692" i="1"/>
  <c r="AX692" i="1"/>
  <c r="AW692" i="1"/>
  <c r="AV692" i="1"/>
  <c r="AU692" i="1"/>
  <c r="AT692" i="1"/>
  <c r="AS692" i="1"/>
  <c r="AR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BQ691" i="1"/>
  <c r="BP691" i="1"/>
  <c r="BO691" i="1"/>
  <c r="BN691" i="1"/>
  <c r="BM691" i="1"/>
  <c r="BL691" i="1"/>
  <c r="BK691" i="1"/>
  <c r="BJ691" i="1"/>
  <c r="BI691" i="1"/>
  <c r="BH691" i="1"/>
  <c r="BG691" i="1"/>
  <c r="BF691" i="1"/>
  <c r="BE691" i="1"/>
  <c r="BD691" i="1"/>
  <c r="BC691" i="1"/>
  <c r="BB691" i="1"/>
  <c r="BA691" i="1"/>
  <c r="AZ691" i="1"/>
  <c r="AY691" i="1"/>
  <c r="AX691" i="1"/>
  <c r="AW691" i="1"/>
  <c r="AV691" i="1"/>
  <c r="AU691" i="1"/>
  <c r="AT691" i="1"/>
  <c r="AS691" i="1"/>
  <c r="AR691" i="1"/>
  <c r="AQ691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BQ690" i="1"/>
  <c r="BP690" i="1"/>
  <c r="BO690" i="1"/>
  <c r="BN690" i="1"/>
  <c r="BM690" i="1"/>
  <c r="BL690" i="1"/>
  <c r="BK690" i="1"/>
  <c r="BJ690" i="1"/>
  <c r="BI690" i="1"/>
  <c r="BH690" i="1"/>
  <c r="BG690" i="1"/>
  <c r="BF690" i="1"/>
  <c r="BE690" i="1"/>
  <c r="BD690" i="1"/>
  <c r="BC690" i="1"/>
  <c r="BB690" i="1"/>
  <c r="BA690" i="1"/>
  <c r="AZ690" i="1"/>
  <c r="AY690" i="1"/>
  <c r="AX690" i="1"/>
  <c r="AW690" i="1"/>
  <c r="AV690" i="1"/>
  <c r="AU690" i="1"/>
  <c r="AT690" i="1"/>
  <c r="AS690" i="1"/>
  <c r="AR690" i="1"/>
  <c r="AQ690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BQ689" i="1"/>
  <c r="BP689" i="1"/>
  <c r="BO689" i="1"/>
  <c r="BN689" i="1"/>
  <c r="BM689" i="1"/>
  <c r="BL689" i="1"/>
  <c r="BK689" i="1"/>
  <c r="BJ689" i="1"/>
  <c r="BI689" i="1"/>
  <c r="BH689" i="1"/>
  <c r="BG689" i="1"/>
  <c r="BF689" i="1"/>
  <c r="BE689" i="1"/>
  <c r="BD689" i="1"/>
  <c r="BC689" i="1"/>
  <c r="BB689" i="1"/>
  <c r="BA689" i="1"/>
  <c r="AZ689" i="1"/>
  <c r="AY689" i="1"/>
  <c r="AX689" i="1"/>
  <c r="AW689" i="1"/>
  <c r="AV689" i="1"/>
  <c r="AU689" i="1"/>
  <c r="AT689" i="1"/>
  <c r="AS689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BQ688" i="1"/>
  <c r="BP688" i="1"/>
  <c r="BO688" i="1"/>
  <c r="BN688" i="1"/>
  <c r="BM688" i="1"/>
  <c r="BL688" i="1"/>
  <c r="BK688" i="1"/>
  <c r="BJ688" i="1"/>
  <c r="BI688" i="1"/>
  <c r="BH688" i="1"/>
  <c r="BG688" i="1"/>
  <c r="BF688" i="1"/>
  <c r="BE688" i="1"/>
  <c r="BD688" i="1"/>
  <c r="BC688" i="1"/>
  <c r="BB688" i="1"/>
  <c r="BA688" i="1"/>
  <c r="AZ688" i="1"/>
  <c r="AY688" i="1"/>
  <c r="AX688" i="1"/>
  <c r="AW688" i="1"/>
  <c r="AV688" i="1"/>
  <c r="AU688" i="1"/>
  <c r="AT688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BQ687" i="1"/>
  <c r="BP687" i="1"/>
  <c r="BO687" i="1"/>
  <c r="BN687" i="1"/>
  <c r="BM687" i="1"/>
  <c r="BL687" i="1"/>
  <c r="BK687" i="1"/>
  <c r="BJ687" i="1"/>
  <c r="BI687" i="1"/>
  <c r="BH687" i="1"/>
  <c r="BG687" i="1"/>
  <c r="BF687" i="1"/>
  <c r="BE687" i="1"/>
  <c r="BD687" i="1"/>
  <c r="BC687" i="1"/>
  <c r="BB687" i="1"/>
  <c r="BA687" i="1"/>
  <c r="AZ687" i="1"/>
  <c r="AY687" i="1"/>
  <c r="AX687" i="1"/>
  <c r="AW687" i="1"/>
  <c r="AV687" i="1"/>
  <c r="AU687" i="1"/>
  <c r="AT687" i="1"/>
  <c r="AS687" i="1"/>
  <c r="AR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BQ686" i="1"/>
  <c r="BP686" i="1"/>
  <c r="BO686" i="1"/>
  <c r="BN686" i="1"/>
  <c r="BM686" i="1"/>
  <c r="BL686" i="1"/>
  <c r="BK686" i="1"/>
  <c r="BJ686" i="1"/>
  <c r="BI686" i="1"/>
  <c r="BH686" i="1"/>
  <c r="BG686" i="1"/>
  <c r="BF686" i="1"/>
  <c r="BE686" i="1"/>
  <c r="BD686" i="1"/>
  <c r="BC686" i="1"/>
  <c r="BB686" i="1"/>
  <c r="BA686" i="1"/>
  <c r="AZ686" i="1"/>
  <c r="AY686" i="1"/>
  <c r="AX686" i="1"/>
  <c r="AW686" i="1"/>
  <c r="AV686" i="1"/>
  <c r="AU686" i="1"/>
  <c r="AT686" i="1"/>
  <c r="AS686" i="1"/>
  <c r="AR686" i="1"/>
  <c r="AQ686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BQ685" i="1"/>
  <c r="BP685" i="1"/>
  <c r="BO685" i="1"/>
  <c r="BN685" i="1"/>
  <c r="BM685" i="1"/>
  <c r="BL685" i="1"/>
  <c r="BK685" i="1"/>
  <c r="BJ685" i="1"/>
  <c r="BI685" i="1"/>
  <c r="BH685" i="1"/>
  <c r="BG685" i="1"/>
  <c r="BF685" i="1"/>
  <c r="BE685" i="1"/>
  <c r="BD685" i="1"/>
  <c r="BC685" i="1"/>
  <c r="BB685" i="1"/>
  <c r="BA685" i="1"/>
  <c r="AZ685" i="1"/>
  <c r="AY685" i="1"/>
  <c r="AX685" i="1"/>
  <c r="AW685" i="1"/>
  <c r="AV685" i="1"/>
  <c r="AU685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BQ684" i="1"/>
  <c r="BP684" i="1"/>
  <c r="BO684" i="1"/>
  <c r="BN684" i="1"/>
  <c r="BM684" i="1"/>
  <c r="BL684" i="1"/>
  <c r="BK684" i="1"/>
  <c r="BJ684" i="1"/>
  <c r="BI684" i="1"/>
  <c r="BH684" i="1"/>
  <c r="BG684" i="1"/>
  <c r="BF684" i="1"/>
  <c r="BE684" i="1"/>
  <c r="BD684" i="1"/>
  <c r="BC684" i="1"/>
  <c r="BB684" i="1"/>
  <c r="BA684" i="1"/>
  <c r="AZ684" i="1"/>
  <c r="AY684" i="1"/>
  <c r="AX684" i="1"/>
  <c r="AW684" i="1"/>
  <c r="AV684" i="1"/>
  <c r="AU684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BQ683" i="1"/>
  <c r="BP683" i="1"/>
  <c r="BO683" i="1"/>
  <c r="BN683" i="1"/>
  <c r="BM683" i="1"/>
  <c r="BL683" i="1"/>
  <c r="BK683" i="1"/>
  <c r="BJ683" i="1"/>
  <c r="BI683" i="1"/>
  <c r="BH683" i="1"/>
  <c r="BG683" i="1"/>
  <c r="BF683" i="1"/>
  <c r="BE683" i="1"/>
  <c r="BD683" i="1"/>
  <c r="BC683" i="1"/>
  <c r="BB683" i="1"/>
  <c r="BA683" i="1"/>
  <c r="AZ683" i="1"/>
  <c r="AY683" i="1"/>
  <c r="AX683" i="1"/>
  <c r="AW683" i="1"/>
  <c r="AV683" i="1"/>
  <c r="AU683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BQ682" i="1"/>
  <c r="BP682" i="1"/>
  <c r="BO682" i="1"/>
  <c r="BN682" i="1"/>
  <c r="BM682" i="1"/>
  <c r="BL682" i="1"/>
  <c r="BK682" i="1"/>
  <c r="BJ682" i="1"/>
  <c r="BI682" i="1"/>
  <c r="BH682" i="1"/>
  <c r="BG682" i="1"/>
  <c r="BF682" i="1"/>
  <c r="BE682" i="1"/>
  <c r="BD682" i="1"/>
  <c r="BC682" i="1"/>
  <c r="BB682" i="1"/>
  <c r="BA682" i="1"/>
  <c r="AZ682" i="1"/>
  <c r="AY682" i="1"/>
  <c r="AX682" i="1"/>
  <c r="AW682" i="1"/>
  <c r="AV682" i="1"/>
  <c r="AU682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BQ681" i="1"/>
  <c r="BP681" i="1"/>
  <c r="BO681" i="1"/>
  <c r="BN681" i="1"/>
  <c r="BM681" i="1"/>
  <c r="BL681" i="1"/>
  <c r="BK681" i="1"/>
  <c r="BJ681" i="1"/>
  <c r="BI681" i="1"/>
  <c r="BH681" i="1"/>
  <c r="BG681" i="1"/>
  <c r="BF681" i="1"/>
  <c r="BE681" i="1"/>
  <c r="BD681" i="1"/>
  <c r="BC681" i="1"/>
  <c r="BB681" i="1"/>
  <c r="BA681" i="1"/>
  <c r="AZ681" i="1"/>
  <c r="AY681" i="1"/>
  <c r="AX681" i="1"/>
  <c r="AW681" i="1"/>
  <c r="AV681" i="1"/>
  <c r="AU681" i="1"/>
  <c r="AT681" i="1"/>
  <c r="AS681" i="1"/>
  <c r="AR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BQ680" i="1"/>
  <c r="BP680" i="1"/>
  <c r="BO680" i="1"/>
  <c r="BN680" i="1"/>
  <c r="BM680" i="1"/>
  <c r="BL680" i="1"/>
  <c r="BK680" i="1"/>
  <c r="BJ680" i="1"/>
  <c r="BI680" i="1"/>
  <c r="BH680" i="1"/>
  <c r="BG680" i="1"/>
  <c r="BF680" i="1"/>
  <c r="BE680" i="1"/>
  <c r="BD680" i="1"/>
  <c r="BC680" i="1"/>
  <c r="BB680" i="1"/>
  <c r="BA680" i="1"/>
  <c r="AZ680" i="1"/>
  <c r="AY680" i="1"/>
  <c r="AX680" i="1"/>
  <c r="AW680" i="1"/>
  <c r="AV680" i="1"/>
  <c r="AU680" i="1"/>
  <c r="AT680" i="1"/>
  <c r="AS680" i="1"/>
  <c r="AR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BQ679" i="1"/>
  <c r="BP679" i="1"/>
  <c r="BO679" i="1"/>
  <c r="BN679" i="1"/>
  <c r="BM679" i="1"/>
  <c r="BL679" i="1"/>
  <c r="BK679" i="1"/>
  <c r="BJ679" i="1"/>
  <c r="BI679" i="1"/>
  <c r="BH679" i="1"/>
  <c r="BG679" i="1"/>
  <c r="BF679" i="1"/>
  <c r="BE679" i="1"/>
  <c r="BD679" i="1"/>
  <c r="BC679" i="1"/>
  <c r="BB679" i="1"/>
  <c r="BA679" i="1"/>
  <c r="AZ679" i="1"/>
  <c r="AY679" i="1"/>
  <c r="AX679" i="1"/>
  <c r="AW679" i="1"/>
  <c r="AV679" i="1"/>
  <c r="AU679" i="1"/>
  <c r="AT679" i="1"/>
  <c r="AS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X678" i="1"/>
  <c r="AW678" i="1"/>
  <c r="AV678" i="1"/>
  <c r="AU678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BQ677" i="1"/>
  <c r="BP677" i="1"/>
  <c r="BO677" i="1"/>
  <c r="BN677" i="1"/>
  <c r="BM677" i="1"/>
  <c r="BL677" i="1"/>
  <c r="BK677" i="1"/>
  <c r="BJ677" i="1"/>
  <c r="BI677" i="1"/>
  <c r="BH677" i="1"/>
  <c r="BG677" i="1"/>
  <c r="BF677" i="1"/>
  <c r="BE677" i="1"/>
  <c r="BD677" i="1"/>
  <c r="BC677" i="1"/>
  <c r="BB677" i="1"/>
  <c r="BA677" i="1"/>
  <c r="AZ677" i="1"/>
  <c r="AY677" i="1"/>
  <c r="AX677" i="1"/>
  <c r="AW677" i="1"/>
  <c r="AV677" i="1"/>
  <c r="AU677" i="1"/>
  <c r="AT677" i="1"/>
  <c r="AS677" i="1"/>
  <c r="AR677" i="1"/>
  <c r="AQ677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BQ676" i="1"/>
  <c r="BP676" i="1"/>
  <c r="BO676" i="1"/>
  <c r="BN676" i="1"/>
  <c r="BM676" i="1"/>
  <c r="BL676" i="1"/>
  <c r="BK676" i="1"/>
  <c r="BJ676" i="1"/>
  <c r="BI676" i="1"/>
  <c r="BH676" i="1"/>
  <c r="BG676" i="1"/>
  <c r="BF676" i="1"/>
  <c r="BE676" i="1"/>
  <c r="BD676" i="1"/>
  <c r="BC676" i="1"/>
  <c r="BB676" i="1"/>
  <c r="BA676" i="1"/>
  <c r="AZ676" i="1"/>
  <c r="AY676" i="1"/>
  <c r="AX676" i="1"/>
  <c r="AW676" i="1"/>
  <c r="AV676" i="1"/>
  <c r="AU676" i="1"/>
  <c r="AT676" i="1"/>
  <c r="AS676" i="1"/>
  <c r="AR676" i="1"/>
  <c r="AQ676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BQ675" i="1"/>
  <c r="BP675" i="1"/>
  <c r="BO675" i="1"/>
  <c r="BN675" i="1"/>
  <c r="BM675" i="1"/>
  <c r="BL675" i="1"/>
  <c r="BK675" i="1"/>
  <c r="BJ675" i="1"/>
  <c r="BI675" i="1"/>
  <c r="BH675" i="1"/>
  <c r="BG675" i="1"/>
  <c r="BF675" i="1"/>
  <c r="BE675" i="1"/>
  <c r="BD675" i="1"/>
  <c r="BC675" i="1"/>
  <c r="BB675" i="1"/>
  <c r="BA675" i="1"/>
  <c r="AZ675" i="1"/>
  <c r="AY675" i="1"/>
  <c r="AX675" i="1"/>
  <c r="AW675" i="1"/>
  <c r="AV675" i="1"/>
  <c r="AU675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BQ674" i="1"/>
  <c r="BP674" i="1"/>
  <c r="BO674" i="1"/>
  <c r="BN674" i="1"/>
  <c r="BM674" i="1"/>
  <c r="BL674" i="1"/>
  <c r="BK674" i="1"/>
  <c r="BJ674" i="1"/>
  <c r="BI674" i="1"/>
  <c r="BH674" i="1"/>
  <c r="BG674" i="1"/>
  <c r="BF674" i="1"/>
  <c r="BE674" i="1"/>
  <c r="BD674" i="1"/>
  <c r="BC674" i="1"/>
  <c r="BB674" i="1"/>
  <c r="BA674" i="1"/>
  <c r="AZ674" i="1"/>
  <c r="AY674" i="1"/>
  <c r="AX674" i="1"/>
  <c r="AW674" i="1"/>
  <c r="AV674" i="1"/>
  <c r="AU674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BQ673" i="1"/>
  <c r="BP673" i="1"/>
  <c r="BO673" i="1"/>
  <c r="BN673" i="1"/>
  <c r="BM673" i="1"/>
  <c r="BL673" i="1"/>
  <c r="BK673" i="1"/>
  <c r="BJ673" i="1"/>
  <c r="BI673" i="1"/>
  <c r="BH673" i="1"/>
  <c r="BG673" i="1"/>
  <c r="BF673" i="1"/>
  <c r="BE673" i="1"/>
  <c r="BD673" i="1"/>
  <c r="BC673" i="1"/>
  <c r="BB673" i="1"/>
  <c r="BA673" i="1"/>
  <c r="AZ673" i="1"/>
  <c r="AY673" i="1"/>
  <c r="AX673" i="1"/>
  <c r="AW673" i="1"/>
  <c r="AV673" i="1"/>
  <c r="AU673" i="1"/>
  <c r="AT673" i="1"/>
  <c r="AS673" i="1"/>
  <c r="AR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BQ672" i="1"/>
  <c r="BP672" i="1"/>
  <c r="BO672" i="1"/>
  <c r="BN672" i="1"/>
  <c r="BM672" i="1"/>
  <c r="BL672" i="1"/>
  <c r="BK672" i="1"/>
  <c r="BJ672" i="1"/>
  <c r="BI672" i="1"/>
  <c r="BH672" i="1"/>
  <c r="BG672" i="1"/>
  <c r="BF672" i="1"/>
  <c r="BE672" i="1"/>
  <c r="BD672" i="1"/>
  <c r="BC672" i="1"/>
  <c r="BB672" i="1"/>
  <c r="BA672" i="1"/>
  <c r="AZ672" i="1"/>
  <c r="AY672" i="1"/>
  <c r="AX672" i="1"/>
  <c r="AW672" i="1"/>
  <c r="AV672" i="1"/>
  <c r="AU672" i="1"/>
  <c r="AT672" i="1"/>
  <c r="AS672" i="1"/>
  <c r="AR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BQ671" i="1"/>
  <c r="BP671" i="1"/>
  <c r="BO671" i="1"/>
  <c r="BN671" i="1"/>
  <c r="BM671" i="1"/>
  <c r="BL671" i="1"/>
  <c r="BK671" i="1"/>
  <c r="BJ671" i="1"/>
  <c r="BI671" i="1"/>
  <c r="BH671" i="1"/>
  <c r="BG671" i="1"/>
  <c r="BF671" i="1"/>
  <c r="BE671" i="1"/>
  <c r="BD671" i="1"/>
  <c r="BC671" i="1"/>
  <c r="BB671" i="1"/>
  <c r="BA671" i="1"/>
  <c r="AZ671" i="1"/>
  <c r="AY671" i="1"/>
  <c r="AX671" i="1"/>
  <c r="AW671" i="1"/>
  <c r="AV671" i="1"/>
  <c r="AU671" i="1"/>
  <c r="AT671" i="1"/>
  <c r="AS671" i="1"/>
  <c r="AR671" i="1"/>
  <c r="AQ671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BQ670" i="1"/>
  <c r="BP670" i="1"/>
  <c r="BO670" i="1"/>
  <c r="BN670" i="1"/>
  <c r="BM670" i="1"/>
  <c r="BL670" i="1"/>
  <c r="BK670" i="1"/>
  <c r="BJ670" i="1"/>
  <c r="BI670" i="1"/>
  <c r="BH670" i="1"/>
  <c r="BG670" i="1"/>
  <c r="BF670" i="1"/>
  <c r="BE670" i="1"/>
  <c r="BD670" i="1"/>
  <c r="BC670" i="1"/>
  <c r="BB670" i="1"/>
  <c r="BA670" i="1"/>
  <c r="AZ670" i="1"/>
  <c r="AY670" i="1"/>
  <c r="AX670" i="1"/>
  <c r="AW670" i="1"/>
  <c r="AV670" i="1"/>
  <c r="AU670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BQ669" i="1"/>
  <c r="BP669" i="1"/>
  <c r="BO669" i="1"/>
  <c r="BN669" i="1"/>
  <c r="BM669" i="1"/>
  <c r="BL669" i="1"/>
  <c r="BK669" i="1"/>
  <c r="BJ669" i="1"/>
  <c r="BI669" i="1"/>
  <c r="BH669" i="1"/>
  <c r="BG669" i="1"/>
  <c r="BF669" i="1"/>
  <c r="BE669" i="1"/>
  <c r="BD669" i="1"/>
  <c r="BC669" i="1"/>
  <c r="BB669" i="1"/>
  <c r="BA669" i="1"/>
  <c r="AZ669" i="1"/>
  <c r="AY669" i="1"/>
  <c r="AX669" i="1"/>
  <c r="AW669" i="1"/>
  <c r="AV669" i="1"/>
  <c r="AU669" i="1"/>
  <c r="AT669" i="1"/>
  <c r="AS669" i="1"/>
  <c r="AR669" i="1"/>
  <c r="AQ669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BQ668" i="1"/>
  <c r="BP668" i="1"/>
  <c r="BO668" i="1"/>
  <c r="BN668" i="1"/>
  <c r="BM668" i="1"/>
  <c r="BL668" i="1"/>
  <c r="BK668" i="1"/>
  <c r="BJ668" i="1"/>
  <c r="BI668" i="1"/>
  <c r="BH668" i="1"/>
  <c r="BG668" i="1"/>
  <c r="BF668" i="1"/>
  <c r="BE668" i="1"/>
  <c r="BD668" i="1"/>
  <c r="BC668" i="1"/>
  <c r="BB668" i="1"/>
  <c r="BA668" i="1"/>
  <c r="AZ668" i="1"/>
  <c r="AY668" i="1"/>
  <c r="AX668" i="1"/>
  <c r="AW668" i="1"/>
  <c r="AV668" i="1"/>
  <c r="AU668" i="1"/>
  <c r="AT668" i="1"/>
  <c r="AS668" i="1"/>
  <c r="AR668" i="1"/>
  <c r="AQ668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BQ667" i="1"/>
  <c r="BP667" i="1"/>
  <c r="BO667" i="1"/>
  <c r="BN667" i="1"/>
  <c r="BM667" i="1"/>
  <c r="BL667" i="1"/>
  <c r="BK667" i="1"/>
  <c r="BJ667" i="1"/>
  <c r="BI667" i="1"/>
  <c r="BH667" i="1"/>
  <c r="BG667" i="1"/>
  <c r="BF667" i="1"/>
  <c r="BE667" i="1"/>
  <c r="BD667" i="1"/>
  <c r="BC667" i="1"/>
  <c r="BB667" i="1"/>
  <c r="BA667" i="1"/>
  <c r="AZ667" i="1"/>
  <c r="AY667" i="1"/>
  <c r="AX667" i="1"/>
  <c r="AW667" i="1"/>
  <c r="AV667" i="1"/>
  <c r="AU667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BQ666" i="1"/>
  <c r="BP666" i="1"/>
  <c r="BO666" i="1"/>
  <c r="BN666" i="1"/>
  <c r="BM666" i="1"/>
  <c r="BL666" i="1"/>
  <c r="BK666" i="1"/>
  <c r="BJ666" i="1"/>
  <c r="BI666" i="1"/>
  <c r="BH666" i="1"/>
  <c r="BG666" i="1"/>
  <c r="BF666" i="1"/>
  <c r="BE666" i="1"/>
  <c r="BD666" i="1"/>
  <c r="BC666" i="1"/>
  <c r="BB666" i="1"/>
  <c r="BA666" i="1"/>
  <c r="AZ666" i="1"/>
  <c r="AY666" i="1"/>
  <c r="AX666" i="1"/>
  <c r="AW666" i="1"/>
  <c r="AV666" i="1"/>
  <c r="AU666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BQ665" i="1"/>
  <c r="BP665" i="1"/>
  <c r="BO665" i="1"/>
  <c r="BN665" i="1"/>
  <c r="BM665" i="1"/>
  <c r="BL665" i="1"/>
  <c r="BK665" i="1"/>
  <c r="BJ665" i="1"/>
  <c r="BI665" i="1"/>
  <c r="BH665" i="1"/>
  <c r="BG665" i="1"/>
  <c r="BF665" i="1"/>
  <c r="BE665" i="1"/>
  <c r="BD665" i="1"/>
  <c r="BC665" i="1"/>
  <c r="BB665" i="1"/>
  <c r="BA665" i="1"/>
  <c r="AZ665" i="1"/>
  <c r="AY665" i="1"/>
  <c r="AX665" i="1"/>
  <c r="AW665" i="1"/>
  <c r="AV665" i="1"/>
  <c r="AU665" i="1"/>
  <c r="AT665" i="1"/>
  <c r="AS665" i="1"/>
  <c r="AR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BQ664" i="1"/>
  <c r="BP664" i="1"/>
  <c r="BO664" i="1"/>
  <c r="BN664" i="1"/>
  <c r="BM664" i="1"/>
  <c r="BL664" i="1"/>
  <c r="BK664" i="1"/>
  <c r="BJ664" i="1"/>
  <c r="BI664" i="1"/>
  <c r="BH664" i="1"/>
  <c r="BG664" i="1"/>
  <c r="BF664" i="1"/>
  <c r="BE664" i="1"/>
  <c r="BD664" i="1"/>
  <c r="BC664" i="1"/>
  <c r="BB664" i="1"/>
  <c r="BA664" i="1"/>
  <c r="AZ664" i="1"/>
  <c r="AY664" i="1"/>
  <c r="AX664" i="1"/>
  <c r="AW664" i="1"/>
  <c r="AV664" i="1"/>
  <c r="AU664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X663" i="1"/>
  <c r="AW663" i="1"/>
  <c r="AV663" i="1"/>
  <c r="AU663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X662" i="1"/>
  <c r="AW662" i="1"/>
  <c r="AV662" i="1"/>
  <c r="AU662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BQ661" i="1"/>
  <c r="BP661" i="1"/>
  <c r="BO661" i="1"/>
  <c r="BN661" i="1"/>
  <c r="BM661" i="1"/>
  <c r="BL661" i="1"/>
  <c r="BK661" i="1"/>
  <c r="BJ661" i="1"/>
  <c r="BI661" i="1"/>
  <c r="BH661" i="1"/>
  <c r="BG661" i="1"/>
  <c r="BF661" i="1"/>
  <c r="BE661" i="1"/>
  <c r="BD661" i="1"/>
  <c r="BC661" i="1"/>
  <c r="BB661" i="1"/>
  <c r="BA661" i="1"/>
  <c r="AZ661" i="1"/>
  <c r="AY661" i="1"/>
  <c r="AX661" i="1"/>
  <c r="AW661" i="1"/>
  <c r="AV661" i="1"/>
  <c r="AU661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BQ660" i="1"/>
  <c r="BP660" i="1"/>
  <c r="BO660" i="1"/>
  <c r="BN660" i="1"/>
  <c r="BM660" i="1"/>
  <c r="BL660" i="1"/>
  <c r="BK660" i="1"/>
  <c r="BJ660" i="1"/>
  <c r="BI660" i="1"/>
  <c r="BH660" i="1"/>
  <c r="BG660" i="1"/>
  <c r="BF660" i="1"/>
  <c r="BE660" i="1"/>
  <c r="BD660" i="1"/>
  <c r="BC660" i="1"/>
  <c r="BB660" i="1"/>
  <c r="BA660" i="1"/>
  <c r="AZ660" i="1"/>
  <c r="AY660" i="1"/>
  <c r="AX660" i="1"/>
  <c r="AW660" i="1"/>
  <c r="AV660" i="1"/>
  <c r="AU660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X659" i="1"/>
  <c r="AW659" i="1"/>
  <c r="AV659" i="1"/>
  <c r="AU659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X658" i="1"/>
  <c r="AW658" i="1"/>
  <c r="AV658" i="1"/>
  <c r="AU658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BQ657" i="1"/>
  <c r="BP657" i="1"/>
  <c r="BO657" i="1"/>
  <c r="BN657" i="1"/>
  <c r="BM657" i="1"/>
  <c r="BL657" i="1"/>
  <c r="BK657" i="1"/>
  <c r="BJ657" i="1"/>
  <c r="BI657" i="1"/>
  <c r="BH657" i="1"/>
  <c r="BG657" i="1"/>
  <c r="BF657" i="1"/>
  <c r="BE657" i="1"/>
  <c r="BD657" i="1"/>
  <c r="BC657" i="1"/>
  <c r="BB657" i="1"/>
  <c r="BA657" i="1"/>
  <c r="AZ657" i="1"/>
  <c r="AY657" i="1"/>
  <c r="AX657" i="1"/>
  <c r="AW657" i="1"/>
  <c r="AV657" i="1"/>
  <c r="AU657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BQ656" i="1"/>
  <c r="BP656" i="1"/>
  <c r="BO656" i="1"/>
  <c r="BN656" i="1"/>
  <c r="BM656" i="1"/>
  <c r="BL656" i="1"/>
  <c r="BK656" i="1"/>
  <c r="BJ656" i="1"/>
  <c r="BI656" i="1"/>
  <c r="BH656" i="1"/>
  <c r="BG656" i="1"/>
  <c r="BF656" i="1"/>
  <c r="BE656" i="1"/>
  <c r="BD656" i="1"/>
  <c r="BC656" i="1"/>
  <c r="BB656" i="1"/>
  <c r="BA656" i="1"/>
  <c r="AZ656" i="1"/>
  <c r="AY656" i="1"/>
  <c r="AX656" i="1"/>
  <c r="AW656" i="1"/>
  <c r="AV656" i="1"/>
  <c r="AU656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BQ655" i="1"/>
  <c r="BP655" i="1"/>
  <c r="BO655" i="1"/>
  <c r="BN655" i="1"/>
  <c r="BM655" i="1"/>
  <c r="BL655" i="1"/>
  <c r="BK655" i="1"/>
  <c r="BJ655" i="1"/>
  <c r="BI655" i="1"/>
  <c r="BH655" i="1"/>
  <c r="BG655" i="1"/>
  <c r="BF655" i="1"/>
  <c r="BE655" i="1"/>
  <c r="BD655" i="1"/>
  <c r="BC655" i="1"/>
  <c r="BB655" i="1"/>
  <c r="BA655" i="1"/>
  <c r="AZ655" i="1"/>
  <c r="AY655" i="1"/>
  <c r="AX655" i="1"/>
  <c r="AW655" i="1"/>
  <c r="AV655" i="1"/>
  <c r="AU655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X654" i="1"/>
  <c r="AW654" i="1"/>
  <c r="AV654" i="1"/>
  <c r="AU654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X653" i="1"/>
  <c r="AW653" i="1"/>
  <c r="AV653" i="1"/>
  <c r="AU653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BQ650" i="1"/>
  <c r="BP650" i="1"/>
  <c r="BO650" i="1"/>
  <c r="BN650" i="1"/>
  <c r="BM650" i="1"/>
  <c r="BL650" i="1"/>
  <c r="BK650" i="1"/>
  <c r="BJ650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BQ649" i="1"/>
  <c r="BP649" i="1"/>
  <c r="BO649" i="1"/>
  <c r="BN649" i="1"/>
  <c r="BM649" i="1"/>
  <c r="BL649" i="1"/>
  <c r="BK649" i="1"/>
  <c r="BJ649" i="1"/>
  <c r="BI649" i="1"/>
  <c r="BH649" i="1"/>
  <c r="BG649" i="1"/>
  <c r="BF649" i="1"/>
  <c r="BE649" i="1"/>
  <c r="BD649" i="1"/>
  <c r="BC649" i="1"/>
  <c r="BB649" i="1"/>
  <c r="BA649" i="1"/>
  <c r="AZ649" i="1"/>
  <c r="AY649" i="1"/>
  <c r="AX649" i="1"/>
  <c r="AW649" i="1"/>
  <c r="AV649" i="1"/>
  <c r="AU649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BQ648" i="1"/>
  <c r="BP648" i="1"/>
  <c r="BO648" i="1"/>
  <c r="BN648" i="1"/>
  <c r="BM648" i="1"/>
  <c r="BL648" i="1"/>
  <c r="BK648" i="1"/>
  <c r="BJ648" i="1"/>
  <c r="BI648" i="1"/>
  <c r="BH648" i="1"/>
  <c r="BG648" i="1"/>
  <c r="BF648" i="1"/>
  <c r="BE648" i="1"/>
  <c r="BD648" i="1"/>
  <c r="BC648" i="1"/>
  <c r="BB648" i="1"/>
  <c r="BA648" i="1"/>
  <c r="AZ648" i="1"/>
  <c r="AY648" i="1"/>
  <c r="AX648" i="1"/>
  <c r="AW648" i="1"/>
  <c r="AV648" i="1"/>
  <c r="AU648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X647" i="1"/>
  <c r="AW647" i="1"/>
  <c r="AV647" i="1"/>
  <c r="AU647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AV646" i="1"/>
  <c r="AU646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X645" i="1"/>
  <c r="AW645" i="1"/>
  <c r="AV645" i="1"/>
  <c r="AU645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AV644" i="1"/>
  <c r="AU644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AV643" i="1"/>
  <c r="AU643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AV641" i="1"/>
  <c r="AU641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X640" i="1"/>
  <c r="AW640" i="1"/>
  <c r="AV640" i="1"/>
  <c r="AU640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AV639" i="1"/>
  <c r="AU639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AU638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AV637" i="1"/>
  <c r="AU637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AV636" i="1"/>
  <c r="AU636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AU635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AU634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AV633" i="1"/>
  <c r="AU633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AV632" i="1"/>
  <c r="AU632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AV631" i="1"/>
  <c r="AU631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AV629" i="1"/>
  <c r="AU629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AU625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BQ624" i="1"/>
  <c r="BP624" i="1"/>
  <c r="BO624" i="1"/>
  <c r="BN624" i="1"/>
  <c r="BM624" i="1"/>
  <c r="BL624" i="1"/>
  <c r="BK624" i="1"/>
  <c r="BJ624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AV624" i="1"/>
  <c r="AU624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AV623" i="1"/>
  <c r="AU623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AV621" i="1"/>
  <c r="AU621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AV620" i="1"/>
  <c r="AU620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AV618" i="1"/>
  <c r="AU618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AV616" i="1"/>
  <c r="AU616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X615" i="1"/>
  <c r="AW615" i="1"/>
  <c r="AV615" i="1"/>
  <c r="AU615" i="1"/>
  <c r="AT615" i="1"/>
  <c r="AS615" i="1"/>
  <c r="AR615" i="1"/>
  <c r="AQ615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X614" i="1"/>
  <c r="AW614" i="1"/>
  <c r="AV614" i="1"/>
  <c r="AU614" i="1"/>
  <c r="AT614" i="1"/>
  <c r="AS614" i="1"/>
  <c r="AR614" i="1"/>
  <c r="AQ614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AV613" i="1"/>
  <c r="AU613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X612" i="1"/>
  <c r="AW612" i="1"/>
  <c r="AV612" i="1"/>
  <c r="AU612" i="1"/>
  <c r="AT612" i="1"/>
  <c r="AS612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X611" i="1"/>
  <c r="AW611" i="1"/>
  <c r="AV611" i="1"/>
  <c r="AU611" i="1"/>
  <c r="AT611" i="1"/>
  <c r="AS611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X610" i="1"/>
  <c r="AW610" i="1"/>
  <c r="AV610" i="1"/>
  <c r="AU610" i="1"/>
  <c r="AT610" i="1"/>
  <c r="AS610" i="1"/>
  <c r="AR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X609" i="1"/>
  <c r="AW609" i="1"/>
  <c r="AV609" i="1"/>
  <c r="AU609" i="1"/>
  <c r="AT609" i="1"/>
  <c r="AS609" i="1"/>
  <c r="AR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AU608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X607" i="1"/>
  <c r="AW607" i="1"/>
  <c r="AV607" i="1"/>
  <c r="AU607" i="1"/>
  <c r="AT607" i="1"/>
  <c r="AS607" i="1"/>
  <c r="AR607" i="1"/>
  <c r="AQ607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X606" i="1"/>
  <c r="AW606" i="1"/>
  <c r="AV606" i="1"/>
  <c r="AU606" i="1"/>
  <c r="AT606" i="1"/>
  <c r="AS606" i="1"/>
  <c r="AR606" i="1"/>
  <c r="AQ606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X605" i="1"/>
  <c r="AW605" i="1"/>
  <c r="AV605" i="1"/>
  <c r="AU605" i="1"/>
  <c r="AT605" i="1"/>
  <c r="AS605" i="1"/>
  <c r="AR605" i="1"/>
  <c r="AQ605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AV604" i="1"/>
  <c r="AU604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X603" i="1"/>
  <c r="AW603" i="1"/>
  <c r="AV603" i="1"/>
  <c r="AU603" i="1"/>
  <c r="AT603" i="1"/>
  <c r="AS603" i="1"/>
  <c r="AR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BQ602" i="1"/>
  <c r="BP602" i="1"/>
  <c r="BO602" i="1"/>
  <c r="BN602" i="1"/>
  <c r="BM602" i="1"/>
  <c r="BL602" i="1"/>
  <c r="BK602" i="1"/>
  <c r="BJ602" i="1"/>
  <c r="BI602" i="1"/>
  <c r="BH602" i="1"/>
  <c r="BG602" i="1"/>
  <c r="BF602" i="1"/>
  <c r="BE602" i="1"/>
  <c r="BD602" i="1"/>
  <c r="BC602" i="1"/>
  <c r="BB602" i="1"/>
  <c r="BA602" i="1"/>
  <c r="AZ602" i="1"/>
  <c r="AY602" i="1"/>
  <c r="AX602" i="1"/>
  <c r="AW602" i="1"/>
  <c r="AV602" i="1"/>
  <c r="AU602" i="1"/>
  <c r="AT602" i="1"/>
  <c r="AS602" i="1"/>
  <c r="AR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BQ601" i="1"/>
  <c r="BP601" i="1"/>
  <c r="BO601" i="1"/>
  <c r="BN601" i="1"/>
  <c r="BM601" i="1"/>
  <c r="BL601" i="1"/>
  <c r="BK601" i="1"/>
  <c r="BJ601" i="1"/>
  <c r="BI601" i="1"/>
  <c r="BH601" i="1"/>
  <c r="BG601" i="1"/>
  <c r="BF601" i="1"/>
  <c r="BE601" i="1"/>
  <c r="BD601" i="1"/>
  <c r="BC601" i="1"/>
  <c r="BB601" i="1"/>
  <c r="BA601" i="1"/>
  <c r="AZ601" i="1"/>
  <c r="AY601" i="1"/>
  <c r="AX601" i="1"/>
  <c r="AW601" i="1"/>
  <c r="AV601" i="1"/>
  <c r="AU601" i="1"/>
  <c r="AT601" i="1"/>
  <c r="AS601" i="1"/>
  <c r="AR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BQ600" i="1"/>
  <c r="BP600" i="1"/>
  <c r="BO600" i="1"/>
  <c r="BN600" i="1"/>
  <c r="BM600" i="1"/>
  <c r="BL600" i="1"/>
  <c r="BK600" i="1"/>
  <c r="BJ600" i="1"/>
  <c r="BI600" i="1"/>
  <c r="BH600" i="1"/>
  <c r="BG600" i="1"/>
  <c r="BF600" i="1"/>
  <c r="BE600" i="1"/>
  <c r="BD600" i="1"/>
  <c r="BC600" i="1"/>
  <c r="BB600" i="1"/>
  <c r="BA600" i="1"/>
  <c r="AZ600" i="1"/>
  <c r="AY600" i="1"/>
  <c r="AX600" i="1"/>
  <c r="AW600" i="1"/>
  <c r="AV600" i="1"/>
  <c r="AU600" i="1"/>
  <c r="AT600" i="1"/>
  <c r="AS600" i="1"/>
  <c r="AR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AV599" i="1"/>
  <c r="AU599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AV598" i="1"/>
  <c r="AU598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AV597" i="1"/>
  <c r="AU597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X596" i="1"/>
  <c r="AW596" i="1"/>
  <c r="AV596" i="1"/>
  <c r="AU596" i="1"/>
  <c r="AT596" i="1"/>
  <c r="AS596" i="1"/>
  <c r="AR596" i="1"/>
  <c r="AQ596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X595" i="1"/>
  <c r="AW595" i="1"/>
  <c r="AV595" i="1"/>
  <c r="AU595" i="1"/>
  <c r="AT595" i="1"/>
  <c r="AS595" i="1"/>
  <c r="AR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AV594" i="1"/>
  <c r="AU594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X593" i="1"/>
  <c r="AW593" i="1"/>
  <c r="AV593" i="1"/>
  <c r="AU593" i="1"/>
  <c r="AT593" i="1"/>
  <c r="AS593" i="1"/>
  <c r="AR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X592" i="1"/>
  <c r="AW592" i="1"/>
  <c r="AV592" i="1"/>
  <c r="AU592" i="1"/>
  <c r="AT592" i="1"/>
  <c r="AS592" i="1"/>
  <c r="AR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AV591" i="1"/>
  <c r="AU591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AV590" i="1"/>
  <c r="AU590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BQ589" i="1"/>
  <c r="BP589" i="1"/>
  <c r="BO589" i="1"/>
  <c r="BN589" i="1"/>
  <c r="BM589" i="1"/>
  <c r="BL589" i="1"/>
  <c r="BK589" i="1"/>
  <c r="BJ589" i="1"/>
  <c r="BI589" i="1"/>
  <c r="BH589" i="1"/>
  <c r="BG589" i="1"/>
  <c r="BF589" i="1"/>
  <c r="BE589" i="1"/>
  <c r="BD589" i="1"/>
  <c r="BC589" i="1"/>
  <c r="BB589" i="1"/>
  <c r="BA589" i="1"/>
  <c r="AZ589" i="1"/>
  <c r="AY589" i="1"/>
  <c r="AX589" i="1"/>
  <c r="AW589" i="1"/>
  <c r="AV589" i="1"/>
  <c r="AU589" i="1"/>
  <c r="AT589" i="1"/>
  <c r="AS589" i="1"/>
  <c r="AR589" i="1"/>
  <c r="AQ589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X588" i="1"/>
  <c r="AW588" i="1"/>
  <c r="AV588" i="1"/>
  <c r="AU588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X587" i="1"/>
  <c r="AW587" i="1"/>
  <c r="AV587" i="1"/>
  <c r="AU587" i="1"/>
  <c r="AT587" i="1"/>
  <c r="AS587" i="1"/>
  <c r="AR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X585" i="1"/>
  <c r="AW585" i="1"/>
  <c r="AV585" i="1"/>
  <c r="AU585" i="1"/>
  <c r="AT585" i="1"/>
  <c r="AS585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X584" i="1"/>
  <c r="AW584" i="1"/>
  <c r="AV584" i="1"/>
  <c r="AU584" i="1"/>
  <c r="AT584" i="1"/>
  <c r="AS584" i="1"/>
  <c r="AR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AV583" i="1"/>
  <c r="AU583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AU582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AV581" i="1"/>
  <c r="AU581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AV580" i="1"/>
  <c r="AU580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BQ579" i="1"/>
  <c r="BP579" i="1"/>
  <c r="BO579" i="1"/>
  <c r="BN579" i="1"/>
  <c r="BM579" i="1"/>
  <c r="BL579" i="1"/>
  <c r="BK579" i="1"/>
  <c r="BJ579" i="1"/>
  <c r="BI579" i="1"/>
  <c r="BH579" i="1"/>
  <c r="BG579" i="1"/>
  <c r="BF579" i="1"/>
  <c r="BE579" i="1"/>
  <c r="BD579" i="1"/>
  <c r="BC579" i="1"/>
  <c r="BB579" i="1"/>
  <c r="BA579" i="1"/>
  <c r="AZ579" i="1"/>
  <c r="AY579" i="1"/>
  <c r="AX579" i="1"/>
  <c r="AW579" i="1"/>
  <c r="AV579" i="1"/>
  <c r="AU579" i="1"/>
  <c r="AT579" i="1"/>
  <c r="AS579" i="1"/>
  <c r="AR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BQ578" i="1"/>
  <c r="BP578" i="1"/>
  <c r="BO578" i="1"/>
  <c r="BN578" i="1"/>
  <c r="BM578" i="1"/>
  <c r="BL578" i="1"/>
  <c r="BK578" i="1"/>
  <c r="BJ578" i="1"/>
  <c r="BI578" i="1"/>
  <c r="BH578" i="1"/>
  <c r="BG578" i="1"/>
  <c r="BF578" i="1"/>
  <c r="BE578" i="1"/>
  <c r="BD578" i="1"/>
  <c r="BC578" i="1"/>
  <c r="BB578" i="1"/>
  <c r="BA578" i="1"/>
  <c r="AZ578" i="1"/>
  <c r="AY578" i="1"/>
  <c r="AX578" i="1"/>
  <c r="AW578" i="1"/>
  <c r="AV578" i="1"/>
  <c r="AU578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BQ577" i="1"/>
  <c r="BP577" i="1"/>
  <c r="BO577" i="1"/>
  <c r="BN577" i="1"/>
  <c r="BM577" i="1"/>
  <c r="BL577" i="1"/>
  <c r="BK577" i="1"/>
  <c r="BJ577" i="1"/>
  <c r="BI577" i="1"/>
  <c r="BH577" i="1"/>
  <c r="BG577" i="1"/>
  <c r="BF577" i="1"/>
  <c r="BE577" i="1"/>
  <c r="BD577" i="1"/>
  <c r="BC577" i="1"/>
  <c r="BB577" i="1"/>
  <c r="BA577" i="1"/>
  <c r="AZ577" i="1"/>
  <c r="AY577" i="1"/>
  <c r="AX577" i="1"/>
  <c r="AW577" i="1"/>
  <c r="AV577" i="1"/>
  <c r="AU577" i="1"/>
  <c r="AT577" i="1"/>
  <c r="AS577" i="1"/>
  <c r="AR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BQ576" i="1"/>
  <c r="BP576" i="1"/>
  <c r="BO576" i="1"/>
  <c r="BN576" i="1"/>
  <c r="BM576" i="1"/>
  <c r="BL576" i="1"/>
  <c r="BK576" i="1"/>
  <c r="BJ576" i="1"/>
  <c r="BI576" i="1"/>
  <c r="BH576" i="1"/>
  <c r="BG576" i="1"/>
  <c r="BF576" i="1"/>
  <c r="BE576" i="1"/>
  <c r="BD576" i="1"/>
  <c r="BC576" i="1"/>
  <c r="BB576" i="1"/>
  <c r="BA576" i="1"/>
  <c r="AZ576" i="1"/>
  <c r="AY576" i="1"/>
  <c r="AX576" i="1"/>
  <c r="AW576" i="1"/>
  <c r="AV576" i="1"/>
  <c r="AU576" i="1"/>
  <c r="AT576" i="1"/>
  <c r="AS576" i="1"/>
  <c r="AR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X575" i="1"/>
  <c r="AW575" i="1"/>
  <c r="AV575" i="1"/>
  <c r="AU575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BQ574" i="1"/>
  <c r="BP574" i="1"/>
  <c r="BO574" i="1"/>
  <c r="BN574" i="1"/>
  <c r="BM574" i="1"/>
  <c r="BL574" i="1"/>
  <c r="BK574" i="1"/>
  <c r="BJ574" i="1"/>
  <c r="BI574" i="1"/>
  <c r="BH574" i="1"/>
  <c r="BG574" i="1"/>
  <c r="BF574" i="1"/>
  <c r="BE574" i="1"/>
  <c r="BD574" i="1"/>
  <c r="BC574" i="1"/>
  <c r="BB574" i="1"/>
  <c r="BA574" i="1"/>
  <c r="AZ574" i="1"/>
  <c r="AY574" i="1"/>
  <c r="AX574" i="1"/>
  <c r="AW574" i="1"/>
  <c r="AV574" i="1"/>
  <c r="AU574" i="1"/>
  <c r="AT574" i="1"/>
  <c r="AS574" i="1"/>
  <c r="AR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AV573" i="1"/>
  <c r="AU573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BQ572" i="1"/>
  <c r="BP572" i="1"/>
  <c r="BO572" i="1"/>
  <c r="BN572" i="1"/>
  <c r="BM572" i="1"/>
  <c r="BL572" i="1"/>
  <c r="BK572" i="1"/>
  <c r="BJ572" i="1"/>
  <c r="BI572" i="1"/>
  <c r="BH572" i="1"/>
  <c r="BG572" i="1"/>
  <c r="BF572" i="1"/>
  <c r="BE572" i="1"/>
  <c r="BD572" i="1"/>
  <c r="BC572" i="1"/>
  <c r="BB572" i="1"/>
  <c r="BA572" i="1"/>
  <c r="AZ572" i="1"/>
  <c r="AY572" i="1"/>
  <c r="AX572" i="1"/>
  <c r="AW572" i="1"/>
  <c r="AV572" i="1"/>
  <c r="AU572" i="1"/>
  <c r="AT572" i="1"/>
  <c r="AS572" i="1"/>
  <c r="AR572" i="1"/>
  <c r="AQ572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BQ571" i="1"/>
  <c r="BP571" i="1"/>
  <c r="BO571" i="1"/>
  <c r="BN571" i="1"/>
  <c r="BM571" i="1"/>
  <c r="BL571" i="1"/>
  <c r="BK571" i="1"/>
  <c r="BJ571" i="1"/>
  <c r="BI571" i="1"/>
  <c r="BH571" i="1"/>
  <c r="BG571" i="1"/>
  <c r="BF571" i="1"/>
  <c r="BE571" i="1"/>
  <c r="BD571" i="1"/>
  <c r="BC571" i="1"/>
  <c r="BB571" i="1"/>
  <c r="BA571" i="1"/>
  <c r="AZ571" i="1"/>
  <c r="AY571" i="1"/>
  <c r="AX571" i="1"/>
  <c r="AW571" i="1"/>
  <c r="AV571" i="1"/>
  <c r="AU571" i="1"/>
  <c r="AT571" i="1"/>
  <c r="AS571" i="1"/>
  <c r="AR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AV565" i="1"/>
  <c r="AU565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X564" i="1"/>
  <c r="AW564" i="1"/>
  <c r="AV564" i="1"/>
  <c r="AU564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BQ563" i="1"/>
  <c r="BP563" i="1"/>
  <c r="BO563" i="1"/>
  <c r="BN563" i="1"/>
  <c r="BM563" i="1"/>
  <c r="BL563" i="1"/>
  <c r="BK563" i="1"/>
  <c r="BJ563" i="1"/>
  <c r="BI563" i="1"/>
  <c r="BH563" i="1"/>
  <c r="BG563" i="1"/>
  <c r="BF563" i="1"/>
  <c r="BE563" i="1"/>
  <c r="BD563" i="1"/>
  <c r="BC563" i="1"/>
  <c r="BB563" i="1"/>
  <c r="BA563" i="1"/>
  <c r="AZ563" i="1"/>
  <c r="AY563" i="1"/>
  <c r="AX563" i="1"/>
  <c r="AW563" i="1"/>
  <c r="AV563" i="1"/>
  <c r="AU563" i="1"/>
  <c r="AT563" i="1"/>
  <c r="AS563" i="1"/>
  <c r="AR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BQ562" i="1"/>
  <c r="BP562" i="1"/>
  <c r="BO562" i="1"/>
  <c r="BN562" i="1"/>
  <c r="BM562" i="1"/>
  <c r="BL562" i="1"/>
  <c r="BK562" i="1"/>
  <c r="BJ562" i="1"/>
  <c r="BI562" i="1"/>
  <c r="BH562" i="1"/>
  <c r="BG562" i="1"/>
  <c r="BF562" i="1"/>
  <c r="BE562" i="1"/>
  <c r="BD562" i="1"/>
  <c r="BC562" i="1"/>
  <c r="BB562" i="1"/>
  <c r="BA562" i="1"/>
  <c r="AZ562" i="1"/>
  <c r="AY562" i="1"/>
  <c r="AX562" i="1"/>
  <c r="AW562" i="1"/>
  <c r="AV562" i="1"/>
  <c r="AU562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BQ561" i="1"/>
  <c r="BP561" i="1"/>
  <c r="BO561" i="1"/>
  <c r="BN561" i="1"/>
  <c r="BM561" i="1"/>
  <c r="BL561" i="1"/>
  <c r="BK561" i="1"/>
  <c r="BJ561" i="1"/>
  <c r="BI561" i="1"/>
  <c r="BH561" i="1"/>
  <c r="BG561" i="1"/>
  <c r="BF561" i="1"/>
  <c r="BE561" i="1"/>
  <c r="BD561" i="1"/>
  <c r="BC561" i="1"/>
  <c r="BB561" i="1"/>
  <c r="BA561" i="1"/>
  <c r="AZ561" i="1"/>
  <c r="AY561" i="1"/>
  <c r="AX561" i="1"/>
  <c r="AW561" i="1"/>
  <c r="AV561" i="1"/>
  <c r="AU561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BQ560" i="1"/>
  <c r="BP560" i="1"/>
  <c r="BO560" i="1"/>
  <c r="BN560" i="1"/>
  <c r="BM560" i="1"/>
  <c r="BL560" i="1"/>
  <c r="BK560" i="1"/>
  <c r="BJ560" i="1"/>
  <c r="BI560" i="1"/>
  <c r="BH560" i="1"/>
  <c r="BG560" i="1"/>
  <c r="BF560" i="1"/>
  <c r="BE560" i="1"/>
  <c r="BD560" i="1"/>
  <c r="BC560" i="1"/>
  <c r="BB560" i="1"/>
  <c r="BA560" i="1"/>
  <c r="AZ560" i="1"/>
  <c r="AY560" i="1"/>
  <c r="AX560" i="1"/>
  <c r="AW560" i="1"/>
  <c r="AV560" i="1"/>
  <c r="AU560" i="1"/>
  <c r="AT560" i="1"/>
  <c r="AS560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X559" i="1"/>
  <c r="AW559" i="1"/>
  <c r="AV559" i="1"/>
  <c r="AU559" i="1"/>
  <c r="AT559" i="1"/>
  <c r="AS559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BQ558" i="1"/>
  <c r="BP558" i="1"/>
  <c r="BO558" i="1"/>
  <c r="BN558" i="1"/>
  <c r="BM558" i="1"/>
  <c r="BL558" i="1"/>
  <c r="BK558" i="1"/>
  <c r="BJ558" i="1"/>
  <c r="BI558" i="1"/>
  <c r="BH558" i="1"/>
  <c r="BG558" i="1"/>
  <c r="BF558" i="1"/>
  <c r="BE558" i="1"/>
  <c r="BD558" i="1"/>
  <c r="BC558" i="1"/>
  <c r="BB558" i="1"/>
  <c r="BA558" i="1"/>
  <c r="AZ558" i="1"/>
  <c r="AY558" i="1"/>
  <c r="AX558" i="1"/>
  <c r="AW558" i="1"/>
  <c r="AV558" i="1"/>
  <c r="AU558" i="1"/>
  <c r="AT558" i="1"/>
  <c r="AS558" i="1"/>
  <c r="AR558" i="1"/>
  <c r="AQ558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BQ556" i="1"/>
  <c r="BP556" i="1"/>
  <c r="BO556" i="1"/>
  <c r="BN556" i="1"/>
  <c r="BM556" i="1"/>
  <c r="BL556" i="1"/>
  <c r="BK556" i="1"/>
  <c r="BJ556" i="1"/>
  <c r="BI556" i="1"/>
  <c r="BH556" i="1"/>
  <c r="BG556" i="1"/>
  <c r="BF556" i="1"/>
  <c r="BE556" i="1"/>
  <c r="BD556" i="1"/>
  <c r="BC556" i="1"/>
  <c r="BB556" i="1"/>
  <c r="BA556" i="1"/>
  <c r="AZ556" i="1"/>
  <c r="AY556" i="1"/>
  <c r="AX556" i="1"/>
  <c r="AW556" i="1"/>
  <c r="AV556" i="1"/>
  <c r="AU556" i="1"/>
  <c r="AT556" i="1"/>
  <c r="AS556" i="1"/>
  <c r="AR556" i="1"/>
  <c r="AQ556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AV555" i="1"/>
  <c r="AU555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BQ554" i="1"/>
  <c r="BP554" i="1"/>
  <c r="BO554" i="1"/>
  <c r="BN554" i="1"/>
  <c r="BM554" i="1"/>
  <c r="BL554" i="1"/>
  <c r="BK554" i="1"/>
  <c r="BJ554" i="1"/>
  <c r="BI554" i="1"/>
  <c r="BH554" i="1"/>
  <c r="BG554" i="1"/>
  <c r="BF554" i="1"/>
  <c r="BE554" i="1"/>
  <c r="BD554" i="1"/>
  <c r="BC554" i="1"/>
  <c r="BB554" i="1"/>
  <c r="BA554" i="1"/>
  <c r="AZ554" i="1"/>
  <c r="AY554" i="1"/>
  <c r="AX554" i="1"/>
  <c r="AW554" i="1"/>
  <c r="AV554" i="1"/>
  <c r="AU554" i="1"/>
  <c r="AT554" i="1"/>
  <c r="AS554" i="1"/>
  <c r="AR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BQ553" i="1"/>
  <c r="BP553" i="1"/>
  <c r="BO553" i="1"/>
  <c r="BN553" i="1"/>
  <c r="BM553" i="1"/>
  <c r="BL553" i="1"/>
  <c r="BK553" i="1"/>
  <c r="BJ553" i="1"/>
  <c r="BI553" i="1"/>
  <c r="BH553" i="1"/>
  <c r="BG553" i="1"/>
  <c r="BF553" i="1"/>
  <c r="BE553" i="1"/>
  <c r="BD553" i="1"/>
  <c r="BC553" i="1"/>
  <c r="BB553" i="1"/>
  <c r="BA553" i="1"/>
  <c r="AZ553" i="1"/>
  <c r="AY553" i="1"/>
  <c r="AX553" i="1"/>
  <c r="AW553" i="1"/>
  <c r="AV553" i="1"/>
  <c r="AU553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BQ552" i="1"/>
  <c r="BP552" i="1"/>
  <c r="BO552" i="1"/>
  <c r="BN552" i="1"/>
  <c r="BM552" i="1"/>
  <c r="BL552" i="1"/>
  <c r="BK552" i="1"/>
  <c r="BJ552" i="1"/>
  <c r="BI552" i="1"/>
  <c r="BH552" i="1"/>
  <c r="BG552" i="1"/>
  <c r="BF552" i="1"/>
  <c r="BE552" i="1"/>
  <c r="BD552" i="1"/>
  <c r="BC552" i="1"/>
  <c r="BB552" i="1"/>
  <c r="BA552" i="1"/>
  <c r="AZ552" i="1"/>
  <c r="AY552" i="1"/>
  <c r="AX552" i="1"/>
  <c r="AW552" i="1"/>
  <c r="AV552" i="1"/>
  <c r="AU552" i="1"/>
  <c r="AT552" i="1"/>
  <c r="AS552" i="1"/>
  <c r="AR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BQ551" i="1"/>
  <c r="BP551" i="1"/>
  <c r="BO551" i="1"/>
  <c r="BN551" i="1"/>
  <c r="BM551" i="1"/>
  <c r="BL551" i="1"/>
  <c r="BK551" i="1"/>
  <c r="BJ551" i="1"/>
  <c r="BI551" i="1"/>
  <c r="BH551" i="1"/>
  <c r="BG551" i="1"/>
  <c r="BF551" i="1"/>
  <c r="BE551" i="1"/>
  <c r="BD551" i="1"/>
  <c r="BC551" i="1"/>
  <c r="BB551" i="1"/>
  <c r="BA551" i="1"/>
  <c r="AZ551" i="1"/>
  <c r="AY551" i="1"/>
  <c r="AX551" i="1"/>
  <c r="AW551" i="1"/>
  <c r="AV551" i="1"/>
  <c r="AU551" i="1"/>
  <c r="AT551" i="1"/>
  <c r="AS551" i="1"/>
  <c r="AR551" i="1"/>
  <c r="AQ551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BQ550" i="1"/>
  <c r="BP550" i="1"/>
  <c r="BO550" i="1"/>
  <c r="BN550" i="1"/>
  <c r="BM550" i="1"/>
  <c r="BL550" i="1"/>
  <c r="BK550" i="1"/>
  <c r="BJ550" i="1"/>
  <c r="BI550" i="1"/>
  <c r="BH550" i="1"/>
  <c r="BG550" i="1"/>
  <c r="BF550" i="1"/>
  <c r="BE550" i="1"/>
  <c r="BD550" i="1"/>
  <c r="BC550" i="1"/>
  <c r="BB550" i="1"/>
  <c r="BA550" i="1"/>
  <c r="AZ550" i="1"/>
  <c r="AY550" i="1"/>
  <c r="AX550" i="1"/>
  <c r="AW550" i="1"/>
  <c r="AV550" i="1"/>
  <c r="AU550" i="1"/>
  <c r="AT550" i="1"/>
  <c r="AS550" i="1"/>
  <c r="AR550" i="1"/>
  <c r="AQ55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BQ549" i="1"/>
  <c r="BP549" i="1"/>
  <c r="BO549" i="1"/>
  <c r="BN549" i="1"/>
  <c r="BM549" i="1"/>
  <c r="BL549" i="1"/>
  <c r="BK549" i="1"/>
  <c r="BJ549" i="1"/>
  <c r="BI549" i="1"/>
  <c r="BH549" i="1"/>
  <c r="BG549" i="1"/>
  <c r="BF549" i="1"/>
  <c r="BE549" i="1"/>
  <c r="BD549" i="1"/>
  <c r="BC549" i="1"/>
  <c r="BB549" i="1"/>
  <c r="BA549" i="1"/>
  <c r="AZ549" i="1"/>
  <c r="AY549" i="1"/>
  <c r="AX549" i="1"/>
  <c r="AW549" i="1"/>
  <c r="AV549" i="1"/>
  <c r="AU549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BQ548" i="1"/>
  <c r="BP548" i="1"/>
  <c r="BO548" i="1"/>
  <c r="BN548" i="1"/>
  <c r="BM548" i="1"/>
  <c r="BL548" i="1"/>
  <c r="BK548" i="1"/>
  <c r="BJ548" i="1"/>
  <c r="BI548" i="1"/>
  <c r="BH548" i="1"/>
  <c r="BG548" i="1"/>
  <c r="BF548" i="1"/>
  <c r="BE548" i="1"/>
  <c r="BD548" i="1"/>
  <c r="BC548" i="1"/>
  <c r="BB548" i="1"/>
  <c r="BA548" i="1"/>
  <c r="AZ548" i="1"/>
  <c r="AY548" i="1"/>
  <c r="AX548" i="1"/>
  <c r="AW548" i="1"/>
  <c r="AV548" i="1"/>
  <c r="AU548" i="1"/>
  <c r="AT548" i="1"/>
  <c r="AS548" i="1"/>
  <c r="AR548" i="1"/>
  <c r="AQ548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V547" i="1"/>
  <c r="AU547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X546" i="1"/>
  <c r="AW546" i="1"/>
  <c r="AV546" i="1"/>
  <c r="AU546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V544" i="1"/>
  <c r="AU544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X543" i="1"/>
  <c r="AW543" i="1"/>
  <c r="AV543" i="1"/>
  <c r="AU543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X541" i="1"/>
  <c r="AW541" i="1"/>
  <c r="AV541" i="1"/>
  <c r="AU541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V539" i="1"/>
  <c r="AU539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X538" i="1"/>
  <c r="AW538" i="1"/>
  <c r="AV538" i="1"/>
  <c r="AU538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AU537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AV535" i="1"/>
  <c r="AU535" i="1"/>
  <c r="AT535" i="1"/>
  <c r="AS535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BQ534" i="1"/>
  <c r="BP534" i="1"/>
  <c r="BO534" i="1"/>
  <c r="BN534" i="1"/>
  <c r="BM534" i="1"/>
  <c r="BL534" i="1"/>
  <c r="BK534" i="1"/>
  <c r="BJ534" i="1"/>
  <c r="BI534" i="1"/>
  <c r="BH534" i="1"/>
  <c r="BG534" i="1"/>
  <c r="BF534" i="1"/>
  <c r="BE534" i="1"/>
  <c r="BD534" i="1"/>
  <c r="BC534" i="1"/>
  <c r="BB534" i="1"/>
  <c r="BA534" i="1"/>
  <c r="AZ534" i="1"/>
  <c r="AY534" i="1"/>
  <c r="AX534" i="1"/>
  <c r="AW534" i="1"/>
  <c r="AV534" i="1"/>
  <c r="AU534" i="1"/>
  <c r="AT534" i="1"/>
  <c r="AS534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BQ533" i="1"/>
  <c r="BP533" i="1"/>
  <c r="BO533" i="1"/>
  <c r="BN533" i="1"/>
  <c r="BM533" i="1"/>
  <c r="BL533" i="1"/>
  <c r="BK533" i="1"/>
  <c r="BJ533" i="1"/>
  <c r="BI533" i="1"/>
  <c r="BH533" i="1"/>
  <c r="BG533" i="1"/>
  <c r="BF533" i="1"/>
  <c r="BE533" i="1"/>
  <c r="BD533" i="1"/>
  <c r="BC533" i="1"/>
  <c r="BB533" i="1"/>
  <c r="BA533" i="1"/>
  <c r="AZ533" i="1"/>
  <c r="AY533" i="1"/>
  <c r="AX533" i="1"/>
  <c r="AW533" i="1"/>
  <c r="AV533" i="1"/>
  <c r="AU533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BQ532" i="1"/>
  <c r="BP532" i="1"/>
  <c r="BO532" i="1"/>
  <c r="BN532" i="1"/>
  <c r="BM532" i="1"/>
  <c r="BL532" i="1"/>
  <c r="BK532" i="1"/>
  <c r="BJ532" i="1"/>
  <c r="BI532" i="1"/>
  <c r="BH532" i="1"/>
  <c r="BG532" i="1"/>
  <c r="BF532" i="1"/>
  <c r="BE532" i="1"/>
  <c r="BD532" i="1"/>
  <c r="BC532" i="1"/>
  <c r="BB532" i="1"/>
  <c r="BA532" i="1"/>
  <c r="AZ532" i="1"/>
  <c r="AY532" i="1"/>
  <c r="AX532" i="1"/>
  <c r="AW532" i="1"/>
  <c r="AV532" i="1"/>
  <c r="AU532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BQ531" i="1"/>
  <c r="BP531" i="1"/>
  <c r="BO531" i="1"/>
  <c r="BN531" i="1"/>
  <c r="BM531" i="1"/>
  <c r="BL531" i="1"/>
  <c r="BK531" i="1"/>
  <c r="BJ531" i="1"/>
  <c r="BI531" i="1"/>
  <c r="BH531" i="1"/>
  <c r="BG531" i="1"/>
  <c r="BF531" i="1"/>
  <c r="BE531" i="1"/>
  <c r="BD531" i="1"/>
  <c r="BC531" i="1"/>
  <c r="BB531" i="1"/>
  <c r="BA531" i="1"/>
  <c r="AZ531" i="1"/>
  <c r="AY531" i="1"/>
  <c r="AX531" i="1"/>
  <c r="AW531" i="1"/>
  <c r="AV531" i="1"/>
  <c r="AU531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BQ530" i="1"/>
  <c r="BP530" i="1"/>
  <c r="BO530" i="1"/>
  <c r="BN530" i="1"/>
  <c r="BM530" i="1"/>
  <c r="BL530" i="1"/>
  <c r="BK530" i="1"/>
  <c r="BJ530" i="1"/>
  <c r="BI530" i="1"/>
  <c r="BH530" i="1"/>
  <c r="BG530" i="1"/>
  <c r="BF530" i="1"/>
  <c r="BE530" i="1"/>
  <c r="BD530" i="1"/>
  <c r="BC530" i="1"/>
  <c r="BB530" i="1"/>
  <c r="BA530" i="1"/>
  <c r="AZ530" i="1"/>
  <c r="AY530" i="1"/>
  <c r="AX530" i="1"/>
  <c r="AW530" i="1"/>
  <c r="AV530" i="1"/>
  <c r="AU530" i="1"/>
  <c r="AT530" i="1"/>
  <c r="AS530" i="1"/>
  <c r="AR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BQ529" i="1"/>
  <c r="BP529" i="1"/>
  <c r="BO529" i="1"/>
  <c r="BN529" i="1"/>
  <c r="BM529" i="1"/>
  <c r="BL529" i="1"/>
  <c r="BK529" i="1"/>
  <c r="BJ529" i="1"/>
  <c r="BI529" i="1"/>
  <c r="BH529" i="1"/>
  <c r="BG529" i="1"/>
  <c r="BF529" i="1"/>
  <c r="BE529" i="1"/>
  <c r="BD529" i="1"/>
  <c r="BC529" i="1"/>
  <c r="BB529" i="1"/>
  <c r="BA529" i="1"/>
  <c r="AZ529" i="1"/>
  <c r="AY529" i="1"/>
  <c r="AX529" i="1"/>
  <c r="AW529" i="1"/>
  <c r="AV529" i="1"/>
  <c r="AU529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BQ528" i="1"/>
  <c r="BP528" i="1"/>
  <c r="BO528" i="1"/>
  <c r="BN528" i="1"/>
  <c r="BM528" i="1"/>
  <c r="BL528" i="1"/>
  <c r="BK528" i="1"/>
  <c r="BJ528" i="1"/>
  <c r="BI528" i="1"/>
  <c r="BH528" i="1"/>
  <c r="BG528" i="1"/>
  <c r="BF528" i="1"/>
  <c r="BE528" i="1"/>
  <c r="BD528" i="1"/>
  <c r="BC528" i="1"/>
  <c r="BB528" i="1"/>
  <c r="BA528" i="1"/>
  <c r="AZ528" i="1"/>
  <c r="AY528" i="1"/>
  <c r="AX528" i="1"/>
  <c r="AW528" i="1"/>
  <c r="AV528" i="1"/>
  <c r="AU528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BQ527" i="1"/>
  <c r="BP527" i="1"/>
  <c r="BO527" i="1"/>
  <c r="BN527" i="1"/>
  <c r="BM527" i="1"/>
  <c r="BL527" i="1"/>
  <c r="BK527" i="1"/>
  <c r="BJ527" i="1"/>
  <c r="BI527" i="1"/>
  <c r="BH527" i="1"/>
  <c r="BG527" i="1"/>
  <c r="BF527" i="1"/>
  <c r="BE527" i="1"/>
  <c r="BD527" i="1"/>
  <c r="BC527" i="1"/>
  <c r="BB527" i="1"/>
  <c r="BA527" i="1"/>
  <c r="AZ527" i="1"/>
  <c r="AY527" i="1"/>
  <c r="AX527" i="1"/>
  <c r="AW527" i="1"/>
  <c r="AV527" i="1"/>
  <c r="AU527" i="1"/>
  <c r="AT527" i="1"/>
  <c r="AS527" i="1"/>
  <c r="AR527" i="1"/>
  <c r="AQ527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BQ526" i="1"/>
  <c r="BP526" i="1"/>
  <c r="BO526" i="1"/>
  <c r="BN526" i="1"/>
  <c r="BM526" i="1"/>
  <c r="BL526" i="1"/>
  <c r="BK526" i="1"/>
  <c r="BJ526" i="1"/>
  <c r="BI526" i="1"/>
  <c r="BH526" i="1"/>
  <c r="BG526" i="1"/>
  <c r="BF526" i="1"/>
  <c r="BE526" i="1"/>
  <c r="BD526" i="1"/>
  <c r="BC526" i="1"/>
  <c r="BB526" i="1"/>
  <c r="BA526" i="1"/>
  <c r="AZ526" i="1"/>
  <c r="AY526" i="1"/>
  <c r="AX526" i="1"/>
  <c r="AW526" i="1"/>
  <c r="AV526" i="1"/>
  <c r="AU526" i="1"/>
  <c r="AT526" i="1"/>
  <c r="AS526" i="1"/>
  <c r="AR526" i="1"/>
  <c r="AQ526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BQ525" i="1"/>
  <c r="BP525" i="1"/>
  <c r="BO525" i="1"/>
  <c r="BN525" i="1"/>
  <c r="BM525" i="1"/>
  <c r="BL525" i="1"/>
  <c r="BK525" i="1"/>
  <c r="BJ525" i="1"/>
  <c r="BI525" i="1"/>
  <c r="BH525" i="1"/>
  <c r="BG525" i="1"/>
  <c r="BF525" i="1"/>
  <c r="BE525" i="1"/>
  <c r="BD525" i="1"/>
  <c r="BC525" i="1"/>
  <c r="BB525" i="1"/>
  <c r="BA525" i="1"/>
  <c r="AZ525" i="1"/>
  <c r="AY525" i="1"/>
  <c r="AX525" i="1"/>
  <c r="AW525" i="1"/>
  <c r="AV525" i="1"/>
  <c r="AU525" i="1"/>
  <c r="AT525" i="1"/>
  <c r="AS525" i="1"/>
  <c r="AR525" i="1"/>
  <c r="AQ525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BQ524" i="1"/>
  <c r="BP524" i="1"/>
  <c r="BO524" i="1"/>
  <c r="BN524" i="1"/>
  <c r="BM524" i="1"/>
  <c r="BL524" i="1"/>
  <c r="BK524" i="1"/>
  <c r="BJ524" i="1"/>
  <c r="BI524" i="1"/>
  <c r="BH524" i="1"/>
  <c r="BG524" i="1"/>
  <c r="BF524" i="1"/>
  <c r="BE524" i="1"/>
  <c r="BD524" i="1"/>
  <c r="BC524" i="1"/>
  <c r="BB524" i="1"/>
  <c r="BA524" i="1"/>
  <c r="AZ524" i="1"/>
  <c r="AY524" i="1"/>
  <c r="AX524" i="1"/>
  <c r="AW524" i="1"/>
  <c r="AV524" i="1"/>
  <c r="AU524" i="1"/>
  <c r="AT524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BQ523" i="1"/>
  <c r="BP523" i="1"/>
  <c r="BO523" i="1"/>
  <c r="BN523" i="1"/>
  <c r="BM523" i="1"/>
  <c r="BL523" i="1"/>
  <c r="BK523" i="1"/>
  <c r="BJ523" i="1"/>
  <c r="BI523" i="1"/>
  <c r="BH523" i="1"/>
  <c r="BG523" i="1"/>
  <c r="BF523" i="1"/>
  <c r="BE523" i="1"/>
  <c r="BD523" i="1"/>
  <c r="BC523" i="1"/>
  <c r="BB523" i="1"/>
  <c r="BA523" i="1"/>
  <c r="AZ523" i="1"/>
  <c r="AY523" i="1"/>
  <c r="AX523" i="1"/>
  <c r="AW523" i="1"/>
  <c r="AV523" i="1"/>
  <c r="AU523" i="1"/>
  <c r="AT523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X521" i="1"/>
  <c r="AW521" i="1"/>
  <c r="AV521" i="1"/>
  <c r="AU521" i="1"/>
  <c r="AT521" i="1"/>
  <c r="AS521" i="1"/>
  <c r="AR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AV520" i="1"/>
  <c r="AU520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X519" i="1"/>
  <c r="AW519" i="1"/>
  <c r="AV519" i="1"/>
  <c r="AU519" i="1"/>
  <c r="AT519" i="1"/>
  <c r="AS519" i="1"/>
  <c r="AR519" i="1"/>
  <c r="AQ519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BQ518" i="1"/>
  <c r="BP518" i="1"/>
  <c r="BO518" i="1"/>
  <c r="BN518" i="1"/>
  <c r="BM518" i="1"/>
  <c r="BL518" i="1"/>
  <c r="BK518" i="1"/>
  <c r="BJ518" i="1"/>
  <c r="BI518" i="1"/>
  <c r="BH518" i="1"/>
  <c r="BG518" i="1"/>
  <c r="BF518" i="1"/>
  <c r="BE518" i="1"/>
  <c r="BD518" i="1"/>
  <c r="BC518" i="1"/>
  <c r="BB518" i="1"/>
  <c r="BA518" i="1"/>
  <c r="AZ518" i="1"/>
  <c r="AY518" i="1"/>
  <c r="AX518" i="1"/>
  <c r="AW518" i="1"/>
  <c r="AV518" i="1"/>
  <c r="AU518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BQ517" i="1"/>
  <c r="BP517" i="1"/>
  <c r="BO517" i="1"/>
  <c r="BN517" i="1"/>
  <c r="BM517" i="1"/>
  <c r="BL517" i="1"/>
  <c r="BK517" i="1"/>
  <c r="BJ517" i="1"/>
  <c r="BI517" i="1"/>
  <c r="BH517" i="1"/>
  <c r="BG517" i="1"/>
  <c r="BF517" i="1"/>
  <c r="BE517" i="1"/>
  <c r="BD517" i="1"/>
  <c r="BC517" i="1"/>
  <c r="BB517" i="1"/>
  <c r="BA517" i="1"/>
  <c r="AZ517" i="1"/>
  <c r="AY517" i="1"/>
  <c r="AX517" i="1"/>
  <c r="AW517" i="1"/>
  <c r="AV517" i="1"/>
  <c r="AU517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X516" i="1"/>
  <c r="AW516" i="1"/>
  <c r="AV516" i="1"/>
  <c r="AU516" i="1"/>
  <c r="AT516" i="1"/>
  <c r="AS516" i="1"/>
  <c r="AR516" i="1"/>
  <c r="AQ516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X515" i="1"/>
  <c r="AW515" i="1"/>
  <c r="AV515" i="1"/>
  <c r="AU515" i="1"/>
  <c r="AT515" i="1"/>
  <c r="AS515" i="1"/>
  <c r="AR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X514" i="1"/>
  <c r="AW514" i="1"/>
  <c r="AV514" i="1"/>
  <c r="AU514" i="1"/>
  <c r="AT514" i="1"/>
  <c r="AS514" i="1"/>
  <c r="AR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X512" i="1"/>
  <c r="AW512" i="1"/>
  <c r="AV512" i="1"/>
  <c r="AU512" i="1"/>
  <c r="AT512" i="1"/>
  <c r="AS512" i="1"/>
  <c r="AR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BQ511" i="1"/>
  <c r="BP511" i="1"/>
  <c r="BO511" i="1"/>
  <c r="BN511" i="1"/>
  <c r="BM511" i="1"/>
  <c r="BL511" i="1"/>
  <c r="BK511" i="1"/>
  <c r="BJ511" i="1"/>
  <c r="BI511" i="1"/>
  <c r="BH511" i="1"/>
  <c r="BG511" i="1"/>
  <c r="BF511" i="1"/>
  <c r="BE511" i="1"/>
  <c r="BD511" i="1"/>
  <c r="BC511" i="1"/>
  <c r="BB511" i="1"/>
  <c r="BA511" i="1"/>
  <c r="AZ511" i="1"/>
  <c r="AY511" i="1"/>
  <c r="AX511" i="1"/>
  <c r="AW511" i="1"/>
  <c r="AV511" i="1"/>
  <c r="AU511" i="1"/>
  <c r="AT511" i="1"/>
  <c r="AS511" i="1"/>
  <c r="AR511" i="1"/>
  <c r="AQ511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BQ510" i="1"/>
  <c r="BP510" i="1"/>
  <c r="BO510" i="1"/>
  <c r="BN510" i="1"/>
  <c r="BM510" i="1"/>
  <c r="BL510" i="1"/>
  <c r="BK510" i="1"/>
  <c r="BJ510" i="1"/>
  <c r="BI510" i="1"/>
  <c r="BH510" i="1"/>
  <c r="BG510" i="1"/>
  <c r="BF510" i="1"/>
  <c r="BE510" i="1"/>
  <c r="BD510" i="1"/>
  <c r="BC510" i="1"/>
  <c r="BB510" i="1"/>
  <c r="BA510" i="1"/>
  <c r="AZ510" i="1"/>
  <c r="AY510" i="1"/>
  <c r="AX510" i="1"/>
  <c r="AW510" i="1"/>
  <c r="AV510" i="1"/>
  <c r="AU510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X509" i="1"/>
  <c r="AW509" i="1"/>
  <c r="AV509" i="1"/>
  <c r="AU509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BQ508" i="1"/>
  <c r="BP508" i="1"/>
  <c r="BO508" i="1"/>
  <c r="BN508" i="1"/>
  <c r="BM508" i="1"/>
  <c r="BL508" i="1"/>
  <c r="BK508" i="1"/>
  <c r="BJ508" i="1"/>
  <c r="BI508" i="1"/>
  <c r="BH508" i="1"/>
  <c r="BG508" i="1"/>
  <c r="BF508" i="1"/>
  <c r="BE508" i="1"/>
  <c r="BD508" i="1"/>
  <c r="BC508" i="1"/>
  <c r="BB508" i="1"/>
  <c r="BA508" i="1"/>
  <c r="AZ508" i="1"/>
  <c r="AY508" i="1"/>
  <c r="AX508" i="1"/>
  <c r="AW508" i="1"/>
  <c r="AV508" i="1"/>
  <c r="AU508" i="1"/>
  <c r="AT508" i="1"/>
  <c r="AS508" i="1"/>
  <c r="AR508" i="1"/>
  <c r="AQ508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BQ507" i="1"/>
  <c r="BP507" i="1"/>
  <c r="BO507" i="1"/>
  <c r="BN507" i="1"/>
  <c r="BM507" i="1"/>
  <c r="BL507" i="1"/>
  <c r="BK507" i="1"/>
  <c r="BJ507" i="1"/>
  <c r="BI507" i="1"/>
  <c r="BH507" i="1"/>
  <c r="BG507" i="1"/>
  <c r="BF507" i="1"/>
  <c r="BE507" i="1"/>
  <c r="BD507" i="1"/>
  <c r="BC507" i="1"/>
  <c r="BB507" i="1"/>
  <c r="BA507" i="1"/>
  <c r="AZ507" i="1"/>
  <c r="AY507" i="1"/>
  <c r="AX507" i="1"/>
  <c r="AW507" i="1"/>
  <c r="AV507" i="1"/>
  <c r="AU507" i="1"/>
  <c r="AT507" i="1"/>
  <c r="AS507" i="1"/>
  <c r="AR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BQ506" i="1"/>
  <c r="BP506" i="1"/>
  <c r="BO506" i="1"/>
  <c r="BN506" i="1"/>
  <c r="BM506" i="1"/>
  <c r="BL506" i="1"/>
  <c r="BK506" i="1"/>
  <c r="BJ506" i="1"/>
  <c r="BI506" i="1"/>
  <c r="BH506" i="1"/>
  <c r="BG506" i="1"/>
  <c r="BF506" i="1"/>
  <c r="BE506" i="1"/>
  <c r="BD506" i="1"/>
  <c r="BC506" i="1"/>
  <c r="BB506" i="1"/>
  <c r="BA506" i="1"/>
  <c r="AZ506" i="1"/>
  <c r="AY506" i="1"/>
  <c r="AX506" i="1"/>
  <c r="AW506" i="1"/>
  <c r="AV506" i="1"/>
  <c r="AU506" i="1"/>
  <c r="AT506" i="1"/>
  <c r="AS506" i="1"/>
  <c r="AR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BQ505" i="1"/>
  <c r="BP505" i="1"/>
  <c r="BO505" i="1"/>
  <c r="BN505" i="1"/>
  <c r="BM505" i="1"/>
  <c r="BL505" i="1"/>
  <c r="BK505" i="1"/>
  <c r="BJ505" i="1"/>
  <c r="BI505" i="1"/>
  <c r="BH505" i="1"/>
  <c r="BG505" i="1"/>
  <c r="BF505" i="1"/>
  <c r="BE505" i="1"/>
  <c r="BD505" i="1"/>
  <c r="BC505" i="1"/>
  <c r="BB505" i="1"/>
  <c r="BA505" i="1"/>
  <c r="AZ505" i="1"/>
  <c r="AY505" i="1"/>
  <c r="AX505" i="1"/>
  <c r="AW505" i="1"/>
  <c r="AV505" i="1"/>
  <c r="AU505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BQ504" i="1"/>
  <c r="BP504" i="1"/>
  <c r="BO504" i="1"/>
  <c r="BN504" i="1"/>
  <c r="BM504" i="1"/>
  <c r="BL504" i="1"/>
  <c r="BK504" i="1"/>
  <c r="BJ504" i="1"/>
  <c r="BI504" i="1"/>
  <c r="BH504" i="1"/>
  <c r="BG504" i="1"/>
  <c r="BF504" i="1"/>
  <c r="BE504" i="1"/>
  <c r="BD504" i="1"/>
  <c r="BC504" i="1"/>
  <c r="BB504" i="1"/>
  <c r="BA504" i="1"/>
  <c r="AZ504" i="1"/>
  <c r="AY504" i="1"/>
  <c r="AX504" i="1"/>
  <c r="AW504" i="1"/>
  <c r="AV504" i="1"/>
  <c r="AU504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BQ503" i="1"/>
  <c r="BP503" i="1"/>
  <c r="BO503" i="1"/>
  <c r="BN503" i="1"/>
  <c r="BM503" i="1"/>
  <c r="BL503" i="1"/>
  <c r="BK503" i="1"/>
  <c r="BJ503" i="1"/>
  <c r="BI503" i="1"/>
  <c r="BH503" i="1"/>
  <c r="BG503" i="1"/>
  <c r="BF503" i="1"/>
  <c r="BE503" i="1"/>
  <c r="BD503" i="1"/>
  <c r="BC503" i="1"/>
  <c r="BB503" i="1"/>
  <c r="BA503" i="1"/>
  <c r="AZ503" i="1"/>
  <c r="AY503" i="1"/>
  <c r="AX503" i="1"/>
  <c r="AW503" i="1"/>
  <c r="AV503" i="1"/>
  <c r="AU503" i="1"/>
  <c r="AT503" i="1"/>
  <c r="AS503" i="1"/>
  <c r="AR503" i="1"/>
  <c r="AQ503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BQ502" i="1"/>
  <c r="BP502" i="1"/>
  <c r="BO502" i="1"/>
  <c r="BN502" i="1"/>
  <c r="BM502" i="1"/>
  <c r="BL502" i="1"/>
  <c r="BK502" i="1"/>
  <c r="BJ502" i="1"/>
  <c r="BI502" i="1"/>
  <c r="BH502" i="1"/>
  <c r="BG502" i="1"/>
  <c r="BF502" i="1"/>
  <c r="BE502" i="1"/>
  <c r="BD502" i="1"/>
  <c r="BC502" i="1"/>
  <c r="BB502" i="1"/>
  <c r="BA502" i="1"/>
  <c r="AZ502" i="1"/>
  <c r="AY502" i="1"/>
  <c r="AX502" i="1"/>
  <c r="AW502" i="1"/>
  <c r="AV502" i="1"/>
  <c r="AU502" i="1"/>
  <c r="AT502" i="1"/>
  <c r="AS502" i="1"/>
  <c r="AR502" i="1"/>
  <c r="AQ502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BQ500" i="1"/>
  <c r="BP500" i="1"/>
  <c r="BO500" i="1"/>
  <c r="BN500" i="1"/>
  <c r="BM500" i="1"/>
  <c r="BL500" i="1"/>
  <c r="BK500" i="1"/>
  <c r="BJ500" i="1"/>
  <c r="BI500" i="1"/>
  <c r="BH500" i="1"/>
  <c r="BG500" i="1"/>
  <c r="BF500" i="1"/>
  <c r="BE500" i="1"/>
  <c r="BD500" i="1"/>
  <c r="BC500" i="1"/>
  <c r="BB500" i="1"/>
  <c r="BA500" i="1"/>
  <c r="AZ500" i="1"/>
  <c r="AY500" i="1"/>
  <c r="AX500" i="1"/>
  <c r="AW500" i="1"/>
  <c r="AV500" i="1"/>
  <c r="AU500" i="1"/>
  <c r="AT500" i="1"/>
  <c r="AS500" i="1"/>
  <c r="AR500" i="1"/>
  <c r="AQ500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AS499" i="1"/>
  <c r="AR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R495" i="1"/>
  <c r="AQ495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AU494" i="1"/>
  <c r="AT494" i="1"/>
  <c r="AS494" i="1"/>
  <c r="AR494" i="1"/>
  <c r="AQ494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AT492" i="1"/>
  <c r="AS492" i="1"/>
  <c r="AR492" i="1"/>
  <c r="AQ492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AU491" i="1"/>
  <c r="AT491" i="1"/>
  <c r="AS491" i="1"/>
  <c r="AR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AT486" i="1"/>
  <c r="AS486" i="1"/>
  <c r="AR486" i="1"/>
  <c r="AQ486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AT485" i="1"/>
  <c r="AS485" i="1"/>
  <c r="AR485" i="1"/>
  <c r="AQ485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AR479" i="1"/>
  <c r="AQ479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T477" i="1"/>
  <c r="AS477" i="1"/>
  <c r="AR477" i="1"/>
  <c r="AQ477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T475" i="1"/>
  <c r="AS475" i="1"/>
  <c r="AR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S474" i="1"/>
  <c r="AR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<sst xmlns="http://schemas.openxmlformats.org/spreadsheetml/2006/main" count="69" uniqueCount="69">
  <si>
    <t>CONSECUTIVE</t>
  </si>
  <si>
    <t>COD_EVE</t>
  </si>
  <si>
    <t>FEC_NOT</t>
  </si>
  <si>
    <t>SEMANA</t>
  </si>
  <si>
    <t>ANO</t>
  </si>
  <si>
    <t>COD_PRE</t>
  </si>
  <si>
    <t>COD_SUB</t>
  </si>
  <si>
    <t>EDAD</t>
  </si>
  <si>
    <t>UNI_MED</t>
  </si>
  <si>
    <t>SEXO</t>
  </si>
  <si>
    <t>COD_PAIS_O</t>
  </si>
  <si>
    <t>COD_DPTO_O</t>
  </si>
  <si>
    <t>COD_MUN_O</t>
  </si>
  <si>
    <t>AREA</t>
  </si>
  <si>
    <t>OCUPACION</t>
  </si>
  <si>
    <t>TIP_SS</t>
  </si>
  <si>
    <t>COD_ASE</t>
  </si>
  <si>
    <t>PER_ETN</t>
  </si>
  <si>
    <t>GRU_POB</t>
  </si>
  <si>
    <t>nom_grupo</t>
  </si>
  <si>
    <t>estrato</t>
  </si>
  <si>
    <t>GP_DISCAPA</t>
  </si>
  <si>
    <t>GP_DESPLAZ</t>
  </si>
  <si>
    <t>GP_MIGRANT</t>
  </si>
  <si>
    <t>GP_CARCELA</t>
  </si>
  <si>
    <t>GP_GESTAN</t>
  </si>
  <si>
    <t>sem_ges</t>
  </si>
  <si>
    <t>GP_INDIGEN</t>
  </si>
  <si>
    <t>GP_POBICFB</t>
  </si>
  <si>
    <t>GP_MAD_COM</t>
  </si>
  <si>
    <t>GP_DESMOVI</t>
  </si>
  <si>
    <t>GP_PSIQUIA</t>
  </si>
  <si>
    <t>GP_VIC_VIO</t>
  </si>
  <si>
    <t>GP_OTROS</t>
  </si>
  <si>
    <t>fuente</t>
  </si>
  <si>
    <t>COD_PAIS_R</t>
  </si>
  <si>
    <t>COD_DPTO_R</t>
  </si>
  <si>
    <t>COD_MUN_R</t>
  </si>
  <si>
    <t>COD_DPTO_N</t>
  </si>
  <si>
    <t>COD_MUN_N</t>
  </si>
  <si>
    <t>FEC_CON</t>
  </si>
  <si>
    <t>INI_SIN</t>
  </si>
  <si>
    <t>TIP_CAS</t>
  </si>
  <si>
    <t>PAC_HOS</t>
  </si>
  <si>
    <t>FEC_HOS</t>
  </si>
  <si>
    <t>CON_FIN</t>
  </si>
  <si>
    <t>FEC_DEF</t>
  </si>
  <si>
    <t>AJUSTE</t>
  </si>
  <si>
    <t>FECHA_NTO</t>
  </si>
  <si>
    <t>CBMTE</t>
  </si>
  <si>
    <t>FEC_ARC_XL</t>
  </si>
  <si>
    <t>FEC_AJU</t>
  </si>
  <si>
    <t>FM_FUERZA</t>
  </si>
  <si>
    <t>FM_UNIDAD</t>
  </si>
  <si>
    <t>FM_GRADO</t>
  </si>
  <si>
    <t>confirmados</t>
  </si>
  <si>
    <t>va_sispro</t>
  </si>
  <si>
    <t>Estado_final_de_caso</t>
  </si>
  <si>
    <t>nom_est_f_caso</t>
  </si>
  <si>
    <t>Nombre_upgd</t>
  </si>
  <si>
    <t>Pais_ocurrencia</t>
  </si>
  <si>
    <t>Nombre_evento</t>
  </si>
  <si>
    <t>Departamento_ocurrencia</t>
  </si>
  <si>
    <t>Municipio_ocurrencia</t>
  </si>
  <si>
    <t>Pais_residencia</t>
  </si>
  <si>
    <t>Departamento_residencia</t>
  </si>
  <si>
    <t>Municipio_residencia</t>
  </si>
  <si>
    <t>Departamento_Notificacion</t>
  </si>
  <si>
    <t>Municipio_notificacion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</si>
</sst>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Q1046">
  <autoFilter ref="A1:BQ1046" xr:uid="{00000000-0009-0000-0100-000001000000}"/>
  <tableColumns count="69">
    <tableColumn id="1" xr3:uid="{00000000-0010-0000-0000-000001000000}" name="CONSECUTIVE"/>
    <tableColumn id="2" xr3:uid="{00000000-0010-0000-0000-000002000000}" name="COD_EVE"/>
    <tableColumn id="3" xr3:uid="{00000000-0010-0000-0000-000003000000}" name="FEC_NOT"/>
    <tableColumn id="4" xr3:uid="{00000000-0010-0000-0000-000004000000}" name="SEMANA"/>
    <tableColumn id="5" xr3:uid="{00000000-0010-0000-0000-000005000000}" name="ANO"/>
    <tableColumn id="6" xr3:uid="{00000000-0010-0000-0000-000006000000}" name="COD_PRE"/>
    <tableColumn id="7" xr3:uid="{00000000-0010-0000-0000-000007000000}" name="COD_SUB"/>
    <tableColumn id="8" xr3:uid="{00000000-0010-0000-0000-000008000000}" name="EDAD"/>
    <tableColumn id="9" xr3:uid="{00000000-0010-0000-0000-000009000000}" name="UNI_MED"/>
    <tableColumn id="12" xr3:uid="{00000000-0010-0000-0000-00000C000000}" name="SEXO"/>
    <tableColumn id="13" xr3:uid="{00000000-0010-0000-0000-00000D000000}" name="COD_PAIS_O"/>
    <tableColumn id="14" xr3:uid="{00000000-0010-0000-0000-00000E000000}" name="COD_DPTO_O"/>
    <tableColumn id="15" xr3:uid="{00000000-0010-0000-0000-00000F000000}" name="COD_MUN_O"/>
    <tableColumn id="16" xr3:uid="{00000000-0010-0000-0000-000010000000}" name="AREA"/>
    <tableColumn id="17" xr3:uid="{00000000-0010-0000-0000-000011000000}" name="OCUPACION"/>
    <tableColumn id="18" xr3:uid="{00000000-0010-0000-0000-000012000000}" name="TIP_SS"/>
    <tableColumn id="19" xr3:uid="{00000000-0010-0000-0000-000013000000}" name="COD_ASE"/>
    <tableColumn id="20" xr3:uid="{00000000-0010-0000-0000-000014000000}" name="PER_ETN"/>
    <tableColumn id="21" xr3:uid="{00000000-0010-0000-0000-000015000000}" name="GRU_POB"/>
    <tableColumn id="22" xr3:uid="{00000000-0010-0000-0000-000016000000}" name="nom_grupo"/>
    <tableColumn id="23" xr3:uid="{00000000-0010-0000-0000-000017000000}" name="estrato"/>
    <tableColumn id="24" xr3:uid="{00000000-0010-0000-0000-000018000000}" name="GP_DISCAPA"/>
    <tableColumn id="25" xr3:uid="{00000000-0010-0000-0000-000019000000}" name="GP_DESPLAZ"/>
    <tableColumn id="26" xr3:uid="{00000000-0010-0000-0000-00001A000000}" name="GP_MIGRANT"/>
    <tableColumn id="27" xr3:uid="{00000000-0010-0000-0000-00001B000000}" name="GP_CARCELA"/>
    <tableColumn id="28" xr3:uid="{00000000-0010-0000-0000-00001C000000}" name="GP_GESTAN"/>
    <tableColumn id="29" xr3:uid="{00000000-0010-0000-0000-00001D000000}" name="sem_ges"/>
    <tableColumn id="30" xr3:uid="{00000000-0010-0000-0000-00001E000000}" name="GP_INDIGEN"/>
    <tableColumn id="31" xr3:uid="{00000000-0010-0000-0000-00001F000000}" name="GP_POBICFB"/>
    <tableColumn id="32" xr3:uid="{00000000-0010-0000-0000-000020000000}" name="GP_MAD_COM"/>
    <tableColumn id="33" xr3:uid="{00000000-0010-0000-0000-000021000000}" name="GP_DESMOVI"/>
    <tableColumn id="34" xr3:uid="{00000000-0010-0000-0000-000022000000}" name="GP_PSIQUIA"/>
    <tableColumn id="35" xr3:uid="{00000000-0010-0000-0000-000023000000}" name="GP_VIC_VIO"/>
    <tableColumn id="36" xr3:uid="{00000000-0010-0000-0000-000024000000}" name="GP_OTROS"/>
    <tableColumn id="37" xr3:uid="{00000000-0010-0000-0000-000025000000}" name="fuente"/>
    <tableColumn id="38" xr3:uid="{00000000-0010-0000-0000-000026000000}" name="COD_PAIS_R"/>
    <tableColumn id="39" xr3:uid="{00000000-0010-0000-0000-000027000000}" name="COD_DPTO_R"/>
    <tableColumn id="40" xr3:uid="{00000000-0010-0000-0000-000028000000}" name="COD_MUN_R"/>
    <tableColumn id="41" xr3:uid="{00000000-0010-0000-0000-000029000000}" name="COD_DPTO_N"/>
    <tableColumn id="42" xr3:uid="{00000000-0010-0000-0000-00002A000000}" name="COD_MUN_N"/>
    <tableColumn id="43" xr3:uid="{00000000-0010-0000-0000-00002B000000}" name="FEC_CON"/>
    <tableColumn id="44" xr3:uid="{00000000-0010-0000-0000-00002C000000}" name="INI_SIN"/>
    <tableColumn id="45" xr3:uid="{00000000-0010-0000-0000-00002D000000}" name="TIP_CAS"/>
    <tableColumn id="46" xr3:uid="{00000000-0010-0000-0000-00002E000000}" name="PAC_HOS"/>
    <tableColumn id="47" xr3:uid="{00000000-0010-0000-0000-00002F000000}" name="FEC_HOS"/>
    <tableColumn id="48" xr3:uid="{00000000-0010-0000-0000-000030000000}" name="CON_FIN"/>
    <tableColumn id="49" xr3:uid="{00000000-0010-0000-0000-000031000000}" name="FEC_DEF"/>
    <tableColumn id="50" xr3:uid="{00000000-0010-0000-0000-000032000000}" name="AJUSTE"/>
    <tableColumn id="51" xr3:uid="{00000000-0010-0000-0000-000033000000}" name="FECHA_NTO"/>
    <tableColumn id="52" xr3:uid="{00000000-0010-0000-0000-000034000000}" name="CBMTE"/>
    <tableColumn id="53" xr3:uid="{00000000-0010-0000-0000-000035000000}" name="FEC_ARC_XL"/>
    <tableColumn id="54" xr3:uid="{00000000-0010-0000-0000-000036000000}" name="FEC_AJU"/>
    <tableColumn id="55" xr3:uid="{00000000-0010-0000-0000-000037000000}" name="FM_FUERZA"/>
    <tableColumn id="56" xr3:uid="{00000000-0010-0000-0000-000038000000}" name="FM_UNIDAD"/>
    <tableColumn id="57" xr3:uid="{00000000-0010-0000-0000-000039000000}" name="FM_GRADO"/>
    <tableColumn id="58" xr3:uid="{00000000-0010-0000-0000-00003A000000}" name="confirmados"/>
    <tableColumn id="59" xr3:uid="{00000000-0010-0000-0000-00003B000000}" name="va_sispro"/>
    <tableColumn id="60" xr3:uid="{00000000-0010-0000-0000-00003C000000}" name="Estado_final_de_caso"/>
    <tableColumn id="61" xr3:uid="{00000000-0010-0000-0000-00003D000000}" name="nom_est_f_caso"/>
    <tableColumn id="62" xr3:uid="{00000000-0010-0000-0000-00003E000000}" name="Nombre_upgd"/>
    <tableColumn id="63" xr3:uid="{00000000-0010-0000-0000-00003F000000}" name="Pais_ocurrencia"/>
    <tableColumn id="64" xr3:uid="{00000000-0010-0000-0000-000040000000}" name="Nombre_evento"/>
    <tableColumn id="65" xr3:uid="{00000000-0010-0000-0000-000041000000}" name="Departamento_ocurrencia"/>
    <tableColumn id="66" xr3:uid="{00000000-0010-0000-0000-000042000000}" name="Municipio_ocurrencia"/>
    <tableColumn id="67" xr3:uid="{00000000-0010-0000-0000-000043000000}" name="Pais_residencia"/>
    <tableColumn id="68" xr3:uid="{00000000-0010-0000-0000-000044000000}" name="Departamento_residencia"/>
    <tableColumn id="69" xr3:uid="{00000000-0010-0000-0000-000045000000}" name="Municipio_residencia"/>
    <tableColumn id="70" xr3:uid="{00000000-0010-0000-0000-000046000000}" name="Departamento_Notificacion"/>
    <tableColumn id="71" xr3:uid="{00000000-0010-0000-0000-000047000000}" name="Municipio_notific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046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.28515625" customWidth="1"/>
    <col min="2" max="2" width="12.140625" customWidth="1"/>
    <col min="3" max="3" width="11.85546875" customWidth="1"/>
    <col min="4" max="4" width="11.7109375" customWidth="1"/>
    <col min="5" max="5" width="9.140625" customWidth="1"/>
    <col min="6" max="6" width="12.140625" customWidth="1"/>
    <col min="7" max="7" width="12.28515625" customWidth="1"/>
    <col min="8" max="8" width="9.140625" customWidth="1"/>
    <col min="9" max="9" width="12.42578125" customWidth="1"/>
    <col min="10" max="10" width="9.140625" customWidth="1"/>
    <col min="11" max="11" width="15.28515625" customWidth="1"/>
    <col min="12" max="12" width="16.28515625" customWidth="1"/>
    <col min="13" max="13" width="16" customWidth="1"/>
    <col min="14" max="14" width="9.140625" customWidth="1"/>
    <col min="15" max="15" width="14.7109375" customWidth="1"/>
    <col min="16" max="16" width="9.5703125" customWidth="1"/>
    <col min="17" max="17" width="12.140625" customWidth="1"/>
    <col min="18" max="18" width="11.7109375" customWidth="1"/>
    <col min="19" max="19" width="12.5703125" customWidth="1"/>
    <col min="20" max="20" width="14.140625" customWidth="1"/>
    <col min="21" max="21" width="10.140625" customWidth="1"/>
    <col min="22" max="23" width="15.140625" customWidth="1"/>
    <col min="24" max="24" width="16.140625" customWidth="1"/>
    <col min="25" max="25" width="15.28515625" customWidth="1"/>
    <col min="26" max="26" width="14.5703125" customWidth="1"/>
    <col min="27" max="27" width="11.42578125" customWidth="1"/>
    <col min="28" max="29" width="15" customWidth="1"/>
    <col min="30" max="30" width="17.42578125" customWidth="1"/>
    <col min="31" max="31" width="15.85546875" customWidth="1"/>
    <col min="32" max="32" width="14.7109375" customWidth="1"/>
    <col min="33" max="33" width="14.5703125" customWidth="1"/>
    <col min="34" max="34" width="13.42578125" customWidth="1"/>
    <col min="35" max="35" width="9.5703125" customWidth="1"/>
    <col min="36" max="36" width="15" customWidth="1"/>
    <col min="37" max="37" width="16" customWidth="1"/>
    <col min="38" max="38" width="15.7109375" customWidth="1"/>
    <col min="39" max="39" width="16.28515625" customWidth="1"/>
    <col min="40" max="40" width="15.85546875" customWidth="1"/>
    <col min="41" max="41" width="12" customWidth="1"/>
    <col min="42" max="42" width="10.28515625" customWidth="1"/>
    <col min="43" max="43" width="11" customWidth="1"/>
    <col min="44" max="44" width="12.140625" customWidth="1"/>
    <col min="45" max="46" width="11.7109375" customWidth="1"/>
    <col min="47" max="47" width="11.28515625" customWidth="1"/>
    <col min="48" max="48" width="10.28515625" customWidth="1"/>
    <col min="49" max="49" width="14.5703125" customWidth="1"/>
    <col min="50" max="50" width="10" customWidth="1"/>
    <col min="51" max="51" width="14.7109375" customWidth="1"/>
    <col min="52" max="52" width="11.28515625" customWidth="1"/>
    <col min="53" max="53" width="14.5703125" customWidth="1"/>
    <col min="54" max="54" width="15" customWidth="1"/>
    <col min="55" max="55" width="14.28515625" customWidth="1"/>
    <col min="56" max="56" width="14.85546875" customWidth="1"/>
    <col min="57" max="57" width="12.140625" customWidth="1"/>
    <col min="58" max="58" width="23.140625" customWidth="1"/>
    <col min="59" max="59" width="18.28515625" customWidth="1"/>
    <col min="60" max="60" width="16.5703125" customWidth="1"/>
    <col min="61" max="61" width="17.85546875" customWidth="1"/>
    <col min="62" max="62" width="18.28515625" customWidth="1"/>
    <col min="63" max="63" width="27.42578125" customWidth="1"/>
    <col min="64" max="64" width="23.28515625" customWidth="1"/>
    <col min="65" max="65" width="17.42578125" customWidth="1"/>
    <col min="66" max="66" width="27" customWidth="1"/>
    <col min="67" max="67" width="22.85546875" customWidth="1"/>
    <col min="68" max="68" width="28.7109375" customWidth="1"/>
    <col min="69" max="69" width="24.28515625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5">
      <c r="A2" t="str">
        <f>"7285918"</f>
        <v>7285918</v>
      </c>
      <c r="B2" t="str">
        <f t="shared" ref="B2:B65" si="0">"459"</f>
        <v>459</v>
      </c>
      <c r="C2" t="str">
        <f>"4/09/2020 12:00:00 a. m."</f>
        <v>4/09/2020 12:00:00 a. m.</v>
      </c>
      <c r="D2" t="str">
        <f>"35"</f>
        <v>35</v>
      </c>
      <c r="E2" t="str">
        <f t="shared" ref="E2:E65" si="1">"2020"</f>
        <v>2020</v>
      </c>
      <c r="F2" t="str">
        <f>"1700100026"</f>
        <v>1700100026</v>
      </c>
      <c r="G2" t="str">
        <f t="shared" ref="G2:G14" si="2">"01"</f>
        <v>01</v>
      </c>
      <c r="H2" t="str">
        <f>"16"</f>
        <v>16</v>
      </c>
      <c r="I2" t="str">
        <f t="shared" ref="I2:I24" si="3">"1"</f>
        <v>1</v>
      </c>
      <c r="J2" t="str">
        <f>"M"</f>
        <v>M</v>
      </c>
      <c r="K2" t="str">
        <f t="shared" ref="K2:K33" si="4">"170"</f>
        <v>170</v>
      </c>
      <c r="L2" t="str">
        <f>"17"</f>
        <v>17</v>
      </c>
      <c r="M2" t="str">
        <f>"444"</f>
        <v>444</v>
      </c>
      <c r="N2" t="str">
        <f>"3"</f>
        <v>3</v>
      </c>
      <c r="O2" t="str">
        <f>"9997"</f>
        <v>9997</v>
      </c>
      <c r="P2" t="str">
        <f>"S"</f>
        <v>S</v>
      </c>
      <c r="Q2" t="str">
        <f>"ESS062"</f>
        <v>ESS062</v>
      </c>
      <c r="R2" t="str">
        <f t="shared" ref="R2:R33" si="5">"6"</f>
        <v>6</v>
      </c>
      <c r="S2" t="str">
        <f>""</f>
        <v/>
      </c>
      <c r="T2" t="str">
        <f t="shared" ref="T2:T33" si="6">"                                                                                                    "</f>
        <v xml:space="preserve">                                                                                                    </v>
      </c>
      <c r="U2" t="str">
        <f>"1         "</f>
        <v xml:space="preserve">1         </v>
      </c>
      <c r="V2" t="str">
        <f t="shared" ref="V2:Z11" si="7">"2"</f>
        <v>2</v>
      </c>
      <c r="W2" t="str">
        <f t="shared" si="7"/>
        <v>2</v>
      </c>
      <c r="X2" t="str">
        <f t="shared" si="7"/>
        <v>2</v>
      </c>
      <c r="Y2" t="str">
        <f t="shared" si="7"/>
        <v>2</v>
      </c>
      <c r="Z2" t="str">
        <f t="shared" si="7"/>
        <v>2</v>
      </c>
      <c r="AA2" t="str">
        <f t="shared" ref="AA2:AA65" si="8">"          "</f>
        <v xml:space="preserve">          </v>
      </c>
      <c r="AB2" t="str">
        <f t="shared" ref="AB2:AG11" si="9">"2"</f>
        <v>2</v>
      </c>
      <c r="AC2" t="str">
        <f t="shared" si="9"/>
        <v>2</v>
      </c>
      <c r="AD2" t="str">
        <f t="shared" si="9"/>
        <v>2</v>
      </c>
      <c r="AE2" t="str">
        <f t="shared" si="9"/>
        <v>2</v>
      </c>
      <c r="AF2" t="str">
        <f t="shared" si="9"/>
        <v>2</v>
      </c>
      <c r="AG2" t="str">
        <f t="shared" si="9"/>
        <v>2</v>
      </c>
      <c r="AH2" t="str">
        <f t="shared" ref="AH2:AH33" si="10">"1"</f>
        <v>1</v>
      </c>
      <c r="AI2" t="str">
        <f>"1         "</f>
        <v xml:space="preserve">1         </v>
      </c>
      <c r="AJ2" t="str">
        <f t="shared" ref="AJ2:AJ33" si="11">"170"</f>
        <v>170</v>
      </c>
      <c r="AK2" t="str">
        <f>"17"</f>
        <v>17</v>
      </c>
      <c r="AL2" t="str">
        <f>"444"</f>
        <v>444</v>
      </c>
      <c r="AM2" t="str">
        <f>"17"</f>
        <v>17</v>
      </c>
      <c r="AN2" t="str">
        <f>"17001"</f>
        <v>17001</v>
      </c>
      <c r="AO2" t="str">
        <f>"28/08/2020 12:00:00 a. m."</f>
        <v>28/08/2020 12:00:00 a. m.</v>
      </c>
      <c r="AP2" t="str">
        <f>"28/08/2019 12:00:00 a. m."</f>
        <v>28/08/2019 12:00:00 a. m.</v>
      </c>
      <c r="AQ2" t="str">
        <f>"2"</f>
        <v>2</v>
      </c>
      <c r="AR2" t="str">
        <f>"1"</f>
        <v>1</v>
      </c>
      <c r="AS2" t="str">
        <f>"28/08/2020 12:00:00 a. m."</f>
        <v>28/08/2020 12:00:00 a. m.</v>
      </c>
      <c r="AT2" t="str">
        <f t="shared" ref="AT2:AT21" si="12">"1"</f>
        <v>1</v>
      </c>
      <c r="AU2" t="str">
        <f>""</f>
        <v/>
      </c>
      <c r="AV2" t="str">
        <f>"3"</f>
        <v>3</v>
      </c>
      <c r="AW2" t="str">
        <f>"19/12/2003 12:00:00 a. m."</f>
        <v>19/12/2003 12:00:00 a. m.</v>
      </c>
      <c r="AX2" t="str">
        <f>""</f>
        <v/>
      </c>
      <c r="AY2" t="str">
        <f t="shared" ref="AY2:AY65" si="13">"30/04/2021 12:00:00 a. m."</f>
        <v>30/04/2021 12:00:00 a. m.</v>
      </c>
      <c r="AZ2" t="str">
        <f>"18/12/2020 12:00:00 a. m."</f>
        <v>18/12/2020 12:00:00 a. m.</v>
      </c>
      <c r="BA2" t="str">
        <f>""</f>
        <v/>
      </c>
      <c r="BB2" t="str">
        <f>""</f>
        <v/>
      </c>
      <c r="BC2" t="str">
        <f>""</f>
        <v/>
      </c>
      <c r="BD2" t="str">
        <f t="shared" ref="BD2:BE21" si="14">"1"</f>
        <v>1</v>
      </c>
      <c r="BE2" t="str">
        <f t="shared" si="14"/>
        <v>1</v>
      </c>
      <c r="BF2" t="str">
        <f t="shared" ref="BF2:BF65" si="15">"3         "</f>
        <v xml:space="preserve">3         </v>
      </c>
      <c r="BG2" t="str">
        <f t="shared" ref="BG2:BG65" si="16">"Confirmado por laboratorio"</f>
        <v>Confirmado por laboratorio</v>
      </c>
      <c r="BH2" t="str">
        <f>"CRUZ ROJA COLOMBIANA SECCIONAL CALDAS SEDE ADMINIS"</f>
        <v>CRUZ ROJA COLOMBIANA SECCIONAL CALDAS SEDE ADMINIS</v>
      </c>
      <c r="BI2" t="str">
        <f t="shared" ref="BI2:BI33" si="17">"COLOMBIA"</f>
        <v>COLOMBIA</v>
      </c>
      <c r="BJ2" t="str">
        <f t="shared" ref="BJ2:BJ65" si="18">"CANCER INFANTIL"</f>
        <v>CANCER INFANTIL</v>
      </c>
      <c r="BK2" t="str">
        <f>"CALDAS"</f>
        <v>CALDAS</v>
      </c>
      <c r="BL2" t="str">
        <f>"MARQUETALIA"</f>
        <v>MARQUETALIA</v>
      </c>
      <c r="BM2" t="str">
        <f t="shared" ref="BM2:BM33" si="19">"COLOMBIA"</f>
        <v>COLOMBIA</v>
      </c>
      <c r="BN2" t="str">
        <f>"CALDAS"</f>
        <v>CALDAS</v>
      </c>
      <c r="BO2" t="str">
        <f>"MARQUETALIA"</f>
        <v>MARQUETALIA</v>
      </c>
      <c r="BP2" t="str">
        <f>"CALDAS"</f>
        <v>CALDAS</v>
      </c>
      <c r="BQ2" t="str">
        <f>"MANIZALES"</f>
        <v>MANIZALES</v>
      </c>
    </row>
    <row r="3" spans="1:69" x14ac:dyDescent="0.25">
      <c r="A3" t="str">
        <f>"7285894"</f>
        <v>7285894</v>
      </c>
      <c r="B3" t="str">
        <f t="shared" si="0"/>
        <v>459</v>
      </c>
      <c r="C3" t="str">
        <f>"12/11/2020 12:00:00 a. m."</f>
        <v>12/11/2020 12:00:00 a. m.</v>
      </c>
      <c r="D3" t="str">
        <f>"36"</f>
        <v>36</v>
      </c>
      <c r="E3" t="str">
        <f t="shared" si="1"/>
        <v>2020</v>
      </c>
      <c r="F3" t="str">
        <f>"1100116133"</f>
        <v>1100116133</v>
      </c>
      <c r="G3" t="str">
        <f t="shared" si="2"/>
        <v>01</v>
      </c>
      <c r="H3" t="str">
        <f>"15"</f>
        <v>15</v>
      </c>
      <c r="I3" t="str">
        <f t="shared" si="3"/>
        <v>1</v>
      </c>
      <c r="J3" t="str">
        <f>"F"</f>
        <v>F</v>
      </c>
      <c r="K3" t="str">
        <f t="shared" si="4"/>
        <v>170</v>
      </c>
      <c r="L3" t="str">
        <f>"15"</f>
        <v>15</v>
      </c>
      <c r="M3" t="str">
        <f>"176"</f>
        <v>176</v>
      </c>
      <c r="N3" t="str">
        <f>"1"</f>
        <v>1</v>
      </c>
      <c r="O3" t="str">
        <f>"9997"</f>
        <v>9997</v>
      </c>
      <c r="P3" t="str">
        <f>"C"</f>
        <v>C</v>
      </c>
      <c r="Q3" t="str">
        <f>"EPS044"</f>
        <v>EPS044</v>
      </c>
      <c r="R3" t="str">
        <f t="shared" si="5"/>
        <v>6</v>
      </c>
      <c r="S3" t="str">
        <f>""</f>
        <v/>
      </c>
      <c r="T3" t="str">
        <f t="shared" si="6"/>
        <v xml:space="preserve">                                                                                                    </v>
      </c>
      <c r="U3" t="str">
        <f>"2         "</f>
        <v xml:space="preserve">2         </v>
      </c>
      <c r="V3" t="str">
        <f t="shared" si="7"/>
        <v>2</v>
      </c>
      <c r="W3" t="str">
        <f t="shared" si="7"/>
        <v>2</v>
      </c>
      <c r="X3" t="str">
        <f t="shared" si="7"/>
        <v>2</v>
      </c>
      <c r="Y3" t="str">
        <f t="shared" si="7"/>
        <v>2</v>
      </c>
      <c r="Z3" t="str">
        <f t="shared" si="7"/>
        <v>2</v>
      </c>
      <c r="AA3" t="str">
        <f t="shared" si="8"/>
        <v xml:space="preserve">          </v>
      </c>
      <c r="AB3" t="str">
        <f t="shared" si="9"/>
        <v>2</v>
      </c>
      <c r="AC3" t="str">
        <f t="shared" si="9"/>
        <v>2</v>
      </c>
      <c r="AD3" t="str">
        <f t="shared" si="9"/>
        <v>2</v>
      </c>
      <c r="AE3" t="str">
        <f t="shared" si="9"/>
        <v>2</v>
      </c>
      <c r="AF3" t="str">
        <f t="shared" si="9"/>
        <v>2</v>
      </c>
      <c r="AG3" t="str">
        <f t="shared" si="9"/>
        <v>2</v>
      </c>
      <c r="AH3" t="str">
        <f t="shared" si="10"/>
        <v>1</v>
      </c>
      <c r="AI3" t="str">
        <f>"2         "</f>
        <v xml:space="preserve">2         </v>
      </c>
      <c r="AJ3" t="str">
        <f t="shared" si="11"/>
        <v>170</v>
      </c>
      <c r="AK3" t="str">
        <f>"15"</f>
        <v>15</v>
      </c>
      <c r="AL3" t="str">
        <f>"176"</f>
        <v>176</v>
      </c>
      <c r="AM3" t="str">
        <f>"11"</f>
        <v>11</v>
      </c>
      <c r="AN3" t="str">
        <f>"11001"</f>
        <v>11001</v>
      </c>
      <c r="AO3" t="str">
        <f>"1/09/2020 12:00:00 a. m."</f>
        <v>1/09/2020 12:00:00 a. m.</v>
      </c>
      <c r="AP3" t="str">
        <f>"24/05/2020 12:00:00 a. m."</f>
        <v>24/05/2020 12:00:00 a. m.</v>
      </c>
      <c r="AQ3" t="str">
        <f t="shared" ref="AQ3:AQ14" si="20">"3"</f>
        <v>3</v>
      </c>
      <c r="AR3" t="str">
        <f>"2"</f>
        <v>2</v>
      </c>
      <c r="AS3" t="str">
        <f>""</f>
        <v/>
      </c>
      <c r="AT3" t="str">
        <f t="shared" si="12"/>
        <v>1</v>
      </c>
      <c r="AU3" t="str">
        <f>""</f>
        <v/>
      </c>
      <c r="AV3" t="str">
        <f t="shared" ref="AV3:AV8" si="21">"0"</f>
        <v>0</v>
      </c>
      <c r="AW3" t="str">
        <f>"20/12/2004 12:00:00 a. m."</f>
        <v>20/12/2004 12:00:00 a. m.</v>
      </c>
      <c r="AX3" t="str">
        <f>""</f>
        <v/>
      </c>
      <c r="AY3" t="str">
        <f t="shared" si="13"/>
        <v>30/04/2021 12:00:00 a. m.</v>
      </c>
      <c r="AZ3" t="str">
        <f>"13/11/2020 12:00:00 a. m."</f>
        <v>13/11/2020 12:00:00 a. m.</v>
      </c>
      <c r="BA3" t="str">
        <f>""</f>
        <v/>
      </c>
      <c r="BB3" t="str">
        <f>""</f>
        <v/>
      </c>
      <c r="BC3" t="str">
        <f>""</f>
        <v/>
      </c>
      <c r="BD3" t="str">
        <f t="shared" si="14"/>
        <v>1</v>
      </c>
      <c r="BE3" t="str">
        <f t="shared" si="14"/>
        <v>1</v>
      </c>
      <c r="BF3" t="str">
        <f t="shared" si="15"/>
        <v xml:space="preserve">3         </v>
      </c>
      <c r="BG3" t="str">
        <f t="shared" si="16"/>
        <v>Confirmado por laboratorio</v>
      </c>
      <c r="BH3" t="str">
        <f>"FUNDACION HOSPITAL INFANTIL UNIVERSITARIO DE SAN"</f>
        <v>FUNDACION HOSPITAL INFANTIL UNIVERSITARIO DE SAN</v>
      </c>
      <c r="BI3" t="str">
        <f t="shared" si="17"/>
        <v>COLOMBIA</v>
      </c>
      <c r="BJ3" t="str">
        <f t="shared" si="18"/>
        <v>CANCER INFANTIL</v>
      </c>
      <c r="BK3" t="str">
        <f>"BOYACA"</f>
        <v>BOYACA</v>
      </c>
      <c r="BL3" t="str">
        <f>"CHIQUINQUIRA"</f>
        <v>CHIQUINQUIRA</v>
      </c>
      <c r="BM3" t="str">
        <f t="shared" si="19"/>
        <v>COLOMBIA</v>
      </c>
      <c r="BN3" t="str">
        <f>"BOYACA"</f>
        <v>BOYACA</v>
      </c>
      <c r="BO3" t="str">
        <f>"CHIQUINQUIRA"</f>
        <v>CHIQUINQUIRA</v>
      </c>
      <c r="BP3" t="str">
        <f>"BOGOTA"</f>
        <v>BOGOTA</v>
      </c>
      <c r="BQ3" t="str">
        <f>"BOGOTA"</f>
        <v>BOGOTA</v>
      </c>
    </row>
    <row r="4" spans="1:69" x14ac:dyDescent="0.25">
      <c r="A4" t="str">
        <f>"7285876"</f>
        <v>7285876</v>
      </c>
      <c r="B4" t="str">
        <f t="shared" si="0"/>
        <v>459</v>
      </c>
      <c r="C4" t="str">
        <f>"4/12/2020 12:00:00 a. m."</f>
        <v>4/12/2020 12:00:00 a. m.</v>
      </c>
      <c r="D4" t="str">
        <f>"44"</f>
        <v>44</v>
      </c>
      <c r="E4" t="str">
        <f t="shared" si="1"/>
        <v>2020</v>
      </c>
      <c r="F4" t="str">
        <f>"1300100568"</f>
        <v>1300100568</v>
      </c>
      <c r="G4" t="str">
        <f t="shared" si="2"/>
        <v>01</v>
      </c>
      <c r="H4" t="str">
        <f>"10"</f>
        <v>10</v>
      </c>
      <c r="I4" t="str">
        <f t="shared" si="3"/>
        <v>1</v>
      </c>
      <c r="J4" t="str">
        <f>"F"</f>
        <v>F</v>
      </c>
      <c r="K4" t="str">
        <f t="shared" si="4"/>
        <v>170</v>
      </c>
      <c r="L4" t="str">
        <f>"13"</f>
        <v>13</v>
      </c>
      <c r="M4" t="str">
        <f>"430"</f>
        <v>430</v>
      </c>
      <c r="N4" t="str">
        <f>"2"</f>
        <v>2</v>
      </c>
      <c r="O4" t="str">
        <f>"9998"</f>
        <v>9998</v>
      </c>
      <c r="P4" t="str">
        <f>"S"</f>
        <v>S</v>
      </c>
      <c r="Q4" t="str">
        <f>"ESS207"</f>
        <v>ESS207</v>
      </c>
      <c r="R4" t="str">
        <f t="shared" si="5"/>
        <v>6</v>
      </c>
      <c r="S4" t="str">
        <f>""</f>
        <v/>
      </c>
      <c r="T4" t="str">
        <f t="shared" si="6"/>
        <v xml:space="preserve">                                                                                                    </v>
      </c>
      <c r="U4" t="str">
        <f>"2         "</f>
        <v xml:space="preserve">2         </v>
      </c>
      <c r="V4" t="str">
        <f t="shared" si="7"/>
        <v>2</v>
      </c>
      <c r="W4" t="str">
        <f t="shared" si="7"/>
        <v>2</v>
      </c>
      <c r="X4" t="str">
        <f t="shared" si="7"/>
        <v>2</v>
      </c>
      <c r="Y4" t="str">
        <f t="shared" si="7"/>
        <v>2</v>
      </c>
      <c r="Z4" t="str">
        <f t="shared" si="7"/>
        <v>2</v>
      </c>
      <c r="AA4" t="str">
        <f t="shared" si="8"/>
        <v xml:space="preserve">          </v>
      </c>
      <c r="AB4" t="str">
        <f t="shared" si="9"/>
        <v>2</v>
      </c>
      <c r="AC4" t="str">
        <f t="shared" si="9"/>
        <v>2</v>
      </c>
      <c r="AD4" t="str">
        <f t="shared" si="9"/>
        <v>2</v>
      </c>
      <c r="AE4" t="str">
        <f t="shared" si="9"/>
        <v>2</v>
      </c>
      <c r="AF4" t="str">
        <f t="shared" si="9"/>
        <v>2</v>
      </c>
      <c r="AG4" t="str">
        <f t="shared" si="9"/>
        <v>2</v>
      </c>
      <c r="AH4" t="str">
        <f t="shared" si="10"/>
        <v>1</v>
      </c>
      <c r="AI4" t="str">
        <f t="shared" ref="AI4:AI9" si="22">"1         "</f>
        <v xml:space="preserve">1         </v>
      </c>
      <c r="AJ4" t="str">
        <f t="shared" si="11"/>
        <v>170</v>
      </c>
      <c r="AK4" t="str">
        <f>"13"</f>
        <v>13</v>
      </c>
      <c r="AL4" t="str">
        <f>"430"</f>
        <v>430</v>
      </c>
      <c r="AM4" t="str">
        <f>"13"</f>
        <v>13</v>
      </c>
      <c r="AN4" t="str">
        <f>"13001"</f>
        <v>13001</v>
      </c>
      <c r="AO4" t="str">
        <f>"31/10/2020 12:00:00 a. m."</f>
        <v>31/10/2020 12:00:00 a. m.</v>
      </c>
      <c r="AP4" t="str">
        <f>"25/10/2020 12:00:00 a. m."</f>
        <v>25/10/2020 12:00:00 a. m.</v>
      </c>
      <c r="AQ4" t="str">
        <f t="shared" si="20"/>
        <v>3</v>
      </c>
      <c r="AR4" t="str">
        <f t="shared" ref="AR4:AR13" si="23">"1"</f>
        <v>1</v>
      </c>
      <c r="AS4" t="str">
        <f>"31/10/2020 12:00:00 a. m."</f>
        <v>31/10/2020 12:00:00 a. m.</v>
      </c>
      <c r="AT4" t="str">
        <f t="shared" si="12"/>
        <v>1</v>
      </c>
      <c r="AU4" t="str">
        <f>""</f>
        <v/>
      </c>
      <c r="AV4" t="str">
        <f t="shared" si="21"/>
        <v>0</v>
      </c>
      <c r="AW4" t="str">
        <f>"19/11/2010 12:00:00 a. m."</f>
        <v>19/11/2010 12:00:00 a. m.</v>
      </c>
      <c r="AX4" t="str">
        <f>""</f>
        <v/>
      </c>
      <c r="AY4" t="str">
        <f t="shared" si="13"/>
        <v>30/04/2021 12:00:00 a. m.</v>
      </c>
      <c r="AZ4" t="str">
        <f>"4/12/2020 12:00:00 a. m."</f>
        <v>4/12/2020 12:00:00 a. m.</v>
      </c>
      <c r="BA4" t="str">
        <f>""</f>
        <v/>
      </c>
      <c r="BB4" t="str">
        <f>""</f>
        <v/>
      </c>
      <c r="BC4" t="str">
        <f>""</f>
        <v/>
      </c>
      <c r="BD4" t="str">
        <f t="shared" si="14"/>
        <v>1</v>
      </c>
      <c r="BE4" t="str">
        <f t="shared" si="14"/>
        <v>1</v>
      </c>
      <c r="BF4" t="str">
        <f t="shared" si="15"/>
        <v xml:space="preserve">3         </v>
      </c>
      <c r="BG4" t="str">
        <f t="shared" si="16"/>
        <v>Confirmado por laboratorio</v>
      </c>
      <c r="BH4" t="str">
        <f>"CLINICA BLAS DE LEZO S.A."</f>
        <v>CLINICA BLAS DE LEZO S.A.</v>
      </c>
      <c r="BI4" t="str">
        <f t="shared" si="17"/>
        <v>COLOMBIA</v>
      </c>
      <c r="BJ4" t="str">
        <f t="shared" si="18"/>
        <v>CANCER INFANTIL</v>
      </c>
      <c r="BK4" t="str">
        <f>"BOLIVAR"</f>
        <v>BOLIVAR</v>
      </c>
      <c r="BL4" t="str">
        <f>"MAGANGUE"</f>
        <v>MAGANGUE</v>
      </c>
      <c r="BM4" t="str">
        <f t="shared" si="19"/>
        <v>COLOMBIA</v>
      </c>
      <c r="BN4" t="str">
        <f>"BOLIVAR"</f>
        <v>BOLIVAR</v>
      </c>
      <c r="BO4" t="str">
        <f>"MAGANGUE"</f>
        <v>MAGANGUE</v>
      </c>
      <c r="BP4" t="str">
        <f>"BOLIVAR"</f>
        <v>BOLIVAR</v>
      </c>
      <c r="BQ4" t="str">
        <f>"CARTAGENA"</f>
        <v>CARTAGENA</v>
      </c>
    </row>
    <row r="5" spans="1:69" x14ac:dyDescent="0.25">
      <c r="A5" t="str">
        <f>"7285807"</f>
        <v>7285807</v>
      </c>
      <c r="B5" t="str">
        <f t="shared" si="0"/>
        <v>459</v>
      </c>
      <c r="C5" t="str">
        <f>"2/05/2020 12:00:00 a. m."</f>
        <v>2/05/2020 12:00:00 a. m.</v>
      </c>
      <c r="D5" t="str">
        <f>"07"</f>
        <v>07</v>
      </c>
      <c r="E5" t="str">
        <f t="shared" si="1"/>
        <v>2020</v>
      </c>
      <c r="F5" t="str">
        <f>"1300100568"</f>
        <v>1300100568</v>
      </c>
      <c r="G5" t="str">
        <f t="shared" si="2"/>
        <v>01</v>
      </c>
      <c r="H5" t="str">
        <f>"6"</f>
        <v>6</v>
      </c>
      <c r="I5" t="str">
        <f t="shared" si="3"/>
        <v>1</v>
      </c>
      <c r="J5" t="str">
        <f>"F"</f>
        <v>F</v>
      </c>
      <c r="K5" t="str">
        <f t="shared" si="4"/>
        <v>170</v>
      </c>
      <c r="L5" t="str">
        <f>"47"</f>
        <v>47</v>
      </c>
      <c r="M5" t="str">
        <f>"245"</f>
        <v>245</v>
      </c>
      <c r="N5" t="str">
        <f>"2"</f>
        <v>2</v>
      </c>
      <c r="O5" t="str">
        <f>"9999"</f>
        <v>9999</v>
      </c>
      <c r="P5" t="str">
        <f>"S"</f>
        <v>S</v>
      </c>
      <c r="Q5" t="str">
        <f>"ESS207"</f>
        <v>ESS207</v>
      </c>
      <c r="R5" t="str">
        <f t="shared" si="5"/>
        <v>6</v>
      </c>
      <c r="S5" t="str">
        <f>""</f>
        <v/>
      </c>
      <c r="T5" t="str">
        <f t="shared" si="6"/>
        <v xml:space="preserve">                                                                                                    </v>
      </c>
      <c r="U5" t="str">
        <f>"2         "</f>
        <v xml:space="preserve">2         </v>
      </c>
      <c r="V5" t="str">
        <f t="shared" si="7"/>
        <v>2</v>
      </c>
      <c r="W5" t="str">
        <f t="shared" si="7"/>
        <v>2</v>
      </c>
      <c r="X5" t="str">
        <f t="shared" si="7"/>
        <v>2</v>
      </c>
      <c r="Y5" t="str">
        <f t="shared" si="7"/>
        <v>2</v>
      </c>
      <c r="Z5" t="str">
        <f t="shared" si="7"/>
        <v>2</v>
      </c>
      <c r="AA5" t="str">
        <f t="shared" si="8"/>
        <v xml:space="preserve">          </v>
      </c>
      <c r="AB5" t="str">
        <f t="shared" si="9"/>
        <v>2</v>
      </c>
      <c r="AC5" t="str">
        <f t="shared" si="9"/>
        <v>2</v>
      </c>
      <c r="AD5" t="str">
        <f t="shared" si="9"/>
        <v>2</v>
      </c>
      <c r="AE5" t="str">
        <f t="shared" si="9"/>
        <v>2</v>
      </c>
      <c r="AF5" t="str">
        <f t="shared" si="9"/>
        <v>2</v>
      </c>
      <c r="AG5" t="str">
        <f t="shared" si="9"/>
        <v>2</v>
      </c>
      <c r="AH5" t="str">
        <f t="shared" si="10"/>
        <v>1</v>
      </c>
      <c r="AI5" t="str">
        <f t="shared" si="22"/>
        <v xml:space="preserve">1         </v>
      </c>
      <c r="AJ5" t="str">
        <f t="shared" si="11"/>
        <v>170</v>
      </c>
      <c r="AK5" t="str">
        <f>"47"</f>
        <v>47</v>
      </c>
      <c r="AL5" t="str">
        <f>"245"</f>
        <v>245</v>
      </c>
      <c r="AM5" t="str">
        <f>"13"</f>
        <v>13</v>
      </c>
      <c r="AN5" t="str">
        <f>"13001"</f>
        <v>13001</v>
      </c>
      <c r="AO5" t="str">
        <f>"13/02/2020 12:00:00 a. m."</f>
        <v>13/02/2020 12:00:00 a. m.</v>
      </c>
      <c r="AP5" t="str">
        <f>"5/12/2019 12:00:00 a. m."</f>
        <v>5/12/2019 12:00:00 a. m.</v>
      </c>
      <c r="AQ5" t="str">
        <f t="shared" si="20"/>
        <v>3</v>
      </c>
      <c r="AR5" t="str">
        <f t="shared" si="23"/>
        <v>1</v>
      </c>
      <c r="AS5" t="str">
        <f>"13/02/2020 12:00:00 a. m."</f>
        <v>13/02/2020 12:00:00 a. m.</v>
      </c>
      <c r="AT5" t="str">
        <f t="shared" si="12"/>
        <v>1</v>
      </c>
      <c r="AU5" t="str">
        <f>""</f>
        <v/>
      </c>
      <c r="AV5" t="str">
        <f t="shared" si="21"/>
        <v>0</v>
      </c>
      <c r="AW5" t="str">
        <f>"24/12/2013 12:00:00 a. m."</f>
        <v>24/12/2013 12:00:00 a. m.</v>
      </c>
      <c r="AX5" t="str">
        <f>""</f>
        <v/>
      </c>
      <c r="AY5" t="str">
        <f t="shared" si="13"/>
        <v>30/04/2021 12:00:00 a. m.</v>
      </c>
      <c r="AZ5" t="str">
        <f>"4/05/2020 12:00:00 a. m."</f>
        <v>4/05/2020 12:00:00 a. m.</v>
      </c>
      <c r="BA5" t="str">
        <f>""</f>
        <v/>
      </c>
      <c r="BB5" t="str">
        <f>""</f>
        <v/>
      </c>
      <c r="BC5" t="str">
        <f>""</f>
        <v/>
      </c>
      <c r="BD5" t="str">
        <f t="shared" si="14"/>
        <v>1</v>
      </c>
      <c r="BE5" t="str">
        <f t="shared" si="14"/>
        <v>1</v>
      </c>
      <c r="BF5" t="str">
        <f t="shared" si="15"/>
        <v xml:space="preserve">3         </v>
      </c>
      <c r="BG5" t="str">
        <f t="shared" si="16"/>
        <v>Confirmado por laboratorio</v>
      </c>
      <c r="BH5" t="str">
        <f>"CLINICA BLAS DE LEZO S.A."</f>
        <v>CLINICA BLAS DE LEZO S.A.</v>
      </c>
      <c r="BI5" t="str">
        <f t="shared" si="17"/>
        <v>COLOMBIA</v>
      </c>
      <c r="BJ5" t="str">
        <f t="shared" si="18"/>
        <v>CANCER INFANTIL</v>
      </c>
      <c r="BK5" t="str">
        <f>"MAGDALENA"</f>
        <v>MAGDALENA</v>
      </c>
      <c r="BL5" t="str">
        <f>"EL BANCO"</f>
        <v>EL BANCO</v>
      </c>
      <c r="BM5" t="str">
        <f t="shared" si="19"/>
        <v>COLOMBIA</v>
      </c>
      <c r="BN5" t="str">
        <f>"MAGDALENA"</f>
        <v>MAGDALENA</v>
      </c>
      <c r="BO5" t="str">
        <f>"EL BANCO"</f>
        <v>EL BANCO</v>
      </c>
      <c r="BP5" t="str">
        <f>"BOLIVAR"</f>
        <v>BOLIVAR</v>
      </c>
      <c r="BQ5" t="str">
        <f>"CARTAGENA"</f>
        <v>CARTAGENA</v>
      </c>
    </row>
    <row r="6" spans="1:69" x14ac:dyDescent="0.25">
      <c r="A6" t="str">
        <f>"7285712"</f>
        <v>7285712</v>
      </c>
      <c r="B6" t="str">
        <f t="shared" si="0"/>
        <v>459</v>
      </c>
      <c r="C6" t="str">
        <f>"29/12/2020 12:00:00 a. m."</f>
        <v>29/12/2020 12:00:00 a. m.</v>
      </c>
      <c r="D6" t="str">
        <f>"51"</f>
        <v>51</v>
      </c>
      <c r="E6" t="str">
        <f t="shared" si="1"/>
        <v>2020</v>
      </c>
      <c r="F6" t="str">
        <f>"1100105681"</f>
        <v>1100105681</v>
      </c>
      <c r="G6" t="str">
        <f t="shared" si="2"/>
        <v>01</v>
      </c>
      <c r="H6" t="str">
        <f>"4"</f>
        <v>4</v>
      </c>
      <c r="I6" t="str">
        <f t="shared" si="3"/>
        <v>1</v>
      </c>
      <c r="J6" t="str">
        <f>"M"</f>
        <v>M</v>
      </c>
      <c r="K6" t="str">
        <f t="shared" si="4"/>
        <v>170</v>
      </c>
      <c r="L6" t="str">
        <f>"85"</f>
        <v>85</v>
      </c>
      <c r="M6" t="str">
        <f>"001"</f>
        <v>001</v>
      </c>
      <c r="N6" t="str">
        <f>"1"</f>
        <v>1</v>
      </c>
      <c r="O6" t="str">
        <f>"9999"</f>
        <v>9999</v>
      </c>
      <c r="P6" t="str">
        <f>"C"</f>
        <v>C</v>
      </c>
      <c r="Q6" t="str">
        <f>"EPS005"</f>
        <v>EPS005</v>
      </c>
      <c r="R6" t="str">
        <f t="shared" si="5"/>
        <v>6</v>
      </c>
      <c r="S6" t="str">
        <f>""</f>
        <v/>
      </c>
      <c r="T6" t="str">
        <f t="shared" si="6"/>
        <v xml:space="preserve">                                                                                                    </v>
      </c>
      <c r="U6" t="str">
        <f>"2         "</f>
        <v xml:space="preserve">2         </v>
      </c>
      <c r="V6" t="str">
        <f t="shared" si="7"/>
        <v>2</v>
      </c>
      <c r="W6" t="str">
        <f t="shared" si="7"/>
        <v>2</v>
      </c>
      <c r="X6" t="str">
        <f t="shared" si="7"/>
        <v>2</v>
      </c>
      <c r="Y6" t="str">
        <f t="shared" si="7"/>
        <v>2</v>
      </c>
      <c r="Z6" t="str">
        <f t="shared" si="7"/>
        <v>2</v>
      </c>
      <c r="AA6" t="str">
        <f t="shared" si="8"/>
        <v xml:space="preserve">          </v>
      </c>
      <c r="AB6" t="str">
        <f t="shared" si="9"/>
        <v>2</v>
      </c>
      <c r="AC6" t="str">
        <f t="shared" si="9"/>
        <v>2</v>
      </c>
      <c r="AD6" t="str">
        <f t="shared" si="9"/>
        <v>2</v>
      </c>
      <c r="AE6" t="str">
        <f t="shared" si="9"/>
        <v>2</v>
      </c>
      <c r="AF6" t="str">
        <f t="shared" si="9"/>
        <v>2</v>
      </c>
      <c r="AG6" t="str">
        <f t="shared" si="9"/>
        <v>2</v>
      </c>
      <c r="AH6" t="str">
        <f t="shared" si="10"/>
        <v>1</v>
      </c>
      <c r="AI6" t="str">
        <f t="shared" si="22"/>
        <v xml:space="preserve">1         </v>
      </c>
      <c r="AJ6" t="str">
        <f t="shared" si="11"/>
        <v>170</v>
      </c>
      <c r="AK6" t="str">
        <f>"85"</f>
        <v>85</v>
      </c>
      <c r="AL6" t="str">
        <f>"001"</f>
        <v>001</v>
      </c>
      <c r="AM6" t="str">
        <f>"11"</f>
        <v>11</v>
      </c>
      <c r="AN6" t="str">
        <f>"11001"</f>
        <v>11001</v>
      </c>
      <c r="AO6" t="str">
        <f>"13/12/2020 12:00:00 a. m."</f>
        <v>13/12/2020 12:00:00 a. m.</v>
      </c>
      <c r="AP6" t="str">
        <f>"1/06/2020 12:00:00 a. m."</f>
        <v>1/06/2020 12:00:00 a. m.</v>
      </c>
      <c r="AQ6" t="str">
        <f t="shared" si="20"/>
        <v>3</v>
      </c>
      <c r="AR6" t="str">
        <f t="shared" si="23"/>
        <v>1</v>
      </c>
      <c r="AS6" t="str">
        <f>"13/12/2020 12:00:00 a. m."</f>
        <v>13/12/2020 12:00:00 a. m.</v>
      </c>
      <c r="AT6" t="str">
        <f t="shared" si="12"/>
        <v>1</v>
      </c>
      <c r="AU6" t="str">
        <f>""</f>
        <v/>
      </c>
      <c r="AV6" t="str">
        <f t="shared" si="21"/>
        <v>0</v>
      </c>
      <c r="AW6" t="str">
        <f>"18/07/2016 12:00:00 a. m."</f>
        <v>18/07/2016 12:00:00 a. m.</v>
      </c>
      <c r="AX6" t="str">
        <f>""</f>
        <v/>
      </c>
      <c r="AY6" t="str">
        <f t="shared" si="13"/>
        <v>30/04/2021 12:00:00 a. m.</v>
      </c>
      <c r="AZ6" t="str">
        <f>"17/03/2021 12:00:00 a. m."</f>
        <v>17/03/2021 12:00:00 a. m.</v>
      </c>
      <c r="BA6" t="str">
        <f>""</f>
        <v/>
      </c>
      <c r="BB6" t="str">
        <f>""</f>
        <v/>
      </c>
      <c r="BC6" t="str">
        <f>""</f>
        <v/>
      </c>
      <c r="BD6" t="str">
        <f t="shared" si="14"/>
        <v>1</v>
      </c>
      <c r="BE6" t="str">
        <f t="shared" si="14"/>
        <v>1</v>
      </c>
      <c r="BF6" t="str">
        <f t="shared" si="15"/>
        <v xml:space="preserve">3         </v>
      </c>
      <c r="BG6" t="str">
        <f t="shared" si="16"/>
        <v>Confirmado por laboratorio</v>
      </c>
      <c r="BH6" t="str">
        <f>"FUNDACION HOSPITAL DE LA MISERICORDIA"</f>
        <v>FUNDACION HOSPITAL DE LA MISERICORDIA</v>
      </c>
      <c r="BI6" t="str">
        <f t="shared" si="17"/>
        <v>COLOMBIA</v>
      </c>
      <c r="BJ6" t="str">
        <f t="shared" si="18"/>
        <v>CANCER INFANTIL</v>
      </c>
      <c r="BK6" t="str">
        <f>"CASANARE"</f>
        <v>CASANARE</v>
      </c>
      <c r="BL6" t="str">
        <f>"YOPAL"</f>
        <v>YOPAL</v>
      </c>
      <c r="BM6" t="str">
        <f t="shared" si="19"/>
        <v>COLOMBIA</v>
      </c>
      <c r="BN6" t="str">
        <f>"CASANARE"</f>
        <v>CASANARE</v>
      </c>
      <c r="BO6" t="str">
        <f>"YOPAL"</f>
        <v>YOPAL</v>
      </c>
      <c r="BP6" t="str">
        <f>"BOGOTA"</f>
        <v>BOGOTA</v>
      </c>
      <c r="BQ6" t="str">
        <f>"BOGOTA"</f>
        <v>BOGOTA</v>
      </c>
    </row>
    <row r="7" spans="1:69" x14ac:dyDescent="0.25">
      <c r="A7" t="str">
        <f>"7285736"</f>
        <v>7285736</v>
      </c>
      <c r="B7" t="str">
        <f t="shared" si="0"/>
        <v>459</v>
      </c>
      <c r="C7" t="str">
        <f>"17/10/2020 12:00:00 a. m."</f>
        <v>17/10/2020 12:00:00 a. m.</v>
      </c>
      <c r="D7" t="str">
        <f>"29"</f>
        <v>29</v>
      </c>
      <c r="E7" t="str">
        <f t="shared" si="1"/>
        <v>2020</v>
      </c>
      <c r="F7" t="str">
        <f>"6800100431"</f>
        <v>6800100431</v>
      </c>
      <c r="G7" t="str">
        <f t="shared" si="2"/>
        <v>01</v>
      </c>
      <c r="H7" t="str">
        <f>"3"</f>
        <v>3</v>
      </c>
      <c r="I7" t="str">
        <f t="shared" si="3"/>
        <v>1</v>
      </c>
      <c r="J7" t="str">
        <f>"M"</f>
        <v>M</v>
      </c>
      <c r="K7" t="str">
        <f t="shared" si="4"/>
        <v>170</v>
      </c>
      <c r="L7" t="str">
        <f>"68"</f>
        <v>68</v>
      </c>
      <c r="M7" t="str">
        <f>"276"</f>
        <v>276</v>
      </c>
      <c r="N7" t="str">
        <f>"1"</f>
        <v>1</v>
      </c>
      <c r="O7" t="str">
        <f>"9999"</f>
        <v>9999</v>
      </c>
      <c r="P7" t="str">
        <f>"P"</f>
        <v>P</v>
      </c>
      <c r="Q7" t="str">
        <f>"RES003"</f>
        <v>RES003</v>
      </c>
      <c r="R7" t="str">
        <f t="shared" si="5"/>
        <v>6</v>
      </c>
      <c r="S7" t="str">
        <f>""</f>
        <v/>
      </c>
      <c r="T7" t="str">
        <f t="shared" si="6"/>
        <v xml:space="preserve">                                                                                                    </v>
      </c>
      <c r="U7" t="str">
        <f>"2         "</f>
        <v xml:space="preserve">2         </v>
      </c>
      <c r="V7" t="str">
        <f t="shared" si="7"/>
        <v>2</v>
      </c>
      <c r="W7" t="str">
        <f t="shared" si="7"/>
        <v>2</v>
      </c>
      <c r="X7" t="str">
        <f t="shared" si="7"/>
        <v>2</v>
      </c>
      <c r="Y7" t="str">
        <f t="shared" si="7"/>
        <v>2</v>
      </c>
      <c r="Z7" t="str">
        <f t="shared" si="7"/>
        <v>2</v>
      </c>
      <c r="AA7" t="str">
        <f t="shared" si="8"/>
        <v xml:space="preserve">          </v>
      </c>
      <c r="AB7" t="str">
        <f t="shared" si="9"/>
        <v>2</v>
      </c>
      <c r="AC7" t="str">
        <f t="shared" si="9"/>
        <v>2</v>
      </c>
      <c r="AD7" t="str">
        <f t="shared" si="9"/>
        <v>2</v>
      </c>
      <c r="AE7" t="str">
        <f t="shared" si="9"/>
        <v>2</v>
      </c>
      <c r="AF7" t="str">
        <f t="shared" si="9"/>
        <v>2</v>
      </c>
      <c r="AG7" t="str">
        <f t="shared" si="9"/>
        <v>2</v>
      </c>
      <c r="AH7" t="str">
        <f t="shared" si="10"/>
        <v>1</v>
      </c>
      <c r="AI7" t="str">
        <f t="shared" si="22"/>
        <v xml:space="preserve">1         </v>
      </c>
      <c r="AJ7" t="str">
        <f t="shared" si="11"/>
        <v>170</v>
      </c>
      <c r="AK7" t="str">
        <f>"68"</f>
        <v>68</v>
      </c>
      <c r="AL7" t="str">
        <f>"276"</f>
        <v>276</v>
      </c>
      <c r="AM7" t="str">
        <f>"68"</f>
        <v>68</v>
      </c>
      <c r="AN7" t="str">
        <f>"68001"</f>
        <v>68001</v>
      </c>
      <c r="AO7" t="str">
        <f>"14/07/2020 12:00:00 a. m."</f>
        <v>14/07/2020 12:00:00 a. m.</v>
      </c>
      <c r="AP7" t="str">
        <f>"14/06/2020 12:00:00 a. m."</f>
        <v>14/06/2020 12:00:00 a. m.</v>
      </c>
      <c r="AQ7" t="str">
        <f t="shared" si="20"/>
        <v>3</v>
      </c>
      <c r="AR7" t="str">
        <f t="shared" si="23"/>
        <v>1</v>
      </c>
      <c r="AS7" t="str">
        <f>"14/07/2020 12:00:00 a. m."</f>
        <v>14/07/2020 12:00:00 a. m.</v>
      </c>
      <c r="AT7" t="str">
        <f t="shared" si="12"/>
        <v>1</v>
      </c>
      <c r="AU7" t="str">
        <f>""</f>
        <v/>
      </c>
      <c r="AV7" t="str">
        <f t="shared" si="21"/>
        <v>0</v>
      </c>
      <c r="AW7" t="str">
        <f>"13/05/2017 12:00:00 a. m."</f>
        <v>13/05/2017 12:00:00 a. m.</v>
      </c>
      <c r="AX7" t="str">
        <f>""</f>
        <v/>
      </c>
      <c r="AY7" t="str">
        <f t="shared" si="13"/>
        <v>30/04/2021 12:00:00 a. m.</v>
      </c>
      <c r="AZ7" t="str">
        <f>"17/10/2020 12:00:00 a. m."</f>
        <v>17/10/2020 12:00:00 a. m.</v>
      </c>
      <c r="BA7" t="str">
        <f>""</f>
        <v/>
      </c>
      <c r="BB7" t="str">
        <f>""</f>
        <v/>
      </c>
      <c r="BC7" t="str">
        <f>""</f>
        <v/>
      </c>
      <c r="BD7" t="str">
        <f t="shared" si="14"/>
        <v>1</v>
      </c>
      <c r="BE7" t="str">
        <f t="shared" si="14"/>
        <v>1</v>
      </c>
      <c r="BF7" t="str">
        <f t="shared" si="15"/>
        <v xml:space="preserve">3         </v>
      </c>
      <c r="BG7" t="str">
        <f t="shared" si="16"/>
        <v>Confirmado por laboratorio</v>
      </c>
      <c r="BH7" t="str">
        <f>"CLINICA MATERNO INFANTEL SAN LUIS SA"</f>
        <v>CLINICA MATERNO INFANTEL SAN LUIS SA</v>
      </c>
      <c r="BI7" t="str">
        <f t="shared" si="17"/>
        <v>COLOMBIA</v>
      </c>
      <c r="BJ7" t="str">
        <f t="shared" si="18"/>
        <v>CANCER INFANTIL</v>
      </c>
      <c r="BK7" t="str">
        <f>"SANTANDER"</f>
        <v>SANTANDER</v>
      </c>
      <c r="BL7" t="str">
        <f>"FLORIDABLANCA"</f>
        <v>FLORIDABLANCA</v>
      </c>
      <c r="BM7" t="str">
        <f t="shared" si="19"/>
        <v>COLOMBIA</v>
      </c>
      <c r="BN7" t="str">
        <f>"SANTANDER"</f>
        <v>SANTANDER</v>
      </c>
      <c r="BO7" t="str">
        <f>"FLORIDABLANCA"</f>
        <v>FLORIDABLANCA</v>
      </c>
      <c r="BP7" t="str">
        <f>"SANTANDER"</f>
        <v>SANTANDER</v>
      </c>
      <c r="BQ7" t="str">
        <f>"BUCARAMANGA"</f>
        <v>BUCARAMANGA</v>
      </c>
    </row>
    <row r="8" spans="1:69" x14ac:dyDescent="0.25">
      <c r="A8" t="str">
        <f>"7285934"</f>
        <v>7285934</v>
      </c>
      <c r="B8" t="str">
        <f t="shared" si="0"/>
        <v>459</v>
      </c>
      <c r="C8" t="str">
        <f>"25/04/2020 12:00:00 a. m."</f>
        <v>25/04/2020 12:00:00 a. m.</v>
      </c>
      <c r="D8" t="str">
        <f>"12"</f>
        <v>12</v>
      </c>
      <c r="E8" t="str">
        <f t="shared" si="1"/>
        <v>2020</v>
      </c>
      <c r="F8" t="str">
        <f>"1300102102"</f>
        <v>1300102102</v>
      </c>
      <c r="G8" t="str">
        <f t="shared" si="2"/>
        <v>01</v>
      </c>
      <c r="H8" t="str">
        <f>"5"</f>
        <v>5</v>
      </c>
      <c r="I8" t="str">
        <f t="shared" si="3"/>
        <v>1</v>
      </c>
      <c r="J8" t="str">
        <f>"F"</f>
        <v>F</v>
      </c>
      <c r="K8" t="str">
        <f t="shared" si="4"/>
        <v>170</v>
      </c>
      <c r="L8" t="str">
        <f>"13"</f>
        <v>13</v>
      </c>
      <c r="M8" t="str">
        <f>"600"</f>
        <v>600</v>
      </c>
      <c r="N8" t="str">
        <f>"2"</f>
        <v>2</v>
      </c>
      <c r="O8" t="str">
        <f>"9997"</f>
        <v>9997</v>
      </c>
      <c r="P8" t="str">
        <f>"S"</f>
        <v>S</v>
      </c>
      <c r="Q8" t="str">
        <f>"ESS076"</f>
        <v>ESS076</v>
      </c>
      <c r="R8" t="str">
        <f t="shared" si="5"/>
        <v>6</v>
      </c>
      <c r="S8" t="str">
        <f>""</f>
        <v/>
      </c>
      <c r="T8" t="str">
        <f t="shared" si="6"/>
        <v xml:space="preserve">                                                                                                    </v>
      </c>
      <c r="U8" t="str">
        <f>"1         "</f>
        <v xml:space="preserve">1         </v>
      </c>
      <c r="V8" t="str">
        <f t="shared" si="7"/>
        <v>2</v>
      </c>
      <c r="W8" t="str">
        <f t="shared" si="7"/>
        <v>2</v>
      </c>
      <c r="X8" t="str">
        <f t="shared" si="7"/>
        <v>2</v>
      </c>
      <c r="Y8" t="str">
        <f t="shared" si="7"/>
        <v>2</v>
      </c>
      <c r="Z8" t="str">
        <f t="shared" si="7"/>
        <v>2</v>
      </c>
      <c r="AA8" t="str">
        <f t="shared" si="8"/>
        <v xml:space="preserve">          </v>
      </c>
      <c r="AB8" t="str">
        <f t="shared" si="9"/>
        <v>2</v>
      </c>
      <c r="AC8" t="str">
        <f t="shared" si="9"/>
        <v>2</v>
      </c>
      <c r="AD8" t="str">
        <f t="shared" si="9"/>
        <v>2</v>
      </c>
      <c r="AE8" t="str">
        <f t="shared" si="9"/>
        <v>2</v>
      </c>
      <c r="AF8" t="str">
        <f t="shared" si="9"/>
        <v>2</v>
      </c>
      <c r="AG8" t="str">
        <f t="shared" si="9"/>
        <v>2</v>
      </c>
      <c r="AH8" t="str">
        <f t="shared" si="10"/>
        <v>1</v>
      </c>
      <c r="AI8" t="str">
        <f t="shared" si="22"/>
        <v xml:space="preserve">1         </v>
      </c>
      <c r="AJ8" t="str">
        <f t="shared" si="11"/>
        <v>170</v>
      </c>
      <c r="AK8" t="str">
        <f>"13"</f>
        <v>13</v>
      </c>
      <c r="AL8" t="str">
        <f>"600"</f>
        <v>600</v>
      </c>
      <c r="AM8" t="str">
        <f>"13"</f>
        <v>13</v>
      </c>
      <c r="AN8" t="str">
        <f>"13001"</f>
        <v>13001</v>
      </c>
      <c r="AO8" t="str">
        <f>"20/03/2020 12:00:00 a. m."</f>
        <v>20/03/2020 12:00:00 a. m.</v>
      </c>
      <c r="AP8" t="str">
        <f>"14/03/2020 12:00:00 a. m."</f>
        <v>14/03/2020 12:00:00 a. m.</v>
      </c>
      <c r="AQ8" t="str">
        <f t="shared" si="20"/>
        <v>3</v>
      </c>
      <c r="AR8" t="str">
        <f t="shared" si="23"/>
        <v>1</v>
      </c>
      <c r="AS8" t="str">
        <f>"20/03/2020 12:00:00 a. m."</f>
        <v>20/03/2020 12:00:00 a. m.</v>
      </c>
      <c r="AT8" t="str">
        <f t="shared" si="12"/>
        <v>1</v>
      </c>
      <c r="AU8" t="str">
        <f>""</f>
        <v/>
      </c>
      <c r="AV8" t="str">
        <f t="shared" si="21"/>
        <v>0</v>
      </c>
      <c r="AW8" t="str">
        <f>"8/01/2015 12:00:00 a. m."</f>
        <v>8/01/2015 12:00:00 a. m.</v>
      </c>
      <c r="AX8" t="str">
        <f>""</f>
        <v/>
      </c>
      <c r="AY8" t="str">
        <f t="shared" si="13"/>
        <v>30/04/2021 12:00:00 a. m.</v>
      </c>
      <c r="AZ8" t="str">
        <f>"27/04/2020 12:00:00 a. m."</f>
        <v>27/04/2020 12:00:00 a. m.</v>
      </c>
      <c r="BA8" t="str">
        <f>""</f>
        <v/>
      </c>
      <c r="BB8" t="str">
        <f>""</f>
        <v/>
      </c>
      <c r="BC8" t="str">
        <f>""</f>
        <v/>
      </c>
      <c r="BD8" t="str">
        <f t="shared" si="14"/>
        <v>1</v>
      </c>
      <c r="BE8" t="str">
        <f t="shared" si="14"/>
        <v>1</v>
      </c>
      <c r="BF8" t="str">
        <f t="shared" si="15"/>
        <v xml:space="preserve">3         </v>
      </c>
      <c r="BG8" t="str">
        <f t="shared" si="16"/>
        <v>Confirmado por laboratorio</v>
      </c>
      <c r="BH8" t="str">
        <f>"FUNDACION CENTRO COLOMBIANO DE EPILEPSIA Y ENFERME"</f>
        <v>FUNDACION CENTRO COLOMBIANO DE EPILEPSIA Y ENFERME</v>
      </c>
      <c r="BI8" t="str">
        <f t="shared" si="17"/>
        <v>COLOMBIA</v>
      </c>
      <c r="BJ8" t="str">
        <f t="shared" si="18"/>
        <v>CANCER INFANTIL</v>
      </c>
      <c r="BK8" t="str">
        <f>"BOLIVAR"</f>
        <v>BOLIVAR</v>
      </c>
      <c r="BL8" t="str">
        <f>"RIO VIEJO"</f>
        <v>RIO VIEJO</v>
      </c>
      <c r="BM8" t="str">
        <f t="shared" si="19"/>
        <v>COLOMBIA</v>
      </c>
      <c r="BN8" t="str">
        <f>"BOLIVAR"</f>
        <v>BOLIVAR</v>
      </c>
      <c r="BO8" t="str">
        <f>"RIO VIEJO"</f>
        <v>RIO VIEJO</v>
      </c>
      <c r="BP8" t="str">
        <f>"BOLIVAR"</f>
        <v>BOLIVAR</v>
      </c>
      <c r="BQ8" t="str">
        <f>"CARTAGENA"</f>
        <v>CARTAGENA</v>
      </c>
    </row>
    <row r="9" spans="1:69" x14ac:dyDescent="0.25">
      <c r="A9" t="str">
        <f>"7285920"</f>
        <v>7285920</v>
      </c>
      <c r="B9" t="str">
        <f t="shared" si="0"/>
        <v>459</v>
      </c>
      <c r="C9" t="str">
        <f>"7/02/2020 12:00:00 a. m."</f>
        <v>7/02/2020 12:00:00 a. m.</v>
      </c>
      <c r="D9" t="str">
        <f>"04"</f>
        <v>04</v>
      </c>
      <c r="E9" t="str">
        <f t="shared" si="1"/>
        <v>2020</v>
      </c>
      <c r="F9" t="str">
        <f>"1100105681"</f>
        <v>1100105681</v>
      </c>
      <c r="G9" t="str">
        <f t="shared" si="2"/>
        <v>01</v>
      </c>
      <c r="H9" t="str">
        <f>"12"</f>
        <v>12</v>
      </c>
      <c r="I9" t="str">
        <f t="shared" si="3"/>
        <v>1</v>
      </c>
      <c r="J9" t="str">
        <f>"F"</f>
        <v>F</v>
      </c>
      <c r="K9" t="str">
        <f t="shared" si="4"/>
        <v>170</v>
      </c>
      <c r="L9" t="str">
        <f>"85"</f>
        <v>85</v>
      </c>
      <c r="M9" t="str">
        <f>"440"</f>
        <v>440</v>
      </c>
      <c r="N9" t="str">
        <f>"1"</f>
        <v>1</v>
      </c>
      <c r="O9" t="str">
        <f>"9997"</f>
        <v>9997</v>
      </c>
      <c r="P9" t="str">
        <f>"C"</f>
        <v>C</v>
      </c>
      <c r="Q9" t="str">
        <f>"EPS044"</f>
        <v>EPS044</v>
      </c>
      <c r="R9" t="str">
        <f t="shared" si="5"/>
        <v>6</v>
      </c>
      <c r="S9" t="str">
        <f>""</f>
        <v/>
      </c>
      <c r="T9" t="str">
        <f t="shared" si="6"/>
        <v xml:space="preserve">                                                                                                    </v>
      </c>
      <c r="U9" t="str">
        <f>"2         "</f>
        <v xml:space="preserve">2         </v>
      </c>
      <c r="V9" t="str">
        <f t="shared" si="7"/>
        <v>2</v>
      </c>
      <c r="W9" t="str">
        <f t="shared" si="7"/>
        <v>2</v>
      </c>
      <c r="X9" t="str">
        <f t="shared" si="7"/>
        <v>2</v>
      </c>
      <c r="Y9" t="str">
        <f t="shared" si="7"/>
        <v>2</v>
      </c>
      <c r="Z9" t="str">
        <f t="shared" si="7"/>
        <v>2</v>
      </c>
      <c r="AA9" t="str">
        <f t="shared" si="8"/>
        <v xml:space="preserve">          </v>
      </c>
      <c r="AB9" t="str">
        <f t="shared" si="9"/>
        <v>2</v>
      </c>
      <c r="AC9" t="str">
        <f t="shared" si="9"/>
        <v>2</v>
      </c>
      <c r="AD9" t="str">
        <f t="shared" si="9"/>
        <v>2</v>
      </c>
      <c r="AE9" t="str">
        <f t="shared" si="9"/>
        <v>2</v>
      </c>
      <c r="AF9" t="str">
        <f t="shared" si="9"/>
        <v>2</v>
      </c>
      <c r="AG9" t="str">
        <f t="shared" si="9"/>
        <v>2</v>
      </c>
      <c r="AH9" t="str">
        <f t="shared" si="10"/>
        <v>1</v>
      </c>
      <c r="AI9" t="str">
        <f t="shared" si="22"/>
        <v xml:space="preserve">1         </v>
      </c>
      <c r="AJ9" t="str">
        <f t="shared" si="11"/>
        <v>170</v>
      </c>
      <c r="AK9" t="str">
        <f>"85"</f>
        <v>85</v>
      </c>
      <c r="AL9" t="str">
        <f>"440"</f>
        <v>440</v>
      </c>
      <c r="AM9" t="str">
        <f>"11"</f>
        <v>11</v>
      </c>
      <c r="AN9" t="str">
        <f>"11001"</f>
        <v>11001</v>
      </c>
      <c r="AO9" t="str">
        <f>"20/01/2020 12:00:00 a. m."</f>
        <v>20/01/2020 12:00:00 a. m.</v>
      </c>
      <c r="AP9" t="str">
        <f>"2/01/2020 12:00:00 a. m."</f>
        <v>2/01/2020 12:00:00 a. m.</v>
      </c>
      <c r="AQ9" t="str">
        <f t="shared" si="20"/>
        <v>3</v>
      </c>
      <c r="AR9" t="str">
        <f t="shared" si="23"/>
        <v>1</v>
      </c>
      <c r="AS9" t="str">
        <f>"20/01/2020 12:00:00 a. m."</f>
        <v>20/01/2020 12:00:00 a. m.</v>
      </c>
      <c r="AT9" t="str">
        <f t="shared" si="12"/>
        <v>1</v>
      </c>
      <c r="AU9" t="str">
        <f>""</f>
        <v/>
      </c>
      <c r="AV9" t="str">
        <f>"7"</f>
        <v>7</v>
      </c>
      <c r="AW9" t="str">
        <f>"20/09/2007 12:00:00 a. m."</f>
        <v>20/09/2007 12:00:00 a. m.</v>
      </c>
      <c r="AX9" t="str">
        <f>""</f>
        <v/>
      </c>
      <c r="AY9" t="str">
        <f t="shared" si="13"/>
        <v>30/04/2021 12:00:00 a. m.</v>
      </c>
      <c r="AZ9" t="str">
        <f>"20/02/2020 12:00:00 a. m."</f>
        <v>20/02/2020 12:00:00 a. m.</v>
      </c>
      <c r="BA9" t="str">
        <f>""</f>
        <v/>
      </c>
      <c r="BB9" t="str">
        <f>""</f>
        <v/>
      </c>
      <c r="BC9" t="str">
        <f>""</f>
        <v/>
      </c>
      <c r="BD9" t="str">
        <f t="shared" si="14"/>
        <v>1</v>
      </c>
      <c r="BE9" t="str">
        <f t="shared" si="14"/>
        <v>1</v>
      </c>
      <c r="BF9" t="str">
        <f t="shared" si="15"/>
        <v xml:space="preserve">3         </v>
      </c>
      <c r="BG9" t="str">
        <f t="shared" si="16"/>
        <v>Confirmado por laboratorio</v>
      </c>
      <c r="BH9" t="str">
        <f>"FUNDACION HOSPITAL DE LA MISERICORDIA"</f>
        <v>FUNDACION HOSPITAL DE LA MISERICORDIA</v>
      </c>
      <c r="BI9" t="str">
        <f t="shared" si="17"/>
        <v>COLOMBIA</v>
      </c>
      <c r="BJ9" t="str">
        <f t="shared" si="18"/>
        <v>CANCER INFANTIL</v>
      </c>
      <c r="BK9" t="str">
        <f>"CASANARE"</f>
        <v>CASANARE</v>
      </c>
      <c r="BL9" t="str">
        <f>"VILLANUEVA"</f>
        <v>VILLANUEVA</v>
      </c>
      <c r="BM9" t="str">
        <f t="shared" si="19"/>
        <v>COLOMBIA</v>
      </c>
      <c r="BN9" t="str">
        <f>"CASANARE"</f>
        <v>CASANARE</v>
      </c>
      <c r="BO9" t="str">
        <f>"VILLANUEVA"</f>
        <v>VILLANUEVA</v>
      </c>
      <c r="BP9" t="str">
        <f>"BOGOTA"</f>
        <v>BOGOTA</v>
      </c>
      <c r="BQ9" t="str">
        <f>"BOGOTA"</f>
        <v>BOGOTA</v>
      </c>
    </row>
    <row r="10" spans="1:69" x14ac:dyDescent="0.25">
      <c r="A10" t="str">
        <f>"7285936"</f>
        <v>7285936</v>
      </c>
      <c r="B10" t="str">
        <f t="shared" si="0"/>
        <v>459</v>
      </c>
      <c r="C10" t="str">
        <f>"31/10/2020 12:00:00 a. m."</f>
        <v>31/10/2020 12:00:00 a. m.</v>
      </c>
      <c r="D10" t="str">
        <f>"36"</f>
        <v>36</v>
      </c>
      <c r="E10" t="str">
        <f t="shared" si="1"/>
        <v>2020</v>
      </c>
      <c r="F10" t="str">
        <f>"6827601666"</f>
        <v>6827601666</v>
      </c>
      <c r="G10" t="str">
        <f t="shared" si="2"/>
        <v>01</v>
      </c>
      <c r="H10" t="str">
        <f>"15"</f>
        <v>15</v>
      </c>
      <c r="I10" t="str">
        <f t="shared" si="3"/>
        <v>1</v>
      </c>
      <c r="J10" t="str">
        <f>"F"</f>
        <v>F</v>
      </c>
      <c r="K10" t="str">
        <f t="shared" si="4"/>
        <v>170</v>
      </c>
      <c r="L10" t="str">
        <f>"13"</f>
        <v>13</v>
      </c>
      <c r="M10" t="str">
        <f>"688"</f>
        <v>688</v>
      </c>
      <c r="N10" t="str">
        <f>"1"</f>
        <v>1</v>
      </c>
      <c r="O10" t="str">
        <f>"9997"</f>
        <v>9997</v>
      </c>
      <c r="P10" t="str">
        <f>"S"</f>
        <v>S</v>
      </c>
      <c r="Q10" t="str">
        <f>"EPSS37"</f>
        <v>EPSS37</v>
      </c>
      <c r="R10" t="str">
        <f t="shared" si="5"/>
        <v>6</v>
      </c>
      <c r="S10" t="str">
        <f>""</f>
        <v/>
      </c>
      <c r="T10" t="str">
        <f t="shared" si="6"/>
        <v xml:space="preserve">                                                                                                    </v>
      </c>
      <c r="U10" t="str">
        <f>"2         "</f>
        <v xml:space="preserve">2         </v>
      </c>
      <c r="V10" t="str">
        <f t="shared" si="7"/>
        <v>2</v>
      </c>
      <c r="W10" t="str">
        <f t="shared" si="7"/>
        <v>2</v>
      </c>
      <c r="X10" t="str">
        <f t="shared" si="7"/>
        <v>2</v>
      </c>
      <c r="Y10" t="str">
        <f t="shared" si="7"/>
        <v>2</v>
      </c>
      <c r="Z10" t="str">
        <f t="shared" si="7"/>
        <v>2</v>
      </c>
      <c r="AA10" t="str">
        <f t="shared" si="8"/>
        <v xml:space="preserve">          </v>
      </c>
      <c r="AB10" t="str">
        <f t="shared" si="9"/>
        <v>2</v>
      </c>
      <c r="AC10" t="str">
        <f t="shared" si="9"/>
        <v>2</v>
      </c>
      <c r="AD10" t="str">
        <f t="shared" si="9"/>
        <v>2</v>
      </c>
      <c r="AE10" t="str">
        <f t="shared" si="9"/>
        <v>2</v>
      </c>
      <c r="AF10" t="str">
        <f t="shared" si="9"/>
        <v>2</v>
      </c>
      <c r="AG10" t="str">
        <f t="shared" si="9"/>
        <v>2</v>
      </c>
      <c r="AH10" t="str">
        <f t="shared" si="10"/>
        <v>1</v>
      </c>
      <c r="AI10" t="str">
        <f>"2         "</f>
        <v xml:space="preserve">2         </v>
      </c>
      <c r="AJ10" t="str">
        <f t="shared" si="11"/>
        <v>170</v>
      </c>
      <c r="AK10" t="str">
        <f>"13"</f>
        <v>13</v>
      </c>
      <c r="AL10" t="str">
        <f>"688"</f>
        <v>688</v>
      </c>
      <c r="AM10" t="str">
        <f>"68"</f>
        <v>68</v>
      </c>
      <c r="AN10" t="str">
        <f>"68276"</f>
        <v>68276</v>
      </c>
      <c r="AO10" t="str">
        <f>"2/09/2020 12:00:00 a. m."</f>
        <v>2/09/2020 12:00:00 a. m.</v>
      </c>
      <c r="AP10" t="str">
        <f>"1/08/2019 12:00:00 a. m."</f>
        <v>1/08/2019 12:00:00 a. m.</v>
      </c>
      <c r="AQ10" t="str">
        <f t="shared" si="20"/>
        <v>3</v>
      </c>
      <c r="AR10" t="str">
        <f t="shared" si="23"/>
        <v>1</v>
      </c>
      <c r="AS10" t="str">
        <f>"2/09/2020 12:00:00 a. m."</f>
        <v>2/09/2020 12:00:00 a. m.</v>
      </c>
      <c r="AT10" t="str">
        <f t="shared" si="12"/>
        <v>1</v>
      </c>
      <c r="AU10" t="str">
        <f>""</f>
        <v/>
      </c>
      <c r="AV10" t="str">
        <f>"0"</f>
        <v>0</v>
      </c>
      <c r="AW10" t="str">
        <f>"23/07/2005 12:00:00 a. m."</f>
        <v>23/07/2005 12:00:00 a. m.</v>
      </c>
      <c r="AX10" t="str">
        <f>""</f>
        <v/>
      </c>
      <c r="AY10" t="str">
        <f t="shared" si="13"/>
        <v>30/04/2021 12:00:00 a. m.</v>
      </c>
      <c r="AZ10" t="str">
        <f>"31/10/2020 12:00:00 a. m."</f>
        <v>31/10/2020 12:00:00 a. m.</v>
      </c>
      <c r="BA10" t="str">
        <f>""</f>
        <v/>
      </c>
      <c r="BB10" t="str">
        <f>""</f>
        <v/>
      </c>
      <c r="BC10" t="str">
        <f>""</f>
        <v/>
      </c>
      <c r="BD10" t="str">
        <f t="shared" si="14"/>
        <v>1</v>
      </c>
      <c r="BE10" t="str">
        <f t="shared" si="14"/>
        <v>1</v>
      </c>
      <c r="BF10" t="str">
        <f t="shared" si="15"/>
        <v xml:space="preserve">3         </v>
      </c>
      <c r="BG10" t="str">
        <f t="shared" si="16"/>
        <v>Confirmado por laboratorio</v>
      </c>
      <c r="BH10" t="str">
        <f>"FUNDACION OFTALMOLOGICA DE SDER FOSCAL"</f>
        <v>FUNDACION OFTALMOLOGICA DE SDER FOSCAL</v>
      </c>
      <c r="BI10" t="str">
        <f t="shared" si="17"/>
        <v>COLOMBIA</v>
      </c>
      <c r="BJ10" t="str">
        <f t="shared" si="18"/>
        <v>CANCER INFANTIL</v>
      </c>
      <c r="BK10" t="str">
        <f>"BOLIVAR"</f>
        <v>BOLIVAR</v>
      </c>
      <c r="BL10" t="str">
        <f>"SANTA ROSA DEL SUR"</f>
        <v>SANTA ROSA DEL SUR</v>
      </c>
      <c r="BM10" t="str">
        <f t="shared" si="19"/>
        <v>COLOMBIA</v>
      </c>
      <c r="BN10" t="str">
        <f>"BOLIVAR"</f>
        <v>BOLIVAR</v>
      </c>
      <c r="BO10" t="str">
        <f>"SANTA ROSA DEL SUR"</f>
        <v>SANTA ROSA DEL SUR</v>
      </c>
      <c r="BP10" t="str">
        <f>"SANTANDER"</f>
        <v>SANTANDER</v>
      </c>
      <c r="BQ10" t="str">
        <f>"FLORIDABLANCA"</f>
        <v>FLORIDABLANCA</v>
      </c>
    </row>
    <row r="11" spans="1:69" x14ac:dyDescent="0.25">
      <c r="A11" t="str">
        <f>"7285874"</f>
        <v>7285874</v>
      </c>
      <c r="B11" t="str">
        <f t="shared" si="0"/>
        <v>459</v>
      </c>
      <c r="C11" t="str">
        <f>"5/02/2021 12:00:00 a. m."</f>
        <v>5/02/2021 12:00:00 a. m.</v>
      </c>
      <c r="D11" t="str">
        <f>"49"</f>
        <v>49</v>
      </c>
      <c r="E11" t="str">
        <f t="shared" si="1"/>
        <v>2020</v>
      </c>
      <c r="F11" t="str">
        <f>"1100105681"</f>
        <v>1100105681</v>
      </c>
      <c r="G11" t="str">
        <f t="shared" si="2"/>
        <v>01</v>
      </c>
      <c r="H11" t="str">
        <f>"10"</f>
        <v>10</v>
      </c>
      <c r="I11" t="str">
        <f t="shared" si="3"/>
        <v>1</v>
      </c>
      <c r="J11" t="str">
        <f>"M"</f>
        <v>M</v>
      </c>
      <c r="K11" t="str">
        <f t="shared" si="4"/>
        <v>170</v>
      </c>
      <c r="L11" t="str">
        <f>"15"</f>
        <v>15</v>
      </c>
      <c r="M11" t="str">
        <f>"001"</f>
        <v>001</v>
      </c>
      <c r="N11" t="str">
        <f>"1"</f>
        <v>1</v>
      </c>
      <c r="O11" t="str">
        <f>"9997"</f>
        <v>9997</v>
      </c>
      <c r="P11" t="str">
        <f>"C"</f>
        <v>C</v>
      </c>
      <c r="Q11" t="str">
        <f>"EPS005"</f>
        <v>EPS005</v>
      </c>
      <c r="R11" t="str">
        <f t="shared" si="5"/>
        <v>6</v>
      </c>
      <c r="S11" t="str">
        <f>""</f>
        <v/>
      </c>
      <c r="T11" t="str">
        <f t="shared" si="6"/>
        <v xml:space="preserve">                                                                                                    </v>
      </c>
      <c r="U11" t="str">
        <f>"2         "</f>
        <v xml:space="preserve">2         </v>
      </c>
      <c r="V11" t="str">
        <f t="shared" si="7"/>
        <v>2</v>
      </c>
      <c r="W11" t="str">
        <f t="shared" si="7"/>
        <v>2</v>
      </c>
      <c r="X11" t="str">
        <f t="shared" si="7"/>
        <v>2</v>
      </c>
      <c r="Y11" t="str">
        <f t="shared" si="7"/>
        <v>2</v>
      </c>
      <c r="Z11" t="str">
        <f t="shared" si="7"/>
        <v>2</v>
      </c>
      <c r="AA11" t="str">
        <f t="shared" si="8"/>
        <v xml:space="preserve">          </v>
      </c>
      <c r="AB11" t="str">
        <f t="shared" si="9"/>
        <v>2</v>
      </c>
      <c r="AC11" t="str">
        <f t="shared" si="9"/>
        <v>2</v>
      </c>
      <c r="AD11" t="str">
        <f t="shared" si="9"/>
        <v>2</v>
      </c>
      <c r="AE11" t="str">
        <f t="shared" si="9"/>
        <v>2</v>
      </c>
      <c r="AF11" t="str">
        <f t="shared" si="9"/>
        <v>2</v>
      </c>
      <c r="AG11" t="str">
        <f t="shared" si="9"/>
        <v>2</v>
      </c>
      <c r="AH11" t="str">
        <f t="shared" si="10"/>
        <v>1</v>
      </c>
      <c r="AI11" t="str">
        <f>"1         "</f>
        <v xml:space="preserve">1         </v>
      </c>
      <c r="AJ11" t="str">
        <f t="shared" si="11"/>
        <v>170</v>
      </c>
      <c r="AK11" t="str">
        <f>"15"</f>
        <v>15</v>
      </c>
      <c r="AL11" t="str">
        <f>"001"</f>
        <v>001</v>
      </c>
      <c r="AM11" t="str">
        <f>"11"</f>
        <v>11</v>
      </c>
      <c r="AN11" t="str">
        <f>"11001"</f>
        <v>11001</v>
      </c>
      <c r="AO11" t="str">
        <f>"1/12/2020 12:00:00 a. m."</f>
        <v>1/12/2020 12:00:00 a. m.</v>
      </c>
      <c r="AP11" t="str">
        <f>"29/10/2020 12:00:00 a. m."</f>
        <v>29/10/2020 12:00:00 a. m.</v>
      </c>
      <c r="AQ11" t="str">
        <f t="shared" si="20"/>
        <v>3</v>
      </c>
      <c r="AR11" t="str">
        <f t="shared" si="23"/>
        <v>1</v>
      </c>
      <c r="AS11" t="str">
        <f>"1/12/2020 12:00:00 a. m."</f>
        <v>1/12/2020 12:00:00 a. m.</v>
      </c>
      <c r="AT11" t="str">
        <f t="shared" si="12"/>
        <v>1</v>
      </c>
      <c r="AU11" t="str">
        <f>""</f>
        <v/>
      </c>
      <c r="AV11" t="str">
        <f>"0"</f>
        <v>0</v>
      </c>
      <c r="AW11" t="str">
        <f>"14/04/2010 12:00:00 a. m."</f>
        <v>14/04/2010 12:00:00 a. m.</v>
      </c>
      <c r="AX11" t="str">
        <f>""</f>
        <v/>
      </c>
      <c r="AY11" t="str">
        <f t="shared" si="13"/>
        <v>30/04/2021 12:00:00 a. m.</v>
      </c>
      <c r="AZ11" t="str">
        <f>"5/02/2021 12:00:00 a. m."</f>
        <v>5/02/2021 12:00:00 a. m.</v>
      </c>
      <c r="BA11" t="str">
        <f>""</f>
        <v/>
      </c>
      <c r="BB11" t="str">
        <f>""</f>
        <v/>
      </c>
      <c r="BC11" t="str">
        <f>""</f>
        <v/>
      </c>
      <c r="BD11" t="str">
        <f t="shared" si="14"/>
        <v>1</v>
      </c>
      <c r="BE11" t="str">
        <f t="shared" si="14"/>
        <v>1</v>
      </c>
      <c r="BF11" t="str">
        <f t="shared" si="15"/>
        <v xml:space="preserve">3         </v>
      </c>
      <c r="BG11" t="str">
        <f t="shared" si="16"/>
        <v>Confirmado por laboratorio</v>
      </c>
      <c r="BH11" t="str">
        <f>"FUNDACION HOSPITAL DE LA MISERICORDIA"</f>
        <v>FUNDACION HOSPITAL DE LA MISERICORDIA</v>
      </c>
      <c r="BI11" t="str">
        <f t="shared" si="17"/>
        <v>COLOMBIA</v>
      </c>
      <c r="BJ11" t="str">
        <f t="shared" si="18"/>
        <v>CANCER INFANTIL</v>
      </c>
      <c r="BK11" t="str">
        <f>"BOYACA"</f>
        <v>BOYACA</v>
      </c>
      <c r="BL11" t="str">
        <f>"TUNJA"</f>
        <v>TUNJA</v>
      </c>
      <c r="BM11" t="str">
        <f t="shared" si="19"/>
        <v>COLOMBIA</v>
      </c>
      <c r="BN11" t="str">
        <f>"BOYACA"</f>
        <v>BOYACA</v>
      </c>
      <c r="BO11" t="str">
        <f>"TUNJA"</f>
        <v>TUNJA</v>
      </c>
      <c r="BP11" t="str">
        <f>"BOGOTA"</f>
        <v>BOGOTA</v>
      </c>
      <c r="BQ11" t="str">
        <f>"BOGOTA"</f>
        <v>BOGOTA</v>
      </c>
    </row>
    <row r="12" spans="1:69" x14ac:dyDescent="0.25">
      <c r="A12" t="str">
        <f>"7285875"</f>
        <v>7285875</v>
      </c>
      <c r="B12" t="str">
        <f t="shared" si="0"/>
        <v>459</v>
      </c>
      <c r="C12" t="str">
        <f>"15/09/2020 12:00:00 a. m."</f>
        <v>15/09/2020 12:00:00 a. m.</v>
      </c>
      <c r="D12" t="str">
        <f>"23"</f>
        <v>23</v>
      </c>
      <c r="E12" t="str">
        <f t="shared" si="1"/>
        <v>2020</v>
      </c>
      <c r="F12" t="str">
        <f>"1100105681"</f>
        <v>1100105681</v>
      </c>
      <c r="G12" t="str">
        <f t="shared" si="2"/>
        <v>01</v>
      </c>
      <c r="H12" t="str">
        <f>"4"</f>
        <v>4</v>
      </c>
      <c r="I12" t="str">
        <f t="shared" si="3"/>
        <v>1</v>
      </c>
      <c r="J12" t="str">
        <f>"F"</f>
        <v>F</v>
      </c>
      <c r="K12" t="str">
        <f t="shared" si="4"/>
        <v>170</v>
      </c>
      <c r="L12" t="str">
        <f>"15"</f>
        <v>15</v>
      </c>
      <c r="M12" t="str">
        <f>"001"</f>
        <v>001</v>
      </c>
      <c r="N12" t="str">
        <f>"1"</f>
        <v>1</v>
      </c>
      <c r="O12" t="str">
        <f>"9999"</f>
        <v>9999</v>
      </c>
      <c r="P12" t="str">
        <f>"S"</f>
        <v>S</v>
      </c>
      <c r="Q12" t="str">
        <f>"ESS133"</f>
        <v>ESS133</v>
      </c>
      <c r="R12" t="str">
        <f t="shared" si="5"/>
        <v>6</v>
      </c>
      <c r="S12" t="str">
        <f>""</f>
        <v/>
      </c>
      <c r="T12" t="str">
        <f t="shared" si="6"/>
        <v xml:space="preserve">                                                                                                    </v>
      </c>
      <c r="U12" t="str">
        <f>"2         "</f>
        <v xml:space="preserve">2         </v>
      </c>
      <c r="V12" t="str">
        <f t="shared" ref="V12:Z21" si="24">"2"</f>
        <v>2</v>
      </c>
      <c r="W12" t="str">
        <f t="shared" si="24"/>
        <v>2</v>
      </c>
      <c r="X12" t="str">
        <f t="shared" si="24"/>
        <v>2</v>
      </c>
      <c r="Y12" t="str">
        <f t="shared" si="24"/>
        <v>2</v>
      </c>
      <c r="Z12" t="str">
        <f t="shared" si="24"/>
        <v>2</v>
      </c>
      <c r="AA12" t="str">
        <f t="shared" si="8"/>
        <v xml:space="preserve">          </v>
      </c>
      <c r="AB12" t="str">
        <f t="shared" ref="AB12:AG21" si="25">"2"</f>
        <v>2</v>
      </c>
      <c r="AC12" t="str">
        <f t="shared" si="25"/>
        <v>2</v>
      </c>
      <c r="AD12" t="str">
        <f t="shared" si="25"/>
        <v>2</v>
      </c>
      <c r="AE12" t="str">
        <f t="shared" si="25"/>
        <v>2</v>
      </c>
      <c r="AF12" t="str">
        <f t="shared" si="25"/>
        <v>2</v>
      </c>
      <c r="AG12" t="str">
        <f t="shared" si="25"/>
        <v>2</v>
      </c>
      <c r="AH12" t="str">
        <f t="shared" si="10"/>
        <v>1</v>
      </c>
      <c r="AI12" t="str">
        <f>"1         "</f>
        <v xml:space="preserve">1         </v>
      </c>
      <c r="AJ12" t="str">
        <f t="shared" si="11"/>
        <v>170</v>
      </c>
      <c r="AK12" t="str">
        <f>"15"</f>
        <v>15</v>
      </c>
      <c r="AL12" t="str">
        <f>"001"</f>
        <v>001</v>
      </c>
      <c r="AM12" t="str">
        <f>"11"</f>
        <v>11</v>
      </c>
      <c r="AN12" t="str">
        <f>"11001"</f>
        <v>11001</v>
      </c>
      <c r="AO12" t="str">
        <f>"4/06/2020 12:00:00 a. m."</f>
        <v>4/06/2020 12:00:00 a. m.</v>
      </c>
      <c r="AP12" t="str">
        <f>"27/05/2020 12:00:00 a. m."</f>
        <v>27/05/2020 12:00:00 a. m.</v>
      </c>
      <c r="AQ12" t="str">
        <f t="shared" si="20"/>
        <v>3</v>
      </c>
      <c r="AR12" t="str">
        <f t="shared" si="23"/>
        <v>1</v>
      </c>
      <c r="AS12" t="str">
        <f>"4/06/2020 12:00:00 a. m."</f>
        <v>4/06/2020 12:00:00 a. m.</v>
      </c>
      <c r="AT12" t="str">
        <f t="shared" si="12"/>
        <v>1</v>
      </c>
      <c r="AU12" t="str">
        <f>""</f>
        <v/>
      </c>
      <c r="AV12" t="str">
        <f>"0"</f>
        <v>0</v>
      </c>
      <c r="AW12" t="str">
        <f>"15/11/2015 12:00:00 a. m."</f>
        <v>15/11/2015 12:00:00 a. m.</v>
      </c>
      <c r="AX12" t="str">
        <f>""</f>
        <v/>
      </c>
      <c r="AY12" t="str">
        <f t="shared" si="13"/>
        <v>30/04/2021 12:00:00 a. m.</v>
      </c>
      <c r="AZ12" t="str">
        <f>"15/09/2020 12:00:00 a. m."</f>
        <v>15/09/2020 12:00:00 a. m.</v>
      </c>
      <c r="BA12" t="str">
        <f>""</f>
        <v/>
      </c>
      <c r="BB12" t="str">
        <f>""</f>
        <v/>
      </c>
      <c r="BC12" t="str">
        <f>""</f>
        <v/>
      </c>
      <c r="BD12" t="str">
        <f t="shared" si="14"/>
        <v>1</v>
      </c>
      <c r="BE12" t="str">
        <f t="shared" si="14"/>
        <v>1</v>
      </c>
      <c r="BF12" t="str">
        <f t="shared" si="15"/>
        <v xml:space="preserve">3         </v>
      </c>
      <c r="BG12" t="str">
        <f t="shared" si="16"/>
        <v>Confirmado por laboratorio</v>
      </c>
      <c r="BH12" t="str">
        <f>"FUNDACION HOSPITAL DE LA MISERICORDIA"</f>
        <v>FUNDACION HOSPITAL DE LA MISERICORDIA</v>
      </c>
      <c r="BI12" t="str">
        <f t="shared" si="17"/>
        <v>COLOMBIA</v>
      </c>
      <c r="BJ12" t="str">
        <f t="shared" si="18"/>
        <v>CANCER INFANTIL</v>
      </c>
      <c r="BK12" t="str">
        <f>"BOYACA"</f>
        <v>BOYACA</v>
      </c>
      <c r="BL12" t="str">
        <f>"TUNJA"</f>
        <v>TUNJA</v>
      </c>
      <c r="BM12" t="str">
        <f t="shared" si="19"/>
        <v>COLOMBIA</v>
      </c>
      <c r="BN12" t="str">
        <f>"BOYACA"</f>
        <v>BOYACA</v>
      </c>
      <c r="BO12" t="str">
        <f>"TUNJA"</f>
        <v>TUNJA</v>
      </c>
      <c r="BP12" t="str">
        <f>"BOGOTA"</f>
        <v>BOGOTA</v>
      </c>
      <c r="BQ12" t="str">
        <f>"BOGOTA"</f>
        <v>BOGOTA</v>
      </c>
    </row>
    <row r="13" spans="1:69" x14ac:dyDescent="0.25">
      <c r="A13" t="str">
        <f>"7285940"</f>
        <v>7285940</v>
      </c>
      <c r="B13" t="str">
        <f t="shared" si="0"/>
        <v>459</v>
      </c>
      <c r="C13" t="str">
        <f>"15/12/2020 12:00:00 a. m."</f>
        <v>15/12/2020 12:00:00 a. m.</v>
      </c>
      <c r="D13" t="str">
        <f>"49"</f>
        <v>49</v>
      </c>
      <c r="E13" t="str">
        <f t="shared" si="1"/>
        <v>2020</v>
      </c>
      <c r="F13" t="str">
        <f>"6854704947"</f>
        <v>6854704947</v>
      </c>
      <c r="G13" t="str">
        <f t="shared" si="2"/>
        <v>01</v>
      </c>
      <c r="H13" t="str">
        <f>"1"</f>
        <v>1</v>
      </c>
      <c r="I13" t="str">
        <f t="shared" si="3"/>
        <v>1</v>
      </c>
      <c r="J13" t="str">
        <f>"M"</f>
        <v>M</v>
      </c>
      <c r="K13" t="str">
        <f t="shared" si="4"/>
        <v>170</v>
      </c>
      <c r="L13" t="str">
        <f>"68"</f>
        <v>68</v>
      </c>
      <c r="M13" t="str">
        <f>"547"</f>
        <v>547</v>
      </c>
      <c r="N13" t="str">
        <f>"3"</f>
        <v>3</v>
      </c>
      <c r="O13" t="str">
        <f>"9999"</f>
        <v>9999</v>
      </c>
      <c r="P13" t="str">
        <f>"C"</f>
        <v>C</v>
      </c>
      <c r="Q13" t="str">
        <f>"EPS046"</f>
        <v>EPS046</v>
      </c>
      <c r="R13" t="str">
        <f t="shared" si="5"/>
        <v>6</v>
      </c>
      <c r="S13" t="str">
        <f>""</f>
        <v/>
      </c>
      <c r="T13" t="str">
        <f t="shared" si="6"/>
        <v xml:space="preserve">                                                                                                    </v>
      </c>
      <c r="U13" t="str">
        <f>"1         "</f>
        <v xml:space="preserve">1         </v>
      </c>
      <c r="V13" t="str">
        <f t="shared" si="24"/>
        <v>2</v>
      </c>
      <c r="W13" t="str">
        <f t="shared" si="24"/>
        <v>2</v>
      </c>
      <c r="X13" t="str">
        <f t="shared" si="24"/>
        <v>2</v>
      </c>
      <c r="Y13" t="str">
        <f t="shared" si="24"/>
        <v>2</v>
      </c>
      <c r="Z13" t="str">
        <f t="shared" si="24"/>
        <v>2</v>
      </c>
      <c r="AA13" t="str">
        <f t="shared" si="8"/>
        <v xml:space="preserve">          </v>
      </c>
      <c r="AB13" t="str">
        <f t="shared" si="25"/>
        <v>2</v>
      </c>
      <c r="AC13" t="str">
        <f t="shared" si="25"/>
        <v>2</v>
      </c>
      <c r="AD13" t="str">
        <f t="shared" si="25"/>
        <v>2</v>
      </c>
      <c r="AE13" t="str">
        <f t="shared" si="25"/>
        <v>2</v>
      </c>
      <c r="AF13" t="str">
        <f t="shared" si="25"/>
        <v>2</v>
      </c>
      <c r="AG13" t="str">
        <f t="shared" si="25"/>
        <v>2</v>
      </c>
      <c r="AH13" t="str">
        <f t="shared" si="10"/>
        <v>1</v>
      </c>
      <c r="AI13" t="str">
        <f>"1         "</f>
        <v xml:space="preserve">1         </v>
      </c>
      <c r="AJ13" t="str">
        <f t="shared" si="11"/>
        <v>170</v>
      </c>
      <c r="AK13" t="str">
        <f>"68"</f>
        <v>68</v>
      </c>
      <c r="AL13" t="str">
        <f>"547"</f>
        <v>547</v>
      </c>
      <c r="AM13" t="str">
        <f>"68"</f>
        <v>68</v>
      </c>
      <c r="AN13" t="str">
        <f>"68547"</f>
        <v>68547</v>
      </c>
      <c r="AO13" t="str">
        <f>"2/12/2020 12:00:00 a. m."</f>
        <v>2/12/2020 12:00:00 a. m.</v>
      </c>
      <c r="AP13" t="str">
        <f>"2/11/2020 12:00:00 a. m."</f>
        <v>2/11/2020 12:00:00 a. m.</v>
      </c>
      <c r="AQ13" t="str">
        <f t="shared" si="20"/>
        <v>3</v>
      </c>
      <c r="AR13" t="str">
        <f t="shared" si="23"/>
        <v>1</v>
      </c>
      <c r="AS13" t="str">
        <f>"2/12/2020 12:00:00 a. m."</f>
        <v>2/12/2020 12:00:00 a. m.</v>
      </c>
      <c r="AT13" t="str">
        <f t="shared" si="12"/>
        <v>1</v>
      </c>
      <c r="AU13" t="str">
        <f>""</f>
        <v/>
      </c>
      <c r="AV13" t="str">
        <f>"0"</f>
        <v>0</v>
      </c>
      <c r="AW13" t="str">
        <f>"9/07/2019 12:00:00 a. m."</f>
        <v>9/07/2019 12:00:00 a. m.</v>
      </c>
      <c r="AX13" t="str">
        <f>""</f>
        <v/>
      </c>
      <c r="AY13" t="str">
        <f t="shared" si="13"/>
        <v>30/04/2021 12:00:00 a. m.</v>
      </c>
      <c r="AZ13" t="str">
        <f>"15/12/2020 12:00:00 a. m."</f>
        <v>15/12/2020 12:00:00 a. m.</v>
      </c>
      <c r="BA13" t="str">
        <f>""</f>
        <v/>
      </c>
      <c r="BB13" t="str">
        <f>""</f>
        <v/>
      </c>
      <c r="BC13" t="str">
        <f>""</f>
        <v/>
      </c>
      <c r="BD13" t="str">
        <f t="shared" si="14"/>
        <v>1</v>
      </c>
      <c r="BE13" t="str">
        <f t="shared" si="14"/>
        <v>1</v>
      </c>
      <c r="BF13" t="str">
        <f t="shared" si="15"/>
        <v xml:space="preserve">3         </v>
      </c>
      <c r="BG13" t="str">
        <f t="shared" si="16"/>
        <v>Confirmado por laboratorio</v>
      </c>
      <c r="BH13" t="str">
        <f>"HOSPITAL INTERNACIONAL DE COLOMBIA"</f>
        <v>HOSPITAL INTERNACIONAL DE COLOMBIA</v>
      </c>
      <c r="BI13" t="str">
        <f t="shared" si="17"/>
        <v>COLOMBIA</v>
      </c>
      <c r="BJ13" t="str">
        <f t="shared" si="18"/>
        <v>CANCER INFANTIL</v>
      </c>
      <c r="BK13" t="str">
        <f>"SANTANDER"</f>
        <v>SANTANDER</v>
      </c>
      <c r="BL13" t="str">
        <f>"PIEDECUESTA"</f>
        <v>PIEDECUESTA</v>
      </c>
      <c r="BM13" t="str">
        <f t="shared" si="19"/>
        <v>COLOMBIA</v>
      </c>
      <c r="BN13" t="str">
        <f>"SANTANDER"</f>
        <v>SANTANDER</v>
      </c>
      <c r="BO13" t="str">
        <f>"PIEDECUESTA"</f>
        <v>PIEDECUESTA</v>
      </c>
      <c r="BP13" t="str">
        <f>"SANTANDER"</f>
        <v>SANTANDER</v>
      </c>
      <c r="BQ13" t="str">
        <f>"PIEDECUESTA"</f>
        <v>PIEDECUESTA</v>
      </c>
    </row>
    <row r="14" spans="1:69" x14ac:dyDescent="0.25">
      <c r="A14" t="str">
        <f>"7285916"</f>
        <v>7285916</v>
      </c>
      <c r="B14" t="str">
        <f t="shared" si="0"/>
        <v>459</v>
      </c>
      <c r="C14" t="str">
        <f>"7/02/2020 12:00:00 a. m."</f>
        <v>7/02/2020 12:00:00 a. m.</v>
      </c>
      <c r="D14" t="str">
        <f>"06"</f>
        <v>06</v>
      </c>
      <c r="E14" t="str">
        <f t="shared" si="1"/>
        <v>2020</v>
      </c>
      <c r="F14" t="str">
        <f>"1100106065"</f>
        <v>1100106065</v>
      </c>
      <c r="G14" t="str">
        <f t="shared" si="2"/>
        <v>01</v>
      </c>
      <c r="H14" t="str">
        <f>"14"</f>
        <v>14</v>
      </c>
      <c r="I14" t="str">
        <f t="shared" si="3"/>
        <v>1</v>
      </c>
      <c r="J14" t="str">
        <f>"F"</f>
        <v>F</v>
      </c>
      <c r="K14" t="str">
        <f t="shared" si="4"/>
        <v>170</v>
      </c>
      <c r="L14" t="str">
        <f>"85"</f>
        <v>85</v>
      </c>
      <c r="M14" t="str">
        <f>"001"</f>
        <v>001</v>
      </c>
      <c r="N14" t="str">
        <f>"1"</f>
        <v>1</v>
      </c>
      <c r="O14" t="str">
        <f>"9997"</f>
        <v>9997</v>
      </c>
      <c r="P14" t="str">
        <f>"C"</f>
        <v>C</v>
      </c>
      <c r="Q14" t="str">
        <f>"EPS037"</f>
        <v>EPS037</v>
      </c>
      <c r="R14" t="str">
        <f t="shared" si="5"/>
        <v>6</v>
      </c>
      <c r="S14" t="str">
        <f>""</f>
        <v/>
      </c>
      <c r="T14" t="str">
        <f t="shared" si="6"/>
        <v xml:space="preserve">                                                                                                    </v>
      </c>
      <c r="U14" t="str">
        <f>"2         "</f>
        <v xml:space="preserve">2         </v>
      </c>
      <c r="V14" t="str">
        <f t="shared" si="24"/>
        <v>2</v>
      </c>
      <c r="W14" t="str">
        <f t="shared" si="24"/>
        <v>2</v>
      </c>
      <c r="X14" t="str">
        <f t="shared" si="24"/>
        <v>2</v>
      </c>
      <c r="Y14" t="str">
        <f t="shared" si="24"/>
        <v>2</v>
      </c>
      <c r="Z14" t="str">
        <f t="shared" si="24"/>
        <v>2</v>
      </c>
      <c r="AA14" t="str">
        <f t="shared" si="8"/>
        <v xml:space="preserve">          </v>
      </c>
      <c r="AB14" t="str">
        <f t="shared" si="25"/>
        <v>2</v>
      </c>
      <c r="AC14" t="str">
        <f t="shared" si="25"/>
        <v>2</v>
      </c>
      <c r="AD14" t="str">
        <f t="shared" si="25"/>
        <v>2</v>
      </c>
      <c r="AE14" t="str">
        <f t="shared" si="25"/>
        <v>2</v>
      </c>
      <c r="AF14" t="str">
        <f t="shared" si="25"/>
        <v>2</v>
      </c>
      <c r="AG14" t="str">
        <f t="shared" si="25"/>
        <v>2</v>
      </c>
      <c r="AH14" t="str">
        <f t="shared" si="10"/>
        <v>1</v>
      </c>
      <c r="AI14" t="str">
        <f>"1         "</f>
        <v xml:space="preserve">1         </v>
      </c>
      <c r="AJ14" t="str">
        <f t="shared" si="11"/>
        <v>170</v>
      </c>
      <c r="AK14" t="str">
        <f>"85"</f>
        <v>85</v>
      </c>
      <c r="AL14" t="str">
        <f>"001"</f>
        <v>001</v>
      </c>
      <c r="AM14" t="str">
        <f>"11"</f>
        <v>11</v>
      </c>
      <c r="AN14" t="str">
        <f>"11001"</f>
        <v>11001</v>
      </c>
      <c r="AO14" t="str">
        <f>"4/02/2020 12:00:00 a. m."</f>
        <v>4/02/2020 12:00:00 a. m.</v>
      </c>
      <c r="AP14" t="str">
        <f>"15/11/2019 12:00:00 a. m."</f>
        <v>15/11/2019 12:00:00 a. m.</v>
      </c>
      <c r="AQ14" t="str">
        <f t="shared" si="20"/>
        <v>3</v>
      </c>
      <c r="AR14" t="str">
        <f>"2"</f>
        <v>2</v>
      </c>
      <c r="AS14" t="str">
        <f>""</f>
        <v/>
      </c>
      <c r="AT14" t="str">
        <f t="shared" si="12"/>
        <v>1</v>
      </c>
      <c r="AU14" t="str">
        <f>""</f>
        <v/>
      </c>
      <c r="AV14" t="str">
        <f>"3"</f>
        <v>3</v>
      </c>
      <c r="AW14" t="str">
        <f>"28/06/2005 12:00:00 a. m."</f>
        <v>28/06/2005 12:00:00 a. m.</v>
      </c>
      <c r="AX14" t="str">
        <f>""</f>
        <v/>
      </c>
      <c r="AY14" t="str">
        <f t="shared" si="13"/>
        <v>30/04/2021 12:00:00 a. m.</v>
      </c>
      <c r="AZ14" t="str">
        <f>"24/04/2020 12:00:00 a. m."</f>
        <v>24/04/2020 12:00:00 a. m.</v>
      </c>
      <c r="BA14" t="str">
        <f>""</f>
        <v/>
      </c>
      <c r="BB14" t="str">
        <f>""</f>
        <v/>
      </c>
      <c r="BC14" t="str">
        <f>""</f>
        <v/>
      </c>
      <c r="BD14" t="str">
        <f t="shared" si="14"/>
        <v>1</v>
      </c>
      <c r="BE14" t="str">
        <f t="shared" si="14"/>
        <v>1</v>
      </c>
      <c r="BF14" t="str">
        <f t="shared" si="15"/>
        <v xml:space="preserve">3         </v>
      </c>
      <c r="BG14" t="str">
        <f t="shared" si="16"/>
        <v>Confirmado por laboratorio</v>
      </c>
      <c r="BH14" t="str">
        <f>"ESE INSTITUTO NACIONAL DE CANCEROLOGIA"</f>
        <v>ESE INSTITUTO NACIONAL DE CANCEROLOGIA</v>
      </c>
      <c r="BI14" t="str">
        <f t="shared" si="17"/>
        <v>COLOMBIA</v>
      </c>
      <c r="BJ14" t="str">
        <f t="shared" si="18"/>
        <v>CANCER INFANTIL</v>
      </c>
      <c r="BK14" t="str">
        <f>"CASANARE"</f>
        <v>CASANARE</v>
      </c>
      <c r="BL14" t="str">
        <f>"YOPAL"</f>
        <v>YOPAL</v>
      </c>
      <c r="BM14" t="str">
        <f t="shared" si="19"/>
        <v>COLOMBIA</v>
      </c>
      <c r="BN14" t="str">
        <f>"CASANARE"</f>
        <v>CASANARE</v>
      </c>
      <c r="BO14" t="str">
        <f>"YOPAL"</f>
        <v>YOPAL</v>
      </c>
      <c r="BP14" t="str">
        <f t="shared" ref="BP14:BQ16" si="26">"BOGOTA"</f>
        <v>BOGOTA</v>
      </c>
      <c r="BQ14" t="str">
        <f t="shared" si="26"/>
        <v>BOGOTA</v>
      </c>
    </row>
    <row r="15" spans="1:69" x14ac:dyDescent="0.25">
      <c r="A15" t="str">
        <f>"7285868"</f>
        <v>7285868</v>
      </c>
      <c r="B15" t="str">
        <f t="shared" si="0"/>
        <v>459</v>
      </c>
      <c r="C15" t="str">
        <f>"13/08/2020 12:00:00 a. m."</f>
        <v>13/08/2020 12:00:00 a. m.</v>
      </c>
      <c r="D15" t="str">
        <f>"33"</f>
        <v>33</v>
      </c>
      <c r="E15" t="str">
        <f t="shared" si="1"/>
        <v>2020</v>
      </c>
      <c r="F15" t="str">
        <f>"1100108171"</f>
        <v>1100108171</v>
      </c>
      <c r="G15" t="str">
        <f>"02"</f>
        <v>02</v>
      </c>
      <c r="H15" t="str">
        <f>"3"</f>
        <v>3</v>
      </c>
      <c r="I15" t="str">
        <f t="shared" si="3"/>
        <v>1</v>
      </c>
      <c r="J15" t="str">
        <f t="shared" ref="J15:J23" si="27">"M"</f>
        <v>M</v>
      </c>
      <c r="K15" t="str">
        <f t="shared" si="4"/>
        <v>170</v>
      </c>
      <c r="L15" t="str">
        <f>"15"</f>
        <v>15</v>
      </c>
      <c r="M15" t="str">
        <f>"001"</f>
        <v>001</v>
      </c>
      <c r="N15" t="str">
        <f>"1"</f>
        <v>1</v>
      </c>
      <c r="O15" t="str">
        <f>"9999"</f>
        <v>9999</v>
      </c>
      <c r="P15" t="str">
        <f>"C"</f>
        <v>C</v>
      </c>
      <c r="Q15" t="str">
        <f>"EPS017"</f>
        <v>EPS017</v>
      </c>
      <c r="R15" t="str">
        <f t="shared" si="5"/>
        <v>6</v>
      </c>
      <c r="S15" t="str">
        <f>""</f>
        <v/>
      </c>
      <c r="T15" t="str">
        <f t="shared" si="6"/>
        <v xml:space="preserve">                                                                                                    </v>
      </c>
      <c r="U15" t="str">
        <f>"1         "</f>
        <v xml:space="preserve">1         </v>
      </c>
      <c r="V15" t="str">
        <f t="shared" si="24"/>
        <v>2</v>
      </c>
      <c r="W15" t="str">
        <f t="shared" si="24"/>
        <v>2</v>
      </c>
      <c r="X15" t="str">
        <f t="shared" si="24"/>
        <v>2</v>
      </c>
      <c r="Y15" t="str">
        <f t="shared" si="24"/>
        <v>2</v>
      </c>
      <c r="Z15" t="str">
        <f t="shared" si="24"/>
        <v>2</v>
      </c>
      <c r="AA15" t="str">
        <f t="shared" si="8"/>
        <v xml:space="preserve">          </v>
      </c>
      <c r="AB15" t="str">
        <f t="shared" si="25"/>
        <v>2</v>
      </c>
      <c r="AC15" t="str">
        <f t="shared" si="25"/>
        <v>2</v>
      </c>
      <c r="AD15" t="str">
        <f t="shared" si="25"/>
        <v>2</v>
      </c>
      <c r="AE15" t="str">
        <f t="shared" si="25"/>
        <v>2</v>
      </c>
      <c r="AF15" t="str">
        <f t="shared" si="25"/>
        <v>2</v>
      </c>
      <c r="AG15" t="str">
        <f t="shared" si="25"/>
        <v>2</v>
      </c>
      <c r="AH15" t="str">
        <f t="shared" si="10"/>
        <v>1</v>
      </c>
      <c r="AI15" t="str">
        <f>"2         "</f>
        <v xml:space="preserve">2         </v>
      </c>
      <c r="AJ15" t="str">
        <f t="shared" si="11"/>
        <v>170</v>
      </c>
      <c r="AK15" t="str">
        <f>"15"</f>
        <v>15</v>
      </c>
      <c r="AL15" t="str">
        <f>"001"</f>
        <v>001</v>
      </c>
      <c r="AM15" t="str">
        <f>"11"</f>
        <v>11</v>
      </c>
      <c r="AN15" t="str">
        <f>"11001"</f>
        <v>11001</v>
      </c>
      <c r="AO15" t="str">
        <f>"13/08/2020 12:00:00 a. m."</f>
        <v>13/08/2020 12:00:00 a. m.</v>
      </c>
      <c r="AP15" t="str">
        <f>"10/08/2020 12:00:00 a. m."</f>
        <v>10/08/2020 12:00:00 a. m.</v>
      </c>
      <c r="AQ15" t="str">
        <f>"2"</f>
        <v>2</v>
      </c>
      <c r="AR15" t="str">
        <f>"1"</f>
        <v>1</v>
      </c>
      <c r="AS15" t="str">
        <f>"13/08/2020 12:00:00 a. m."</f>
        <v>13/08/2020 12:00:00 a. m.</v>
      </c>
      <c r="AT15" t="str">
        <f t="shared" si="12"/>
        <v>1</v>
      </c>
      <c r="AU15" t="str">
        <f>""</f>
        <v/>
      </c>
      <c r="AV15" t="str">
        <f>"3"</f>
        <v>3</v>
      </c>
      <c r="AW15" t="str">
        <f>"17/06/2017 12:00:00 a. m."</f>
        <v>17/06/2017 12:00:00 a. m.</v>
      </c>
      <c r="AX15" t="str">
        <f>""</f>
        <v/>
      </c>
      <c r="AY15" t="str">
        <f t="shared" si="13"/>
        <v>30/04/2021 12:00:00 a. m.</v>
      </c>
      <c r="AZ15" t="str">
        <f>"27/08/2020 12:00:00 a. m."</f>
        <v>27/08/2020 12:00:00 a. m.</v>
      </c>
      <c r="BA15" t="str">
        <f>""</f>
        <v/>
      </c>
      <c r="BB15" t="str">
        <f>""</f>
        <v/>
      </c>
      <c r="BC15" t="str">
        <f>""</f>
        <v/>
      </c>
      <c r="BD15" t="str">
        <f t="shared" si="14"/>
        <v>1</v>
      </c>
      <c r="BE15" t="str">
        <f t="shared" si="14"/>
        <v>1</v>
      </c>
      <c r="BF15" t="str">
        <f t="shared" si="15"/>
        <v xml:space="preserve">3         </v>
      </c>
      <c r="BG15" t="str">
        <f t="shared" si="16"/>
        <v>Confirmado por laboratorio</v>
      </c>
      <c r="BH15" t="str">
        <f>"CLINICA INFANTIL COLSUBSIDIO"</f>
        <v>CLINICA INFANTIL COLSUBSIDIO</v>
      </c>
      <c r="BI15" t="str">
        <f t="shared" si="17"/>
        <v>COLOMBIA</v>
      </c>
      <c r="BJ15" t="str">
        <f t="shared" si="18"/>
        <v>CANCER INFANTIL</v>
      </c>
      <c r="BK15" t="str">
        <f>"BOYACA"</f>
        <v>BOYACA</v>
      </c>
      <c r="BL15" t="str">
        <f>"TUNJA"</f>
        <v>TUNJA</v>
      </c>
      <c r="BM15" t="str">
        <f t="shared" si="19"/>
        <v>COLOMBIA</v>
      </c>
      <c r="BN15" t="str">
        <f>"BOYACA"</f>
        <v>BOYACA</v>
      </c>
      <c r="BO15" t="str">
        <f>"TUNJA"</f>
        <v>TUNJA</v>
      </c>
      <c r="BP15" t="str">
        <f t="shared" si="26"/>
        <v>BOGOTA</v>
      </c>
      <c r="BQ15" t="str">
        <f t="shared" si="26"/>
        <v>BOGOTA</v>
      </c>
    </row>
    <row r="16" spans="1:69" x14ac:dyDescent="0.25">
      <c r="A16" t="str">
        <f>"7285866"</f>
        <v>7285866</v>
      </c>
      <c r="B16" t="str">
        <f t="shared" si="0"/>
        <v>459</v>
      </c>
      <c r="C16" t="str">
        <f>"19/10/2020 12:00:00 a. m."</f>
        <v>19/10/2020 12:00:00 a. m.</v>
      </c>
      <c r="D16" t="str">
        <f>"38"</f>
        <v>38</v>
      </c>
      <c r="E16" t="str">
        <f t="shared" si="1"/>
        <v>2020</v>
      </c>
      <c r="F16" t="str">
        <f>"1100116133"</f>
        <v>1100116133</v>
      </c>
      <c r="G16" t="str">
        <f t="shared" ref="G16:G23" si="28">"01"</f>
        <v>01</v>
      </c>
      <c r="H16" t="str">
        <f>"15"</f>
        <v>15</v>
      </c>
      <c r="I16" t="str">
        <f t="shared" si="3"/>
        <v>1</v>
      </c>
      <c r="J16" t="str">
        <f t="shared" si="27"/>
        <v>M</v>
      </c>
      <c r="K16" t="str">
        <f t="shared" si="4"/>
        <v>170</v>
      </c>
      <c r="L16" t="str">
        <f>"15"</f>
        <v>15</v>
      </c>
      <c r="M16" t="str">
        <f>"001"</f>
        <v>001</v>
      </c>
      <c r="N16" t="str">
        <f>"1"</f>
        <v>1</v>
      </c>
      <c r="O16" t="str">
        <f>"9997"</f>
        <v>9997</v>
      </c>
      <c r="P16" t="str">
        <f>"C"</f>
        <v>C</v>
      </c>
      <c r="Q16" t="str">
        <f>"EPS044"</f>
        <v>EPS044</v>
      </c>
      <c r="R16" t="str">
        <f t="shared" si="5"/>
        <v>6</v>
      </c>
      <c r="S16" t="str">
        <f>""</f>
        <v/>
      </c>
      <c r="T16" t="str">
        <f t="shared" si="6"/>
        <v xml:space="preserve">                                                                                                    </v>
      </c>
      <c r="U16" t="str">
        <f>"2         "</f>
        <v xml:space="preserve">2         </v>
      </c>
      <c r="V16" t="str">
        <f t="shared" si="24"/>
        <v>2</v>
      </c>
      <c r="W16" t="str">
        <f t="shared" si="24"/>
        <v>2</v>
      </c>
      <c r="X16" t="str">
        <f t="shared" si="24"/>
        <v>2</v>
      </c>
      <c r="Y16" t="str">
        <f t="shared" si="24"/>
        <v>2</v>
      </c>
      <c r="Z16" t="str">
        <f t="shared" si="24"/>
        <v>2</v>
      </c>
      <c r="AA16" t="str">
        <f t="shared" si="8"/>
        <v xml:space="preserve">          </v>
      </c>
      <c r="AB16" t="str">
        <f t="shared" si="25"/>
        <v>2</v>
      </c>
      <c r="AC16" t="str">
        <f t="shared" si="25"/>
        <v>2</v>
      </c>
      <c r="AD16" t="str">
        <f t="shared" si="25"/>
        <v>2</v>
      </c>
      <c r="AE16" t="str">
        <f t="shared" si="25"/>
        <v>2</v>
      </c>
      <c r="AF16" t="str">
        <f t="shared" si="25"/>
        <v>2</v>
      </c>
      <c r="AG16" t="str">
        <f t="shared" si="25"/>
        <v>2</v>
      </c>
      <c r="AH16" t="str">
        <f t="shared" si="10"/>
        <v>1</v>
      </c>
      <c r="AI16" t="str">
        <f>"2         "</f>
        <v xml:space="preserve">2         </v>
      </c>
      <c r="AJ16" t="str">
        <f t="shared" si="11"/>
        <v>170</v>
      </c>
      <c r="AK16" t="str">
        <f>"15"</f>
        <v>15</v>
      </c>
      <c r="AL16" t="str">
        <f>"001"</f>
        <v>001</v>
      </c>
      <c r="AM16" t="str">
        <f>"11"</f>
        <v>11</v>
      </c>
      <c r="AN16" t="str">
        <f>"11001"</f>
        <v>11001</v>
      </c>
      <c r="AO16" t="str">
        <f>"14/09/2020 12:00:00 a. m."</f>
        <v>14/09/2020 12:00:00 a. m.</v>
      </c>
      <c r="AP16" t="str">
        <f>"1/09/2019 12:00:00 a. m."</f>
        <v>1/09/2019 12:00:00 a. m.</v>
      </c>
      <c r="AQ16" t="str">
        <f>"3"</f>
        <v>3</v>
      </c>
      <c r="AR16" t="str">
        <f>"2"</f>
        <v>2</v>
      </c>
      <c r="AS16" t="str">
        <f>""</f>
        <v/>
      </c>
      <c r="AT16" t="str">
        <f t="shared" si="12"/>
        <v>1</v>
      </c>
      <c r="AU16" t="str">
        <f>""</f>
        <v/>
      </c>
      <c r="AV16" t="str">
        <f>"7"</f>
        <v>7</v>
      </c>
      <c r="AW16" t="str">
        <f>"25/04/2005 12:00:00 a. m."</f>
        <v>25/04/2005 12:00:00 a. m.</v>
      </c>
      <c r="AX16" t="str">
        <f>""</f>
        <v/>
      </c>
      <c r="AY16" t="str">
        <f t="shared" si="13"/>
        <v>30/04/2021 12:00:00 a. m.</v>
      </c>
      <c r="AZ16" t="str">
        <f>"17/11/2020 12:00:00 a. m."</f>
        <v>17/11/2020 12:00:00 a. m.</v>
      </c>
      <c r="BA16" t="str">
        <f>""</f>
        <v/>
      </c>
      <c r="BB16" t="str">
        <f>""</f>
        <v/>
      </c>
      <c r="BC16" t="str">
        <f>""</f>
        <v/>
      </c>
      <c r="BD16" t="str">
        <f t="shared" si="14"/>
        <v>1</v>
      </c>
      <c r="BE16" t="str">
        <f t="shared" si="14"/>
        <v>1</v>
      </c>
      <c r="BF16" t="str">
        <f t="shared" si="15"/>
        <v xml:space="preserve">3         </v>
      </c>
      <c r="BG16" t="str">
        <f t="shared" si="16"/>
        <v>Confirmado por laboratorio</v>
      </c>
      <c r="BH16" t="str">
        <f>"FUNDACION HOSPITAL INFANTIL UNIVERSITARIO DE SAN"</f>
        <v>FUNDACION HOSPITAL INFANTIL UNIVERSITARIO DE SAN</v>
      </c>
      <c r="BI16" t="str">
        <f t="shared" si="17"/>
        <v>COLOMBIA</v>
      </c>
      <c r="BJ16" t="str">
        <f t="shared" si="18"/>
        <v>CANCER INFANTIL</v>
      </c>
      <c r="BK16" t="str">
        <f>"BOYACA"</f>
        <v>BOYACA</v>
      </c>
      <c r="BL16" t="str">
        <f>"TUNJA"</f>
        <v>TUNJA</v>
      </c>
      <c r="BM16" t="str">
        <f t="shared" si="19"/>
        <v>COLOMBIA</v>
      </c>
      <c r="BN16" t="str">
        <f>"BOYACA"</f>
        <v>BOYACA</v>
      </c>
      <c r="BO16" t="str">
        <f>"TUNJA"</f>
        <v>TUNJA</v>
      </c>
      <c r="BP16" t="str">
        <f t="shared" si="26"/>
        <v>BOGOTA</v>
      </c>
      <c r="BQ16" t="str">
        <f t="shared" si="26"/>
        <v>BOGOTA</v>
      </c>
    </row>
    <row r="17" spans="1:69" x14ac:dyDescent="0.25">
      <c r="A17" t="str">
        <f>"7285867"</f>
        <v>7285867</v>
      </c>
      <c r="B17" t="str">
        <f t="shared" si="0"/>
        <v>459</v>
      </c>
      <c r="C17" t="str">
        <f>"3/02/2020 12:00:00 a. m."</f>
        <v>3/02/2020 12:00:00 a. m.</v>
      </c>
      <c r="D17" t="str">
        <f>"03"</f>
        <v>03</v>
      </c>
      <c r="E17" t="str">
        <f t="shared" si="1"/>
        <v>2020</v>
      </c>
      <c r="F17" t="str">
        <f>"2575402385"</f>
        <v>2575402385</v>
      </c>
      <c r="G17" t="str">
        <f t="shared" si="28"/>
        <v>01</v>
      </c>
      <c r="H17" t="str">
        <f>"11"</f>
        <v>11</v>
      </c>
      <c r="I17" t="str">
        <f t="shared" si="3"/>
        <v>1</v>
      </c>
      <c r="J17" t="str">
        <f t="shared" si="27"/>
        <v>M</v>
      </c>
      <c r="K17" t="str">
        <f t="shared" si="4"/>
        <v>170</v>
      </c>
      <c r="L17" t="str">
        <f>"15"</f>
        <v>15</v>
      </c>
      <c r="M17" t="str">
        <f>"001"</f>
        <v>001</v>
      </c>
      <c r="N17" t="str">
        <f>"2"</f>
        <v>2</v>
      </c>
      <c r="O17" t="str">
        <f>"9997"</f>
        <v>9997</v>
      </c>
      <c r="P17" t="str">
        <f>"C"</f>
        <v>C</v>
      </c>
      <c r="Q17" t="str">
        <f>"EPS045"</f>
        <v>EPS045</v>
      </c>
      <c r="R17" t="str">
        <f t="shared" si="5"/>
        <v>6</v>
      </c>
      <c r="S17" t="str">
        <f>""</f>
        <v/>
      </c>
      <c r="T17" t="str">
        <f t="shared" si="6"/>
        <v xml:space="preserve">                                                                                                    </v>
      </c>
      <c r="U17" t="str">
        <f>"2         "</f>
        <v xml:space="preserve">2         </v>
      </c>
      <c r="V17" t="str">
        <f t="shared" si="24"/>
        <v>2</v>
      </c>
      <c r="W17" t="str">
        <f t="shared" si="24"/>
        <v>2</v>
      </c>
      <c r="X17" t="str">
        <f t="shared" si="24"/>
        <v>2</v>
      </c>
      <c r="Y17" t="str">
        <f t="shared" si="24"/>
        <v>2</v>
      </c>
      <c r="Z17" t="str">
        <f t="shared" si="24"/>
        <v>2</v>
      </c>
      <c r="AA17" t="str">
        <f t="shared" si="8"/>
        <v xml:space="preserve">          </v>
      </c>
      <c r="AB17" t="str">
        <f t="shared" si="25"/>
        <v>2</v>
      </c>
      <c r="AC17" t="str">
        <f t="shared" si="25"/>
        <v>2</v>
      </c>
      <c r="AD17" t="str">
        <f t="shared" si="25"/>
        <v>2</v>
      </c>
      <c r="AE17" t="str">
        <f t="shared" si="25"/>
        <v>2</v>
      </c>
      <c r="AF17" t="str">
        <f t="shared" si="25"/>
        <v>2</v>
      </c>
      <c r="AG17" t="str">
        <f t="shared" si="25"/>
        <v>2</v>
      </c>
      <c r="AH17" t="str">
        <f t="shared" si="10"/>
        <v>1</v>
      </c>
      <c r="AI17" t="str">
        <f>"1         "</f>
        <v xml:space="preserve">1         </v>
      </c>
      <c r="AJ17" t="str">
        <f t="shared" si="11"/>
        <v>170</v>
      </c>
      <c r="AK17" t="str">
        <f>"15"</f>
        <v>15</v>
      </c>
      <c r="AL17" t="str">
        <f>"001"</f>
        <v>001</v>
      </c>
      <c r="AM17" t="str">
        <f>"25"</f>
        <v>25</v>
      </c>
      <c r="AN17" t="str">
        <f>"25754"</f>
        <v>25754</v>
      </c>
      <c r="AO17" t="str">
        <f>"17/01/2020 12:00:00 a. m."</f>
        <v>17/01/2020 12:00:00 a. m.</v>
      </c>
      <c r="AP17" t="str">
        <f>"17/12/2019 12:00:00 a. m."</f>
        <v>17/12/2019 12:00:00 a. m.</v>
      </c>
      <c r="AQ17" t="str">
        <f>"2"</f>
        <v>2</v>
      </c>
      <c r="AR17" t="str">
        <f t="shared" ref="AR17:AR32" si="29">"1"</f>
        <v>1</v>
      </c>
      <c r="AS17" t="str">
        <f>"17/01/2020 12:00:00 a. m."</f>
        <v>17/01/2020 12:00:00 a. m.</v>
      </c>
      <c r="AT17" t="str">
        <f t="shared" si="12"/>
        <v>1</v>
      </c>
      <c r="AU17" t="str">
        <f>""</f>
        <v/>
      </c>
      <c r="AV17" t="str">
        <f>"3"</f>
        <v>3</v>
      </c>
      <c r="AW17" t="str">
        <f>"7/12/2008 12:00:00 a. m."</f>
        <v>7/12/2008 12:00:00 a. m.</v>
      </c>
      <c r="AX17" t="str">
        <f>""</f>
        <v/>
      </c>
      <c r="AY17" t="str">
        <f t="shared" si="13"/>
        <v>30/04/2021 12:00:00 a. m.</v>
      </c>
      <c r="AZ17" t="str">
        <f>"28/04/2020 12:00:00 a. m."</f>
        <v>28/04/2020 12:00:00 a. m.</v>
      </c>
      <c r="BA17" t="str">
        <f>""</f>
        <v/>
      </c>
      <c r="BB17" t="str">
        <f>""</f>
        <v/>
      </c>
      <c r="BC17" t="str">
        <f>""</f>
        <v/>
      </c>
      <c r="BD17" t="str">
        <f t="shared" si="14"/>
        <v>1</v>
      </c>
      <c r="BE17" t="str">
        <f t="shared" si="14"/>
        <v>1</v>
      </c>
      <c r="BF17" t="str">
        <f t="shared" si="15"/>
        <v xml:space="preserve">3         </v>
      </c>
      <c r="BG17" t="str">
        <f t="shared" si="16"/>
        <v>Confirmado por laboratorio</v>
      </c>
      <c r="BH17" t="str">
        <f>"HOSPITAL CARDIOVASCULAR DEL NIÑO DE CUNDINAMARCA"</f>
        <v>HOSPITAL CARDIOVASCULAR DEL NIÑO DE CUNDINAMARCA</v>
      </c>
      <c r="BI17" t="str">
        <f t="shared" si="17"/>
        <v>COLOMBIA</v>
      </c>
      <c r="BJ17" t="str">
        <f t="shared" si="18"/>
        <v>CANCER INFANTIL</v>
      </c>
      <c r="BK17" t="str">
        <f>"BOYACA"</f>
        <v>BOYACA</v>
      </c>
      <c r="BL17" t="str">
        <f>"TUNJA"</f>
        <v>TUNJA</v>
      </c>
      <c r="BM17" t="str">
        <f t="shared" si="19"/>
        <v>COLOMBIA</v>
      </c>
      <c r="BN17" t="str">
        <f>"BOYACA"</f>
        <v>BOYACA</v>
      </c>
      <c r="BO17" t="str">
        <f>"TUNJA"</f>
        <v>TUNJA</v>
      </c>
      <c r="BP17" t="str">
        <f>"CUNDINAMARCA"</f>
        <v>CUNDINAMARCA</v>
      </c>
      <c r="BQ17" t="str">
        <f>"SOACHA"</f>
        <v>SOACHA</v>
      </c>
    </row>
    <row r="18" spans="1:69" x14ac:dyDescent="0.25">
      <c r="A18" t="str">
        <f>"7285814"</f>
        <v>7285814</v>
      </c>
      <c r="B18" t="str">
        <f t="shared" si="0"/>
        <v>459</v>
      </c>
      <c r="C18" t="str">
        <f>"23/02/2020 12:00:00 a. m."</f>
        <v>23/02/2020 12:00:00 a. m.</v>
      </c>
      <c r="D18" t="str">
        <f>"07"</f>
        <v>07</v>
      </c>
      <c r="E18" t="str">
        <f t="shared" si="1"/>
        <v>2020</v>
      </c>
      <c r="F18" t="str">
        <f>"0800100544"</f>
        <v>0800100544</v>
      </c>
      <c r="G18" t="str">
        <f t="shared" si="28"/>
        <v>01</v>
      </c>
      <c r="H18" t="str">
        <f>"1"</f>
        <v>1</v>
      </c>
      <c r="I18" t="str">
        <f t="shared" si="3"/>
        <v>1</v>
      </c>
      <c r="J18" t="str">
        <f t="shared" si="27"/>
        <v>M</v>
      </c>
      <c r="K18" t="str">
        <f t="shared" si="4"/>
        <v>170</v>
      </c>
      <c r="L18" t="str">
        <f>"08"</f>
        <v>08</v>
      </c>
      <c r="M18" t="str">
        <f>"675"</f>
        <v>675</v>
      </c>
      <c r="N18" t="str">
        <f>"1"</f>
        <v>1</v>
      </c>
      <c r="O18" t="str">
        <f>"9999"</f>
        <v>9999</v>
      </c>
      <c r="P18" t="str">
        <f t="shared" ref="P18:P23" si="30">"S"</f>
        <v>S</v>
      </c>
      <c r="Q18" t="str">
        <f>"ESS024"</f>
        <v>ESS024</v>
      </c>
      <c r="R18" t="str">
        <f t="shared" si="5"/>
        <v>6</v>
      </c>
      <c r="S18" t="str">
        <f>""</f>
        <v/>
      </c>
      <c r="T18" t="str">
        <f t="shared" si="6"/>
        <v xml:space="preserve">                                                                                                    </v>
      </c>
      <c r="U18" t="str">
        <f>"2         "</f>
        <v xml:space="preserve">2         </v>
      </c>
      <c r="V18" t="str">
        <f t="shared" si="24"/>
        <v>2</v>
      </c>
      <c r="W18" t="str">
        <f t="shared" si="24"/>
        <v>2</v>
      </c>
      <c r="X18" t="str">
        <f t="shared" si="24"/>
        <v>2</v>
      </c>
      <c r="Y18" t="str">
        <f t="shared" si="24"/>
        <v>2</v>
      </c>
      <c r="Z18" t="str">
        <f t="shared" si="24"/>
        <v>2</v>
      </c>
      <c r="AA18" t="str">
        <f t="shared" si="8"/>
        <v xml:space="preserve">          </v>
      </c>
      <c r="AB18" t="str">
        <f t="shared" si="25"/>
        <v>2</v>
      </c>
      <c r="AC18" t="str">
        <f t="shared" si="25"/>
        <v>2</v>
      </c>
      <c r="AD18" t="str">
        <f t="shared" si="25"/>
        <v>2</v>
      </c>
      <c r="AE18" t="str">
        <f t="shared" si="25"/>
        <v>2</v>
      </c>
      <c r="AF18" t="str">
        <f t="shared" si="25"/>
        <v>2</v>
      </c>
      <c r="AG18" t="str">
        <f t="shared" si="25"/>
        <v>2</v>
      </c>
      <c r="AH18" t="str">
        <f t="shared" si="10"/>
        <v>1</v>
      </c>
      <c r="AI18" t="str">
        <f>"1         "</f>
        <v xml:space="preserve">1         </v>
      </c>
      <c r="AJ18" t="str">
        <f t="shared" si="11"/>
        <v>170</v>
      </c>
      <c r="AK18" t="str">
        <f>"08"</f>
        <v>08</v>
      </c>
      <c r="AL18" t="str">
        <f>"675"</f>
        <v>675</v>
      </c>
      <c r="AM18" t="str">
        <f>"08"</f>
        <v>08</v>
      </c>
      <c r="AN18" t="str">
        <f>"08001"</f>
        <v>08001</v>
      </c>
      <c r="AO18" t="str">
        <f>"11/02/2020 12:00:00 a. m."</f>
        <v>11/02/2020 12:00:00 a. m.</v>
      </c>
      <c r="AP18" t="str">
        <f>"10/02/2020 12:00:00 a. m."</f>
        <v>10/02/2020 12:00:00 a. m.</v>
      </c>
      <c r="AQ18" t="str">
        <f t="shared" ref="AQ18:AQ23" si="31">"3"</f>
        <v>3</v>
      </c>
      <c r="AR18" t="str">
        <f t="shared" si="29"/>
        <v>1</v>
      </c>
      <c r="AS18" t="str">
        <f>"11/02/2020 12:00:00 a. m."</f>
        <v>11/02/2020 12:00:00 a. m.</v>
      </c>
      <c r="AT18" t="str">
        <f t="shared" si="12"/>
        <v>1</v>
      </c>
      <c r="AU18" t="str">
        <f>""</f>
        <v/>
      </c>
      <c r="AV18" t="str">
        <f>"7"</f>
        <v>7</v>
      </c>
      <c r="AW18" t="str">
        <f>"19/05/2019 12:00:00 a. m."</f>
        <v>19/05/2019 12:00:00 a. m.</v>
      </c>
      <c r="AX18" t="str">
        <f>""</f>
        <v/>
      </c>
      <c r="AY18" t="str">
        <f t="shared" si="13"/>
        <v>30/04/2021 12:00:00 a. m.</v>
      </c>
      <c r="AZ18" t="str">
        <f>"20/01/2021 12:00:00 a. m."</f>
        <v>20/01/2021 12:00:00 a. m.</v>
      </c>
      <c r="BA18" t="str">
        <f>""</f>
        <v/>
      </c>
      <c r="BB18" t="str">
        <f>""</f>
        <v/>
      </c>
      <c r="BC18" t="str">
        <f>""</f>
        <v/>
      </c>
      <c r="BD18" t="str">
        <f t="shared" si="14"/>
        <v>1</v>
      </c>
      <c r="BE18" t="str">
        <f t="shared" si="14"/>
        <v>1</v>
      </c>
      <c r="BF18" t="str">
        <f t="shared" si="15"/>
        <v xml:space="preserve">3         </v>
      </c>
      <c r="BG18" t="str">
        <f t="shared" si="16"/>
        <v>Confirmado por laboratorio</v>
      </c>
      <c r="BH18" t="str">
        <f>"ORGANIZACION CLINICA BONNADONA PREVENIR SA"</f>
        <v>ORGANIZACION CLINICA BONNADONA PREVENIR SA</v>
      </c>
      <c r="BI18" t="str">
        <f t="shared" si="17"/>
        <v>COLOMBIA</v>
      </c>
      <c r="BJ18" t="str">
        <f t="shared" si="18"/>
        <v>CANCER INFANTIL</v>
      </c>
      <c r="BK18" t="str">
        <f>"ATLANTICO"</f>
        <v>ATLANTICO</v>
      </c>
      <c r="BL18" t="str">
        <f>"SANTA LUCIA"</f>
        <v>SANTA LUCIA</v>
      </c>
      <c r="BM18" t="str">
        <f t="shared" si="19"/>
        <v>COLOMBIA</v>
      </c>
      <c r="BN18" t="str">
        <f>"ATLANTICO"</f>
        <v>ATLANTICO</v>
      </c>
      <c r="BO18" t="str">
        <f>"SANTA LUCIA"</f>
        <v>SANTA LUCIA</v>
      </c>
      <c r="BP18" t="str">
        <f>"ATLANTICO"</f>
        <v>ATLANTICO</v>
      </c>
      <c r="BQ18" t="str">
        <f>"BARRANQUILLA"</f>
        <v>BARRANQUILLA</v>
      </c>
    </row>
    <row r="19" spans="1:69" x14ac:dyDescent="0.25">
      <c r="A19" t="str">
        <f>"7285896"</f>
        <v>7285896</v>
      </c>
      <c r="B19" t="str">
        <f t="shared" si="0"/>
        <v>459</v>
      </c>
      <c r="C19" t="str">
        <f>"23/02/2020 12:00:00 a. m."</f>
        <v>23/02/2020 12:00:00 a. m.</v>
      </c>
      <c r="D19" t="str">
        <f>"06"</f>
        <v>06</v>
      </c>
      <c r="E19" t="str">
        <f t="shared" si="1"/>
        <v>2020</v>
      </c>
      <c r="F19" t="str">
        <f>"1100105681"</f>
        <v>1100105681</v>
      </c>
      <c r="G19" t="str">
        <f t="shared" si="28"/>
        <v>01</v>
      </c>
      <c r="H19" t="str">
        <f>"13"</f>
        <v>13</v>
      </c>
      <c r="I19" t="str">
        <f t="shared" si="3"/>
        <v>1</v>
      </c>
      <c r="J19" t="str">
        <f t="shared" si="27"/>
        <v>M</v>
      </c>
      <c r="K19" t="str">
        <f t="shared" si="4"/>
        <v>170</v>
      </c>
      <c r="L19" t="str">
        <f>"50"</f>
        <v>50</v>
      </c>
      <c r="M19" t="str">
        <f>"325"</f>
        <v>325</v>
      </c>
      <c r="N19" t="str">
        <f>"3"</f>
        <v>3</v>
      </c>
      <c r="O19" t="str">
        <f>"9997"</f>
        <v>9997</v>
      </c>
      <c r="P19" t="str">
        <f t="shared" si="30"/>
        <v>S</v>
      </c>
      <c r="Q19" t="str">
        <f>"EPSS34"</f>
        <v>EPSS34</v>
      </c>
      <c r="R19" t="str">
        <f t="shared" si="5"/>
        <v>6</v>
      </c>
      <c r="S19" t="str">
        <f>""</f>
        <v/>
      </c>
      <c r="T19" t="str">
        <f t="shared" si="6"/>
        <v xml:space="preserve">                                                                                                    </v>
      </c>
      <c r="U19" t="str">
        <f>"2         "</f>
        <v xml:space="preserve">2         </v>
      </c>
      <c r="V19" t="str">
        <f t="shared" si="24"/>
        <v>2</v>
      </c>
      <c r="W19" t="str">
        <f t="shared" si="24"/>
        <v>2</v>
      </c>
      <c r="X19" t="str">
        <f t="shared" si="24"/>
        <v>2</v>
      </c>
      <c r="Y19" t="str">
        <f t="shared" si="24"/>
        <v>2</v>
      </c>
      <c r="Z19" t="str">
        <f t="shared" si="24"/>
        <v>2</v>
      </c>
      <c r="AA19" t="str">
        <f t="shared" si="8"/>
        <v xml:space="preserve">          </v>
      </c>
      <c r="AB19" t="str">
        <f t="shared" si="25"/>
        <v>2</v>
      </c>
      <c r="AC19" t="str">
        <f t="shared" si="25"/>
        <v>2</v>
      </c>
      <c r="AD19" t="str">
        <f t="shared" si="25"/>
        <v>2</v>
      </c>
      <c r="AE19" t="str">
        <f t="shared" si="25"/>
        <v>2</v>
      </c>
      <c r="AF19" t="str">
        <f t="shared" si="25"/>
        <v>2</v>
      </c>
      <c r="AG19" t="str">
        <f t="shared" si="25"/>
        <v>2</v>
      </c>
      <c r="AH19" t="str">
        <f t="shared" si="10"/>
        <v>1</v>
      </c>
      <c r="AI19" t="str">
        <f>"2         "</f>
        <v xml:space="preserve">2         </v>
      </c>
      <c r="AJ19" t="str">
        <f t="shared" si="11"/>
        <v>170</v>
      </c>
      <c r="AK19" t="str">
        <f>"50"</f>
        <v>50</v>
      </c>
      <c r="AL19" t="str">
        <f>"325"</f>
        <v>325</v>
      </c>
      <c r="AM19" t="str">
        <f>"11"</f>
        <v>11</v>
      </c>
      <c r="AN19" t="str">
        <f>"11001"</f>
        <v>11001</v>
      </c>
      <c r="AO19" t="str">
        <f>"8/02/2020 12:00:00 a. m."</f>
        <v>8/02/2020 12:00:00 a. m.</v>
      </c>
      <c r="AP19" t="str">
        <f>"29/01/2020 12:00:00 a. m."</f>
        <v>29/01/2020 12:00:00 a. m.</v>
      </c>
      <c r="AQ19" t="str">
        <f t="shared" si="31"/>
        <v>3</v>
      </c>
      <c r="AR19" t="str">
        <f t="shared" si="29"/>
        <v>1</v>
      </c>
      <c r="AS19" t="str">
        <f>"8/02/2020 12:00:00 a. m."</f>
        <v>8/02/2020 12:00:00 a. m.</v>
      </c>
      <c r="AT19" t="str">
        <f t="shared" si="12"/>
        <v>1</v>
      </c>
      <c r="AU19" t="str">
        <f>""</f>
        <v/>
      </c>
      <c r="AV19" t="str">
        <f>"0"</f>
        <v>0</v>
      </c>
      <c r="AW19" t="str">
        <f>"30/12/2006 12:00:00 a. m."</f>
        <v>30/12/2006 12:00:00 a. m.</v>
      </c>
      <c r="AX19" t="str">
        <f>""</f>
        <v/>
      </c>
      <c r="AY19" t="str">
        <f t="shared" si="13"/>
        <v>30/04/2021 12:00:00 a. m.</v>
      </c>
      <c r="AZ19" t="str">
        <f>"21/07/2020 12:00:00 a. m."</f>
        <v>21/07/2020 12:00:00 a. m.</v>
      </c>
      <c r="BA19" t="str">
        <f>""</f>
        <v/>
      </c>
      <c r="BB19" t="str">
        <f>""</f>
        <v/>
      </c>
      <c r="BC19" t="str">
        <f>""</f>
        <v/>
      </c>
      <c r="BD19" t="str">
        <f t="shared" si="14"/>
        <v>1</v>
      </c>
      <c r="BE19" t="str">
        <f t="shared" si="14"/>
        <v>1</v>
      </c>
      <c r="BF19" t="str">
        <f t="shared" si="15"/>
        <v xml:space="preserve">3         </v>
      </c>
      <c r="BG19" t="str">
        <f t="shared" si="16"/>
        <v>Confirmado por laboratorio</v>
      </c>
      <c r="BH19" t="str">
        <f>"FUNDACION HOSPITAL DE LA MISERICORDIA"</f>
        <v>FUNDACION HOSPITAL DE LA MISERICORDIA</v>
      </c>
      <c r="BI19" t="str">
        <f t="shared" si="17"/>
        <v>COLOMBIA</v>
      </c>
      <c r="BJ19" t="str">
        <f t="shared" si="18"/>
        <v>CANCER INFANTIL</v>
      </c>
      <c r="BK19" t="str">
        <f>"META"</f>
        <v>META</v>
      </c>
      <c r="BL19" t="str">
        <f>"MAPIRIPAN"</f>
        <v>MAPIRIPAN</v>
      </c>
      <c r="BM19" t="str">
        <f t="shared" si="19"/>
        <v>COLOMBIA</v>
      </c>
      <c r="BN19" t="str">
        <f>"META"</f>
        <v>META</v>
      </c>
      <c r="BO19" t="str">
        <f>"MAPIRIPAN"</f>
        <v>MAPIRIPAN</v>
      </c>
      <c r="BP19" t="str">
        <f>"BOGOTA"</f>
        <v>BOGOTA</v>
      </c>
      <c r="BQ19" t="str">
        <f>"BOGOTA"</f>
        <v>BOGOTA</v>
      </c>
    </row>
    <row r="20" spans="1:69" x14ac:dyDescent="0.25">
      <c r="A20" t="str">
        <f>"7285921"</f>
        <v>7285921</v>
      </c>
      <c r="B20" t="str">
        <f t="shared" si="0"/>
        <v>459</v>
      </c>
      <c r="C20" t="str">
        <f>"5/09/2020 12:00:00 a. m."</f>
        <v>5/09/2020 12:00:00 a. m.</v>
      </c>
      <c r="D20" t="str">
        <f>"36"</f>
        <v>36</v>
      </c>
      <c r="E20" t="str">
        <f t="shared" si="1"/>
        <v>2020</v>
      </c>
      <c r="F20" t="str">
        <f>"1700101096"</f>
        <v>1700101096</v>
      </c>
      <c r="G20" t="str">
        <f t="shared" si="28"/>
        <v>01</v>
      </c>
      <c r="H20" t="str">
        <f>"3"</f>
        <v>3</v>
      </c>
      <c r="I20" t="str">
        <f t="shared" si="3"/>
        <v>1</v>
      </c>
      <c r="J20" t="str">
        <f t="shared" si="27"/>
        <v>M</v>
      </c>
      <c r="K20" t="str">
        <f t="shared" si="4"/>
        <v>170</v>
      </c>
      <c r="L20" t="str">
        <f>"17"</f>
        <v>17</v>
      </c>
      <c r="M20" t="str">
        <f>"380"</f>
        <v>380</v>
      </c>
      <c r="N20" t="str">
        <f>"1"</f>
        <v>1</v>
      </c>
      <c r="O20" t="str">
        <f>"9999"</f>
        <v>9999</v>
      </c>
      <c r="P20" t="str">
        <f t="shared" si="30"/>
        <v>S</v>
      </c>
      <c r="Q20" t="str">
        <f>"ESS062"</f>
        <v>ESS062</v>
      </c>
      <c r="R20" t="str">
        <f t="shared" si="5"/>
        <v>6</v>
      </c>
      <c r="S20" t="str">
        <f>""</f>
        <v/>
      </c>
      <c r="T20" t="str">
        <f t="shared" si="6"/>
        <v xml:space="preserve">                                                                                                    </v>
      </c>
      <c r="U20" t="str">
        <f>"1         "</f>
        <v xml:space="preserve">1         </v>
      </c>
      <c r="V20" t="str">
        <f t="shared" si="24"/>
        <v>2</v>
      </c>
      <c r="W20" t="str">
        <f t="shared" si="24"/>
        <v>2</v>
      </c>
      <c r="X20" t="str">
        <f t="shared" si="24"/>
        <v>2</v>
      </c>
      <c r="Y20" t="str">
        <f t="shared" si="24"/>
        <v>2</v>
      </c>
      <c r="Z20" t="str">
        <f t="shared" si="24"/>
        <v>2</v>
      </c>
      <c r="AA20" t="str">
        <f t="shared" si="8"/>
        <v xml:space="preserve">          </v>
      </c>
      <c r="AB20" t="str">
        <f t="shared" si="25"/>
        <v>2</v>
      </c>
      <c r="AC20" t="str">
        <f t="shared" si="25"/>
        <v>2</v>
      </c>
      <c r="AD20" t="str">
        <f t="shared" si="25"/>
        <v>2</v>
      </c>
      <c r="AE20" t="str">
        <f t="shared" si="25"/>
        <v>2</v>
      </c>
      <c r="AF20" t="str">
        <f t="shared" si="25"/>
        <v>2</v>
      </c>
      <c r="AG20" t="str">
        <f t="shared" si="25"/>
        <v>2</v>
      </c>
      <c r="AH20" t="str">
        <f t="shared" si="10"/>
        <v>1</v>
      </c>
      <c r="AI20" t="str">
        <f t="shared" ref="AI20:AI33" si="32">"1         "</f>
        <v xml:space="preserve">1         </v>
      </c>
      <c r="AJ20" t="str">
        <f t="shared" si="11"/>
        <v>170</v>
      </c>
      <c r="AK20" t="str">
        <f>"17"</f>
        <v>17</v>
      </c>
      <c r="AL20" t="str">
        <f>"380"</f>
        <v>380</v>
      </c>
      <c r="AM20" t="str">
        <f>"17"</f>
        <v>17</v>
      </c>
      <c r="AN20" t="str">
        <f>"17001"</f>
        <v>17001</v>
      </c>
      <c r="AO20" t="str">
        <f>"31/08/2020 12:00:00 a. m."</f>
        <v>31/08/2020 12:00:00 a. m.</v>
      </c>
      <c r="AP20" t="str">
        <f>"8/08/2020 12:00:00 a. m."</f>
        <v>8/08/2020 12:00:00 a. m.</v>
      </c>
      <c r="AQ20" t="str">
        <f t="shared" si="31"/>
        <v>3</v>
      </c>
      <c r="AR20" t="str">
        <f t="shared" si="29"/>
        <v>1</v>
      </c>
      <c r="AS20" t="str">
        <f>"4/09/2020 12:00:00 a. m."</f>
        <v>4/09/2020 12:00:00 a. m.</v>
      </c>
      <c r="AT20" t="str">
        <f t="shared" si="12"/>
        <v>1</v>
      </c>
      <c r="AU20" t="str">
        <f>""</f>
        <v/>
      </c>
      <c r="AV20" t="str">
        <f>"0"</f>
        <v>0</v>
      </c>
      <c r="AW20" t="str">
        <f>"11/09/2016 12:00:00 a. m."</f>
        <v>11/09/2016 12:00:00 a. m.</v>
      </c>
      <c r="AX20" t="str">
        <f>""</f>
        <v/>
      </c>
      <c r="AY20" t="str">
        <f t="shared" si="13"/>
        <v>30/04/2021 12:00:00 a. m.</v>
      </c>
      <c r="AZ20" t="str">
        <f>"7/09/2020 12:00:00 a. m."</f>
        <v>7/09/2020 12:00:00 a. m.</v>
      </c>
      <c r="BA20" t="str">
        <f>""</f>
        <v/>
      </c>
      <c r="BB20" t="str">
        <f>""</f>
        <v/>
      </c>
      <c r="BC20" t="str">
        <f>""</f>
        <v/>
      </c>
      <c r="BD20" t="str">
        <f t="shared" si="14"/>
        <v>1</v>
      </c>
      <c r="BE20" t="str">
        <f t="shared" si="14"/>
        <v>1</v>
      </c>
      <c r="BF20" t="str">
        <f t="shared" si="15"/>
        <v xml:space="preserve">3         </v>
      </c>
      <c r="BG20" t="str">
        <f t="shared" si="16"/>
        <v>Confirmado por laboratorio</v>
      </c>
      <c r="BH20" t="str">
        <f>"ONCOLOGOS DE OCCIDENTE SA"</f>
        <v>ONCOLOGOS DE OCCIDENTE SA</v>
      </c>
      <c r="BI20" t="str">
        <f t="shared" si="17"/>
        <v>COLOMBIA</v>
      </c>
      <c r="BJ20" t="str">
        <f t="shared" si="18"/>
        <v>CANCER INFANTIL</v>
      </c>
      <c r="BK20" t="str">
        <f>"CALDAS"</f>
        <v>CALDAS</v>
      </c>
      <c r="BL20" t="str">
        <f>"LA DORADA"</f>
        <v>LA DORADA</v>
      </c>
      <c r="BM20" t="str">
        <f t="shared" si="19"/>
        <v>COLOMBIA</v>
      </c>
      <c r="BN20" t="str">
        <f>"CALDAS"</f>
        <v>CALDAS</v>
      </c>
      <c r="BO20" t="str">
        <f>"LA DORADA"</f>
        <v>LA DORADA</v>
      </c>
      <c r="BP20" t="str">
        <f>"CALDAS"</f>
        <v>CALDAS</v>
      </c>
      <c r="BQ20" t="str">
        <f>"MANIZALES"</f>
        <v>MANIZALES</v>
      </c>
    </row>
    <row r="21" spans="1:69" x14ac:dyDescent="0.25">
      <c r="A21" t="str">
        <f>"7285887"</f>
        <v>7285887</v>
      </c>
      <c r="B21" t="str">
        <f t="shared" si="0"/>
        <v>459</v>
      </c>
      <c r="C21" t="str">
        <f>"5/02/2021 12:00:00 a. m."</f>
        <v>5/02/2021 12:00:00 a. m.</v>
      </c>
      <c r="D21" t="str">
        <f>"46"</f>
        <v>46</v>
      </c>
      <c r="E21" t="str">
        <f t="shared" si="1"/>
        <v>2020</v>
      </c>
      <c r="F21" t="str">
        <f>"1300100568"</f>
        <v>1300100568</v>
      </c>
      <c r="G21" t="str">
        <f t="shared" si="28"/>
        <v>01</v>
      </c>
      <c r="H21" t="str">
        <f>"14"</f>
        <v>14</v>
      </c>
      <c r="I21" t="str">
        <f t="shared" si="3"/>
        <v>1</v>
      </c>
      <c r="J21" t="str">
        <f t="shared" si="27"/>
        <v>M</v>
      </c>
      <c r="K21" t="str">
        <f t="shared" si="4"/>
        <v>170</v>
      </c>
      <c r="L21" t="str">
        <f>"13"</f>
        <v>13</v>
      </c>
      <c r="M21" t="str">
        <f>"667"</f>
        <v>667</v>
      </c>
      <c r="N21" t="str">
        <f>"2"</f>
        <v>2</v>
      </c>
      <c r="O21" t="str">
        <f>"9998"</f>
        <v>9998</v>
      </c>
      <c r="P21" t="str">
        <f t="shared" si="30"/>
        <v>S</v>
      </c>
      <c r="Q21" t="str">
        <f>"EPSS41"</f>
        <v>EPSS41</v>
      </c>
      <c r="R21" t="str">
        <f t="shared" si="5"/>
        <v>6</v>
      </c>
      <c r="S21" t="str">
        <f>""</f>
        <v/>
      </c>
      <c r="T21" t="str">
        <f t="shared" si="6"/>
        <v xml:space="preserve">                                                                                                    </v>
      </c>
      <c r="U21" t="str">
        <f>"2         "</f>
        <v xml:space="preserve">2         </v>
      </c>
      <c r="V21" t="str">
        <f t="shared" si="24"/>
        <v>2</v>
      </c>
      <c r="W21" t="str">
        <f t="shared" si="24"/>
        <v>2</v>
      </c>
      <c r="X21" t="str">
        <f t="shared" si="24"/>
        <v>2</v>
      </c>
      <c r="Y21" t="str">
        <f t="shared" si="24"/>
        <v>2</v>
      </c>
      <c r="Z21" t="str">
        <f t="shared" si="24"/>
        <v>2</v>
      </c>
      <c r="AA21" t="str">
        <f t="shared" si="8"/>
        <v xml:space="preserve">          </v>
      </c>
      <c r="AB21" t="str">
        <f t="shared" si="25"/>
        <v>2</v>
      </c>
      <c r="AC21" t="str">
        <f t="shared" si="25"/>
        <v>2</v>
      </c>
      <c r="AD21" t="str">
        <f t="shared" si="25"/>
        <v>2</v>
      </c>
      <c r="AE21" t="str">
        <f t="shared" si="25"/>
        <v>2</v>
      </c>
      <c r="AF21" t="str">
        <f t="shared" si="25"/>
        <v>2</v>
      </c>
      <c r="AG21" t="str">
        <f t="shared" si="25"/>
        <v>2</v>
      </c>
      <c r="AH21" t="str">
        <f t="shared" si="10"/>
        <v>1</v>
      </c>
      <c r="AI21" t="str">
        <f t="shared" si="32"/>
        <v xml:space="preserve">1         </v>
      </c>
      <c r="AJ21" t="str">
        <f t="shared" si="11"/>
        <v>170</v>
      </c>
      <c r="AK21" t="str">
        <f>"13"</f>
        <v>13</v>
      </c>
      <c r="AL21" t="str">
        <f>"667"</f>
        <v>667</v>
      </c>
      <c r="AM21" t="str">
        <f>"13"</f>
        <v>13</v>
      </c>
      <c r="AN21" t="str">
        <f>"13001"</f>
        <v>13001</v>
      </c>
      <c r="AO21" t="str">
        <f>"9/11/2020 12:00:00 a. m."</f>
        <v>9/11/2020 12:00:00 a. m.</v>
      </c>
      <c r="AP21" t="str">
        <f>"12/12/2019 12:00:00 a. m."</f>
        <v>12/12/2019 12:00:00 a. m.</v>
      </c>
      <c r="AQ21" t="str">
        <f t="shared" si="31"/>
        <v>3</v>
      </c>
      <c r="AR21" t="str">
        <f t="shared" si="29"/>
        <v>1</v>
      </c>
      <c r="AS21" t="str">
        <f>"9/11/2020 12:00:00 a. m."</f>
        <v>9/11/2020 12:00:00 a. m.</v>
      </c>
      <c r="AT21" t="str">
        <f t="shared" si="12"/>
        <v>1</v>
      </c>
      <c r="AU21" t="str">
        <f>""</f>
        <v/>
      </c>
      <c r="AV21" t="str">
        <f>"0"</f>
        <v>0</v>
      </c>
      <c r="AW21" t="str">
        <f>"4/10/2006 12:00:00 a. m."</f>
        <v>4/10/2006 12:00:00 a. m.</v>
      </c>
      <c r="AX21" t="str">
        <f>""</f>
        <v/>
      </c>
      <c r="AY21" t="str">
        <f t="shared" si="13"/>
        <v>30/04/2021 12:00:00 a. m.</v>
      </c>
      <c r="AZ21" t="str">
        <f>"5/02/2021 12:00:00 a. m."</f>
        <v>5/02/2021 12:00:00 a. m.</v>
      </c>
      <c r="BA21" t="str">
        <f>""</f>
        <v/>
      </c>
      <c r="BB21" t="str">
        <f>""</f>
        <v/>
      </c>
      <c r="BC21" t="str">
        <f>""</f>
        <v/>
      </c>
      <c r="BD21" t="str">
        <f t="shared" si="14"/>
        <v>1</v>
      </c>
      <c r="BE21" t="str">
        <f t="shared" si="14"/>
        <v>1</v>
      </c>
      <c r="BF21" t="str">
        <f t="shared" si="15"/>
        <v xml:space="preserve">3         </v>
      </c>
      <c r="BG21" t="str">
        <f t="shared" si="16"/>
        <v>Confirmado por laboratorio</v>
      </c>
      <c r="BH21" t="str">
        <f>"CLINICA BLAS DE LEZO S.A."</f>
        <v>CLINICA BLAS DE LEZO S.A.</v>
      </c>
      <c r="BI21" t="str">
        <f t="shared" si="17"/>
        <v>COLOMBIA</v>
      </c>
      <c r="BJ21" t="str">
        <f t="shared" si="18"/>
        <v>CANCER INFANTIL</v>
      </c>
      <c r="BK21" t="str">
        <f>"BOLIVAR"</f>
        <v>BOLIVAR</v>
      </c>
      <c r="BL21" t="str">
        <f>"SAN MARTIN DE LOBA"</f>
        <v>SAN MARTIN DE LOBA</v>
      </c>
      <c r="BM21" t="str">
        <f t="shared" si="19"/>
        <v>COLOMBIA</v>
      </c>
      <c r="BN21" t="str">
        <f>"BOLIVAR"</f>
        <v>BOLIVAR</v>
      </c>
      <c r="BO21" t="str">
        <f>"SAN MARTIN DE LOBA"</f>
        <v>SAN MARTIN DE LOBA</v>
      </c>
      <c r="BP21" t="str">
        <f>"BOLIVAR"</f>
        <v>BOLIVAR</v>
      </c>
      <c r="BQ21" t="str">
        <f>"CARTAGENA"</f>
        <v>CARTAGENA</v>
      </c>
    </row>
    <row r="22" spans="1:69" x14ac:dyDescent="0.25">
      <c r="A22" t="str">
        <f>"7285842"</f>
        <v>7285842</v>
      </c>
      <c r="B22" t="str">
        <f t="shared" si="0"/>
        <v>459</v>
      </c>
      <c r="C22" t="str">
        <f>"30/09/2020 12:00:00 a. m."</f>
        <v>30/09/2020 12:00:00 a. m.</v>
      </c>
      <c r="D22" t="str">
        <f>"39"</f>
        <v>39</v>
      </c>
      <c r="E22" t="str">
        <f t="shared" si="1"/>
        <v>2020</v>
      </c>
      <c r="F22" t="str">
        <f>"1300100568"</f>
        <v>1300100568</v>
      </c>
      <c r="G22" t="str">
        <f t="shared" si="28"/>
        <v>01</v>
      </c>
      <c r="H22" t="str">
        <f>"13"</f>
        <v>13</v>
      </c>
      <c r="I22" t="str">
        <f t="shared" si="3"/>
        <v>1</v>
      </c>
      <c r="J22" t="str">
        <f t="shared" si="27"/>
        <v>M</v>
      </c>
      <c r="K22" t="str">
        <f t="shared" si="4"/>
        <v>170</v>
      </c>
      <c r="L22" t="str">
        <f>"13"</f>
        <v>13</v>
      </c>
      <c r="M22" t="str">
        <f>"433"</f>
        <v>433</v>
      </c>
      <c r="N22" t="str">
        <f>"2"</f>
        <v>2</v>
      </c>
      <c r="O22" t="str">
        <f>"9998"</f>
        <v>9998</v>
      </c>
      <c r="P22" t="str">
        <f t="shared" si="30"/>
        <v>S</v>
      </c>
      <c r="Q22" t="str">
        <f>"ESS207"</f>
        <v>ESS207</v>
      </c>
      <c r="R22" t="str">
        <f t="shared" si="5"/>
        <v>6</v>
      </c>
      <c r="S22" t="str">
        <f>""</f>
        <v/>
      </c>
      <c r="T22" t="str">
        <f t="shared" si="6"/>
        <v xml:space="preserve">                                                                                                    </v>
      </c>
      <c r="U22" t="str">
        <f>"2         "</f>
        <v xml:space="preserve">2         </v>
      </c>
      <c r="V22" t="str">
        <f t="shared" ref="V22:Z31" si="33">"2"</f>
        <v>2</v>
      </c>
      <c r="W22" t="str">
        <f t="shared" si="33"/>
        <v>2</v>
      </c>
      <c r="X22" t="str">
        <f t="shared" si="33"/>
        <v>2</v>
      </c>
      <c r="Y22" t="str">
        <f t="shared" si="33"/>
        <v>2</v>
      </c>
      <c r="Z22" t="str">
        <f t="shared" si="33"/>
        <v>2</v>
      </c>
      <c r="AA22" t="str">
        <f t="shared" si="8"/>
        <v xml:space="preserve">          </v>
      </c>
      <c r="AB22" t="str">
        <f t="shared" ref="AB22:AG31" si="34">"2"</f>
        <v>2</v>
      </c>
      <c r="AC22" t="str">
        <f t="shared" si="34"/>
        <v>2</v>
      </c>
      <c r="AD22" t="str">
        <f t="shared" si="34"/>
        <v>2</v>
      </c>
      <c r="AE22" t="str">
        <f t="shared" si="34"/>
        <v>2</v>
      </c>
      <c r="AF22" t="str">
        <f t="shared" si="34"/>
        <v>2</v>
      </c>
      <c r="AG22" t="str">
        <f t="shared" si="34"/>
        <v>2</v>
      </c>
      <c r="AH22" t="str">
        <f t="shared" si="10"/>
        <v>1</v>
      </c>
      <c r="AI22" t="str">
        <f t="shared" si="32"/>
        <v xml:space="preserve">1         </v>
      </c>
      <c r="AJ22" t="str">
        <f t="shared" si="11"/>
        <v>170</v>
      </c>
      <c r="AK22" t="str">
        <f>"13"</f>
        <v>13</v>
      </c>
      <c r="AL22" t="str">
        <f>"433"</f>
        <v>433</v>
      </c>
      <c r="AM22" t="str">
        <f>"13"</f>
        <v>13</v>
      </c>
      <c r="AN22" t="str">
        <f>"13001"</f>
        <v>13001</v>
      </c>
      <c r="AO22" t="str">
        <f>"22/09/2020 12:00:00 a. m."</f>
        <v>22/09/2020 12:00:00 a. m.</v>
      </c>
      <c r="AP22" t="str">
        <f>"20/09/2020 12:00:00 a. m."</f>
        <v>20/09/2020 12:00:00 a. m.</v>
      </c>
      <c r="AQ22" t="str">
        <f t="shared" si="31"/>
        <v>3</v>
      </c>
      <c r="AR22" t="str">
        <f t="shared" si="29"/>
        <v>1</v>
      </c>
      <c r="AS22" t="str">
        <f>"22/09/2020 12:00:00 a. m."</f>
        <v>22/09/2020 12:00:00 a. m.</v>
      </c>
      <c r="AT22" t="str">
        <f>"2"</f>
        <v>2</v>
      </c>
      <c r="AU22" t="str">
        <f>"30/09/2020 12:00:00 a. m."</f>
        <v>30/09/2020 12:00:00 a. m.</v>
      </c>
      <c r="AV22" t="str">
        <f>"0"</f>
        <v>0</v>
      </c>
      <c r="AW22" t="str">
        <f>"3/09/2007 12:00:00 a. m."</f>
        <v>3/09/2007 12:00:00 a. m.</v>
      </c>
      <c r="AX22" t="str">
        <f>"C927"</f>
        <v>C927</v>
      </c>
      <c r="AY22" t="str">
        <f t="shared" si="13"/>
        <v>30/04/2021 12:00:00 a. m.</v>
      </c>
      <c r="AZ22" t="str">
        <f>"5/10/2020 12:00:00 a. m."</f>
        <v>5/10/2020 12:00:00 a. m.</v>
      </c>
      <c r="BA22" t="str">
        <f>""</f>
        <v/>
      </c>
      <c r="BB22" t="str">
        <f>""</f>
        <v/>
      </c>
      <c r="BC22" t="str">
        <f>""</f>
        <v/>
      </c>
      <c r="BD22" t="str">
        <f t="shared" ref="BD22:BE41" si="35">"1"</f>
        <v>1</v>
      </c>
      <c r="BE22" t="str">
        <f t="shared" si="35"/>
        <v>1</v>
      </c>
      <c r="BF22" t="str">
        <f t="shared" si="15"/>
        <v xml:space="preserve">3         </v>
      </c>
      <c r="BG22" t="str">
        <f t="shared" si="16"/>
        <v>Confirmado por laboratorio</v>
      </c>
      <c r="BH22" t="str">
        <f>"CLINICA BLAS DE LEZO S.A."</f>
        <v>CLINICA BLAS DE LEZO S.A.</v>
      </c>
      <c r="BI22" t="str">
        <f t="shared" si="17"/>
        <v>COLOMBIA</v>
      </c>
      <c r="BJ22" t="str">
        <f t="shared" si="18"/>
        <v>CANCER INFANTIL</v>
      </c>
      <c r="BK22" t="str">
        <f>"BOLIVAR"</f>
        <v>BOLIVAR</v>
      </c>
      <c r="BL22" t="str">
        <f>"MAHATES"</f>
        <v>MAHATES</v>
      </c>
      <c r="BM22" t="str">
        <f t="shared" si="19"/>
        <v>COLOMBIA</v>
      </c>
      <c r="BN22" t="str">
        <f>"BOLIVAR"</f>
        <v>BOLIVAR</v>
      </c>
      <c r="BO22" t="str">
        <f>"MAHATES"</f>
        <v>MAHATES</v>
      </c>
      <c r="BP22" t="str">
        <f>"BOLIVAR"</f>
        <v>BOLIVAR</v>
      </c>
      <c r="BQ22" t="str">
        <f>"CARTAGENA"</f>
        <v>CARTAGENA</v>
      </c>
    </row>
    <row r="23" spans="1:69" x14ac:dyDescent="0.25">
      <c r="A23" t="str">
        <f>"7285845"</f>
        <v>7285845</v>
      </c>
      <c r="B23" t="str">
        <f t="shared" si="0"/>
        <v>459</v>
      </c>
      <c r="C23" t="str">
        <f>"3/04/2020 12:00:00 a. m."</f>
        <v>3/04/2020 12:00:00 a. m.</v>
      </c>
      <c r="D23" t="str">
        <f>"14"</f>
        <v>14</v>
      </c>
      <c r="E23" t="str">
        <f t="shared" si="1"/>
        <v>2020</v>
      </c>
      <c r="F23" t="str">
        <f>"0561502129"</f>
        <v>0561502129</v>
      </c>
      <c r="G23" t="str">
        <f t="shared" si="28"/>
        <v>01</v>
      </c>
      <c r="H23" t="str">
        <f>"6"</f>
        <v>6</v>
      </c>
      <c r="I23" t="str">
        <f t="shared" si="3"/>
        <v>1</v>
      </c>
      <c r="J23" t="str">
        <f t="shared" si="27"/>
        <v>M</v>
      </c>
      <c r="K23" t="str">
        <f t="shared" si="4"/>
        <v>170</v>
      </c>
      <c r="L23" t="str">
        <f>"05"</f>
        <v>05</v>
      </c>
      <c r="M23" t="str">
        <f>"148"</f>
        <v>148</v>
      </c>
      <c r="N23" t="str">
        <f>"3"</f>
        <v>3</v>
      </c>
      <c r="O23" t="str">
        <f>"9997"</f>
        <v>9997</v>
      </c>
      <c r="P23" t="str">
        <f t="shared" si="30"/>
        <v>S</v>
      </c>
      <c r="Q23" t="str">
        <f>"ESS091"</f>
        <v>ESS091</v>
      </c>
      <c r="R23" t="str">
        <f t="shared" si="5"/>
        <v>6</v>
      </c>
      <c r="S23" t="str">
        <f>""</f>
        <v/>
      </c>
      <c r="T23" t="str">
        <f t="shared" si="6"/>
        <v xml:space="preserve">                                                                                                    </v>
      </c>
      <c r="U23" t="str">
        <f>"2         "</f>
        <v xml:space="preserve">2         </v>
      </c>
      <c r="V23" t="str">
        <f t="shared" si="33"/>
        <v>2</v>
      </c>
      <c r="W23" t="str">
        <f t="shared" si="33"/>
        <v>2</v>
      </c>
      <c r="X23" t="str">
        <f t="shared" si="33"/>
        <v>2</v>
      </c>
      <c r="Y23" t="str">
        <f t="shared" si="33"/>
        <v>2</v>
      </c>
      <c r="Z23" t="str">
        <f t="shared" si="33"/>
        <v>2</v>
      </c>
      <c r="AA23" t="str">
        <f t="shared" si="8"/>
        <v xml:space="preserve">          </v>
      </c>
      <c r="AB23" t="str">
        <f t="shared" si="34"/>
        <v>2</v>
      </c>
      <c r="AC23" t="str">
        <f t="shared" si="34"/>
        <v>2</v>
      </c>
      <c r="AD23" t="str">
        <f t="shared" si="34"/>
        <v>2</v>
      </c>
      <c r="AE23" t="str">
        <f t="shared" si="34"/>
        <v>2</v>
      </c>
      <c r="AF23" t="str">
        <f t="shared" si="34"/>
        <v>2</v>
      </c>
      <c r="AG23" t="str">
        <f t="shared" si="34"/>
        <v>2</v>
      </c>
      <c r="AH23" t="str">
        <f t="shared" si="10"/>
        <v>1</v>
      </c>
      <c r="AI23" t="str">
        <f t="shared" si="32"/>
        <v xml:space="preserve">1         </v>
      </c>
      <c r="AJ23" t="str">
        <f t="shared" si="11"/>
        <v>170</v>
      </c>
      <c r="AK23" t="str">
        <f>"05"</f>
        <v>05</v>
      </c>
      <c r="AL23" t="str">
        <f>"148"</f>
        <v>148</v>
      </c>
      <c r="AM23" t="str">
        <f>"05"</f>
        <v>05</v>
      </c>
      <c r="AN23" t="str">
        <f>"05615"</f>
        <v>05615</v>
      </c>
      <c r="AO23" t="str">
        <f>"3/04/2020 12:00:00 a. m."</f>
        <v>3/04/2020 12:00:00 a. m.</v>
      </c>
      <c r="AP23" t="str">
        <f>"2/11/2018 12:00:00 a. m."</f>
        <v>2/11/2018 12:00:00 a. m.</v>
      </c>
      <c r="AQ23" t="str">
        <f t="shared" si="31"/>
        <v>3</v>
      </c>
      <c r="AR23" t="str">
        <f t="shared" si="29"/>
        <v>1</v>
      </c>
      <c r="AS23" t="str">
        <f>"3/04/2020 12:00:00 a. m."</f>
        <v>3/04/2020 12:00:00 a. m.</v>
      </c>
      <c r="AT23" t="str">
        <f t="shared" ref="AT23:AT54" si="36">"1"</f>
        <v>1</v>
      </c>
      <c r="AU23" t="str">
        <f>""</f>
        <v/>
      </c>
      <c r="AV23" t="str">
        <f>"0"</f>
        <v>0</v>
      </c>
      <c r="AW23" t="str">
        <f>"7/07/2013 12:00:00 a. m."</f>
        <v>7/07/2013 12:00:00 a. m.</v>
      </c>
      <c r="AX23" t="str">
        <f>""</f>
        <v/>
      </c>
      <c r="AY23" t="str">
        <f t="shared" si="13"/>
        <v>30/04/2021 12:00:00 a. m.</v>
      </c>
      <c r="AZ23" t="str">
        <f>"3/04/2020 12:00:00 a. m."</f>
        <v>3/04/2020 12:00:00 a. m.</v>
      </c>
      <c r="BA23" t="str">
        <f>""</f>
        <v/>
      </c>
      <c r="BB23" t="str">
        <f>""</f>
        <v/>
      </c>
      <c r="BC23" t="str">
        <f>""</f>
        <v/>
      </c>
      <c r="BD23" t="str">
        <f t="shared" si="35"/>
        <v>1</v>
      </c>
      <c r="BE23" t="str">
        <f t="shared" si="35"/>
        <v>1</v>
      </c>
      <c r="BF23" t="str">
        <f t="shared" si="15"/>
        <v xml:space="preserve">3         </v>
      </c>
      <c r="BG23" t="str">
        <f t="shared" si="16"/>
        <v>Confirmado por laboratorio</v>
      </c>
      <c r="BH23" t="str">
        <f>"SOCIEDAD MEDICA DE RIONEGRO SA SOMER SA"</f>
        <v>SOCIEDAD MEDICA DE RIONEGRO SA SOMER SA</v>
      </c>
      <c r="BI23" t="str">
        <f t="shared" si="17"/>
        <v>COLOMBIA</v>
      </c>
      <c r="BJ23" t="str">
        <f t="shared" si="18"/>
        <v>CANCER INFANTIL</v>
      </c>
      <c r="BK23" t="str">
        <f>"ANTIOQUIA"</f>
        <v>ANTIOQUIA</v>
      </c>
      <c r="BL23" t="str">
        <f>"CARMEN DE VIBORAL"</f>
        <v>CARMEN DE VIBORAL</v>
      </c>
      <c r="BM23" t="str">
        <f t="shared" si="19"/>
        <v>COLOMBIA</v>
      </c>
      <c r="BN23" t="str">
        <f>"ANTIOQUIA"</f>
        <v>ANTIOQUIA</v>
      </c>
      <c r="BO23" t="str">
        <f>"CARMEN DE VIBORAL"</f>
        <v>CARMEN DE VIBORAL</v>
      </c>
      <c r="BP23" t="str">
        <f>"ANTIOQUIA"</f>
        <v>ANTIOQUIA</v>
      </c>
      <c r="BQ23" t="str">
        <f>"RIONEGRO"</f>
        <v>RIONEGRO</v>
      </c>
    </row>
    <row r="24" spans="1:69" x14ac:dyDescent="0.25">
      <c r="A24" t="str">
        <f>"7285600"</f>
        <v>7285600</v>
      </c>
      <c r="B24" t="str">
        <f t="shared" si="0"/>
        <v>459</v>
      </c>
      <c r="C24" t="str">
        <f>"6/08/2020 12:00:00 a. m."</f>
        <v>6/08/2020 12:00:00 a. m.</v>
      </c>
      <c r="D24" t="str">
        <f>"27"</f>
        <v>27</v>
      </c>
      <c r="E24" t="str">
        <f t="shared" si="1"/>
        <v>2020</v>
      </c>
      <c r="F24" t="str">
        <f>"6600100217"</f>
        <v>6600100217</v>
      </c>
      <c r="G24" t="str">
        <f>"10"</f>
        <v>10</v>
      </c>
      <c r="H24" t="str">
        <f>"17"</f>
        <v>17</v>
      </c>
      <c r="I24" t="str">
        <f t="shared" si="3"/>
        <v>1</v>
      </c>
      <c r="J24" t="str">
        <f>"F"</f>
        <v>F</v>
      </c>
      <c r="K24" t="str">
        <f t="shared" si="4"/>
        <v>170</v>
      </c>
      <c r="L24" t="str">
        <f>"76"</f>
        <v>76</v>
      </c>
      <c r="M24" t="str">
        <f>"147"</f>
        <v>147</v>
      </c>
      <c r="N24" t="str">
        <f>"2"</f>
        <v>2</v>
      </c>
      <c r="O24" t="str">
        <f>"9997"</f>
        <v>9997</v>
      </c>
      <c r="P24" t="str">
        <f>"C"</f>
        <v>C</v>
      </c>
      <c r="Q24" t="str">
        <f>"EPS018"</f>
        <v>EPS018</v>
      </c>
      <c r="R24" t="str">
        <f t="shared" si="5"/>
        <v>6</v>
      </c>
      <c r="S24" t="str">
        <f>""</f>
        <v/>
      </c>
      <c r="T24" t="str">
        <f t="shared" si="6"/>
        <v xml:space="preserve">                                                                                                    </v>
      </c>
      <c r="U24" t="str">
        <f>"3         "</f>
        <v xml:space="preserve">3         </v>
      </c>
      <c r="V24" t="str">
        <f t="shared" si="33"/>
        <v>2</v>
      </c>
      <c r="W24" t="str">
        <f t="shared" si="33"/>
        <v>2</v>
      </c>
      <c r="X24" t="str">
        <f t="shared" si="33"/>
        <v>2</v>
      </c>
      <c r="Y24" t="str">
        <f t="shared" si="33"/>
        <v>2</v>
      </c>
      <c r="Z24" t="str">
        <f t="shared" si="33"/>
        <v>2</v>
      </c>
      <c r="AA24" t="str">
        <f t="shared" si="8"/>
        <v xml:space="preserve">          </v>
      </c>
      <c r="AB24" t="str">
        <f t="shared" si="34"/>
        <v>2</v>
      </c>
      <c r="AC24" t="str">
        <f t="shared" si="34"/>
        <v>2</v>
      </c>
      <c r="AD24" t="str">
        <f t="shared" si="34"/>
        <v>2</v>
      </c>
      <c r="AE24" t="str">
        <f t="shared" si="34"/>
        <v>2</v>
      </c>
      <c r="AF24" t="str">
        <f t="shared" si="34"/>
        <v>2</v>
      </c>
      <c r="AG24" t="str">
        <f t="shared" si="34"/>
        <v>2</v>
      </c>
      <c r="AH24" t="str">
        <f t="shared" si="10"/>
        <v>1</v>
      </c>
      <c r="AI24" t="str">
        <f t="shared" si="32"/>
        <v xml:space="preserve">1         </v>
      </c>
      <c r="AJ24" t="str">
        <f t="shared" si="11"/>
        <v>170</v>
      </c>
      <c r="AK24" t="str">
        <f>"76"</f>
        <v>76</v>
      </c>
      <c r="AL24" t="str">
        <f>"147"</f>
        <v>147</v>
      </c>
      <c r="AM24" t="str">
        <f>"66"</f>
        <v>66</v>
      </c>
      <c r="AN24" t="str">
        <f>"66001"</f>
        <v>66001</v>
      </c>
      <c r="AO24" t="str">
        <f>"28/06/2020 12:00:00 a. m."</f>
        <v>28/06/2020 12:00:00 a. m.</v>
      </c>
      <c r="AP24" t="str">
        <f>"28/06/2020 12:00:00 a. m."</f>
        <v>28/06/2020 12:00:00 a. m.</v>
      </c>
      <c r="AQ24" t="str">
        <f>"2"</f>
        <v>2</v>
      </c>
      <c r="AR24" t="str">
        <f t="shared" si="29"/>
        <v>1</v>
      </c>
      <c r="AS24" t="str">
        <f>"28/06/2020 12:00:00 a. m."</f>
        <v>28/06/2020 12:00:00 a. m.</v>
      </c>
      <c r="AT24" t="str">
        <f t="shared" si="36"/>
        <v>1</v>
      </c>
      <c r="AU24" t="str">
        <f>""</f>
        <v/>
      </c>
      <c r="AV24" t="str">
        <f>"3"</f>
        <v>3</v>
      </c>
      <c r="AW24" t="str">
        <f>"10/09/2002 12:00:00 a. m."</f>
        <v>10/09/2002 12:00:00 a. m.</v>
      </c>
      <c r="AX24" t="str">
        <f>""</f>
        <v/>
      </c>
      <c r="AY24" t="str">
        <f t="shared" si="13"/>
        <v>30/04/2021 12:00:00 a. m.</v>
      </c>
      <c r="AZ24" t="str">
        <f>"9/09/2020 12:00:00 a. m."</f>
        <v>9/09/2020 12:00:00 a. m.</v>
      </c>
      <c r="BA24" t="str">
        <f>""</f>
        <v/>
      </c>
      <c r="BB24" t="str">
        <f>""</f>
        <v/>
      </c>
      <c r="BC24" t="str">
        <f>""</f>
        <v/>
      </c>
      <c r="BD24" t="str">
        <f t="shared" si="35"/>
        <v>1</v>
      </c>
      <c r="BE24" t="str">
        <f t="shared" si="35"/>
        <v>1</v>
      </c>
      <c r="BF24" t="str">
        <f t="shared" si="15"/>
        <v xml:space="preserve">3         </v>
      </c>
      <c r="BG24" t="str">
        <f t="shared" si="16"/>
        <v>Confirmado por laboratorio</v>
      </c>
      <c r="BH24" t="str">
        <f>"COMFAMILIAR RISARALDA CLINICA COMFAMILIAR"</f>
        <v>COMFAMILIAR RISARALDA CLINICA COMFAMILIAR</v>
      </c>
      <c r="BI24" t="str">
        <f t="shared" si="17"/>
        <v>COLOMBIA</v>
      </c>
      <c r="BJ24" t="str">
        <f t="shared" si="18"/>
        <v>CANCER INFANTIL</v>
      </c>
      <c r="BK24" t="str">
        <f>"VALLE"</f>
        <v>VALLE</v>
      </c>
      <c r="BL24" t="str">
        <f>"CARTAGO"</f>
        <v>CARTAGO</v>
      </c>
      <c r="BM24" t="str">
        <f t="shared" si="19"/>
        <v>COLOMBIA</v>
      </c>
      <c r="BN24" t="str">
        <f>"VALLE"</f>
        <v>VALLE</v>
      </c>
      <c r="BO24" t="str">
        <f>"CARTAGO"</f>
        <v>CARTAGO</v>
      </c>
      <c r="BP24" t="str">
        <f>"RISARALDA"</f>
        <v>RISARALDA</v>
      </c>
      <c r="BQ24" t="str">
        <f>"PEREIRA"</f>
        <v>PEREIRA</v>
      </c>
    </row>
    <row r="25" spans="1:69" x14ac:dyDescent="0.25">
      <c r="A25" t="str">
        <f>"7285716"</f>
        <v>7285716</v>
      </c>
      <c r="B25" t="str">
        <f t="shared" si="0"/>
        <v>459</v>
      </c>
      <c r="C25" t="str">
        <f>"8/06/2020 12:00:00 a. m."</f>
        <v>8/06/2020 12:00:00 a. m.</v>
      </c>
      <c r="D25" t="str">
        <f>"21"</f>
        <v>21</v>
      </c>
      <c r="E25" t="str">
        <f t="shared" si="1"/>
        <v>2020</v>
      </c>
      <c r="F25" t="str">
        <f>"0500102104"</f>
        <v>0500102104</v>
      </c>
      <c r="G25" t="str">
        <f t="shared" ref="G25:G36" si="37">"01"</f>
        <v>01</v>
      </c>
      <c r="H25" t="str">
        <f>"9"</f>
        <v>9</v>
      </c>
      <c r="I25" t="str">
        <f>"2"</f>
        <v>2</v>
      </c>
      <c r="J25" t="str">
        <f>"F"</f>
        <v>F</v>
      </c>
      <c r="K25" t="str">
        <f t="shared" si="4"/>
        <v>170</v>
      </c>
      <c r="L25" t="str">
        <f>"05"</f>
        <v>05</v>
      </c>
      <c r="M25" t="str">
        <f>"107"</f>
        <v>107</v>
      </c>
      <c r="N25" t="str">
        <f t="shared" ref="N25:N33" si="38">"1"</f>
        <v>1</v>
      </c>
      <c r="O25" t="str">
        <f>"9999"</f>
        <v>9999</v>
      </c>
      <c r="P25" t="str">
        <f>"S"</f>
        <v>S</v>
      </c>
      <c r="Q25" t="str">
        <f>"ESS024"</f>
        <v>ESS024</v>
      </c>
      <c r="R25" t="str">
        <f t="shared" si="5"/>
        <v>6</v>
      </c>
      <c r="S25" t="str">
        <f>""</f>
        <v/>
      </c>
      <c r="T25" t="str">
        <f t="shared" si="6"/>
        <v xml:space="preserve">                                                                                                    </v>
      </c>
      <c r="U25" t="str">
        <f>"2         "</f>
        <v xml:space="preserve">2         </v>
      </c>
      <c r="V25" t="str">
        <f t="shared" si="33"/>
        <v>2</v>
      </c>
      <c r="W25" t="str">
        <f t="shared" si="33"/>
        <v>2</v>
      </c>
      <c r="X25" t="str">
        <f t="shared" si="33"/>
        <v>2</v>
      </c>
      <c r="Y25" t="str">
        <f t="shared" si="33"/>
        <v>2</v>
      </c>
      <c r="Z25" t="str">
        <f t="shared" si="33"/>
        <v>2</v>
      </c>
      <c r="AA25" t="str">
        <f t="shared" si="8"/>
        <v xml:space="preserve">          </v>
      </c>
      <c r="AB25" t="str">
        <f t="shared" si="34"/>
        <v>2</v>
      </c>
      <c r="AC25" t="str">
        <f t="shared" si="34"/>
        <v>2</v>
      </c>
      <c r="AD25" t="str">
        <f t="shared" si="34"/>
        <v>2</v>
      </c>
      <c r="AE25" t="str">
        <f t="shared" si="34"/>
        <v>2</v>
      </c>
      <c r="AF25" t="str">
        <f t="shared" si="34"/>
        <v>2</v>
      </c>
      <c r="AG25" t="str">
        <f t="shared" si="34"/>
        <v>2</v>
      </c>
      <c r="AH25" t="str">
        <f t="shared" si="10"/>
        <v>1</v>
      </c>
      <c r="AI25" t="str">
        <f t="shared" si="32"/>
        <v xml:space="preserve">1         </v>
      </c>
      <c r="AJ25" t="str">
        <f t="shared" si="11"/>
        <v>170</v>
      </c>
      <c r="AK25" t="str">
        <f>"05"</f>
        <v>05</v>
      </c>
      <c r="AL25" t="str">
        <f>"107"</f>
        <v>107</v>
      </c>
      <c r="AM25" t="str">
        <f>"05"</f>
        <v>05</v>
      </c>
      <c r="AN25" t="str">
        <f>"05001"</f>
        <v>05001</v>
      </c>
      <c r="AO25" t="str">
        <f>"22/05/2020 12:00:00 a. m."</f>
        <v>22/05/2020 12:00:00 a. m.</v>
      </c>
      <c r="AP25" t="str">
        <f>"22/04/2020 12:00:00 a. m."</f>
        <v>22/04/2020 12:00:00 a. m.</v>
      </c>
      <c r="AQ25" t="str">
        <f>"3"</f>
        <v>3</v>
      </c>
      <c r="AR25" t="str">
        <f t="shared" si="29"/>
        <v>1</v>
      </c>
      <c r="AS25" t="str">
        <f>"22/05/2020 12:00:00 a. m."</f>
        <v>22/05/2020 12:00:00 a. m.</v>
      </c>
      <c r="AT25" t="str">
        <f t="shared" si="36"/>
        <v>1</v>
      </c>
      <c r="AU25" t="str">
        <f>""</f>
        <v/>
      </c>
      <c r="AV25" t="str">
        <f>"0"</f>
        <v>0</v>
      </c>
      <c r="AW25" t="str">
        <f>"3/10/2019 12:00:00 a. m."</f>
        <v>3/10/2019 12:00:00 a. m.</v>
      </c>
      <c r="AX25" t="str">
        <f>""</f>
        <v/>
      </c>
      <c r="AY25" t="str">
        <f t="shared" si="13"/>
        <v>30/04/2021 12:00:00 a. m.</v>
      </c>
      <c r="AZ25" t="str">
        <f>"22/07/2020 12:00:00 a. m."</f>
        <v>22/07/2020 12:00:00 a. m.</v>
      </c>
      <c r="BA25" t="str">
        <f>""</f>
        <v/>
      </c>
      <c r="BB25" t="str">
        <f>""</f>
        <v/>
      </c>
      <c r="BC25" t="str">
        <f>""</f>
        <v/>
      </c>
      <c r="BD25" t="str">
        <f t="shared" si="35"/>
        <v>1</v>
      </c>
      <c r="BE25" t="str">
        <f t="shared" si="35"/>
        <v>1</v>
      </c>
      <c r="BF25" t="str">
        <f t="shared" si="15"/>
        <v xml:space="preserve">3         </v>
      </c>
      <c r="BG25" t="str">
        <f t="shared" si="16"/>
        <v>Confirmado por laboratorio</v>
      </c>
      <c r="BH25" t="str">
        <f>"HOSPITAL PABLO TOBON URIBE"</f>
        <v>HOSPITAL PABLO TOBON URIBE</v>
      </c>
      <c r="BI25" t="str">
        <f t="shared" si="17"/>
        <v>COLOMBIA</v>
      </c>
      <c r="BJ25" t="str">
        <f t="shared" si="18"/>
        <v>CANCER INFANTIL</v>
      </c>
      <c r="BK25" t="str">
        <f>"ANTIOQUIA"</f>
        <v>ANTIOQUIA</v>
      </c>
      <c r="BL25" t="str">
        <f>"BRICENO"</f>
        <v>BRICENO</v>
      </c>
      <c r="BM25" t="str">
        <f t="shared" si="19"/>
        <v>COLOMBIA</v>
      </c>
      <c r="BN25" t="str">
        <f>"ANTIOQUIA"</f>
        <v>ANTIOQUIA</v>
      </c>
      <c r="BO25" t="str">
        <f>"BRICENO"</f>
        <v>BRICENO</v>
      </c>
      <c r="BP25" t="str">
        <f>"ANTIOQUIA"</f>
        <v>ANTIOQUIA</v>
      </c>
      <c r="BQ25" t="str">
        <f>"MEDELLIN"</f>
        <v>MEDELLIN</v>
      </c>
    </row>
    <row r="26" spans="1:69" x14ac:dyDescent="0.25">
      <c r="A26" t="str">
        <f>"7285626"</f>
        <v>7285626</v>
      </c>
      <c r="B26" t="str">
        <f t="shared" si="0"/>
        <v>459</v>
      </c>
      <c r="C26" t="str">
        <f>"26/04/2020 12:00:00 a. m."</f>
        <v>26/04/2020 12:00:00 a. m.</v>
      </c>
      <c r="D26" t="str">
        <f>"18"</f>
        <v>18</v>
      </c>
      <c r="E26" t="str">
        <f t="shared" si="1"/>
        <v>2020</v>
      </c>
      <c r="F26" t="str">
        <f>"5200100283"</f>
        <v>5200100283</v>
      </c>
      <c r="G26" t="str">
        <f t="shared" si="37"/>
        <v>01</v>
      </c>
      <c r="H26" t="str">
        <f>"17"</f>
        <v>17</v>
      </c>
      <c r="I26" t="str">
        <f t="shared" ref="I26:I69" si="39">"1"</f>
        <v>1</v>
      </c>
      <c r="J26" t="str">
        <f>"M"</f>
        <v>M</v>
      </c>
      <c r="K26" t="str">
        <f t="shared" si="4"/>
        <v>170</v>
      </c>
      <c r="L26" t="str">
        <f>"86"</f>
        <v>86</v>
      </c>
      <c r="M26" t="str">
        <f>"568"</f>
        <v>568</v>
      </c>
      <c r="N26" t="str">
        <f t="shared" si="38"/>
        <v>1</v>
      </c>
      <c r="O26" t="str">
        <f>"9997"</f>
        <v>9997</v>
      </c>
      <c r="P26" t="str">
        <f>"S"</f>
        <v>S</v>
      </c>
      <c r="Q26" t="str">
        <f>"ESS118"</f>
        <v>ESS118</v>
      </c>
      <c r="R26" t="str">
        <f t="shared" si="5"/>
        <v>6</v>
      </c>
      <c r="S26" t="str">
        <f>""</f>
        <v/>
      </c>
      <c r="T26" t="str">
        <f t="shared" si="6"/>
        <v xml:space="preserve">                                                                                                    </v>
      </c>
      <c r="U26" t="str">
        <f>"1         "</f>
        <v xml:space="preserve">1         </v>
      </c>
      <c r="V26" t="str">
        <f t="shared" si="33"/>
        <v>2</v>
      </c>
      <c r="W26" t="str">
        <f t="shared" si="33"/>
        <v>2</v>
      </c>
      <c r="X26" t="str">
        <f t="shared" si="33"/>
        <v>2</v>
      </c>
      <c r="Y26" t="str">
        <f t="shared" si="33"/>
        <v>2</v>
      </c>
      <c r="Z26" t="str">
        <f t="shared" si="33"/>
        <v>2</v>
      </c>
      <c r="AA26" t="str">
        <f t="shared" si="8"/>
        <v xml:space="preserve">          </v>
      </c>
      <c r="AB26" t="str">
        <f t="shared" si="34"/>
        <v>2</v>
      </c>
      <c r="AC26" t="str">
        <f t="shared" si="34"/>
        <v>2</v>
      </c>
      <c r="AD26" t="str">
        <f t="shared" si="34"/>
        <v>2</v>
      </c>
      <c r="AE26" t="str">
        <f t="shared" si="34"/>
        <v>2</v>
      </c>
      <c r="AF26" t="str">
        <f t="shared" si="34"/>
        <v>2</v>
      </c>
      <c r="AG26" t="str">
        <f t="shared" si="34"/>
        <v>2</v>
      </c>
      <c r="AH26" t="str">
        <f t="shared" si="10"/>
        <v>1</v>
      </c>
      <c r="AI26" t="str">
        <f t="shared" si="32"/>
        <v xml:space="preserve">1         </v>
      </c>
      <c r="AJ26" t="str">
        <f t="shared" si="11"/>
        <v>170</v>
      </c>
      <c r="AK26" t="str">
        <f>"86"</f>
        <v>86</v>
      </c>
      <c r="AL26" t="str">
        <f>"568"</f>
        <v>568</v>
      </c>
      <c r="AM26" t="str">
        <f>"52"</f>
        <v>52</v>
      </c>
      <c r="AN26" t="str">
        <f>"52001"</f>
        <v>52001</v>
      </c>
      <c r="AO26" t="str">
        <f>"26/04/2020 12:00:00 a. m."</f>
        <v>26/04/2020 12:00:00 a. m.</v>
      </c>
      <c r="AP26" t="str">
        <f>"26/04/2020 12:00:00 a. m."</f>
        <v>26/04/2020 12:00:00 a. m.</v>
      </c>
      <c r="AQ26" t="str">
        <f>"2"</f>
        <v>2</v>
      </c>
      <c r="AR26" t="str">
        <f t="shared" si="29"/>
        <v>1</v>
      </c>
      <c r="AS26" t="str">
        <f>"26/04/2020 12:00:00 a. m."</f>
        <v>26/04/2020 12:00:00 a. m.</v>
      </c>
      <c r="AT26" t="str">
        <f t="shared" si="36"/>
        <v>1</v>
      </c>
      <c r="AU26" t="str">
        <f>""</f>
        <v/>
      </c>
      <c r="AV26" t="str">
        <f>"3"</f>
        <v>3</v>
      </c>
      <c r="AW26" t="str">
        <f>"14/05/2002 12:00:00 a. m."</f>
        <v>14/05/2002 12:00:00 a. m.</v>
      </c>
      <c r="AX26" t="str">
        <f>""</f>
        <v/>
      </c>
      <c r="AY26" t="str">
        <f t="shared" si="13"/>
        <v>30/04/2021 12:00:00 a. m.</v>
      </c>
      <c r="AZ26" t="str">
        <f>"15/07/2020 12:00:00 a. m."</f>
        <v>15/07/2020 12:00:00 a. m.</v>
      </c>
      <c r="BA26" t="str">
        <f>""</f>
        <v/>
      </c>
      <c r="BB26" t="str">
        <f>""</f>
        <v/>
      </c>
      <c r="BC26" t="str">
        <f>""</f>
        <v/>
      </c>
      <c r="BD26" t="str">
        <f t="shared" si="35"/>
        <v>1</v>
      </c>
      <c r="BE26" t="str">
        <f t="shared" si="35"/>
        <v>1</v>
      </c>
      <c r="BF26" t="str">
        <f t="shared" si="15"/>
        <v xml:space="preserve">3         </v>
      </c>
      <c r="BG26" t="str">
        <f t="shared" si="16"/>
        <v>Confirmado por laboratorio</v>
      </c>
      <c r="BH26" t="str">
        <f>"HOSPITAL INFANTIL LOS ANGELES"</f>
        <v>HOSPITAL INFANTIL LOS ANGELES</v>
      </c>
      <c r="BI26" t="str">
        <f t="shared" si="17"/>
        <v>COLOMBIA</v>
      </c>
      <c r="BJ26" t="str">
        <f t="shared" si="18"/>
        <v>CANCER INFANTIL</v>
      </c>
      <c r="BK26" t="str">
        <f>"PUTUMAYO"</f>
        <v>PUTUMAYO</v>
      </c>
      <c r="BL26" t="str">
        <f>"PUERTO ASIS"</f>
        <v>PUERTO ASIS</v>
      </c>
      <c r="BM26" t="str">
        <f t="shared" si="19"/>
        <v>COLOMBIA</v>
      </c>
      <c r="BN26" t="str">
        <f>"PUTUMAYO"</f>
        <v>PUTUMAYO</v>
      </c>
      <c r="BO26" t="str">
        <f>"PUERTO ASIS"</f>
        <v>PUERTO ASIS</v>
      </c>
      <c r="BP26" t="str">
        <f>"NARIÑO"</f>
        <v>NARIÑO</v>
      </c>
      <c r="BQ26" t="str">
        <f>"PASTO"</f>
        <v>PASTO</v>
      </c>
    </row>
    <row r="27" spans="1:69" x14ac:dyDescent="0.25">
      <c r="A27" t="str">
        <f>"7285541"</f>
        <v>7285541</v>
      </c>
      <c r="B27" t="str">
        <f t="shared" si="0"/>
        <v>459</v>
      </c>
      <c r="C27" t="str">
        <f>"10/07/2020 12:00:00 a. m."</f>
        <v>10/07/2020 12:00:00 a. m.</v>
      </c>
      <c r="D27" t="str">
        <f>"24"</f>
        <v>24</v>
      </c>
      <c r="E27" t="str">
        <f t="shared" si="1"/>
        <v>2020</v>
      </c>
      <c r="F27" t="str">
        <f>"6854704947"</f>
        <v>6854704947</v>
      </c>
      <c r="G27" t="str">
        <f t="shared" si="37"/>
        <v>01</v>
      </c>
      <c r="H27" t="str">
        <f>"13"</f>
        <v>13</v>
      </c>
      <c r="I27" t="str">
        <f t="shared" si="39"/>
        <v>1</v>
      </c>
      <c r="J27" t="str">
        <f>"M"</f>
        <v>M</v>
      </c>
      <c r="K27" t="str">
        <f t="shared" si="4"/>
        <v>170</v>
      </c>
      <c r="L27" t="str">
        <f>"68"</f>
        <v>68</v>
      </c>
      <c r="M27" t="str">
        <f>"276"</f>
        <v>276</v>
      </c>
      <c r="N27" t="str">
        <f t="shared" si="38"/>
        <v>1</v>
      </c>
      <c r="O27" t="str">
        <f>"9997"</f>
        <v>9997</v>
      </c>
      <c r="P27" t="str">
        <f>"C"</f>
        <v>C</v>
      </c>
      <c r="Q27" t="str">
        <f>"EMP029"</f>
        <v>EMP029</v>
      </c>
      <c r="R27" t="str">
        <f t="shared" si="5"/>
        <v>6</v>
      </c>
      <c r="S27" t="str">
        <f>""</f>
        <v/>
      </c>
      <c r="T27" t="str">
        <f t="shared" si="6"/>
        <v xml:space="preserve">                                                                                                    </v>
      </c>
      <c r="U27" t="str">
        <f>"4         "</f>
        <v xml:space="preserve">4         </v>
      </c>
      <c r="V27" t="str">
        <f t="shared" si="33"/>
        <v>2</v>
      </c>
      <c r="W27" t="str">
        <f t="shared" si="33"/>
        <v>2</v>
      </c>
      <c r="X27" t="str">
        <f t="shared" si="33"/>
        <v>2</v>
      </c>
      <c r="Y27" t="str">
        <f t="shared" si="33"/>
        <v>2</v>
      </c>
      <c r="Z27" t="str">
        <f t="shared" si="33"/>
        <v>2</v>
      </c>
      <c r="AA27" t="str">
        <f t="shared" si="8"/>
        <v xml:space="preserve">          </v>
      </c>
      <c r="AB27" t="str">
        <f t="shared" si="34"/>
        <v>2</v>
      </c>
      <c r="AC27" t="str">
        <f t="shared" si="34"/>
        <v>2</v>
      </c>
      <c r="AD27" t="str">
        <f t="shared" si="34"/>
        <v>2</v>
      </c>
      <c r="AE27" t="str">
        <f t="shared" si="34"/>
        <v>2</v>
      </c>
      <c r="AF27" t="str">
        <f t="shared" si="34"/>
        <v>2</v>
      </c>
      <c r="AG27" t="str">
        <f t="shared" si="34"/>
        <v>2</v>
      </c>
      <c r="AH27" t="str">
        <f t="shared" si="10"/>
        <v>1</v>
      </c>
      <c r="AI27" t="str">
        <f t="shared" si="32"/>
        <v xml:space="preserve">1         </v>
      </c>
      <c r="AJ27" t="str">
        <f t="shared" si="11"/>
        <v>170</v>
      </c>
      <c r="AK27" t="str">
        <f>"68"</f>
        <v>68</v>
      </c>
      <c r="AL27" t="str">
        <f>"276"</f>
        <v>276</v>
      </c>
      <c r="AM27" t="str">
        <f>"68"</f>
        <v>68</v>
      </c>
      <c r="AN27" t="str">
        <f>"68547"</f>
        <v>68547</v>
      </c>
      <c r="AO27" t="str">
        <f>"7/06/2020 12:00:00 a. m."</f>
        <v>7/06/2020 12:00:00 a. m.</v>
      </c>
      <c r="AP27" t="str">
        <f>"6/06/2020 12:00:00 a. m."</f>
        <v>6/06/2020 12:00:00 a. m.</v>
      </c>
      <c r="AQ27" t="str">
        <f t="shared" ref="AQ27:AQ37" si="40">"3"</f>
        <v>3</v>
      </c>
      <c r="AR27" t="str">
        <f t="shared" si="29"/>
        <v>1</v>
      </c>
      <c r="AS27" t="str">
        <f>"7/06/2020 12:00:00 a. m."</f>
        <v>7/06/2020 12:00:00 a. m.</v>
      </c>
      <c r="AT27" t="str">
        <f t="shared" si="36"/>
        <v>1</v>
      </c>
      <c r="AU27" t="str">
        <f>""</f>
        <v/>
      </c>
      <c r="AV27" t="str">
        <f>"0"</f>
        <v>0</v>
      </c>
      <c r="AW27" t="str">
        <f>"21/02/2007 12:00:00 a. m."</f>
        <v>21/02/2007 12:00:00 a. m.</v>
      </c>
      <c r="AX27" t="str">
        <f>""</f>
        <v/>
      </c>
      <c r="AY27" t="str">
        <f t="shared" si="13"/>
        <v>30/04/2021 12:00:00 a. m.</v>
      </c>
      <c r="AZ27" t="str">
        <f>"10/07/2020 12:00:00 a. m."</f>
        <v>10/07/2020 12:00:00 a. m.</v>
      </c>
      <c r="BA27" t="str">
        <f>""</f>
        <v/>
      </c>
      <c r="BB27" t="str">
        <f>""</f>
        <v/>
      </c>
      <c r="BC27" t="str">
        <f>""</f>
        <v/>
      </c>
      <c r="BD27" t="str">
        <f t="shared" si="35"/>
        <v>1</v>
      </c>
      <c r="BE27" t="str">
        <f t="shared" si="35"/>
        <v>1</v>
      </c>
      <c r="BF27" t="str">
        <f t="shared" si="15"/>
        <v xml:space="preserve">3         </v>
      </c>
      <c r="BG27" t="str">
        <f t="shared" si="16"/>
        <v>Confirmado por laboratorio</v>
      </c>
      <c r="BH27" t="str">
        <f>"HOSPITAL INTERNACIONAL DE COLOMBIA"</f>
        <v>HOSPITAL INTERNACIONAL DE COLOMBIA</v>
      </c>
      <c r="BI27" t="str">
        <f t="shared" si="17"/>
        <v>COLOMBIA</v>
      </c>
      <c r="BJ27" t="str">
        <f t="shared" si="18"/>
        <v>CANCER INFANTIL</v>
      </c>
      <c r="BK27" t="str">
        <f>"SANTANDER"</f>
        <v>SANTANDER</v>
      </c>
      <c r="BL27" t="str">
        <f>"FLORIDABLANCA"</f>
        <v>FLORIDABLANCA</v>
      </c>
      <c r="BM27" t="str">
        <f t="shared" si="19"/>
        <v>COLOMBIA</v>
      </c>
      <c r="BN27" t="str">
        <f>"SANTANDER"</f>
        <v>SANTANDER</v>
      </c>
      <c r="BO27" t="str">
        <f>"FLORIDABLANCA"</f>
        <v>FLORIDABLANCA</v>
      </c>
      <c r="BP27" t="str">
        <f>"SANTANDER"</f>
        <v>SANTANDER</v>
      </c>
      <c r="BQ27" t="str">
        <f>"PIEDECUESTA"</f>
        <v>PIEDECUESTA</v>
      </c>
    </row>
    <row r="28" spans="1:69" x14ac:dyDescent="0.25">
      <c r="A28" t="str">
        <f>"7285603"</f>
        <v>7285603</v>
      </c>
      <c r="B28" t="str">
        <f t="shared" si="0"/>
        <v>459</v>
      </c>
      <c r="C28" t="str">
        <f>"8/06/2020 12:00:00 a. m."</f>
        <v>8/06/2020 12:00:00 a. m.</v>
      </c>
      <c r="D28" t="str">
        <f>"22"</f>
        <v>22</v>
      </c>
      <c r="E28" t="str">
        <f t="shared" si="1"/>
        <v>2020</v>
      </c>
      <c r="F28" t="str">
        <f>"6800100431"</f>
        <v>6800100431</v>
      </c>
      <c r="G28" t="str">
        <f t="shared" si="37"/>
        <v>01</v>
      </c>
      <c r="H28" t="str">
        <f>"17"</f>
        <v>17</v>
      </c>
      <c r="I28" t="str">
        <f t="shared" si="39"/>
        <v>1</v>
      </c>
      <c r="J28" t="str">
        <f>"F"</f>
        <v>F</v>
      </c>
      <c r="K28" t="str">
        <f t="shared" si="4"/>
        <v>170</v>
      </c>
      <c r="L28" t="str">
        <f>"68"</f>
        <v>68</v>
      </c>
      <c r="M28" t="str">
        <f>"276"</f>
        <v>276</v>
      </c>
      <c r="N28" t="str">
        <f t="shared" si="38"/>
        <v>1</v>
      </c>
      <c r="O28" t="str">
        <f>"9999"</f>
        <v>9999</v>
      </c>
      <c r="P28" t="str">
        <f>"C"</f>
        <v>C</v>
      </c>
      <c r="Q28" t="str">
        <f>"EPS016"</f>
        <v>EPS016</v>
      </c>
      <c r="R28" t="str">
        <f t="shared" si="5"/>
        <v>6</v>
      </c>
      <c r="S28" t="str">
        <f>""</f>
        <v/>
      </c>
      <c r="T28" t="str">
        <f t="shared" si="6"/>
        <v xml:space="preserve">                                                                                                    </v>
      </c>
      <c r="U28" t="str">
        <f>"          "</f>
        <v xml:space="preserve">          </v>
      </c>
      <c r="V28" t="str">
        <f t="shared" si="33"/>
        <v>2</v>
      </c>
      <c r="W28" t="str">
        <f t="shared" si="33"/>
        <v>2</v>
      </c>
      <c r="X28" t="str">
        <f t="shared" si="33"/>
        <v>2</v>
      </c>
      <c r="Y28" t="str">
        <f t="shared" si="33"/>
        <v>2</v>
      </c>
      <c r="Z28" t="str">
        <f t="shared" si="33"/>
        <v>2</v>
      </c>
      <c r="AA28" t="str">
        <f t="shared" si="8"/>
        <v xml:space="preserve">          </v>
      </c>
      <c r="AB28" t="str">
        <f t="shared" si="34"/>
        <v>2</v>
      </c>
      <c r="AC28" t="str">
        <f t="shared" si="34"/>
        <v>2</v>
      </c>
      <c r="AD28" t="str">
        <f t="shared" si="34"/>
        <v>2</v>
      </c>
      <c r="AE28" t="str">
        <f t="shared" si="34"/>
        <v>2</v>
      </c>
      <c r="AF28" t="str">
        <f t="shared" si="34"/>
        <v>2</v>
      </c>
      <c r="AG28" t="str">
        <f t="shared" si="34"/>
        <v>2</v>
      </c>
      <c r="AH28" t="str">
        <f t="shared" si="10"/>
        <v>1</v>
      </c>
      <c r="AI28" t="str">
        <f t="shared" si="32"/>
        <v xml:space="preserve">1         </v>
      </c>
      <c r="AJ28" t="str">
        <f t="shared" si="11"/>
        <v>170</v>
      </c>
      <c r="AK28" t="str">
        <f>"68"</f>
        <v>68</v>
      </c>
      <c r="AL28" t="str">
        <f>"276"</f>
        <v>276</v>
      </c>
      <c r="AM28" t="str">
        <f>"68"</f>
        <v>68</v>
      </c>
      <c r="AN28" t="str">
        <f>"68001"</f>
        <v>68001</v>
      </c>
      <c r="AO28" t="str">
        <f>"26/05/2020 12:00:00 a. m."</f>
        <v>26/05/2020 12:00:00 a. m.</v>
      </c>
      <c r="AP28" t="str">
        <f>"25/03/2020 12:00:00 a. m."</f>
        <v>25/03/2020 12:00:00 a. m.</v>
      </c>
      <c r="AQ28" t="str">
        <f t="shared" si="40"/>
        <v>3</v>
      </c>
      <c r="AR28" t="str">
        <f t="shared" si="29"/>
        <v>1</v>
      </c>
      <c r="AS28" t="str">
        <f>"26/05/2020 12:00:00 a. m."</f>
        <v>26/05/2020 12:00:00 a. m.</v>
      </c>
      <c r="AT28" t="str">
        <f t="shared" si="36"/>
        <v>1</v>
      </c>
      <c r="AU28" t="str">
        <f>""</f>
        <v/>
      </c>
      <c r="AV28" t="str">
        <f>"0"</f>
        <v>0</v>
      </c>
      <c r="AW28" t="str">
        <f>"8/04/2003 12:00:00 a. m."</f>
        <v>8/04/2003 12:00:00 a. m.</v>
      </c>
      <c r="AX28" t="str">
        <f>""</f>
        <v/>
      </c>
      <c r="AY28" t="str">
        <f t="shared" si="13"/>
        <v>30/04/2021 12:00:00 a. m.</v>
      </c>
      <c r="AZ28" t="str">
        <f>"10/10/2020 12:00:00 a. m."</f>
        <v>10/10/2020 12:00:00 a. m.</v>
      </c>
      <c r="BA28" t="str">
        <f>""</f>
        <v/>
      </c>
      <c r="BB28" t="str">
        <f>""</f>
        <v/>
      </c>
      <c r="BC28" t="str">
        <f>""</f>
        <v/>
      </c>
      <c r="BD28" t="str">
        <f t="shared" si="35"/>
        <v>1</v>
      </c>
      <c r="BE28" t="str">
        <f t="shared" si="35"/>
        <v>1</v>
      </c>
      <c r="BF28" t="str">
        <f t="shared" si="15"/>
        <v xml:space="preserve">3         </v>
      </c>
      <c r="BG28" t="str">
        <f t="shared" si="16"/>
        <v>Confirmado por laboratorio</v>
      </c>
      <c r="BH28" t="str">
        <f>"CLINICA MATERNO INFANTEL SAN LUIS SA"</f>
        <v>CLINICA MATERNO INFANTEL SAN LUIS SA</v>
      </c>
      <c r="BI28" t="str">
        <f t="shared" si="17"/>
        <v>COLOMBIA</v>
      </c>
      <c r="BJ28" t="str">
        <f t="shared" si="18"/>
        <v>CANCER INFANTIL</v>
      </c>
      <c r="BK28" t="str">
        <f>"SANTANDER"</f>
        <v>SANTANDER</v>
      </c>
      <c r="BL28" t="str">
        <f>"FLORIDABLANCA"</f>
        <v>FLORIDABLANCA</v>
      </c>
      <c r="BM28" t="str">
        <f t="shared" si="19"/>
        <v>COLOMBIA</v>
      </c>
      <c r="BN28" t="str">
        <f>"SANTANDER"</f>
        <v>SANTANDER</v>
      </c>
      <c r="BO28" t="str">
        <f>"FLORIDABLANCA"</f>
        <v>FLORIDABLANCA</v>
      </c>
      <c r="BP28" t="str">
        <f>"SANTANDER"</f>
        <v>SANTANDER</v>
      </c>
      <c r="BQ28" t="str">
        <f>"BUCARAMANGA"</f>
        <v>BUCARAMANGA</v>
      </c>
    </row>
    <row r="29" spans="1:69" x14ac:dyDescent="0.25">
      <c r="A29" t="str">
        <f>"7285856"</f>
        <v>7285856</v>
      </c>
      <c r="B29" t="str">
        <f t="shared" si="0"/>
        <v>459</v>
      </c>
      <c r="C29" t="str">
        <f>"6/08/2020 12:00:00 a. m."</f>
        <v>6/08/2020 12:00:00 a. m.</v>
      </c>
      <c r="D29" t="str">
        <f>"29"</f>
        <v>29</v>
      </c>
      <c r="E29" t="str">
        <f t="shared" si="1"/>
        <v>2020</v>
      </c>
      <c r="F29" t="str">
        <f>"6854704947"</f>
        <v>6854704947</v>
      </c>
      <c r="G29" t="str">
        <f t="shared" si="37"/>
        <v>01</v>
      </c>
      <c r="H29" t="str">
        <f>"12"</f>
        <v>12</v>
      </c>
      <c r="I29" t="str">
        <f t="shared" si="39"/>
        <v>1</v>
      </c>
      <c r="J29" t="str">
        <f>"M"</f>
        <v>M</v>
      </c>
      <c r="K29" t="str">
        <f t="shared" si="4"/>
        <v>170</v>
      </c>
      <c r="L29" t="str">
        <f>"20"</f>
        <v>20</v>
      </c>
      <c r="M29" t="str">
        <f>"011"</f>
        <v>011</v>
      </c>
      <c r="N29" t="str">
        <f t="shared" si="38"/>
        <v>1</v>
      </c>
      <c r="O29" t="str">
        <f>"9997"</f>
        <v>9997</v>
      </c>
      <c r="P29" t="str">
        <f>"S"</f>
        <v>S</v>
      </c>
      <c r="Q29" t="str">
        <f>"EPSS41"</f>
        <v>EPSS41</v>
      </c>
      <c r="R29" t="str">
        <f t="shared" si="5"/>
        <v>6</v>
      </c>
      <c r="S29" t="str">
        <f>""</f>
        <v/>
      </c>
      <c r="T29" t="str">
        <f t="shared" si="6"/>
        <v xml:space="preserve">                                                                                                    </v>
      </c>
      <c r="U29" t="str">
        <f>"2         "</f>
        <v xml:space="preserve">2         </v>
      </c>
      <c r="V29" t="str">
        <f t="shared" si="33"/>
        <v>2</v>
      </c>
      <c r="W29" t="str">
        <f t="shared" si="33"/>
        <v>2</v>
      </c>
      <c r="X29" t="str">
        <f t="shared" si="33"/>
        <v>2</v>
      </c>
      <c r="Y29" t="str">
        <f t="shared" si="33"/>
        <v>2</v>
      </c>
      <c r="Z29" t="str">
        <f t="shared" si="33"/>
        <v>2</v>
      </c>
      <c r="AA29" t="str">
        <f t="shared" si="8"/>
        <v xml:space="preserve">          </v>
      </c>
      <c r="AB29" t="str">
        <f t="shared" si="34"/>
        <v>2</v>
      </c>
      <c r="AC29" t="str">
        <f t="shared" si="34"/>
        <v>2</v>
      </c>
      <c r="AD29" t="str">
        <f t="shared" si="34"/>
        <v>2</v>
      </c>
      <c r="AE29" t="str">
        <f t="shared" si="34"/>
        <v>2</v>
      </c>
      <c r="AF29" t="str">
        <f t="shared" si="34"/>
        <v>2</v>
      </c>
      <c r="AG29" t="str">
        <f t="shared" si="34"/>
        <v>2</v>
      </c>
      <c r="AH29" t="str">
        <f t="shared" si="10"/>
        <v>1</v>
      </c>
      <c r="AI29" t="str">
        <f t="shared" si="32"/>
        <v xml:space="preserve">1         </v>
      </c>
      <c r="AJ29" t="str">
        <f t="shared" si="11"/>
        <v>170</v>
      </c>
      <c r="AK29" t="str">
        <f>"20"</f>
        <v>20</v>
      </c>
      <c r="AL29" t="str">
        <f>"011"</f>
        <v>011</v>
      </c>
      <c r="AM29" t="str">
        <f>"68"</f>
        <v>68</v>
      </c>
      <c r="AN29" t="str">
        <f>"68547"</f>
        <v>68547</v>
      </c>
      <c r="AO29" t="str">
        <f>"17/07/2020 12:00:00 a. m."</f>
        <v>17/07/2020 12:00:00 a. m.</v>
      </c>
      <c r="AP29" t="str">
        <f>"10/07/2020 12:00:00 a. m."</f>
        <v>10/07/2020 12:00:00 a. m.</v>
      </c>
      <c r="AQ29" t="str">
        <f t="shared" si="40"/>
        <v>3</v>
      </c>
      <c r="AR29" t="str">
        <f t="shared" si="29"/>
        <v>1</v>
      </c>
      <c r="AS29" t="str">
        <f>"17/07/2020 12:00:00 a. m."</f>
        <v>17/07/2020 12:00:00 a. m.</v>
      </c>
      <c r="AT29" t="str">
        <f t="shared" si="36"/>
        <v>1</v>
      </c>
      <c r="AU29" t="str">
        <f>""</f>
        <v/>
      </c>
      <c r="AV29" t="str">
        <f>"0"</f>
        <v>0</v>
      </c>
      <c r="AW29" t="str">
        <f>"25/01/2008 12:00:00 a. m."</f>
        <v>25/01/2008 12:00:00 a. m.</v>
      </c>
      <c r="AX29" t="str">
        <f>""</f>
        <v/>
      </c>
      <c r="AY29" t="str">
        <f t="shared" si="13"/>
        <v>30/04/2021 12:00:00 a. m.</v>
      </c>
      <c r="AZ29" t="str">
        <f>"6/08/2020 12:00:00 a. m."</f>
        <v>6/08/2020 12:00:00 a. m.</v>
      </c>
      <c r="BA29" t="str">
        <f>""</f>
        <v/>
      </c>
      <c r="BB29" t="str">
        <f>""</f>
        <v/>
      </c>
      <c r="BC29" t="str">
        <f>""</f>
        <v/>
      </c>
      <c r="BD29" t="str">
        <f t="shared" si="35"/>
        <v>1</v>
      </c>
      <c r="BE29" t="str">
        <f t="shared" si="35"/>
        <v>1</v>
      </c>
      <c r="BF29" t="str">
        <f t="shared" si="15"/>
        <v xml:space="preserve">3         </v>
      </c>
      <c r="BG29" t="str">
        <f t="shared" si="16"/>
        <v>Confirmado por laboratorio</v>
      </c>
      <c r="BH29" t="str">
        <f>"HOSPITAL INTERNACIONAL DE COLOMBIA"</f>
        <v>HOSPITAL INTERNACIONAL DE COLOMBIA</v>
      </c>
      <c r="BI29" t="str">
        <f t="shared" si="17"/>
        <v>COLOMBIA</v>
      </c>
      <c r="BJ29" t="str">
        <f t="shared" si="18"/>
        <v>CANCER INFANTIL</v>
      </c>
      <c r="BK29" t="str">
        <f>"CESAR"</f>
        <v>CESAR</v>
      </c>
      <c r="BL29" t="str">
        <f>"AGUACHICA"</f>
        <v>AGUACHICA</v>
      </c>
      <c r="BM29" t="str">
        <f t="shared" si="19"/>
        <v>COLOMBIA</v>
      </c>
      <c r="BN29" t="str">
        <f>"CESAR"</f>
        <v>CESAR</v>
      </c>
      <c r="BO29" t="str">
        <f>"AGUACHICA"</f>
        <v>AGUACHICA</v>
      </c>
      <c r="BP29" t="str">
        <f>"SANTANDER"</f>
        <v>SANTANDER</v>
      </c>
      <c r="BQ29" t="str">
        <f>"PIEDECUESTA"</f>
        <v>PIEDECUESTA</v>
      </c>
    </row>
    <row r="30" spans="1:69" x14ac:dyDescent="0.25">
      <c r="A30" t="str">
        <f>"7285411"</f>
        <v>7285411</v>
      </c>
      <c r="B30" t="str">
        <f t="shared" si="0"/>
        <v>459</v>
      </c>
      <c r="C30" t="str">
        <f>"15/09/2020 12:00:00 a. m."</f>
        <v>15/09/2020 12:00:00 a. m.</v>
      </c>
      <c r="D30" t="str">
        <f>"32"</f>
        <v>32</v>
      </c>
      <c r="E30" t="str">
        <f t="shared" si="1"/>
        <v>2020</v>
      </c>
      <c r="F30" t="str">
        <f>"0500102175"</f>
        <v>0500102175</v>
      </c>
      <c r="G30" t="str">
        <f t="shared" si="37"/>
        <v>01</v>
      </c>
      <c r="H30" t="str">
        <f>"12"</f>
        <v>12</v>
      </c>
      <c r="I30" t="str">
        <f t="shared" si="39"/>
        <v>1</v>
      </c>
      <c r="J30" t="str">
        <f>"F"</f>
        <v>F</v>
      </c>
      <c r="K30" t="str">
        <f t="shared" si="4"/>
        <v>170</v>
      </c>
      <c r="L30" t="str">
        <f>"05"</f>
        <v>05</v>
      </c>
      <c r="M30" t="str">
        <f>"154"</f>
        <v>154</v>
      </c>
      <c r="N30" t="str">
        <f t="shared" si="38"/>
        <v>1</v>
      </c>
      <c r="O30" t="str">
        <f>"9997"</f>
        <v>9997</v>
      </c>
      <c r="P30" t="str">
        <f>"S"</f>
        <v>S</v>
      </c>
      <c r="Q30" t="str">
        <f>"ESS024"</f>
        <v>ESS024</v>
      </c>
      <c r="R30" t="str">
        <f t="shared" si="5"/>
        <v>6</v>
      </c>
      <c r="S30" t="str">
        <f>""</f>
        <v/>
      </c>
      <c r="T30" t="str">
        <f t="shared" si="6"/>
        <v xml:space="preserve">                                                                                                    </v>
      </c>
      <c r="U30" t="str">
        <f>"2         "</f>
        <v xml:space="preserve">2         </v>
      </c>
      <c r="V30" t="str">
        <f t="shared" si="33"/>
        <v>2</v>
      </c>
      <c r="W30" t="str">
        <f t="shared" si="33"/>
        <v>2</v>
      </c>
      <c r="X30" t="str">
        <f t="shared" si="33"/>
        <v>2</v>
      </c>
      <c r="Y30" t="str">
        <f t="shared" si="33"/>
        <v>2</v>
      </c>
      <c r="Z30" t="str">
        <f t="shared" si="33"/>
        <v>2</v>
      </c>
      <c r="AA30" t="str">
        <f t="shared" si="8"/>
        <v xml:space="preserve">          </v>
      </c>
      <c r="AB30" t="str">
        <f t="shared" si="34"/>
        <v>2</v>
      </c>
      <c r="AC30" t="str">
        <f t="shared" si="34"/>
        <v>2</v>
      </c>
      <c r="AD30" t="str">
        <f t="shared" si="34"/>
        <v>2</v>
      </c>
      <c r="AE30" t="str">
        <f t="shared" si="34"/>
        <v>2</v>
      </c>
      <c r="AF30" t="str">
        <f t="shared" si="34"/>
        <v>2</v>
      </c>
      <c r="AG30" t="str">
        <f t="shared" si="34"/>
        <v>2</v>
      </c>
      <c r="AH30" t="str">
        <f t="shared" si="10"/>
        <v>1</v>
      </c>
      <c r="AI30" t="str">
        <f t="shared" si="32"/>
        <v xml:space="preserve">1         </v>
      </c>
      <c r="AJ30" t="str">
        <f t="shared" si="11"/>
        <v>170</v>
      </c>
      <c r="AK30" t="str">
        <f>"05"</f>
        <v>05</v>
      </c>
      <c r="AL30" t="str">
        <f>"154"</f>
        <v>154</v>
      </c>
      <c r="AM30" t="str">
        <f>"05"</f>
        <v>05</v>
      </c>
      <c r="AN30" t="str">
        <f>"05001"</f>
        <v>05001</v>
      </c>
      <c r="AO30" t="str">
        <f>"7/08/2020 12:00:00 a. m."</f>
        <v>7/08/2020 12:00:00 a. m.</v>
      </c>
      <c r="AP30" t="str">
        <f>"1/03/2020 12:00:00 a. m."</f>
        <v>1/03/2020 12:00:00 a. m.</v>
      </c>
      <c r="AQ30" t="str">
        <f t="shared" si="40"/>
        <v>3</v>
      </c>
      <c r="AR30" t="str">
        <f t="shared" si="29"/>
        <v>1</v>
      </c>
      <c r="AS30" t="str">
        <f>"7/08/2020 12:00:00 a. m."</f>
        <v>7/08/2020 12:00:00 a. m.</v>
      </c>
      <c r="AT30" t="str">
        <f t="shared" si="36"/>
        <v>1</v>
      </c>
      <c r="AU30" t="str">
        <f>""</f>
        <v/>
      </c>
      <c r="AV30" t="str">
        <f>"0"</f>
        <v>0</v>
      </c>
      <c r="AW30" t="str">
        <f>"17/10/2007 12:00:00 a. m."</f>
        <v>17/10/2007 12:00:00 a. m.</v>
      </c>
      <c r="AX30" t="str">
        <f>""</f>
        <v/>
      </c>
      <c r="AY30" t="str">
        <f t="shared" si="13"/>
        <v>30/04/2021 12:00:00 a. m.</v>
      </c>
      <c r="AZ30" t="str">
        <f>"21/09/2020 12:00:00 a. m."</f>
        <v>21/09/2020 12:00:00 a. m.</v>
      </c>
      <c r="BA30" t="str">
        <f>""</f>
        <v/>
      </c>
      <c r="BB30" t="str">
        <f>""</f>
        <v/>
      </c>
      <c r="BC30" t="str">
        <f>""</f>
        <v/>
      </c>
      <c r="BD30" t="str">
        <f t="shared" si="35"/>
        <v>1</v>
      </c>
      <c r="BE30" t="str">
        <f t="shared" si="35"/>
        <v>1</v>
      </c>
      <c r="BF30" t="str">
        <f t="shared" si="15"/>
        <v xml:space="preserve">3         </v>
      </c>
      <c r="BG30" t="str">
        <f t="shared" si="16"/>
        <v>Confirmado por laboratorio</v>
      </c>
      <c r="BH30" t="str">
        <f>"FUNDACION HOSPITALARIA SAN VICENTE DE PAUL"</f>
        <v>FUNDACION HOSPITALARIA SAN VICENTE DE PAUL</v>
      </c>
      <c r="BI30" t="str">
        <f t="shared" si="17"/>
        <v>COLOMBIA</v>
      </c>
      <c r="BJ30" t="str">
        <f t="shared" si="18"/>
        <v>CANCER INFANTIL</v>
      </c>
      <c r="BK30" t="str">
        <f>"ANTIOQUIA"</f>
        <v>ANTIOQUIA</v>
      </c>
      <c r="BL30" t="str">
        <f>"CAUCASIA"</f>
        <v>CAUCASIA</v>
      </c>
      <c r="BM30" t="str">
        <f t="shared" si="19"/>
        <v>COLOMBIA</v>
      </c>
      <c r="BN30" t="str">
        <f>"ANTIOQUIA"</f>
        <v>ANTIOQUIA</v>
      </c>
      <c r="BO30" t="str">
        <f>"CAUCASIA"</f>
        <v>CAUCASIA</v>
      </c>
      <c r="BP30" t="str">
        <f>"ANTIOQUIA"</f>
        <v>ANTIOQUIA</v>
      </c>
      <c r="BQ30" t="str">
        <f>"MEDELLIN"</f>
        <v>MEDELLIN</v>
      </c>
    </row>
    <row r="31" spans="1:69" x14ac:dyDescent="0.25">
      <c r="A31" t="str">
        <f>"7285508"</f>
        <v>7285508</v>
      </c>
      <c r="B31" t="str">
        <f t="shared" si="0"/>
        <v>459</v>
      </c>
      <c r="C31" t="str">
        <f>"27/02/2020 12:00:00 a. m."</f>
        <v>27/02/2020 12:00:00 a. m.</v>
      </c>
      <c r="D31" t="str">
        <f>"07"</f>
        <v>07</v>
      </c>
      <c r="E31" t="str">
        <f t="shared" si="1"/>
        <v>2020</v>
      </c>
      <c r="F31" t="str">
        <f>"6854704947"</f>
        <v>6854704947</v>
      </c>
      <c r="G31" t="str">
        <f t="shared" si="37"/>
        <v>01</v>
      </c>
      <c r="H31" t="str">
        <f>"15"</f>
        <v>15</v>
      </c>
      <c r="I31" t="str">
        <f t="shared" si="39"/>
        <v>1</v>
      </c>
      <c r="J31" t="str">
        <f>"M"</f>
        <v>M</v>
      </c>
      <c r="K31" t="str">
        <f t="shared" si="4"/>
        <v>170</v>
      </c>
      <c r="L31" t="str">
        <f>"15"</f>
        <v>15</v>
      </c>
      <c r="M31" t="str">
        <f>"686"</f>
        <v>686</v>
      </c>
      <c r="N31" t="str">
        <f t="shared" si="38"/>
        <v>1</v>
      </c>
      <c r="O31" t="str">
        <f>"9997"</f>
        <v>9997</v>
      </c>
      <c r="P31" t="str">
        <f>"S"</f>
        <v>S</v>
      </c>
      <c r="Q31" t="str">
        <f>"ESS062"</f>
        <v>ESS062</v>
      </c>
      <c r="R31" t="str">
        <f t="shared" si="5"/>
        <v>6</v>
      </c>
      <c r="S31" t="str">
        <f>""</f>
        <v/>
      </c>
      <c r="T31" t="str">
        <f t="shared" si="6"/>
        <v xml:space="preserve">                                                                                                    </v>
      </c>
      <c r="U31" t="str">
        <f>"2         "</f>
        <v xml:space="preserve">2         </v>
      </c>
      <c r="V31" t="str">
        <f t="shared" si="33"/>
        <v>2</v>
      </c>
      <c r="W31" t="str">
        <f t="shared" si="33"/>
        <v>2</v>
      </c>
      <c r="X31" t="str">
        <f t="shared" si="33"/>
        <v>2</v>
      </c>
      <c r="Y31" t="str">
        <f t="shared" si="33"/>
        <v>2</v>
      </c>
      <c r="Z31" t="str">
        <f t="shared" si="33"/>
        <v>2</v>
      </c>
      <c r="AA31" t="str">
        <f t="shared" si="8"/>
        <v xml:space="preserve">          </v>
      </c>
      <c r="AB31" t="str">
        <f t="shared" si="34"/>
        <v>2</v>
      </c>
      <c r="AC31" t="str">
        <f t="shared" si="34"/>
        <v>2</v>
      </c>
      <c r="AD31" t="str">
        <f t="shared" si="34"/>
        <v>2</v>
      </c>
      <c r="AE31" t="str">
        <f t="shared" si="34"/>
        <v>2</v>
      </c>
      <c r="AF31" t="str">
        <f t="shared" si="34"/>
        <v>2</v>
      </c>
      <c r="AG31" t="str">
        <f t="shared" si="34"/>
        <v>2</v>
      </c>
      <c r="AH31" t="str">
        <f t="shared" si="10"/>
        <v>1</v>
      </c>
      <c r="AI31" t="str">
        <f t="shared" si="32"/>
        <v xml:space="preserve">1         </v>
      </c>
      <c r="AJ31" t="str">
        <f t="shared" si="11"/>
        <v>170</v>
      </c>
      <c r="AK31" t="str">
        <f>"15"</f>
        <v>15</v>
      </c>
      <c r="AL31" t="str">
        <f>"686"</f>
        <v>686</v>
      </c>
      <c r="AM31" t="str">
        <f>"68"</f>
        <v>68</v>
      </c>
      <c r="AN31" t="str">
        <f>"68547"</f>
        <v>68547</v>
      </c>
      <c r="AO31" t="str">
        <f>"14/02/2020 12:00:00 a. m."</f>
        <v>14/02/2020 12:00:00 a. m.</v>
      </c>
      <c r="AP31" t="str">
        <f>"10/02/2020 12:00:00 a. m."</f>
        <v>10/02/2020 12:00:00 a. m.</v>
      </c>
      <c r="AQ31" t="str">
        <f t="shared" si="40"/>
        <v>3</v>
      </c>
      <c r="AR31" t="str">
        <f t="shared" si="29"/>
        <v>1</v>
      </c>
      <c r="AS31" t="str">
        <f>"14/02/2020 12:00:00 a. m."</f>
        <v>14/02/2020 12:00:00 a. m.</v>
      </c>
      <c r="AT31" t="str">
        <f t="shared" si="36"/>
        <v>1</v>
      </c>
      <c r="AU31" t="str">
        <f>""</f>
        <v/>
      </c>
      <c r="AV31" t="str">
        <f>"0"</f>
        <v>0</v>
      </c>
      <c r="AW31" t="str">
        <f>"16/11/2004 12:00:00 a. m."</f>
        <v>16/11/2004 12:00:00 a. m.</v>
      </c>
      <c r="AX31" t="str">
        <f>""</f>
        <v/>
      </c>
      <c r="AY31" t="str">
        <f t="shared" si="13"/>
        <v>30/04/2021 12:00:00 a. m.</v>
      </c>
      <c r="AZ31" t="str">
        <f>"27/02/2020 12:00:00 a. m."</f>
        <v>27/02/2020 12:00:00 a. m.</v>
      </c>
      <c r="BA31" t="str">
        <f>""</f>
        <v/>
      </c>
      <c r="BB31" t="str">
        <f>""</f>
        <v/>
      </c>
      <c r="BC31" t="str">
        <f>""</f>
        <v/>
      </c>
      <c r="BD31" t="str">
        <f t="shared" si="35"/>
        <v>1</v>
      </c>
      <c r="BE31" t="str">
        <f t="shared" si="35"/>
        <v>1</v>
      </c>
      <c r="BF31" t="str">
        <f t="shared" si="15"/>
        <v xml:space="preserve">3         </v>
      </c>
      <c r="BG31" t="str">
        <f t="shared" si="16"/>
        <v>Confirmado por laboratorio</v>
      </c>
      <c r="BH31" t="str">
        <f>"HOSPITAL INTERNACIONAL DE COLOMBIA"</f>
        <v>HOSPITAL INTERNACIONAL DE COLOMBIA</v>
      </c>
      <c r="BI31" t="str">
        <f t="shared" si="17"/>
        <v>COLOMBIA</v>
      </c>
      <c r="BJ31" t="str">
        <f t="shared" si="18"/>
        <v>CANCER INFANTIL</v>
      </c>
      <c r="BK31" t="str">
        <f>"BOYACA"</f>
        <v>BOYACA</v>
      </c>
      <c r="BL31" t="str">
        <f>"SANTANA"</f>
        <v>SANTANA</v>
      </c>
      <c r="BM31" t="str">
        <f t="shared" si="19"/>
        <v>COLOMBIA</v>
      </c>
      <c r="BN31" t="str">
        <f>"BOYACA"</f>
        <v>BOYACA</v>
      </c>
      <c r="BO31" t="str">
        <f>"SANTANA"</f>
        <v>SANTANA</v>
      </c>
      <c r="BP31" t="str">
        <f>"SANTANDER"</f>
        <v>SANTANDER</v>
      </c>
      <c r="BQ31" t="str">
        <f>"PIEDECUESTA"</f>
        <v>PIEDECUESTA</v>
      </c>
    </row>
    <row r="32" spans="1:69" x14ac:dyDescent="0.25">
      <c r="A32" t="str">
        <f>"7285612"</f>
        <v>7285612</v>
      </c>
      <c r="B32" t="str">
        <f t="shared" si="0"/>
        <v>459</v>
      </c>
      <c r="C32" t="str">
        <f>"21/02/2020 12:00:00 a. m."</f>
        <v>21/02/2020 12:00:00 a. m.</v>
      </c>
      <c r="D32" t="str">
        <f>"07"</f>
        <v>07</v>
      </c>
      <c r="E32" t="str">
        <f t="shared" si="1"/>
        <v>2020</v>
      </c>
      <c r="F32" t="str">
        <f>"6800100431"</f>
        <v>6800100431</v>
      </c>
      <c r="G32" t="str">
        <f t="shared" si="37"/>
        <v>01</v>
      </c>
      <c r="H32" t="str">
        <f>"17"</f>
        <v>17</v>
      </c>
      <c r="I32" t="str">
        <f t="shared" si="39"/>
        <v>1</v>
      </c>
      <c r="J32" t="str">
        <f>"M"</f>
        <v>M</v>
      </c>
      <c r="K32" t="str">
        <f t="shared" si="4"/>
        <v>170</v>
      </c>
      <c r="L32" t="str">
        <f>"68"</f>
        <v>68</v>
      </c>
      <c r="M32" t="str">
        <f>"276"</f>
        <v>276</v>
      </c>
      <c r="N32" t="str">
        <f t="shared" si="38"/>
        <v>1</v>
      </c>
      <c r="O32" t="str">
        <f>"9999"</f>
        <v>9999</v>
      </c>
      <c r="P32" t="str">
        <f>"C"</f>
        <v>C</v>
      </c>
      <c r="Q32" t="str">
        <f>"EPS005"</f>
        <v>EPS005</v>
      </c>
      <c r="R32" t="str">
        <f t="shared" si="5"/>
        <v>6</v>
      </c>
      <c r="S32" t="str">
        <f>""</f>
        <v/>
      </c>
      <c r="T32" t="str">
        <f t="shared" si="6"/>
        <v xml:space="preserve">                                                                                                    </v>
      </c>
      <c r="U32" t="str">
        <f>"2         "</f>
        <v xml:space="preserve">2         </v>
      </c>
      <c r="V32" t="str">
        <f t="shared" ref="V32:Z41" si="41">"2"</f>
        <v>2</v>
      </c>
      <c r="W32" t="str">
        <f t="shared" si="41"/>
        <v>2</v>
      </c>
      <c r="X32" t="str">
        <f t="shared" si="41"/>
        <v>2</v>
      </c>
      <c r="Y32" t="str">
        <f t="shared" si="41"/>
        <v>2</v>
      </c>
      <c r="Z32" t="str">
        <f t="shared" si="41"/>
        <v>2</v>
      </c>
      <c r="AA32" t="str">
        <f t="shared" si="8"/>
        <v xml:space="preserve">          </v>
      </c>
      <c r="AB32" t="str">
        <f t="shared" ref="AB32:AG41" si="42">"2"</f>
        <v>2</v>
      </c>
      <c r="AC32" t="str">
        <f t="shared" si="42"/>
        <v>2</v>
      </c>
      <c r="AD32" t="str">
        <f t="shared" si="42"/>
        <v>2</v>
      </c>
      <c r="AE32" t="str">
        <f t="shared" si="42"/>
        <v>2</v>
      </c>
      <c r="AF32" t="str">
        <f t="shared" si="42"/>
        <v>2</v>
      </c>
      <c r="AG32" t="str">
        <f t="shared" si="42"/>
        <v>2</v>
      </c>
      <c r="AH32" t="str">
        <f t="shared" si="10"/>
        <v>1</v>
      </c>
      <c r="AI32" t="str">
        <f t="shared" si="32"/>
        <v xml:space="preserve">1         </v>
      </c>
      <c r="AJ32" t="str">
        <f t="shared" si="11"/>
        <v>170</v>
      </c>
      <c r="AK32" t="str">
        <f>"68"</f>
        <v>68</v>
      </c>
      <c r="AL32" t="str">
        <f>"276"</f>
        <v>276</v>
      </c>
      <c r="AM32" t="str">
        <f>"68"</f>
        <v>68</v>
      </c>
      <c r="AN32" t="str">
        <f>"68001"</f>
        <v>68001</v>
      </c>
      <c r="AO32" t="str">
        <f>"12/02/2020 12:00:00 a. m."</f>
        <v>12/02/2020 12:00:00 a. m.</v>
      </c>
      <c r="AP32" t="str">
        <f>"5/02/2020 12:00:00 a. m."</f>
        <v>5/02/2020 12:00:00 a. m.</v>
      </c>
      <c r="AQ32" t="str">
        <f t="shared" si="40"/>
        <v>3</v>
      </c>
      <c r="AR32" t="str">
        <f t="shared" si="29"/>
        <v>1</v>
      </c>
      <c r="AS32" t="str">
        <f>"12/02/2020 12:00:00 a. m."</f>
        <v>12/02/2020 12:00:00 a. m.</v>
      </c>
      <c r="AT32" t="str">
        <f t="shared" si="36"/>
        <v>1</v>
      </c>
      <c r="AU32" t="str">
        <f>""</f>
        <v/>
      </c>
      <c r="AV32" t="str">
        <f>"7"</f>
        <v>7</v>
      </c>
      <c r="AW32" t="str">
        <f>"30/05/2002 12:00:00 a. m."</f>
        <v>30/05/2002 12:00:00 a. m.</v>
      </c>
      <c r="AX32" t="str">
        <f>""</f>
        <v/>
      </c>
      <c r="AY32" t="str">
        <f t="shared" si="13"/>
        <v>30/04/2021 12:00:00 a. m.</v>
      </c>
      <c r="AZ32" t="str">
        <f>"6/04/2021 12:00:00 a. m."</f>
        <v>6/04/2021 12:00:00 a. m.</v>
      </c>
      <c r="BA32" t="str">
        <f>""</f>
        <v/>
      </c>
      <c r="BB32" t="str">
        <f>""</f>
        <v/>
      </c>
      <c r="BC32" t="str">
        <f>""</f>
        <v/>
      </c>
      <c r="BD32" t="str">
        <f t="shared" si="35"/>
        <v>1</v>
      </c>
      <c r="BE32" t="str">
        <f t="shared" si="35"/>
        <v>1</v>
      </c>
      <c r="BF32" t="str">
        <f t="shared" si="15"/>
        <v xml:space="preserve">3         </v>
      </c>
      <c r="BG32" t="str">
        <f t="shared" si="16"/>
        <v>Confirmado por laboratorio</v>
      </c>
      <c r="BH32" t="str">
        <f>"CLINICA MATERNO INFANTEL SAN LUIS SA"</f>
        <v>CLINICA MATERNO INFANTEL SAN LUIS SA</v>
      </c>
      <c r="BI32" t="str">
        <f t="shared" si="17"/>
        <v>COLOMBIA</v>
      </c>
      <c r="BJ32" t="str">
        <f t="shared" si="18"/>
        <v>CANCER INFANTIL</v>
      </c>
      <c r="BK32" t="str">
        <f>"SANTANDER"</f>
        <v>SANTANDER</v>
      </c>
      <c r="BL32" t="str">
        <f>"FLORIDABLANCA"</f>
        <v>FLORIDABLANCA</v>
      </c>
      <c r="BM32" t="str">
        <f t="shared" si="19"/>
        <v>COLOMBIA</v>
      </c>
      <c r="BN32" t="str">
        <f>"SANTANDER"</f>
        <v>SANTANDER</v>
      </c>
      <c r="BO32" t="str">
        <f>"FLORIDABLANCA"</f>
        <v>FLORIDABLANCA</v>
      </c>
      <c r="BP32" t="str">
        <f>"SANTANDER"</f>
        <v>SANTANDER</v>
      </c>
      <c r="BQ32" t="str">
        <f>"BUCARAMANGA"</f>
        <v>BUCARAMANGA</v>
      </c>
    </row>
    <row r="33" spans="1:69" x14ac:dyDescent="0.25">
      <c r="A33" t="str">
        <f>"7285545"</f>
        <v>7285545</v>
      </c>
      <c r="B33" t="str">
        <f t="shared" si="0"/>
        <v>459</v>
      </c>
      <c r="C33" t="str">
        <f>"18/07/2020 12:00:00 a. m."</f>
        <v>18/07/2020 12:00:00 a. m.</v>
      </c>
      <c r="D33" t="str">
        <f>"29"</f>
        <v>29</v>
      </c>
      <c r="E33" t="str">
        <f t="shared" si="1"/>
        <v>2020</v>
      </c>
      <c r="F33" t="str">
        <f>"6827601666"</f>
        <v>6827601666</v>
      </c>
      <c r="G33" t="str">
        <f t="shared" si="37"/>
        <v>01</v>
      </c>
      <c r="H33" t="str">
        <f>"2"</f>
        <v>2</v>
      </c>
      <c r="I33" t="str">
        <f t="shared" si="39"/>
        <v>1</v>
      </c>
      <c r="J33" t="str">
        <f>"F"</f>
        <v>F</v>
      </c>
      <c r="K33" t="str">
        <f t="shared" si="4"/>
        <v>170</v>
      </c>
      <c r="L33" t="str">
        <f>"68"</f>
        <v>68</v>
      </c>
      <c r="M33" t="str">
        <f>"276"</f>
        <v>276</v>
      </c>
      <c r="N33" t="str">
        <f t="shared" si="38"/>
        <v>1</v>
      </c>
      <c r="O33" t="str">
        <f>"9999"</f>
        <v>9999</v>
      </c>
      <c r="P33" t="str">
        <f>"C"</f>
        <v>C</v>
      </c>
      <c r="Q33" t="str">
        <f>"EPS005"</f>
        <v>EPS005</v>
      </c>
      <c r="R33" t="str">
        <f t="shared" si="5"/>
        <v>6</v>
      </c>
      <c r="S33" t="str">
        <f>""</f>
        <v/>
      </c>
      <c r="T33" t="str">
        <f t="shared" si="6"/>
        <v xml:space="preserve">                                                                                                    </v>
      </c>
      <c r="U33" t="str">
        <f>"2         "</f>
        <v xml:space="preserve">2         </v>
      </c>
      <c r="V33" t="str">
        <f t="shared" si="41"/>
        <v>2</v>
      </c>
      <c r="W33" t="str">
        <f t="shared" si="41"/>
        <v>2</v>
      </c>
      <c r="X33" t="str">
        <f t="shared" si="41"/>
        <v>2</v>
      </c>
      <c r="Y33" t="str">
        <f t="shared" si="41"/>
        <v>2</v>
      </c>
      <c r="Z33" t="str">
        <f t="shared" si="41"/>
        <v>2</v>
      </c>
      <c r="AA33" t="str">
        <f t="shared" si="8"/>
        <v xml:space="preserve">          </v>
      </c>
      <c r="AB33" t="str">
        <f t="shared" si="42"/>
        <v>2</v>
      </c>
      <c r="AC33" t="str">
        <f t="shared" si="42"/>
        <v>2</v>
      </c>
      <c r="AD33" t="str">
        <f t="shared" si="42"/>
        <v>2</v>
      </c>
      <c r="AE33" t="str">
        <f t="shared" si="42"/>
        <v>2</v>
      </c>
      <c r="AF33" t="str">
        <f t="shared" si="42"/>
        <v>2</v>
      </c>
      <c r="AG33" t="str">
        <f t="shared" si="42"/>
        <v>2</v>
      </c>
      <c r="AH33" t="str">
        <f t="shared" si="10"/>
        <v>1</v>
      </c>
      <c r="AI33" t="str">
        <f t="shared" si="32"/>
        <v xml:space="preserve">1         </v>
      </c>
      <c r="AJ33" t="str">
        <f t="shared" si="11"/>
        <v>170</v>
      </c>
      <c r="AK33" t="str">
        <f>"68"</f>
        <v>68</v>
      </c>
      <c r="AL33" t="str">
        <f>"276"</f>
        <v>276</v>
      </c>
      <c r="AM33" t="str">
        <f>"68"</f>
        <v>68</v>
      </c>
      <c r="AN33" t="str">
        <f>"68276"</f>
        <v>68276</v>
      </c>
      <c r="AO33" t="str">
        <f>"14/07/2020 12:00:00 a. m."</f>
        <v>14/07/2020 12:00:00 a. m.</v>
      </c>
      <c r="AP33" t="str">
        <f>"6/07/2020 12:00:00 a. m."</f>
        <v>6/07/2020 12:00:00 a. m.</v>
      </c>
      <c r="AQ33" t="str">
        <f t="shared" si="40"/>
        <v>3</v>
      </c>
      <c r="AR33" t="str">
        <f>"2"</f>
        <v>2</v>
      </c>
      <c r="AS33" t="str">
        <f>""</f>
        <v/>
      </c>
      <c r="AT33" t="str">
        <f t="shared" si="36"/>
        <v>1</v>
      </c>
      <c r="AU33" t="str">
        <f>""</f>
        <v/>
      </c>
      <c r="AV33" t="str">
        <f>"7"</f>
        <v>7</v>
      </c>
      <c r="AW33" t="str">
        <f>"24/09/2017 12:00:00 a. m."</f>
        <v>24/09/2017 12:00:00 a. m.</v>
      </c>
      <c r="AX33" t="str">
        <f>""</f>
        <v/>
      </c>
      <c r="AY33" t="str">
        <f t="shared" si="13"/>
        <v>30/04/2021 12:00:00 a. m.</v>
      </c>
      <c r="AZ33" t="str">
        <f>"30/11/2020 12:00:00 a. m."</f>
        <v>30/11/2020 12:00:00 a. m.</v>
      </c>
      <c r="BA33" t="str">
        <f>""</f>
        <v/>
      </c>
      <c r="BB33" t="str">
        <f>""</f>
        <v/>
      </c>
      <c r="BC33" t="str">
        <f>""</f>
        <v/>
      </c>
      <c r="BD33" t="str">
        <f t="shared" si="35"/>
        <v>1</v>
      </c>
      <c r="BE33" t="str">
        <f t="shared" si="35"/>
        <v>1</v>
      </c>
      <c r="BF33" t="str">
        <f t="shared" si="15"/>
        <v xml:space="preserve">3         </v>
      </c>
      <c r="BG33" t="str">
        <f t="shared" si="16"/>
        <v>Confirmado por laboratorio</v>
      </c>
      <c r="BH33" t="str">
        <f>"FUNDACION OFTALMOLOGICA DE SDER FOSCAL"</f>
        <v>FUNDACION OFTALMOLOGICA DE SDER FOSCAL</v>
      </c>
      <c r="BI33" t="str">
        <f t="shared" si="17"/>
        <v>COLOMBIA</v>
      </c>
      <c r="BJ33" t="str">
        <f t="shared" si="18"/>
        <v>CANCER INFANTIL</v>
      </c>
      <c r="BK33" t="str">
        <f>"SANTANDER"</f>
        <v>SANTANDER</v>
      </c>
      <c r="BL33" t="str">
        <f>"FLORIDABLANCA"</f>
        <v>FLORIDABLANCA</v>
      </c>
      <c r="BM33" t="str">
        <f t="shared" si="19"/>
        <v>COLOMBIA</v>
      </c>
      <c r="BN33" t="str">
        <f>"SANTANDER"</f>
        <v>SANTANDER</v>
      </c>
      <c r="BO33" t="str">
        <f>"FLORIDABLANCA"</f>
        <v>FLORIDABLANCA</v>
      </c>
      <c r="BP33" t="str">
        <f>"SANTANDER"</f>
        <v>SANTANDER</v>
      </c>
      <c r="BQ33" t="str">
        <f>"FLORIDABLANCA"</f>
        <v>FLORIDABLANCA</v>
      </c>
    </row>
    <row r="34" spans="1:69" x14ac:dyDescent="0.25">
      <c r="A34" t="str">
        <f>"7285488"</f>
        <v>7285488</v>
      </c>
      <c r="B34" t="str">
        <f t="shared" si="0"/>
        <v>459</v>
      </c>
      <c r="C34" t="str">
        <f>"5/05/2020 12:00:00 a. m."</f>
        <v>5/05/2020 12:00:00 a. m.</v>
      </c>
      <c r="D34" t="str">
        <f>"09"</f>
        <v>09</v>
      </c>
      <c r="E34" t="str">
        <f t="shared" si="1"/>
        <v>2020</v>
      </c>
      <c r="F34" t="str">
        <f>"6827601666"</f>
        <v>6827601666</v>
      </c>
      <c r="G34" t="str">
        <f t="shared" si="37"/>
        <v>01</v>
      </c>
      <c r="H34" t="str">
        <f>"16"</f>
        <v>16</v>
      </c>
      <c r="I34" t="str">
        <f t="shared" si="39"/>
        <v>1</v>
      </c>
      <c r="J34" t="str">
        <f>"F"</f>
        <v>F</v>
      </c>
      <c r="K34" t="str">
        <f t="shared" ref="K34:K65" si="43">"170"</f>
        <v>170</v>
      </c>
      <c r="L34" t="str">
        <f>"68"</f>
        <v>68</v>
      </c>
      <c r="M34" t="str">
        <f>"276"</f>
        <v>276</v>
      </c>
      <c r="N34" t="str">
        <f>"3"</f>
        <v>3</v>
      </c>
      <c r="O34" t="str">
        <f>"9997"</f>
        <v>9997</v>
      </c>
      <c r="P34" t="str">
        <f>"C"</f>
        <v>C</v>
      </c>
      <c r="Q34" t="str">
        <f>"EPS037"</f>
        <v>EPS037</v>
      </c>
      <c r="R34" t="str">
        <f t="shared" ref="R34:R51" si="44">"6"</f>
        <v>6</v>
      </c>
      <c r="S34" t="str">
        <f>""</f>
        <v/>
      </c>
      <c r="T34" t="str">
        <f t="shared" ref="T34:T65" si="45">"                                                                                                    "</f>
        <v xml:space="preserve">                                                                                                    </v>
      </c>
      <c r="U34" t="str">
        <f>"1         "</f>
        <v xml:space="preserve">1         </v>
      </c>
      <c r="V34" t="str">
        <f t="shared" si="41"/>
        <v>2</v>
      </c>
      <c r="W34" t="str">
        <f t="shared" si="41"/>
        <v>2</v>
      </c>
      <c r="X34" t="str">
        <f t="shared" si="41"/>
        <v>2</v>
      </c>
      <c r="Y34" t="str">
        <f t="shared" si="41"/>
        <v>2</v>
      </c>
      <c r="Z34" t="str">
        <f t="shared" si="41"/>
        <v>2</v>
      </c>
      <c r="AA34" t="str">
        <f t="shared" si="8"/>
        <v xml:space="preserve">          </v>
      </c>
      <c r="AB34" t="str">
        <f t="shared" si="42"/>
        <v>2</v>
      </c>
      <c r="AC34" t="str">
        <f t="shared" si="42"/>
        <v>2</v>
      </c>
      <c r="AD34" t="str">
        <f t="shared" si="42"/>
        <v>2</v>
      </c>
      <c r="AE34" t="str">
        <f t="shared" si="42"/>
        <v>2</v>
      </c>
      <c r="AF34" t="str">
        <f t="shared" si="42"/>
        <v>2</v>
      </c>
      <c r="AG34" t="str">
        <f t="shared" si="42"/>
        <v>2</v>
      </c>
      <c r="AH34" t="str">
        <f t="shared" ref="AH34:AH58" si="46">"1"</f>
        <v>1</v>
      </c>
      <c r="AI34" t="str">
        <f>"2         "</f>
        <v xml:space="preserve">2         </v>
      </c>
      <c r="AJ34" t="str">
        <f t="shared" ref="AJ34:AJ65" si="47">"170"</f>
        <v>170</v>
      </c>
      <c r="AK34" t="str">
        <f>"68"</f>
        <v>68</v>
      </c>
      <c r="AL34" t="str">
        <f>"276"</f>
        <v>276</v>
      </c>
      <c r="AM34" t="str">
        <f>"68"</f>
        <v>68</v>
      </c>
      <c r="AN34" t="str">
        <f>"68276"</f>
        <v>68276</v>
      </c>
      <c r="AO34" t="str">
        <f>"27/02/2020 12:00:00 a. m."</f>
        <v>27/02/2020 12:00:00 a. m.</v>
      </c>
      <c r="AP34" t="str">
        <f>"1/10/2019 12:00:00 a. m."</f>
        <v>1/10/2019 12:00:00 a. m.</v>
      </c>
      <c r="AQ34" t="str">
        <f t="shared" si="40"/>
        <v>3</v>
      </c>
      <c r="AR34" t="str">
        <f>"1"</f>
        <v>1</v>
      </c>
      <c r="AS34" t="str">
        <f>"27/02/2020 12:00:00 a. m."</f>
        <v>27/02/2020 12:00:00 a. m.</v>
      </c>
      <c r="AT34" t="str">
        <f t="shared" si="36"/>
        <v>1</v>
      </c>
      <c r="AU34" t="str">
        <f>""</f>
        <v/>
      </c>
      <c r="AV34" t="str">
        <f>"3"</f>
        <v>3</v>
      </c>
      <c r="AW34" t="str">
        <f>"31/01/2004 12:00:00 a. m."</f>
        <v>31/01/2004 12:00:00 a. m.</v>
      </c>
      <c r="AX34" t="str">
        <f>""</f>
        <v/>
      </c>
      <c r="AY34" t="str">
        <f t="shared" si="13"/>
        <v>30/04/2021 12:00:00 a. m.</v>
      </c>
      <c r="AZ34" t="str">
        <f>"22/07/2020 12:00:00 a. m."</f>
        <v>22/07/2020 12:00:00 a. m.</v>
      </c>
      <c r="BA34" t="str">
        <f>""</f>
        <v/>
      </c>
      <c r="BB34" t="str">
        <f>""</f>
        <v/>
      </c>
      <c r="BC34" t="str">
        <f>""</f>
        <v/>
      </c>
      <c r="BD34" t="str">
        <f t="shared" si="35"/>
        <v>1</v>
      </c>
      <c r="BE34" t="str">
        <f t="shared" si="35"/>
        <v>1</v>
      </c>
      <c r="BF34" t="str">
        <f t="shared" si="15"/>
        <v xml:space="preserve">3         </v>
      </c>
      <c r="BG34" t="str">
        <f t="shared" si="16"/>
        <v>Confirmado por laboratorio</v>
      </c>
      <c r="BH34" t="str">
        <f>"FUNDACION OFTALMOLOGICA DE SDER FOSCAL"</f>
        <v>FUNDACION OFTALMOLOGICA DE SDER FOSCAL</v>
      </c>
      <c r="BI34" t="str">
        <f t="shared" ref="BI34:BI65" si="48">"COLOMBIA"</f>
        <v>COLOMBIA</v>
      </c>
      <c r="BJ34" t="str">
        <f t="shared" si="18"/>
        <v>CANCER INFANTIL</v>
      </c>
      <c r="BK34" t="str">
        <f>"SANTANDER"</f>
        <v>SANTANDER</v>
      </c>
      <c r="BL34" t="str">
        <f>"FLORIDABLANCA"</f>
        <v>FLORIDABLANCA</v>
      </c>
      <c r="BM34" t="str">
        <f t="shared" ref="BM34:BM65" si="49">"COLOMBIA"</f>
        <v>COLOMBIA</v>
      </c>
      <c r="BN34" t="str">
        <f>"SANTANDER"</f>
        <v>SANTANDER</v>
      </c>
      <c r="BO34" t="str">
        <f>"FLORIDABLANCA"</f>
        <v>FLORIDABLANCA</v>
      </c>
      <c r="BP34" t="str">
        <f>"SANTANDER"</f>
        <v>SANTANDER</v>
      </c>
      <c r="BQ34" t="str">
        <f>"FLORIDABLANCA"</f>
        <v>FLORIDABLANCA</v>
      </c>
    </row>
    <row r="35" spans="1:69" x14ac:dyDescent="0.25">
      <c r="A35" t="str">
        <f>"7285426"</f>
        <v>7285426</v>
      </c>
      <c r="B35" t="str">
        <f t="shared" si="0"/>
        <v>459</v>
      </c>
      <c r="C35" t="str">
        <f>"10/11/2020 12:00:00 a. m."</f>
        <v>10/11/2020 12:00:00 a. m.</v>
      </c>
      <c r="D35" t="str">
        <f>"27"</f>
        <v>27</v>
      </c>
      <c r="E35" t="str">
        <f t="shared" si="1"/>
        <v>2020</v>
      </c>
      <c r="F35" t="str">
        <f>"0500102175"</f>
        <v>0500102175</v>
      </c>
      <c r="G35" t="str">
        <f t="shared" si="37"/>
        <v>01</v>
      </c>
      <c r="H35" t="str">
        <f>"1"</f>
        <v>1</v>
      </c>
      <c r="I35" t="str">
        <f t="shared" si="39"/>
        <v>1</v>
      </c>
      <c r="J35" t="str">
        <f>"F"</f>
        <v>F</v>
      </c>
      <c r="K35" t="str">
        <f t="shared" si="43"/>
        <v>170</v>
      </c>
      <c r="L35" t="str">
        <f>"05"</f>
        <v>05</v>
      </c>
      <c r="M35" t="str">
        <f>"250"</f>
        <v>250</v>
      </c>
      <c r="N35" t="str">
        <f>"3"</f>
        <v>3</v>
      </c>
      <c r="O35" t="str">
        <f>"9999"</f>
        <v>9999</v>
      </c>
      <c r="P35" t="str">
        <f>"S"</f>
        <v>S</v>
      </c>
      <c r="Q35" t="str">
        <f>"ESS024"</f>
        <v>ESS024</v>
      </c>
      <c r="R35" t="str">
        <f t="shared" si="44"/>
        <v>6</v>
      </c>
      <c r="S35" t="str">
        <f>""</f>
        <v/>
      </c>
      <c r="T35" t="str">
        <f t="shared" si="45"/>
        <v xml:space="preserve">                                                                                                    </v>
      </c>
      <c r="U35" t="str">
        <f>"2         "</f>
        <v xml:space="preserve">2         </v>
      </c>
      <c r="V35" t="str">
        <f t="shared" si="41"/>
        <v>2</v>
      </c>
      <c r="W35" t="str">
        <f t="shared" si="41"/>
        <v>2</v>
      </c>
      <c r="X35" t="str">
        <f t="shared" si="41"/>
        <v>2</v>
      </c>
      <c r="Y35" t="str">
        <f t="shared" si="41"/>
        <v>2</v>
      </c>
      <c r="Z35" t="str">
        <f t="shared" si="41"/>
        <v>2</v>
      </c>
      <c r="AA35" t="str">
        <f t="shared" si="8"/>
        <v xml:space="preserve">          </v>
      </c>
      <c r="AB35" t="str">
        <f t="shared" si="42"/>
        <v>2</v>
      </c>
      <c r="AC35" t="str">
        <f t="shared" si="42"/>
        <v>2</v>
      </c>
      <c r="AD35" t="str">
        <f t="shared" si="42"/>
        <v>2</v>
      </c>
      <c r="AE35" t="str">
        <f t="shared" si="42"/>
        <v>2</v>
      </c>
      <c r="AF35" t="str">
        <f t="shared" si="42"/>
        <v>2</v>
      </c>
      <c r="AG35" t="str">
        <f t="shared" si="42"/>
        <v>2</v>
      </c>
      <c r="AH35" t="str">
        <f t="shared" si="46"/>
        <v>1</v>
      </c>
      <c r="AI35" t="str">
        <f t="shared" ref="AI35:AI40" si="50">"1         "</f>
        <v xml:space="preserve">1         </v>
      </c>
      <c r="AJ35" t="str">
        <f t="shared" si="47"/>
        <v>170</v>
      </c>
      <c r="AK35" t="str">
        <f>"05"</f>
        <v>05</v>
      </c>
      <c r="AL35" t="str">
        <f>"250"</f>
        <v>250</v>
      </c>
      <c r="AM35" t="str">
        <f>"05"</f>
        <v>05</v>
      </c>
      <c r="AN35" t="str">
        <f>"05001"</f>
        <v>05001</v>
      </c>
      <c r="AO35" t="str">
        <f>"4/07/2020 12:00:00 a. m."</f>
        <v>4/07/2020 12:00:00 a. m.</v>
      </c>
      <c r="AP35" t="str">
        <f>"4/05/2020 12:00:00 a. m."</f>
        <v>4/05/2020 12:00:00 a. m.</v>
      </c>
      <c r="AQ35" t="str">
        <f t="shared" si="40"/>
        <v>3</v>
      </c>
      <c r="AR35" t="str">
        <f>"1"</f>
        <v>1</v>
      </c>
      <c r="AS35" t="str">
        <f>"4/07/2020 12:00:00 a. m."</f>
        <v>4/07/2020 12:00:00 a. m.</v>
      </c>
      <c r="AT35" t="str">
        <f t="shared" si="36"/>
        <v>1</v>
      </c>
      <c r="AU35" t="str">
        <f>""</f>
        <v/>
      </c>
      <c r="AV35" t="str">
        <f>"0"</f>
        <v>0</v>
      </c>
      <c r="AW35" t="str">
        <f>"24/04/2019 12:00:00 a. m."</f>
        <v>24/04/2019 12:00:00 a. m.</v>
      </c>
      <c r="AX35" t="str">
        <f>""</f>
        <v/>
      </c>
      <c r="AY35" t="str">
        <f t="shared" si="13"/>
        <v>30/04/2021 12:00:00 a. m.</v>
      </c>
      <c r="AZ35" t="str">
        <f>"10/11/2020 12:00:00 a. m."</f>
        <v>10/11/2020 12:00:00 a. m.</v>
      </c>
      <c r="BA35" t="str">
        <f>""</f>
        <v/>
      </c>
      <c r="BB35" t="str">
        <f>""</f>
        <v/>
      </c>
      <c r="BC35" t="str">
        <f>""</f>
        <v/>
      </c>
      <c r="BD35" t="str">
        <f t="shared" si="35"/>
        <v>1</v>
      </c>
      <c r="BE35" t="str">
        <f t="shared" si="35"/>
        <v>1</v>
      </c>
      <c r="BF35" t="str">
        <f t="shared" si="15"/>
        <v xml:space="preserve">3         </v>
      </c>
      <c r="BG35" t="str">
        <f t="shared" si="16"/>
        <v>Confirmado por laboratorio</v>
      </c>
      <c r="BH35" t="str">
        <f>"FUNDACION HOSPITALARIA SAN VICENTE DE PAUL"</f>
        <v>FUNDACION HOSPITALARIA SAN VICENTE DE PAUL</v>
      </c>
      <c r="BI35" t="str">
        <f t="shared" si="48"/>
        <v>COLOMBIA</v>
      </c>
      <c r="BJ35" t="str">
        <f t="shared" si="18"/>
        <v>CANCER INFANTIL</v>
      </c>
      <c r="BK35" t="str">
        <f>"ANTIOQUIA"</f>
        <v>ANTIOQUIA</v>
      </c>
      <c r="BL35" t="str">
        <f>"EL BAGRE"</f>
        <v>EL BAGRE</v>
      </c>
      <c r="BM35" t="str">
        <f t="shared" si="49"/>
        <v>COLOMBIA</v>
      </c>
      <c r="BN35" t="str">
        <f>"ANTIOQUIA"</f>
        <v>ANTIOQUIA</v>
      </c>
      <c r="BO35" t="str">
        <f>"EL BAGRE"</f>
        <v>EL BAGRE</v>
      </c>
      <c r="BP35" t="str">
        <f>"ANTIOQUIA"</f>
        <v>ANTIOQUIA</v>
      </c>
      <c r="BQ35" t="str">
        <f>"MEDELLIN"</f>
        <v>MEDELLIN</v>
      </c>
    </row>
    <row r="36" spans="1:69" x14ac:dyDescent="0.25">
      <c r="A36" t="str">
        <f>"7285392"</f>
        <v>7285392</v>
      </c>
      <c r="B36" t="str">
        <f t="shared" si="0"/>
        <v>459</v>
      </c>
      <c r="C36" t="str">
        <f>"13/01/2020 12:00:00 a. m."</f>
        <v>13/01/2020 12:00:00 a. m.</v>
      </c>
      <c r="D36" t="str">
        <f>"03"</f>
        <v>03</v>
      </c>
      <c r="E36" t="str">
        <f t="shared" si="1"/>
        <v>2020</v>
      </c>
      <c r="F36" t="str">
        <f>"0500102104"</f>
        <v>0500102104</v>
      </c>
      <c r="G36" t="str">
        <f t="shared" si="37"/>
        <v>01</v>
      </c>
      <c r="H36" t="str">
        <f>"13"</f>
        <v>13</v>
      </c>
      <c r="I36" t="str">
        <f t="shared" si="39"/>
        <v>1</v>
      </c>
      <c r="J36" t="str">
        <f>"M"</f>
        <v>M</v>
      </c>
      <c r="K36" t="str">
        <f t="shared" si="43"/>
        <v>170</v>
      </c>
      <c r="L36" t="str">
        <f>"05"</f>
        <v>05</v>
      </c>
      <c r="M36" t="str">
        <f>"148"</f>
        <v>148</v>
      </c>
      <c r="N36" t="str">
        <f>"1"</f>
        <v>1</v>
      </c>
      <c r="O36" t="str">
        <f>"9999"</f>
        <v>9999</v>
      </c>
      <c r="P36" t="str">
        <f>"C"</f>
        <v>C</v>
      </c>
      <c r="Q36" t="str">
        <f>"EPS005"</f>
        <v>EPS005</v>
      </c>
      <c r="R36" t="str">
        <f t="shared" si="44"/>
        <v>6</v>
      </c>
      <c r="S36" t="str">
        <f>""</f>
        <v/>
      </c>
      <c r="T36" t="str">
        <f t="shared" si="45"/>
        <v xml:space="preserve">                                                                                                    </v>
      </c>
      <c r="U36" t="str">
        <f>"2         "</f>
        <v xml:space="preserve">2         </v>
      </c>
      <c r="V36" t="str">
        <f t="shared" si="41"/>
        <v>2</v>
      </c>
      <c r="W36" t="str">
        <f t="shared" si="41"/>
        <v>2</v>
      </c>
      <c r="X36" t="str">
        <f t="shared" si="41"/>
        <v>2</v>
      </c>
      <c r="Y36" t="str">
        <f t="shared" si="41"/>
        <v>2</v>
      </c>
      <c r="Z36" t="str">
        <f t="shared" si="41"/>
        <v>2</v>
      </c>
      <c r="AA36" t="str">
        <f t="shared" si="8"/>
        <v xml:space="preserve">          </v>
      </c>
      <c r="AB36" t="str">
        <f t="shared" si="42"/>
        <v>2</v>
      </c>
      <c r="AC36" t="str">
        <f t="shared" si="42"/>
        <v>2</v>
      </c>
      <c r="AD36" t="str">
        <f t="shared" si="42"/>
        <v>2</v>
      </c>
      <c r="AE36" t="str">
        <f t="shared" si="42"/>
        <v>2</v>
      </c>
      <c r="AF36" t="str">
        <f t="shared" si="42"/>
        <v>2</v>
      </c>
      <c r="AG36" t="str">
        <f t="shared" si="42"/>
        <v>2</v>
      </c>
      <c r="AH36" t="str">
        <f t="shared" si="46"/>
        <v>1</v>
      </c>
      <c r="AI36" t="str">
        <f t="shared" si="50"/>
        <v xml:space="preserve">1         </v>
      </c>
      <c r="AJ36" t="str">
        <f t="shared" si="47"/>
        <v>170</v>
      </c>
      <c r="AK36" t="str">
        <f>"05"</f>
        <v>05</v>
      </c>
      <c r="AL36" t="str">
        <f>"148"</f>
        <v>148</v>
      </c>
      <c r="AM36" t="str">
        <f>"05"</f>
        <v>05</v>
      </c>
      <c r="AN36" t="str">
        <f>"05001"</f>
        <v>05001</v>
      </c>
      <c r="AO36" t="str">
        <f>"13/01/2020 12:00:00 a. m."</f>
        <v>13/01/2020 12:00:00 a. m.</v>
      </c>
      <c r="AP36" t="str">
        <f>"11/11/2019 12:00:00 a. m."</f>
        <v>11/11/2019 12:00:00 a. m.</v>
      </c>
      <c r="AQ36" t="str">
        <f t="shared" si="40"/>
        <v>3</v>
      </c>
      <c r="AR36" t="str">
        <f>"2"</f>
        <v>2</v>
      </c>
      <c r="AS36" t="str">
        <f>""</f>
        <v/>
      </c>
      <c r="AT36" t="str">
        <f t="shared" si="36"/>
        <v>1</v>
      </c>
      <c r="AU36" t="str">
        <f>""</f>
        <v/>
      </c>
      <c r="AV36" t="str">
        <f>"7"</f>
        <v>7</v>
      </c>
      <c r="AW36" t="str">
        <f>"10/08/2006 12:00:00 a. m."</f>
        <v>10/08/2006 12:00:00 a. m.</v>
      </c>
      <c r="AX36" t="str">
        <f>""</f>
        <v/>
      </c>
      <c r="AY36" t="str">
        <f t="shared" si="13"/>
        <v>30/04/2021 12:00:00 a. m.</v>
      </c>
      <c r="AZ36" t="str">
        <f>"29/01/2020 12:00:00 a. m."</f>
        <v>29/01/2020 12:00:00 a. m.</v>
      </c>
      <c r="BA36" t="str">
        <f>""</f>
        <v/>
      </c>
      <c r="BB36" t="str">
        <f>""</f>
        <v/>
      </c>
      <c r="BC36" t="str">
        <f>""</f>
        <v/>
      </c>
      <c r="BD36" t="str">
        <f t="shared" si="35"/>
        <v>1</v>
      </c>
      <c r="BE36" t="str">
        <f t="shared" si="35"/>
        <v>1</v>
      </c>
      <c r="BF36" t="str">
        <f t="shared" si="15"/>
        <v xml:space="preserve">3         </v>
      </c>
      <c r="BG36" t="str">
        <f t="shared" si="16"/>
        <v>Confirmado por laboratorio</v>
      </c>
      <c r="BH36" t="str">
        <f>"HOSPITAL PABLO TOBON URIBE"</f>
        <v>HOSPITAL PABLO TOBON URIBE</v>
      </c>
      <c r="BI36" t="str">
        <f t="shared" si="48"/>
        <v>COLOMBIA</v>
      </c>
      <c r="BJ36" t="str">
        <f t="shared" si="18"/>
        <v>CANCER INFANTIL</v>
      </c>
      <c r="BK36" t="str">
        <f>"ANTIOQUIA"</f>
        <v>ANTIOQUIA</v>
      </c>
      <c r="BL36" t="str">
        <f>"CARMEN DE VIBORAL"</f>
        <v>CARMEN DE VIBORAL</v>
      </c>
      <c r="BM36" t="str">
        <f t="shared" si="49"/>
        <v>COLOMBIA</v>
      </c>
      <c r="BN36" t="str">
        <f>"ANTIOQUIA"</f>
        <v>ANTIOQUIA</v>
      </c>
      <c r="BO36" t="str">
        <f>"CARMEN DE VIBORAL"</f>
        <v>CARMEN DE VIBORAL</v>
      </c>
      <c r="BP36" t="str">
        <f>"ANTIOQUIA"</f>
        <v>ANTIOQUIA</v>
      </c>
      <c r="BQ36" t="str">
        <f>"MEDELLIN"</f>
        <v>MEDELLIN</v>
      </c>
    </row>
    <row r="37" spans="1:69" x14ac:dyDescent="0.25">
      <c r="A37" t="str">
        <f>"7285403"</f>
        <v>7285403</v>
      </c>
      <c r="B37" t="str">
        <f t="shared" si="0"/>
        <v>459</v>
      </c>
      <c r="C37" t="str">
        <f>"6/01/2021 12:00:00 a. m."</f>
        <v>6/01/2021 12:00:00 a. m.</v>
      </c>
      <c r="D37" t="str">
        <f>"43"</f>
        <v>43</v>
      </c>
      <c r="E37" t="str">
        <f t="shared" si="1"/>
        <v>2020</v>
      </c>
      <c r="F37" t="str">
        <f>"0500105909"</f>
        <v>0500105909</v>
      </c>
      <c r="G37" t="str">
        <f>"03"</f>
        <v>03</v>
      </c>
      <c r="H37" t="str">
        <f>"17"</f>
        <v>17</v>
      </c>
      <c r="I37" t="str">
        <f t="shared" si="39"/>
        <v>1</v>
      </c>
      <c r="J37" t="str">
        <f>"M"</f>
        <v>M</v>
      </c>
      <c r="K37" t="str">
        <f t="shared" si="43"/>
        <v>170</v>
      </c>
      <c r="L37" t="str">
        <f>"05"</f>
        <v>05</v>
      </c>
      <c r="M37" t="str">
        <f>"088"</f>
        <v>088</v>
      </c>
      <c r="N37" t="str">
        <f>"1"</f>
        <v>1</v>
      </c>
      <c r="O37" t="str">
        <f>"9998"</f>
        <v>9998</v>
      </c>
      <c r="P37" t="str">
        <f>"S"</f>
        <v>S</v>
      </c>
      <c r="Q37" t="str">
        <f>"EPSS10"</f>
        <v>EPSS10</v>
      </c>
      <c r="R37" t="str">
        <f t="shared" si="44"/>
        <v>6</v>
      </c>
      <c r="S37" t="str">
        <f>""</f>
        <v/>
      </c>
      <c r="T37" t="str">
        <f t="shared" si="45"/>
        <v xml:space="preserve">                                                                                                    </v>
      </c>
      <c r="U37" t="str">
        <f>"2         "</f>
        <v xml:space="preserve">2         </v>
      </c>
      <c r="V37" t="str">
        <f t="shared" si="41"/>
        <v>2</v>
      </c>
      <c r="W37" t="str">
        <f t="shared" si="41"/>
        <v>2</v>
      </c>
      <c r="X37" t="str">
        <f t="shared" si="41"/>
        <v>2</v>
      </c>
      <c r="Y37" t="str">
        <f t="shared" si="41"/>
        <v>2</v>
      </c>
      <c r="Z37" t="str">
        <f t="shared" si="41"/>
        <v>2</v>
      </c>
      <c r="AA37" t="str">
        <f t="shared" si="8"/>
        <v xml:space="preserve">          </v>
      </c>
      <c r="AB37" t="str">
        <f t="shared" si="42"/>
        <v>2</v>
      </c>
      <c r="AC37" t="str">
        <f t="shared" si="42"/>
        <v>2</v>
      </c>
      <c r="AD37" t="str">
        <f t="shared" si="42"/>
        <v>2</v>
      </c>
      <c r="AE37" t="str">
        <f t="shared" si="42"/>
        <v>2</v>
      </c>
      <c r="AF37" t="str">
        <f t="shared" si="42"/>
        <v>2</v>
      </c>
      <c r="AG37" t="str">
        <f t="shared" si="42"/>
        <v>2</v>
      </c>
      <c r="AH37" t="str">
        <f t="shared" si="46"/>
        <v>1</v>
      </c>
      <c r="AI37" t="str">
        <f t="shared" si="50"/>
        <v xml:space="preserve">1         </v>
      </c>
      <c r="AJ37" t="str">
        <f t="shared" si="47"/>
        <v>170</v>
      </c>
      <c r="AK37" t="str">
        <f>"05"</f>
        <v>05</v>
      </c>
      <c r="AL37" t="str">
        <f>"088"</f>
        <v>088</v>
      </c>
      <c r="AM37" t="str">
        <f>"05"</f>
        <v>05</v>
      </c>
      <c r="AN37" t="str">
        <f>"05001"</f>
        <v>05001</v>
      </c>
      <c r="AO37" t="str">
        <f>"19/10/2020 12:00:00 a. m."</f>
        <v>19/10/2020 12:00:00 a. m.</v>
      </c>
      <c r="AP37" t="str">
        <f>"12/08/2020 12:00:00 a. m."</f>
        <v>12/08/2020 12:00:00 a. m.</v>
      </c>
      <c r="AQ37" t="str">
        <f t="shared" si="40"/>
        <v>3</v>
      </c>
      <c r="AR37" t="str">
        <f>"1"</f>
        <v>1</v>
      </c>
      <c r="AS37" t="str">
        <f>"19/10/2020 12:00:00 a. m."</f>
        <v>19/10/2020 12:00:00 a. m.</v>
      </c>
      <c r="AT37" t="str">
        <f t="shared" si="36"/>
        <v>1</v>
      </c>
      <c r="AU37" t="str">
        <f>""</f>
        <v/>
      </c>
      <c r="AV37" t="str">
        <f>"7"</f>
        <v>7</v>
      </c>
      <c r="AW37" t="str">
        <f>"27/07/2003 12:00:00 a. m."</f>
        <v>27/07/2003 12:00:00 a. m.</v>
      </c>
      <c r="AX37" t="str">
        <f>""</f>
        <v/>
      </c>
      <c r="AY37" t="str">
        <f t="shared" si="13"/>
        <v>30/04/2021 12:00:00 a. m.</v>
      </c>
      <c r="AZ37" t="str">
        <f>"9/03/2021 12:00:00 a. m."</f>
        <v>9/03/2021 12:00:00 a. m.</v>
      </c>
      <c r="BA37" t="str">
        <f>""</f>
        <v/>
      </c>
      <c r="BB37" t="str">
        <f>""</f>
        <v/>
      </c>
      <c r="BC37" t="str">
        <f>""</f>
        <v/>
      </c>
      <c r="BD37" t="str">
        <f t="shared" si="35"/>
        <v>1</v>
      </c>
      <c r="BE37" t="str">
        <f t="shared" si="35"/>
        <v>1</v>
      </c>
      <c r="BF37" t="str">
        <f t="shared" si="15"/>
        <v xml:space="preserve">3         </v>
      </c>
      <c r="BG37" t="str">
        <f t="shared" si="16"/>
        <v>Confirmado por laboratorio</v>
      </c>
      <c r="BH37" t="str">
        <f>"IPS UNIVERSIDAD DE ANTIOQUIA - LEON XIII"</f>
        <v>IPS UNIVERSIDAD DE ANTIOQUIA - LEON XIII</v>
      </c>
      <c r="BI37" t="str">
        <f t="shared" si="48"/>
        <v>COLOMBIA</v>
      </c>
      <c r="BJ37" t="str">
        <f t="shared" si="18"/>
        <v>CANCER INFANTIL</v>
      </c>
      <c r="BK37" t="str">
        <f>"ANTIOQUIA"</f>
        <v>ANTIOQUIA</v>
      </c>
      <c r="BL37" t="str">
        <f>"BELLO"</f>
        <v>BELLO</v>
      </c>
      <c r="BM37" t="str">
        <f t="shared" si="49"/>
        <v>COLOMBIA</v>
      </c>
      <c r="BN37" t="str">
        <f>"ANTIOQUIA"</f>
        <v>ANTIOQUIA</v>
      </c>
      <c r="BO37" t="str">
        <f>"BELLO"</f>
        <v>BELLO</v>
      </c>
      <c r="BP37" t="str">
        <f>"ANTIOQUIA"</f>
        <v>ANTIOQUIA</v>
      </c>
      <c r="BQ37" t="str">
        <f>"MEDELLIN"</f>
        <v>MEDELLIN</v>
      </c>
    </row>
    <row r="38" spans="1:69" x14ac:dyDescent="0.25">
      <c r="A38" t="str">
        <f>"7285502"</f>
        <v>7285502</v>
      </c>
      <c r="B38" t="str">
        <f t="shared" si="0"/>
        <v>459</v>
      </c>
      <c r="C38" t="str">
        <f>"13/04/2020 12:00:00 a. m."</f>
        <v>13/04/2020 12:00:00 a. m.</v>
      </c>
      <c r="D38" t="str">
        <f>"16"</f>
        <v>16</v>
      </c>
      <c r="E38" t="str">
        <f t="shared" si="1"/>
        <v>2020</v>
      </c>
      <c r="F38" t="str">
        <f>"6300100354"</f>
        <v>6300100354</v>
      </c>
      <c r="G38" t="str">
        <f>"01"</f>
        <v>01</v>
      </c>
      <c r="H38" t="str">
        <f>"5"</f>
        <v>5</v>
      </c>
      <c r="I38" t="str">
        <f t="shared" si="39"/>
        <v>1</v>
      </c>
      <c r="J38" t="str">
        <f>"M"</f>
        <v>M</v>
      </c>
      <c r="K38" t="str">
        <f t="shared" si="43"/>
        <v>170</v>
      </c>
      <c r="L38" t="str">
        <f>"63"</f>
        <v>63</v>
      </c>
      <c r="M38" t="str">
        <f>"130"</f>
        <v>130</v>
      </c>
      <c r="N38" t="str">
        <f>"3"</f>
        <v>3</v>
      </c>
      <c r="O38" t="str">
        <f>"9997"</f>
        <v>9997</v>
      </c>
      <c r="P38" t="str">
        <f>"S"</f>
        <v>S</v>
      </c>
      <c r="Q38" t="str">
        <f>"EPSS45"</f>
        <v>EPSS45</v>
      </c>
      <c r="R38" t="str">
        <f t="shared" si="44"/>
        <v>6</v>
      </c>
      <c r="S38" t="str">
        <f>""</f>
        <v/>
      </c>
      <c r="T38" t="str">
        <f t="shared" si="45"/>
        <v xml:space="preserve">                                                                                                    </v>
      </c>
      <c r="U38" t="str">
        <f>"2         "</f>
        <v xml:space="preserve">2         </v>
      </c>
      <c r="V38" t="str">
        <f t="shared" si="41"/>
        <v>2</v>
      </c>
      <c r="W38" t="str">
        <f t="shared" si="41"/>
        <v>2</v>
      </c>
      <c r="X38" t="str">
        <f t="shared" si="41"/>
        <v>2</v>
      </c>
      <c r="Y38" t="str">
        <f t="shared" si="41"/>
        <v>2</v>
      </c>
      <c r="Z38" t="str">
        <f t="shared" si="41"/>
        <v>2</v>
      </c>
      <c r="AA38" t="str">
        <f t="shared" si="8"/>
        <v xml:space="preserve">          </v>
      </c>
      <c r="AB38" t="str">
        <f t="shared" si="42"/>
        <v>2</v>
      </c>
      <c r="AC38" t="str">
        <f t="shared" si="42"/>
        <v>2</v>
      </c>
      <c r="AD38" t="str">
        <f t="shared" si="42"/>
        <v>2</v>
      </c>
      <c r="AE38" t="str">
        <f t="shared" si="42"/>
        <v>2</v>
      </c>
      <c r="AF38" t="str">
        <f t="shared" si="42"/>
        <v>2</v>
      </c>
      <c r="AG38" t="str">
        <f t="shared" si="42"/>
        <v>2</v>
      </c>
      <c r="AH38" t="str">
        <f t="shared" si="46"/>
        <v>1</v>
      </c>
      <c r="AI38" t="str">
        <f t="shared" si="50"/>
        <v xml:space="preserve">1         </v>
      </c>
      <c r="AJ38" t="str">
        <f t="shared" si="47"/>
        <v>170</v>
      </c>
      <c r="AK38" t="str">
        <f>"63"</f>
        <v>63</v>
      </c>
      <c r="AL38" t="str">
        <f>"272"</f>
        <v>272</v>
      </c>
      <c r="AM38" t="str">
        <f>"63"</f>
        <v>63</v>
      </c>
      <c r="AN38" t="str">
        <f>"63001"</f>
        <v>63001</v>
      </c>
      <c r="AO38" t="str">
        <f>"13/04/2020 12:00:00 a. m."</f>
        <v>13/04/2020 12:00:00 a. m.</v>
      </c>
      <c r="AP38" t="str">
        <f>"4/04/2020 12:00:00 a. m."</f>
        <v>4/04/2020 12:00:00 a. m.</v>
      </c>
      <c r="AQ38" t="str">
        <f>"2"</f>
        <v>2</v>
      </c>
      <c r="AR38" t="str">
        <f>"1"</f>
        <v>1</v>
      </c>
      <c r="AS38" t="str">
        <f>"13/04/2020 12:00:00 a. m."</f>
        <v>13/04/2020 12:00:00 a. m.</v>
      </c>
      <c r="AT38" t="str">
        <f t="shared" si="36"/>
        <v>1</v>
      </c>
      <c r="AU38" t="str">
        <f>""</f>
        <v/>
      </c>
      <c r="AV38" t="str">
        <f>"3"</f>
        <v>3</v>
      </c>
      <c r="AW38" t="str">
        <f>"14/11/2014 12:00:00 a. m."</f>
        <v>14/11/2014 12:00:00 a. m.</v>
      </c>
      <c r="AX38" t="str">
        <f>""</f>
        <v/>
      </c>
      <c r="AY38" t="str">
        <f t="shared" si="13"/>
        <v>30/04/2021 12:00:00 a. m.</v>
      </c>
      <c r="AZ38" t="str">
        <f>"7/04/2021 12:00:00 a. m."</f>
        <v>7/04/2021 12:00:00 a. m.</v>
      </c>
      <c r="BA38" t="str">
        <f>""</f>
        <v/>
      </c>
      <c r="BB38" t="str">
        <f>""</f>
        <v/>
      </c>
      <c r="BC38" t="str">
        <f>""</f>
        <v/>
      </c>
      <c r="BD38" t="str">
        <f t="shared" si="35"/>
        <v>1</v>
      </c>
      <c r="BE38" t="str">
        <f t="shared" si="35"/>
        <v>1</v>
      </c>
      <c r="BF38" t="str">
        <f t="shared" si="15"/>
        <v xml:space="preserve">3         </v>
      </c>
      <c r="BG38" t="str">
        <f t="shared" si="16"/>
        <v>Confirmado por laboratorio</v>
      </c>
      <c r="BH38" t="str">
        <f>"ESE HOSPITAL DEPTAL UNIVERSITARIO SAN JUAN DE DIOS"</f>
        <v>ESE HOSPITAL DEPTAL UNIVERSITARIO SAN JUAN DE DIOS</v>
      </c>
      <c r="BI38" t="str">
        <f t="shared" si="48"/>
        <v>COLOMBIA</v>
      </c>
      <c r="BJ38" t="str">
        <f t="shared" si="18"/>
        <v>CANCER INFANTIL</v>
      </c>
      <c r="BK38" t="str">
        <f>"QUINDIO"</f>
        <v>QUINDIO</v>
      </c>
      <c r="BL38" t="str">
        <f>"CALARCA"</f>
        <v>CALARCA</v>
      </c>
      <c r="BM38" t="str">
        <f t="shared" si="49"/>
        <v>COLOMBIA</v>
      </c>
      <c r="BN38" t="str">
        <f>"QUINDIO"</f>
        <v>QUINDIO</v>
      </c>
      <c r="BO38" t="str">
        <f>"FILANDIA"</f>
        <v>FILANDIA</v>
      </c>
      <c r="BP38" t="str">
        <f>"QUINDIO"</f>
        <v>QUINDIO</v>
      </c>
      <c r="BQ38" t="str">
        <f>"ARMENIA"</f>
        <v>ARMENIA</v>
      </c>
    </row>
    <row r="39" spans="1:69" x14ac:dyDescent="0.25">
      <c r="A39" t="str">
        <f>"7285571"</f>
        <v>7285571</v>
      </c>
      <c r="B39" t="str">
        <f t="shared" si="0"/>
        <v>459</v>
      </c>
      <c r="C39" t="str">
        <f>"19/02/2020 12:00:00 a. m."</f>
        <v>19/02/2020 12:00:00 a. m.</v>
      </c>
      <c r="D39" t="str">
        <f>"08"</f>
        <v>08</v>
      </c>
      <c r="E39" t="str">
        <f t="shared" si="1"/>
        <v>2020</v>
      </c>
      <c r="F39" t="str">
        <f>"0561502129"</f>
        <v>0561502129</v>
      </c>
      <c r="G39" t="str">
        <f>"01"</f>
        <v>01</v>
      </c>
      <c r="H39" t="str">
        <f>"17"</f>
        <v>17</v>
      </c>
      <c r="I39" t="str">
        <f t="shared" si="39"/>
        <v>1</v>
      </c>
      <c r="J39" t="str">
        <f>"M"</f>
        <v>M</v>
      </c>
      <c r="K39" t="str">
        <f t="shared" si="43"/>
        <v>170</v>
      </c>
      <c r="L39" t="str">
        <f>"05"</f>
        <v>05</v>
      </c>
      <c r="M39" t="str">
        <f>"148"</f>
        <v>148</v>
      </c>
      <c r="N39" t="str">
        <f>"2"</f>
        <v>2</v>
      </c>
      <c r="O39" t="str">
        <f>"9997"</f>
        <v>9997</v>
      </c>
      <c r="P39" t="str">
        <f>"C"</f>
        <v>C</v>
      </c>
      <c r="Q39" t="str">
        <f>"EPS010"</f>
        <v>EPS010</v>
      </c>
      <c r="R39" t="str">
        <f t="shared" si="44"/>
        <v>6</v>
      </c>
      <c r="S39" t="str">
        <f>""</f>
        <v/>
      </c>
      <c r="T39" t="str">
        <f t="shared" si="45"/>
        <v xml:space="preserve">                                                                                                    </v>
      </c>
      <c r="U39" t="str">
        <f>"3         "</f>
        <v xml:space="preserve">3         </v>
      </c>
      <c r="V39" t="str">
        <f t="shared" si="41"/>
        <v>2</v>
      </c>
      <c r="W39" t="str">
        <f t="shared" si="41"/>
        <v>2</v>
      </c>
      <c r="X39" t="str">
        <f t="shared" si="41"/>
        <v>2</v>
      </c>
      <c r="Y39" t="str">
        <f t="shared" si="41"/>
        <v>2</v>
      </c>
      <c r="Z39" t="str">
        <f t="shared" si="41"/>
        <v>2</v>
      </c>
      <c r="AA39" t="str">
        <f t="shared" si="8"/>
        <v xml:space="preserve">          </v>
      </c>
      <c r="AB39" t="str">
        <f t="shared" si="42"/>
        <v>2</v>
      </c>
      <c r="AC39" t="str">
        <f t="shared" si="42"/>
        <v>2</v>
      </c>
      <c r="AD39" t="str">
        <f t="shared" si="42"/>
        <v>2</v>
      </c>
      <c r="AE39" t="str">
        <f t="shared" si="42"/>
        <v>2</v>
      </c>
      <c r="AF39" t="str">
        <f t="shared" si="42"/>
        <v>2</v>
      </c>
      <c r="AG39" t="str">
        <f t="shared" si="42"/>
        <v>2</v>
      </c>
      <c r="AH39" t="str">
        <f t="shared" si="46"/>
        <v>1</v>
      </c>
      <c r="AI39" t="str">
        <f t="shared" si="50"/>
        <v xml:space="preserve">1         </v>
      </c>
      <c r="AJ39" t="str">
        <f t="shared" si="47"/>
        <v>170</v>
      </c>
      <c r="AK39" t="str">
        <f>"05"</f>
        <v>05</v>
      </c>
      <c r="AL39" t="str">
        <f>"148"</f>
        <v>148</v>
      </c>
      <c r="AM39" t="str">
        <f>"05"</f>
        <v>05</v>
      </c>
      <c r="AN39" t="str">
        <f>"05615"</f>
        <v>05615</v>
      </c>
      <c r="AO39" t="str">
        <f>"19/02/2020 12:00:00 a. m."</f>
        <v>19/02/2020 12:00:00 a. m.</v>
      </c>
      <c r="AP39" t="str">
        <f>"1/01/2020 12:00:00 a. m."</f>
        <v>1/01/2020 12:00:00 a. m.</v>
      </c>
      <c r="AQ39" t="str">
        <f>"3"</f>
        <v>3</v>
      </c>
      <c r="AR39" t="str">
        <f>"2"</f>
        <v>2</v>
      </c>
      <c r="AS39" t="str">
        <f>""</f>
        <v/>
      </c>
      <c r="AT39" t="str">
        <f t="shared" si="36"/>
        <v>1</v>
      </c>
      <c r="AU39" t="str">
        <f>""</f>
        <v/>
      </c>
      <c r="AV39" t="str">
        <f>"0"</f>
        <v>0</v>
      </c>
      <c r="AW39" t="str">
        <f>"18/06/2002 12:00:00 a. m."</f>
        <v>18/06/2002 12:00:00 a. m.</v>
      </c>
      <c r="AX39" t="str">
        <f>""</f>
        <v/>
      </c>
      <c r="AY39" t="str">
        <f t="shared" si="13"/>
        <v>30/04/2021 12:00:00 a. m.</v>
      </c>
      <c r="AZ39" t="str">
        <f>"19/02/2020 12:00:00 a. m."</f>
        <v>19/02/2020 12:00:00 a. m.</v>
      </c>
      <c r="BA39" t="str">
        <f>""</f>
        <v/>
      </c>
      <c r="BB39" t="str">
        <f>""</f>
        <v/>
      </c>
      <c r="BC39" t="str">
        <f>""</f>
        <v/>
      </c>
      <c r="BD39" t="str">
        <f t="shared" si="35"/>
        <v>1</v>
      </c>
      <c r="BE39" t="str">
        <f t="shared" si="35"/>
        <v>1</v>
      </c>
      <c r="BF39" t="str">
        <f t="shared" si="15"/>
        <v xml:space="preserve">3         </v>
      </c>
      <c r="BG39" t="str">
        <f t="shared" si="16"/>
        <v>Confirmado por laboratorio</v>
      </c>
      <c r="BH39" t="str">
        <f>"SOCIEDAD MEDICA DE RIONEGRO SA SOMER SA"</f>
        <v>SOCIEDAD MEDICA DE RIONEGRO SA SOMER SA</v>
      </c>
      <c r="BI39" t="str">
        <f t="shared" si="48"/>
        <v>COLOMBIA</v>
      </c>
      <c r="BJ39" t="str">
        <f t="shared" si="18"/>
        <v>CANCER INFANTIL</v>
      </c>
      <c r="BK39" t="str">
        <f>"ANTIOQUIA"</f>
        <v>ANTIOQUIA</v>
      </c>
      <c r="BL39" t="str">
        <f>"CARMEN DE VIBORAL"</f>
        <v>CARMEN DE VIBORAL</v>
      </c>
      <c r="BM39" t="str">
        <f t="shared" si="49"/>
        <v>COLOMBIA</v>
      </c>
      <c r="BN39" t="str">
        <f>"ANTIOQUIA"</f>
        <v>ANTIOQUIA</v>
      </c>
      <c r="BO39" t="str">
        <f>"CARMEN DE VIBORAL"</f>
        <v>CARMEN DE VIBORAL</v>
      </c>
      <c r="BP39" t="str">
        <f>"ANTIOQUIA"</f>
        <v>ANTIOQUIA</v>
      </c>
      <c r="BQ39" t="str">
        <f>"RIONEGRO"</f>
        <v>RIONEGRO</v>
      </c>
    </row>
    <row r="40" spans="1:69" x14ac:dyDescent="0.25">
      <c r="A40" t="str">
        <f>"7285578"</f>
        <v>7285578</v>
      </c>
      <c r="B40" t="str">
        <f t="shared" si="0"/>
        <v>459</v>
      </c>
      <c r="C40" t="str">
        <f>"10/09/2020 12:00:00 a. m."</f>
        <v>10/09/2020 12:00:00 a. m.</v>
      </c>
      <c r="D40" t="str">
        <f>"37"</f>
        <v>37</v>
      </c>
      <c r="E40" t="str">
        <f t="shared" si="1"/>
        <v>2020</v>
      </c>
      <c r="F40" t="str">
        <f>"1100108171"</f>
        <v>1100108171</v>
      </c>
      <c r="G40" t="str">
        <f>"02"</f>
        <v>02</v>
      </c>
      <c r="H40" t="str">
        <f>"17"</f>
        <v>17</v>
      </c>
      <c r="I40" t="str">
        <f t="shared" si="39"/>
        <v>1</v>
      </c>
      <c r="J40" t="str">
        <f>"F"</f>
        <v>F</v>
      </c>
      <c r="K40" t="str">
        <f t="shared" si="43"/>
        <v>170</v>
      </c>
      <c r="L40" t="str">
        <f>"15"</f>
        <v>15</v>
      </c>
      <c r="M40" t="str">
        <f>"001"</f>
        <v>001</v>
      </c>
      <c r="N40" t="str">
        <f>"1"</f>
        <v>1</v>
      </c>
      <c r="O40" t="str">
        <f>"9997"</f>
        <v>9997</v>
      </c>
      <c r="P40" t="str">
        <f>"C"</f>
        <v>C</v>
      </c>
      <c r="Q40" t="str">
        <f>"EPS017"</f>
        <v>EPS017</v>
      </c>
      <c r="R40" t="str">
        <f t="shared" si="44"/>
        <v>6</v>
      </c>
      <c r="S40" t="str">
        <f>""</f>
        <v/>
      </c>
      <c r="T40" t="str">
        <f t="shared" si="45"/>
        <v xml:space="preserve">                                                                                                    </v>
      </c>
      <c r="U40" t="str">
        <f>"2         "</f>
        <v xml:space="preserve">2         </v>
      </c>
      <c r="V40" t="str">
        <f t="shared" si="41"/>
        <v>2</v>
      </c>
      <c r="W40" t="str">
        <f t="shared" si="41"/>
        <v>2</v>
      </c>
      <c r="X40" t="str">
        <f t="shared" si="41"/>
        <v>2</v>
      </c>
      <c r="Y40" t="str">
        <f t="shared" si="41"/>
        <v>2</v>
      </c>
      <c r="Z40" t="str">
        <f t="shared" si="41"/>
        <v>2</v>
      </c>
      <c r="AA40" t="str">
        <f t="shared" si="8"/>
        <v xml:space="preserve">          </v>
      </c>
      <c r="AB40" t="str">
        <f t="shared" si="42"/>
        <v>2</v>
      </c>
      <c r="AC40" t="str">
        <f t="shared" si="42"/>
        <v>2</v>
      </c>
      <c r="AD40" t="str">
        <f t="shared" si="42"/>
        <v>2</v>
      </c>
      <c r="AE40" t="str">
        <f t="shared" si="42"/>
        <v>2</v>
      </c>
      <c r="AF40" t="str">
        <f t="shared" si="42"/>
        <v>2</v>
      </c>
      <c r="AG40" t="str">
        <f t="shared" si="42"/>
        <v>2</v>
      </c>
      <c r="AH40" t="str">
        <f t="shared" si="46"/>
        <v>1</v>
      </c>
      <c r="AI40" t="str">
        <f t="shared" si="50"/>
        <v xml:space="preserve">1         </v>
      </c>
      <c r="AJ40" t="str">
        <f t="shared" si="47"/>
        <v>170</v>
      </c>
      <c r="AK40" t="str">
        <f>"15"</f>
        <v>15</v>
      </c>
      <c r="AL40" t="str">
        <f>"001"</f>
        <v>001</v>
      </c>
      <c r="AM40" t="str">
        <f>"11"</f>
        <v>11</v>
      </c>
      <c r="AN40" t="str">
        <f>"11001"</f>
        <v>11001</v>
      </c>
      <c r="AO40" t="str">
        <f>"9/09/2020 12:00:00 a. m."</f>
        <v>9/09/2020 12:00:00 a. m.</v>
      </c>
      <c r="AP40" t="str">
        <f>"1/06/2020 12:00:00 a. m."</f>
        <v>1/06/2020 12:00:00 a. m.</v>
      </c>
      <c r="AQ40" t="str">
        <f>"2"</f>
        <v>2</v>
      </c>
      <c r="AR40" t="str">
        <f>"1"</f>
        <v>1</v>
      </c>
      <c r="AS40" t="str">
        <f>"9/09/2020 12:00:00 a. m."</f>
        <v>9/09/2020 12:00:00 a. m.</v>
      </c>
      <c r="AT40" t="str">
        <f t="shared" si="36"/>
        <v>1</v>
      </c>
      <c r="AU40" t="str">
        <f>""</f>
        <v/>
      </c>
      <c r="AV40" t="str">
        <f>"3"</f>
        <v>3</v>
      </c>
      <c r="AW40" t="str">
        <f>"24/07/2003 12:00:00 a. m."</f>
        <v>24/07/2003 12:00:00 a. m.</v>
      </c>
      <c r="AX40" t="str">
        <f>""</f>
        <v/>
      </c>
      <c r="AY40" t="str">
        <f t="shared" si="13"/>
        <v>30/04/2021 12:00:00 a. m.</v>
      </c>
      <c r="AZ40" t="str">
        <f>"23/10/2020 12:00:00 a. m."</f>
        <v>23/10/2020 12:00:00 a. m.</v>
      </c>
      <c r="BA40" t="str">
        <f>""</f>
        <v/>
      </c>
      <c r="BB40" t="str">
        <f>""</f>
        <v/>
      </c>
      <c r="BC40" t="str">
        <f>""</f>
        <v/>
      </c>
      <c r="BD40" t="str">
        <f t="shared" si="35"/>
        <v>1</v>
      </c>
      <c r="BE40" t="str">
        <f t="shared" si="35"/>
        <v>1</v>
      </c>
      <c r="BF40" t="str">
        <f t="shared" si="15"/>
        <v xml:space="preserve">3         </v>
      </c>
      <c r="BG40" t="str">
        <f t="shared" si="16"/>
        <v>Confirmado por laboratorio</v>
      </c>
      <c r="BH40" t="str">
        <f>"CLINICA INFANTIL COLSUBSIDIO"</f>
        <v>CLINICA INFANTIL COLSUBSIDIO</v>
      </c>
      <c r="BI40" t="str">
        <f t="shared" si="48"/>
        <v>COLOMBIA</v>
      </c>
      <c r="BJ40" t="str">
        <f t="shared" si="18"/>
        <v>CANCER INFANTIL</v>
      </c>
      <c r="BK40" t="str">
        <f>"BOYACA"</f>
        <v>BOYACA</v>
      </c>
      <c r="BL40" t="str">
        <f>"TUNJA"</f>
        <v>TUNJA</v>
      </c>
      <c r="BM40" t="str">
        <f t="shared" si="49"/>
        <v>COLOMBIA</v>
      </c>
      <c r="BN40" t="str">
        <f>"BOYACA"</f>
        <v>BOYACA</v>
      </c>
      <c r="BO40" t="str">
        <f>"TUNJA"</f>
        <v>TUNJA</v>
      </c>
      <c r="BP40" t="str">
        <f>"BOGOTA"</f>
        <v>BOGOTA</v>
      </c>
      <c r="BQ40" t="str">
        <f>"BOGOTA"</f>
        <v>BOGOTA</v>
      </c>
    </row>
    <row r="41" spans="1:69" x14ac:dyDescent="0.25">
      <c r="A41" t="str">
        <f>"7285512"</f>
        <v>7285512</v>
      </c>
      <c r="B41" t="str">
        <f t="shared" si="0"/>
        <v>459</v>
      </c>
      <c r="C41" t="str">
        <f>"18/03/2021 12:00:00 a. m."</f>
        <v>18/03/2021 12:00:00 a. m.</v>
      </c>
      <c r="D41" t="str">
        <f>"12"</f>
        <v>12</v>
      </c>
      <c r="E41" t="str">
        <f t="shared" si="1"/>
        <v>2020</v>
      </c>
      <c r="F41" t="str">
        <f>"6800100792"</f>
        <v>6800100792</v>
      </c>
      <c r="G41" t="str">
        <f>"01"</f>
        <v>01</v>
      </c>
      <c r="H41" t="str">
        <f>"12"</f>
        <v>12</v>
      </c>
      <c r="I41" t="str">
        <f t="shared" si="39"/>
        <v>1</v>
      </c>
      <c r="J41" t="str">
        <f>"F"</f>
        <v>F</v>
      </c>
      <c r="K41" t="str">
        <f t="shared" si="43"/>
        <v>170</v>
      </c>
      <c r="L41" t="str">
        <f>"68"</f>
        <v>68</v>
      </c>
      <c r="M41" t="str">
        <f>"276"</f>
        <v>276</v>
      </c>
      <c r="N41" t="str">
        <f>"1"</f>
        <v>1</v>
      </c>
      <c r="O41" t="str">
        <f>"9997"</f>
        <v>9997</v>
      </c>
      <c r="P41" t="str">
        <f>"P"</f>
        <v>P</v>
      </c>
      <c r="Q41" t="str">
        <f>"RES001"</f>
        <v>RES001</v>
      </c>
      <c r="R41" t="str">
        <f t="shared" si="44"/>
        <v>6</v>
      </c>
      <c r="S41" t="str">
        <f>""</f>
        <v/>
      </c>
      <c r="T41" t="str">
        <f t="shared" si="45"/>
        <v xml:space="preserve">                                                                                                    </v>
      </c>
      <c r="U41" t="str">
        <f>"3         "</f>
        <v xml:space="preserve">3         </v>
      </c>
      <c r="V41" t="str">
        <f t="shared" si="41"/>
        <v>2</v>
      </c>
      <c r="W41" t="str">
        <f t="shared" si="41"/>
        <v>2</v>
      </c>
      <c r="X41" t="str">
        <f t="shared" si="41"/>
        <v>2</v>
      </c>
      <c r="Y41" t="str">
        <f t="shared" si="41"/>
        <v>2</v>
      </c>
      <c r="Z41" t="str">
        <f t="shared" si="41"/>
        <v>2</v>
      </c>
      <c r="AA41" t="str">
        <f t="shared" si="8"/>
        <v xml:space="preserve">          </v>
      </c>
      <c r="AB41" t="str">
        <f t="shared" si="42"/>
        <v>2</v>
      </c>
      <c r="AC41" t="str">
        <f t="shared" si="42"/>
        <v>2</v>
      </c>
      <c r="AD41" t="str">
        <f t="shared" si="42"/>
        <v>2</v>
      </c>
      <c r="AE41" t="str">
        <f t="shared" si="42"/>
        <v>2</v>
      </c>
      <c r="AF41" t="str">
        <f t="shared" si="42"/>
        <v>2</v>
      </c>
      <c r="AG41" t="str">
        <f t="shared" si="42"/>
        <v>2</v>
      </c>
      <c r="AH41" t="str">
        <f t="shared" si="46"/>
        <v>1</v>
      </c>
      <c r="AI41" t="str">
        <f>"2         "</f>
        <v xml:space="preserve">2         </v>
      </c>
      <c r="AJ41" t="str">
        <f t="shared" si="47"/>
        <v>170</v>
      </c>
      <c r="AK41" t="str">
        <f>"68"</f>
        <v>68</v>
      </c>
      <c r="AL41" t="str">
        <f>"276"</f>
        <v>276</v>
      </c>
      <c r="AM41" t="str">
        <f>"68"</f>
        <v>68</v>
      </c>
      <c r="AN41" t="str">
        <f>"68001"</f>
        <v>68001</v>
      </c>
      <c r="AO41" t="str">
        <f>"18/03/2020 12:00:00 a. m."</f>
        <v>18/03/2020 12:00:00 a. m.</v>
      </c>
      <c r="AP41" t="str">
        <f>"9/12/2019 12:00:00 a. m."</f>
        <v>9/12/2019 12:00:00 a. m.</v>
      </c>
      <c r="AQ41" t="str">
        <f>"3"</f>
        <v>3</v>
      </c>
      <c r="AR41" t="str">
        <f>"2"</f>
        <v>2</v>
      </c>
      <c r="AS41" t="str">
        <f>""</f>
        <v/>
      </c>
      <c r="AT41" t="str">
        <f t="shared" si="36"/>
        <v>1</v>
      </c>
      <c r="AU41" t="str">
        <f>""</f>
        <v/>
      </c>
      <c r="AV41" t="str">
        <f>"7"</f>
        <v>7</v>
      </c>
      <c r="AW41" t="str">
        <f>"20/02/2009 12:00:00 a. m."</f>
        <v>20/02/2009 12:00:00 a. m.</v>
      </c>
      <c r="AX41" t="str">
        <f>""</f>
        <v/>
      </c>
      <c r="AY41" t="str">
        <f t="shared" si="13"/>
        <v>30/04/2021 12:00:00 a. m.</v>
      </c>
      <c r="AZ41" t="str">
        <f>"6/04/2021 12:00:00 a. m."</f>
        <v>6/04/2021 12:00:00 a. m.</v>
      </c>
      <c r="BA41" t="str">
        <f>""</f>
        <v/>
      </c>
      <c r="BB41" t="str">
        <f>""</f>
        <v/>
      </c>
      <c r="BC41" t="str">
        <f>""</f>
        <v/>
      </c>
      <c r="BD41" t="str">
        <f t="shared" si="35"/>
        <v>1</v>
      </c>
      <c r="BE41" t="str">
        <f t="shared" si="35"/>
        <v>1</v>
      </c>
      <c r="BF41" t="str">
        <f t="shared" si="15"/>
        <v xml:space="preserve">3         </v>
      </c>
      <c r="BG41" t="str">
        <f t="shared" si="16"/>
        <v>Confirmado por laboratorio</v>
      </c>
      <c r="BH41" t="str">
        <f>"ESE HOSPITAL UNIVERSITARIO DE SANTANDER"</f>
        <v>ESE HOSPITAL UNIVERSITARIO DE SANTANDER</v>
      </c>
      <c r="BI41" t="str">
        <f t="shared" si="48"/>
        <v>COLOMBIA</v>
      </c>
      <c r="BJ41" t="str">
        <f t="shared" si="18"/>
        <v>CANCER INFANTIL</v>
      </c>
      <c r="BK41" t="str">
        <f>"SANTANDER"</f>
        <v>SANTANDER</v>
      </c>
      <c r="BL41" t="str">
        <f>"FLORIDABLANCA"</f>
        <v>FLORIDABLANCA</v>
      </c>
      <c r="BM41" t="str">
        <f t="shared" si="49"/>
        <v>COLOMBIA</v>
      </c>
      <c r="BN41" t="str">
        <f>"SANTANDER"</f>
        <v>SANTANDER</v>
      </c>
      <c r="BO41" t="str">
        <f>"FLORIDABLANCA"</f>
        <v>FLORIDABLANCA</v>
      </c>
      <c r="BP41" t="str">
        <f>"SANTANDER"</f>
        <v>SANTANDER</v>
      </c>
      <c r="BQ41" t="str">
        <f>"BUCARAMANGA"</f>
        <v>BUCARAMANGA</v>
      </c>
    </row>
    <row r="42" spans="1:69" x14ac:dyDescent="0.25">
      <c r="A42" t="str">
        <f>"7285405"</f>
        <v>7285405</v>
      </c>
      <c r="B42" t="str">
        <f t="shared" si="0"/>
        <v>459</v>
      </c>
      <c r="C42" t="str">
        <f>"14/09/2020 12:00:00 a. m."</f>
        <v>14/09/2020 12:00:00 a. m.</v>
      </c>
      <c r="D42" t="str">
        <f>"33"</f>
        <v>33</v>
      </c>
      <c r="E42" t="str">
        <f t="shared" si="1"/>
        <v>2020</v>
      </c>
      <c r="F42" t="str">
        <f>"1700101920"</f>
        <v>1700101920</v>
      </c>
      <c r="G42" t="str">
        <f>"01"</f>
        <v>01</v>
      </c>
      <c r="H42" t="str">
        <f>"6"</f>
        <v>6</v>
      </c>
      <c r="I42" t="str">
        <f t="shared" si="39"/>
        <v>1</v>
      </c>
      <c r="J42" t="str">
        <f>"M"</f>
        <v>M</v>
      </c>
      <c r="K42" t="str">
        <f t="shared" si="43"/>
        <v>170</v>
      </c>
      <c r="L42" t="str">
        <f>"05"</f>
        <v>05</v>
      </c>
      <c r="M42" t="str">
        <f>"154"</f>
        <v>154</v>
      </c>
      <c r="N42" t="str">
        <f>"1"</f>
        <v>1</v>
      </c>
      <c r="O42" t="str">
        <f>"9997"</f>
        <v>9997</v>
      </c>
      <c r="P42" t="str">
        <f>"C"</f>
        <v>C</v>
      </c>
      <c r="Q42" t="str">
        <f>"EPS044"</f>
        <v>EPS044</v>
      </c>
      <c r="R42" t="str">
        <f t="shared" si="44"/>
        <v>6</v>
      </c>
      <c r="S42" t="str">
        <f>""</f>
        <v/>
      </c>
      <c r="T42" t="str">
        <f t="shared" si="45"/>
        <v xml:space="preserve">                                                                                                    </v>
      </c>
      <c r="U42" t="str">
        <f>"3         "</f>
        <v xml:space="preserve">3         </v>
      </c>
      <c r="V42" t="str">
        <f t="shared" ref="V42:Z51" si="51">"2"</f>
        <v>2</v>
      </c>
      <c r="W42" t="str">
        <f t="shared" si="51"/>
        <v>2</v>
      </c>
      <c r="X42" t="str">
        <f t="shared" si="51"/>
        <v>2</v>
      </c>
      <c r="Y42" t="str">
        <f t="shared" si="51"/>
        <v>2</v>
      </c>
      <c r="Z42" t="str">
        <f t="shared" si="51"/>
        <v>2</v>
      </c>
      <c r="AA42" t="str">
        <f t="shared" si="8"/>
        <v xml:space="preserve">          </v>
      </c>
      <c r="AB42" t="str">
        <f t="shared" ref="AB42:AG51" si="52">"2"</f>
        <v>2</v>
      </c>
      <c r="AC42" t="str">
        <f t="shared" si="52"/>
        <v>2</v>
      </c>
      <c r="AD42" t="str">
        <f t="shared" si="52"/>
        <v>2</v>
      </c>
      <c r="AE42" t="str">
        <f t="shared" si="52"/>
        <v>2</v>
      </c>
      <c r="AF42" t="str">
        <f t="shared" si="52"/>
        <v>2</v>
      </c>
      <c r="AG42" t="str">
        <f t="shared" si="52"/>
        <v>2</v>
      </c>
      <c r="AH42" t="str">
        <f t="shared" si="46"/>
        <v>1</v>
      </c>
      <c r="AI42" t="str">
        <f>"1         "</f>
        <v xml:space="preserve">1         </v>
      </c>
      <c r="AJ42" t="str">
        <f t="shared" si="47"/>
        <v>170</v>
      </c>
      <c r="AK42" t="str">
        <f>"05"</f>
        <v>05</v>
      </c>
      <c r="AL42" t="str">
        <f>"154"</f>
        <v>154</v>
      </c>
      <c r="AM42" t="str">
        <f>"17"</f>
        <v>17</v>
      </c>
      <c r="AN42" t="str">
        <f>"17001"</f>
        <v>17001</v>
      </c>
      <c r="AO42" t="str">
        <f>"10/08/2020 12:00:00 a. m."</f>
        <v>10/08/2020 12:00:00 a. m.</v>
      </c>
      <c r="AP42" t="str">
        <f>"10/08/2020 12:00:00 a. m."</f>
        <v>10/08/2020 12:00:00 a. m.</v>
      </c>
      <c r="AQ42" t="str">
        <f>"3"</f>
        <v>3</v>
      </c>
      <c r="AR42" t="str">
        <f t="shared" ref="AR42:AR50" si="53">"1"</f>
        <v>1</v>
      </c>
      <c r="AS42" t="str">
        <f>"10/08/2020 12:00:00 a. m."</f>
        <v>10/08/2020 12:00:00 a. m.</v>
      </c>
      <c r="AT42" t="str">
        <f t="shared" si="36"/>
        <v>1</v>
      </c>
      <c r="AU42" t="str">
        <f>""</f>
        <v/>
      </c>
      <c r="AV42" t="str">
        <f>"0"</f>
        <v>0</v>
      </c>
      <c r="AW42" t="str">
        <f>"27/06/2014 12:00:00 a. m."</f>
        <v>27/06/2014 12:00:00 a. m.</v>
      </c>
      <c r="AX42" t="str">
        <f>""</f>
        <v/>
      </c>
      <c r="AY42" t="str">
        <f t="shared" si="13"/>
        <v>30/04/2021 12:00:00 a. m.</v>
      </c>
      <c r="AZ42" t="str">
        <f>"14/09/2020 12:00:00 a. m."</f>
        <v>14/09/2020 12:00:00 a. m.</v>
      </c>
      <c r="BA42" t="str">
        <f>""</f>
        <v/>
      </c>
      <c r="BB42" t="str">
        <f>""</f>
        <v/>
      </c>
      <c r="BC42" t="str">
        <f>""</f>
        <v/>
      </c>
      <c r="BD42" t="str">
        <f t="shared" ref="BD42:BE61" si="54">"1"</f>
        <v>1</v>
      </c>
      <c r="BE42" t="str">
        <f t="shared" si="54"/>
        <v>1</v>
      </c>
      <c r="BF42" t="str">
        <f t="shared" si="15"/>
        <v xml:space="preserve">3         </v>
      </c>
      <c r="BG42" t="str">
        <f t="shared" si="16"/>
        <v>Confirmado por laboratorio</v>
      </c>
      <c r="BH42" t="str">
        <f>"MEINTEGRAL SAS"</f>
        <v>MEINTEGRAL SAS</v>
      </c>
      <c r="BI42" t="str">
        <f t="shared" si="48"/>
        <v>COLOMBIA</v>
      </c>
      <c r="BJ42" t="str">
        <f t="shared" si="18"/>
        <v>CANCER INFANTIL</v>
      </c>
      <c r="BK42" t="str">
        <f>"ANTIOQUIA"</f>
        <v>ANTIOQUIA</v>
      </c>
      <c r="BL42" t="str">
        <f>"CAUCASIA"</f>
        <v>CAUCASIA</v>
      </c>
      <c r="BM42" t="str">
        <f t="shared" si="49"/>
        <v>COLOMBIA</v>
      </c>
      <c r="BN42" t="str">
        <f>"ANTIOQUIA"</f>
        <v>ANTIOQUIA</v>
      </c>
      <c r="BO42" t="str">
        <f>"CAUCASIA"</f>
        <v>CAUCASIA</v>
      </c>
      <c r="BP42" t="str">
        <f>"CALDAS"</f>
        <v>CALDAS</v>
      </c>
      <c r="BQ42" t="str">
        <f>"MANIZALES"</f>
        <v>MANIZALES</v>
      </c>
    </row>
    <row r="43" spans="1:69" x14ac:dyDescent="0.25">
      <c r="A43" t="str">
        <f>"7285451"</f>
        <v>7285451</v>
      </c>
      <c r="B43" t="str">
        <f t="shared" si="0"/>
        <v>459</v>
      </c>
      <c r="C43" t="str">
        <f>"15/04/2020 12:00:00 a. m."</f>
        <v>15/04/2020 12:00:00 a. m.</v>
      </c>
      <c r="D43" t="str">
        <f>"16"</f>
        <v>16</v>
      </c>
      <c r="E43" t="str">
        <f t="shared" si="1"/>
        <v>2020</v>
      </c>
      <c r="F43" t="str">
        <f>"6600100217"</f>
        <v>6600100217</v>
      </c>
      <c r="G43" t="str">
        <f>"10"</f>
        <v>10</v>
      </c>
      <c r="H43" t="str">
        <f>"1"</f>
        <v>1</v>
      </c>
      <c r="I43" t="str">
        <f t="shared" si="39"/>
        <v>1</v>
      </c>
      <c r="J43" t="str">
        <f>"F"</f>
        <v>F</v>
      </c>
      <c r="K43" t="str">
        <f t="shared" si="43"/>
        <v>170</v>
      </c>
      <c r="L43" t="str">
        <f>"66"</f>
        <v>66</v>
      </c>
      <c r="M43" t="str">
        <f>"170"</f>
        <v>170</v>
      </c>
      <c r="N43" t="str">
        <f>"2"</f>
        <v>2</v>
      </c>
      <c r="O43" t="str">
        <f>"9999"</f>
        <v>9999</v>
      </c>
      <c r="P43" t="str">
        <f>"C"</f>
        <v>C</v>
      </c>
      <c r="Q43" t="str">
        <f>"EPS018"</f>
        <v>EPS018</v>
      </c>
      <c r="R43" t="str">
        <f t="shared" si="44"/>
        <v>6</v>
      </c>
      <c r="S43" t="str">
        <f>""</f>
        <v/>
      </c>
      <c r="T43" t="str">
        <f t="shared" si="45"/>
        <v xml:space="preserve">                                                                                                    </v>
      </c>
      <c r="U43" t="str">
        <f>"3         "</f>
        <v xml:space="preserve">3         </v>
      </c>
      <c r="V43" t="str">
        <f t="shared" si="51"/>
        <v>2</v>
      </c>
      <c r="W43" t="str">
        <f t="shared" si="51"/>
        <v>2</v>
      </c>
      <c r="X43" t="str">
        <f t="shared" si="51"/>
        <v>2</v>
      </c>
      <c r="Y43" t="str">
        <f t="shared" si="51"/>
        <v>2</v>
      </c>
      <c r="Z43" t="str">
        <f t="shared" si="51"/>
        <v>2</v>
      </c>
      <c r="AA43" t="str">
        <f t="shared" si="8"/>
        <v xml:space="preserve">          </v>
      </c>
      <c r="AB43" t="str">
        <f t="shared" si="52"/>
        <v>2</v>
      </c>
      <c r="AC43" t="str">
        <f t="shared" si="52"/>
        <v>2</v>
      </c>
      <c r="AD43" t="str">
        <f t="shared" si="52"/>
        <v>2</v>
      </c>
      <c r="AE43" t="str">
        <f t="shared" si="52"/>
        <v>2</v>
      </c>
      <c r="AF43" t="str">
        <f t="shared" si="52"/>
        <v>2</v>
      </c>
      <c r="AG43" t="str">
        <f t="shared" si="52"/>
        <v>2</v>
      </c>
      <c r="AH43" t="str">
        <f t="shared" si="46"/>
        <v>1</v>
      </c>
      <c r="AI43" t="str">
        <f>"1         "</f>
        <v xml:space="preserve">1         </v>
      </c>
      <c r="AJ43" t="str">
        <f t="shared" si="47"/>
        <v>170</v>
      </c>
      <c r="AK43" t="str">
        <f>"66"</f>
        <v>66</v>
      </c>
      <c r="AL43" t="str">
        <f>"170"</f>
        <v>170</v>
      </c>
      <c r="AM43" t="str">
        <f>"66"</f>
        <v>66</v>
      </c>
      <c r="AN43" t="str">
        <f>"66001"</f>
        <v>66001</v>
      </c>
      <c r="AO43" t="str">
        <f>"12/04/2020 12:00:00 a. m."</f>
        <v>12/04/2020 12:00:00 a. m.</v>
      </c>
      <c r="AP43" t="str">
        <f>"10/12/2019 12:00:00 a. m."</f>
        <v>10/12/2019 12:00:00 a. m.</v>
      </c>
      <c r="AQ43" t="str">
        <f>"2"</f>
        <v>2</v>
      </c>
      <c r="AR43" t="str">
        <f t="shared" si="53"/>
        <v>1</v>
      </c>
      <c r="AS43" t="str">
        <f>"12/04/2020 12:00:00 a. m."</f>
        <v>12/04/2020 12:00:00 a. m.</v>
      </c>
      <c r="AT43" t="str">
        <f t="shared" si="36"/>
        <v>1</v>
      </c>
      <c r="AU43" t="str">
        <f>""</f>
        <v/>
      </c>
      <c r="AV43" t="str">
        <f>"3"</f>
        <v>3</v>
      </c>
      <c r="AW43" t="str">
        <f>"20/03/2019 12:00:00 a. m."</f>
        <v>20/03/2019 12:00:00 a. m.</v>
      </c>
      <c r="AX43" t="str">
        <f>""</f>
        <v/>
      </c>
      <c r="AY43" t="str">
        <f t="shared" si="13"/>
        <v>30/04/2021 12:00:00 a. m.</v>
      </c>
      <c r="AZ43" t="str">
        <f>"27/04/2020 12:00:00 a. m."</f>
        <v>27/04/2020 12:00:00 a. m.</v>
      </c>
      <c r="BA43" t="str">
        <f>""</f>
        <v/>
      </c>
      <c r="BB43" t="str">
        <f>""</f>
        <v/>
      </c>
      <c r="BC43" t="str">
        <f>""</f>
        <v/>
      </c>
      <c r="BD43" t="str">
        <f t="shared" si="54"/>
        <v>1</v>
      </c>
      <c r="BE43" t="str">
        <f t="shared" si="54"/>
        <v>1</v>
      </c>
      <c r="BF43" t="str">
        <f t="shared" si="15"/>
        <v xml:space="preserve">3         </v>
      </c>
      <c r="BG43" t="str">
        <f t="shared" si="16"/>
        <v>Confirmado por laboratorio</v>
      </c>
      <c r="BH43" t="str">
        <f>"COMFAMILIAR RISARALDA CLINICA COMFAMILIAR"</f>
        <v>COMFAMILIAR RISARALDA CLINICA COMFAMILIAR</v>
      </c>
      <c r="BI43" t="str">
        <f t="shared" si="48"/>
        <v>COLOMBIA</v>
      </c>
      <c r="BJ43" t="str">
        <f t="shared" si="18"/>
        <v>CANCER INFANTIL</v>
      </c>
      <c r="BK43" t="str">
        <f>"RISARALDA"</f>
        <v>RISARALDA</v>
      </c>
      <c r="BL43" t="str">
        <f>"DOSQUEBRADAS"</f>
        <v>DOSQUEBRADAS</v>
      </c>
      <c r="BM43" t="str">
        <f t="shared" si="49"/>
        <v>COLOMBIA</v>
      </c>
      <c r="BN43" t="str">
        <f>"RISARALDA"</f>
        <v>RISARALDA</v>
      </c>
      <c r="BO43" t="str">
        <f>"DOSQUEBRADAS"</f>
        <v>DOSQUEBRADAS</v>
      </c>
      <c r="BP43" t="str">
        <f>"RISARALDA"</f>
        <v>RISARALDA</v>
      </c>
      <c r="BQ43" t="str">
        <f>"PEREIRA"</f>
        <v>PEREIRA</v>
      </c>
    </row>
    <row r="44" spans="1:69" x14ac:dyDescent="0.25">
      <c r="A44" t="str">
        <f>"7285480"</f>
        <v>7285480</v>
      </c>
      <c r="B44" t="str">
        <f t="shared" si="0"/>
        <v>459</v>
      </c>
      <c r="C44" t="str">
        <f>"24/02/2020 12:00:00 a. m."</f>
        <v>24/02/2020 12:00:00 a. m.</v>
      </c>
      <c r="D44" t="str">
        <f>"05"</f>
        <v>05</v>
      </c>
      <c r="E44" t="str">
        <f t="shared" si="1"/>
        <v>2020</v>
      </c>
      <c r="F44" t="str">
        <f>"1100106065"</f>
        <v>1100106065</v>
      </c>
      <c r="G44" t="str">
        <f>"01"</f>
        <v>01</v>
      </c>
      <c r="H44" t="str">
        <f>"9"</f>
        <v>9</v>
      </c>
      <c r="I44" t="str">
        <f t="shared" si="39"/>
        <v>1</v>
      </c>
      <c r="J44" t="str">
        <f>"M"</f>
        <v>M</v>
      </c>
      <c r="K44" t="str">
        <f t="shared" si="43"/>
        <v>170</v>
      </c>
      <c r="L44" t="str">
        <f>"54"</f>
        <v>54</v>
      </c>
      <c r="M44" t="str">
        <f>"001"</f>
        <v>001</v>
      </c>
      <c r="N44" t="str">
        <f>"1"</f>
        <v>1</v>
      </c>
      <c r="O44" t="str">
        <f>"9997"</f>
        <v>9997</v>
      </c>
      <c r="P44" t="str">
        <f>"S"</f>
        <v>S</v>
      </c>
      <c r="Q44" t="str">
        <f>"ESS091"</f>
        <v>ESS091</v>
      </c>
      <c r="R44" t="str">
        <f t="shared" si="44"/>
        <v>6</v>
      </c>
      <c r="S44" t="str">
        <f>""</f>
        <v/>
      </c>
      <c r="T44" t="str">
        <f t="shared" si="45"/>
        <v xml:space="preserve">                                                                                                    </v>
      </c>
      <c r="U44" t="str">
        <f>"2         "</f>
        <v xml:space="preserve">2         </v>
      </c>
      <c r="V44" t="str">
        <f t="shared" si="51"/>
        <v>2</v>
      </c>
      <c r="W44" t="str">
        <f t="shared" si="51"/>
        <v>2</v>
      </c>
      <c r="X44" t="str">
        <f t="shared" si="51"/>
        <v>2</v>
      </c>
      <c r="Y44" t="str">
        <f t="shared" si="51"/>
        <v>2</v>
      </c>
      <c r="Z44" t="str">
        <f t="shared" si="51"/>
        <v>2</v>
      </c>
      <c r="AA44" t="str">
        <f t="shared" si="8"/>
        <v xml:space="preserve">          </v>
      </c>
      <c r="AB44" t="str">
        <f t="shared" si="52"/>
        <v>2</v>
      </c>
      <c r="AC44" t="str">
        <f t="shared" si="52"/>
        <v>2</v>
      </c>
      <c r="AD44" t="str">
        <f t="shared" si="52"/>
        <v>2</v>
      </c>
      <c r="AE44" t="str">
        <f t="shared" si="52"/>
        <v>2</v>
      </c>
      <c r="AF44" t="str">
        <f t="shared" si="52"/>
        <v>2</v>
      </c>
      <c r="AG44" t="str">
        <f t="shared" si="52"/>
        <v>2</v>
      </c>
      <c r="AH44" t="str">
        <f t="shared" si="46"/>
        <v>1</v>
      </c>
      <c r="AI44" t="str">
        <f>"2         "</f>
        <v xml:space="preserve">2         </v>
      </c>
      <c r="AJ44" t="str">
        <f t="shared" si="47"/>
        <v>170</v>
      </c>
      <c r="AK44" t="str">
        <f>"54"</f>
        <v>54</v>
      </c>
      <c r="AL44" t="str">
        <f>"001"</f>
        <v>001</v>
      </c>
      <c r="AM44" t="str">
        <f>"11"</f>
        <v>11</v>
      </c>
      <c r="AN44" t="str">
        <f>"11001"</f>
        <v>11001</v>
      </c>
      <c r="AO44" t="str">
        <f>"29/01/2020 12:00:00 a. m."</f>
        <v>29/01/2020 12:00:00 a. m.</v>
      </c>
      <c r="AP44" t="str">
        <f>"26/07/2019 12:00:00 a. m."</f>
        <v>26/07/2019 12:00:00 a. m.</v>
      </c>
      <c r="AQ44" t="str">
        <f>"3"</f>
        <v>3</v>
      </c>
      <c r="AR44" t="str">
        <f t="shared" si="53"/>
        <v>1</v>
      </c>
      <c r="AS44" t="str">
        <f>"30/01/2020 12:00:00 a. m."</f>
        <v>30/01/2020 12:00:00 a. m.</v>
      </c>
      <c r="AT44" t="str">
        <f t="shared" si="36"/>
        <v>1</v>
      </c>
      <c r="AU44" t="str">
        <f>""</f>
        <v/>
      </c>
      <c r="AV44" t="str">
        <f>"7"</f>
        <v>7</v>
      </c>
      <c r="AW44" t="str">
        <f>"18/05/2010 12:00:00 a. m."</f>
        <v>18/05/2010 12:00:00 a. m.</v>
      </c>
      <c r="AX44" t="str">
        <f>""</f>
        <v/>
      </c>
      <c r="AY44" t="str">
        <f t="shared" si="13"/>
        <v>30/04/2021 12:00:00 a. m.</v>
      </c>
      <c r="AZ44" t="str">
        <f>"16/02/2021 12:00:00 a. m."</f>
        <v>16/02/2021 12:00:00 a. m.</v>
      </c>
      <c r="BA44" t="str">
        <f>""</f>
        <v/>
      </c>
      <c r="BB44" t="str">
        <f>""</f>
        <v/>
      </c>
      <c r="BC44" t="str">
        <f>""</f>
        <v/>
      </c>
      <c r="BD44" t="str">
        <f t="shared" si="54"/>
        <v>1</v>
      </c>
      <c r="BE44" t="str">
        <f t="shared" si="54"/>
        <v>1</v>
      </c>
      <c r="BF44" t="str">
        <f t="shared" si="15"/>
        <v xml:space="preserve">3         </v>
      </c>
      <c r="BG44" t="str">
        <f t="shared" si="16"/>
        <v>Confirmado por laboratorio</v>
      </c>
      <c r="BH44" t="str">
        <f>"ESE INSTITUTO NACIONAL DE CANCEROLOGIA"</f>
        <v>ESE INSTITUTO NACIONAL DE CANCEROLOGIA</v>
      </c>
      <c r="BI44" t="str">
        <f t="shared" si="48"/>
        <v>COLOMBIA</v>
      </c>
      <c r="BJ44" t="str">
        <f t="shared" si="18"/>
        <v>CANCER INFANTIL</v>
      </c>
      <c r="BK44" t="str">
        <f>"NORTE SANTANDER"</f>
        <v>NORTE SANTANDER</v>
      </c>
      <c r="BL44" t="str">
        <f>"CUCUTA"</f>
        <v>CUCUTA</v>
      </c>
      <c r="BM44" t="str">
        <f t="shared" si="49"/>
        <v>COLOMBIA</v>
      </c>
      <c r="BN44" t="str">
        <f>"NORTE SANTANDER"</f>
        <v>NORTE SANTANDER</v>
      </c>
      <c r="BO44" t="str">
        <f>"CUCUTA"</f>
        <v>CUCUTA</v>
      </c>
      <c r="BP44" t="str">
        <f>"BOGOTA"</f>
        <v>BOGOTA</v>
      </c>
      <c r="BQ44" t="str">
        <f>"BOGOTA"</f>
        <v>BOGOTA</v>
      </c>
    </row>
    <row r="45" spans="1:69" x14ac:dyDescent="0.25">
      <c r="A45" t="str">
        <f>"7285466"</f>
        <v>7285466</v>
      </c>
      <c r="B45" t="str">
        <f t="shared" si="0"/>
        <v>459</v>
      </c>
      <c r="C45" t="str">
        <f>"13/01/2021 12:00:00 a. m."</f>
        <v>13/01/2021 12:00:00 a. m.</v>
      </c>
      <c r="D45" t="str">
        <f>"51"</f>
        <v>51</v>
      </c>
      <c r="E45" t="str">
        <f t="shared" si="1"/>
        <v>2020</v>
      </c>
      <c r="F45" t="str">
        <f>"6854704947"</f>
        <v>6854704947</v>
      </c>
      <c r="G45" t="str">
        <f>"01"</f>
        <v>01</v>
      </c>
      <c r="H45" t="str">
        <f>"3"</f>
        <v>3</v>
      </c>
      <c r="I45" t="str">
        <f t="shared" si="39"/>
        <v>1</v>
      </c>
      <c r="J45" t="str">
        <f>"M"</f>
        <v>M</v>
      </c>
      <c r="K45" t="str">
        <f t="shared" si="43"/>
        <v>170</v>
      </c>
      <c r="L45" t="str">
        <f>"54"</f>
        <v>54</v>
      </c>
      <c r="M45" t="str">
        <f>"001"</f>
        <v>001</v>
      </c>
      <c r="N45" t="str">
        <f>"1"</f>
        <v>1</v>
      </c>
      <c r="O45" t="str">
        <f>"9999"</f>
        <v>9999</v>
      </c>
      <c r="P45" t="str">
        <f>"S"</f>
        <v>S</v>
      </c>
      <c r="Q45" t="str">
        <f>"EPSS08"</f>
        <v>EPSS08</v>
      </c>
      <c r="R45" t="str">
        <f t="shared" si="44"/>
        <v>6</v>
      </c>
      <c r="S45" t="str">
        <f>""</f>
        <v/>
      </c>
      <c r="T45" t="str">
        <f t="shared" si="45"/>
        <v xml:space="preserve">                                                                                                    </v>
      </c>
      <c r="U45" t="str">
        <f>"1         "</f>
        <v xml:space="preserve">1         </v>
      </c>
      <c r="V45" t="str">
        <f t="shared" si="51"/>
        <v>2</v>
      </c>
      <c r="W45" t="str">
        <f t="shared" si="51"/>
        <v>2</v>
      </c>
      <c r="X45" t="str">
        <f t="shared" si="51"/>
        <v>2</v>
      </c>
      <c r="Y45" t="str">
        <f t="shared" si="51"/>
        <v>2</v>
      </c>
      <c r="Z45" t="str">
        <f t="shared" si="51"/>
        <v>2</v>
      </c>
      <c r="AA45" t="str">
        <f t="shared" si="8"/>
        <v xml:space="preserve">          </v>
      </c>
      <c r="AB45" t="str">
        <f t="shared" si="52"/>
        <v>2</v>
      </c>
      <c r="AC45" t="str">
        <f t="shared" si="52"/>
        <v>2</v>
      </c>
      <c r="AD45" t="str">
        <f t="shared" si="52"/>
        <v>2</v>
      </c>
      <c r="AE45" t="str">
        <f t="shared" si="52"/>
        <v>2</v>
      </c>
      <c r="AF45" t="str">
        <f t="shared" si="52"/>
        <v>2</v>
      </c>
      <c r="AG45" t="str">
        <f t="shared" si="52"/>
        <v>2</v>
      </c>
      <c r="AH45" t="str">
        <f t="shared" si="46"/>
        <v>1</v>
      </c>
      <c r="AI45" t="str">
        <f>"1         "</f>
        <v xml:space="preserve">1         </v>
      </c>
      <c r="AJ45" t="str">
        <f t="shared" si="47"/>
        <v>170</v>
      </c>
      <c r="AK45" t="str">
        <f>"54"</f>
        <v>54</v>
      </c>
      <c r="AL45" t="str">
        <f>"001"</f>
        <v>001</v>
      </c>
      <c r="AM45" t="str">
        <f>"68"</f>
        <v>68</v>
      </c>
      <c r="AN45" t="str">
        <f>"68547"</f>
        <v>68547</v>
      </c>
      <c r="AO45" t="str">
        <f>"17/12/2020 12:00:00 a. m."</f>
        <v>17/12/2020 12:00:00 a. m.</v>
      </c>
      <c r="AP45" t="str">
        <f>"17/09/2020 12:00:00 a. m."</f>
        <v>17/09/2020 12:00:00 a. m.</v>
      </c>
      <c r="AQ45" t="str">
        <f>"3"</f>
        <v>3</v>
      </c>
      <c r="AR45" t="str">
        <f t="shared" si="53"/>
        <v>1</v>
      </c>
      <c r="AS45" t="str">
        <f>"17/12/2020 12:00:00 a. m."</f>
        <v>17/12/2020 12:00:00 a. m.</v>
      </c>
      <c r="AT45" t="str">
        <f t="shared" si="36"/>
        <v>1</v>
      </c>
      <c r="AU45" t="str">
        <f>""</f>
        <v/>
      </c>
      <c r="AV45" t="str">
        <f>"0"</f>
        <v>0</v>
      </c>
      <c r="AW45" t="str">
        <f>"23/06/2017 12:00:00 a. m."</f>
        <v>23/06/2017 12:00:00 a. m.</v>
      </c>
      <c r="AX45" t="str">
        <f>""</f>
        <v/>
      </c>
      <c r="AY45" t="str">
        <f t="shared" si="13"/>
        <v>30/04/2021 12:00:00 a. m.</v>
      </c>
      <c r="AZ45" t="str">
        <f>"13/01/2021 12:00:00 a. m."</f>
        <v>13/01/2021 12:00:00 a. m.</v>
      </c>
      <c r="BA45" t="str">
        <f>""</f>
        <v/>
      </c>
      <c r="BB45" t="str">
        <f>""</f>
        <v/>
      </c>
      <c r="BC45" t="str">
        <f>""</f>
        <v/>
      </c>
      <c r="BD45" t="str">
        <f t="shared" si="54"/>
        <v>1</v>
      </c>
      <c r="BE45" t="str">
        <f t="shared" si="54"/>
        <v>1</v>
      </c>
      <c r="BF45" t="str">
        <f t="shared" si="15"/>
        <v xml:space="preserve">3         </v>
      </c>
      <c r="BG45" t="str">
        <f t="shared" si="16"/>
        <v>Confirmado por laboratorio</v>
      </c>
      <c r="BH45" t="str">
        <f>"HOSPITAL INTERNACIONAL DE COLOMBIA"</f>
        <v>HOSPITAL INTERNACIONAL DE COLOMBIA</v>
      </c>
      <c r="BI45" t="str">
        <f t="shared" si="48"/>
        <v>COLOMBIA</v>
      </c>
      <c r="BJ45" t="str">
        <f t="shared" si="18"/>
        <v>CANCER INFANTIL</v>
      </c>
      <c r="BK45" t="str">
        <f>"NORTE SANTANDER"</f>
        <v>NORTE SANTANDER</v>
      </c>
      <c r="BL45" t="str">
        <f>"CUCUTA"</f>
        <v>CUCUTA</v>
      </c>
      <c r="BM45" t="str">
        <f t="shared" si="49"/>
        <v>COLOMBIA</v>
      </c>
      <c r="BN45" t="str">
        <f>"NORTE SANTANDER"</f>
        <v>NORTE SANTANDER</v>
      </c>
      <c r="BO45" t="str">
        <f>"CUCUTA"</f>
        <v>CUCUTA</v>
      </c>
      <c r="BP45" t="str">
        <f>"SANTANDER"</f>
        <v>SANTANDER</v>
      </c>
      <c r="BQ45" t="str">
        <f>"PIEDECUESTA"</f>
        <v>PIEDECUESTA</v>
      </c>
    </row>
    <row r="46" spans="1:69" x14ac:dyDescent="0.25">
      <c r="A46" t="str">
        <f>"7285630"</f>
        <v>7285630</v>
      </c>
      <c r="B46" t="str">
        <f t="shared" si="0"/>
        <v>459</v>
      </c>
      <c r="C46" t="str">
        <f>"24/11/2020 12:00:00 a. m."</f>
        <v>24/11/2020 12:00:00 a. m.</v>
      </c>
      <c r="D46" t="str">
        <f>"30"</f>
        <v>30</v>
      </c>
      <c r="E46" t="str">
        <f t="shared" si="1"/>
        <v>2020</v>
      </c>
      <c r="F46" t="str">
        <f>"0500102175"</f>
        <v>0500102175</v>
      </c>
      <c r="G46" t="str">
        <f>"01"</f>
        <v>01</v>
      </c>
      <c r="H46" t="str">
        <f>"17"</f>
        <v>17</v>
      </c>
      <c r="I46" t="str">
        <f t="shared" si="39"/>
        <v>1</v>
      </c>
      <c r="J46" t="str">
        <f>"F"</f>
        <v>F</v>
      </c>
      <c r="K46" t="str">
        <f t="shared" si="43"/>
        <v>170</v>
      </c>
      <c r="L46" t="str">
        <f>"05"</f>
        <v>05</v>
      </c>
      <c r="M46" t="str">
        <f>"093"</f>
        <v>093</v>
      </c>
      <c r="N46" t="str">
        <f>"3"</f>
        <v>3</v>
      </c>
      <c r="O46" t="str">
        <f>"9997"</f>
        <v>9997</v>
      </c>
      <c r="P46" t="str">
        <f>"S"</f>
        <v>S</v>
      </c>
      <c r="Q46" t="str">
        <f>"EPSS40"</f>
        <v>EPSS40</v>
      </c>
      <c r="R46" t="str">
        <f t="shared" si="44"/>
        <v>6</v>
      </c>
      <c r="S46" t="str">
        <f>""</f>
        <v/>
      </c>
      <c r="T46" t="str">
        <f t="shared" si="45"/>
        <v xml:space="preserve">                                                                                                    </v>
      </c>
      <c r="U46" t="str">
        <f>"2         "</f>
        <v xml:space="preserve">2         </v>
      </c>
      <c r="V46" t="str">
        <f t="shared" si="51"/>
        <v>2</v>
      </c>
      <c r="W46" t="str">
        <f t="shared" si="51"/>
        <v>2</v>
      </c>
      <c r="X46" t="str">
        <f t="shared" si="51"/>
        <v>2</v>
      </c>
      <c r="Y46" t="str">
        <f t="shared" si="51"/>
        <v>2</v>
      </c>
      <c r="Z46" t="str">
        <f t="shared" si="51"/>
        <v>2</v>
      </c>
      <c r="AA46" t="str">
        <f t="shared" si="8"/>
        <v xml:space="preserve">          </v>
      </c>
      <c r="AB46" t="str">
        <f t="shared" si="52"/>
        <v>2</v>
      </c>
      <c r="AC46" t="str">
        <f t="shared" si="52"/>
        <v>2</v>
      </c>
      <c r="AD46" t="str">
        <f t="shared" si="52"/>
        <v>2</v>
      </c>
      <c r="AE46" t="str">
        <f t="shared" si="52"/>
        <v>2</v>
      </c>
      <c r="AF46" t="str">
        <f t="shared" si="52"/>
        <v>2</v>
      </c>
      <c r="AG46" t="str">
        <f t="shared" si="52"/>
        <v>2</v>
      </c>
      <c r="AH46" t="str">
        <f t="shared" si="46"/>
        <v>1</v>
      </c>
      <c r="AI46" t="str">
        <f>"1         "</f>
        <v xml:space="preserve">1         </v>
      </c>
      <c r="AJ46" t="str">
        <f t="shared" si="47"/>
        <v>170</v>
      </c>
      <c r="AK46" t="str">
        <f>"05"</f>
        <v>05</v>
      </c>
      <c r="AL46" t="str">
        <f>"093"</f>
        <v>093</v>
      </c>
      <c r="AM46" t="str">
        <f>"05"</f>
        <v>05</v>
      </c>
      <c r="AN46" t="str">
        <f>"05001"</f>
        <v>05001</v>
      </c>
      <c r="AO46" t="str">
        <f>"21/07/2020 12:00:00 a. m."</f>
        <v>21/07/2020 12:00:00 a. m.</v>
      </c>
      <c r="AP46" t="str">
        <f>"21/05/2020 12:00:00 a. m."</f>
        <v>21/05/2020 12:00:00 a. m.</v>
      </c>
      <c r="AQ46" t="str">
        <f>"3"</f>
        <v>3</v>
      </c>
      <c r="AR46" t="str">
        <f t="shared" si="53"/>
        <v>1</v>
      </c>
      <c r="AS46" t="str">
        <f>"21/07/2020 12:00:00 a. m."</f>
        <v>21/07/2020 12:00:00 a. m.</v>
      </c>
      <c r="AT46" t="str">
        <f t="shared" si="36"/>
        <v>1</v>
      </c>
      <c r="AU46" t="str">
        <f>""</f>
        <v/>
      </c>
      <c r="AV46" t="str">
        <f>"0"</f>
        <v>0</v>
      </c>
      <c r="AW46" t="str">
        <f>"9/01/2003 12:00:00 a. m."</f>
        <v>9/01/2003 12:00:00 a. m.</v>
      </c>
      <c r="AX46" t="str">
        <f>""</f>
        <v/>
      </c>
      <c r="AY46" t="str">
        <f t="shared" si="13"/>
        <v>30/04/2021 12:00:00 a. m.</v>
      </c>
      <c r="AZ46" t="str">
        <f>"24/11/2020 12:00:00 a. m."</f>
        <v>24/11/2020 12:00:00 a. m.</v>
      </c>
      <c r="BA46" t="str">
        <f>""</f>
        <v/>
      </c>
      <c r="BB46" t="str">
        <f>""</f>
        <v/>
      </c>
      <c r="BC46" t="str">
        <f>""</f>
        <v/>
      </c>
      <c r="BD46" t="str">
        <f t="shared" si="54"/>
        <v>1</v>
      </c>
      <c r="BE46" t="str">
        <f t="shared" si="54"/>
        <v>1</v>
      </c>
      <c r="BF46" t="str">
        <f t="shared" si="15"/>
        <v xml:space="preserve">3         </v>
      </c>
      <c r="BG46" t="str">
        <f t="shared" si="16"/>
        <v>Confirmado por laboratorio</v>
      </c>
      <c r="BH46" t="str">
        <f>"FUNDACION HOSPITALARIA SAN VICENTE DE PAUL"</f>
        <v>FUNDACION HOSPITALARIA SAN VICENTE DE PAUL</v>
      </c>
      <c r="BI46" t="str">
        <f t="shared" si="48"/>
        <v>COLOMBIA</v>
      </c>
      <c r="BJ46" t="str">
        <f t="shared" si="18"/>
        <v>CANCER INFANTIL</v>
      </c>
      <c r="BK46" t="str">
        <f>"ANTIOQUIA"</f>
        <v>ANTIOQUIA</v>
      </c>
      <c r="BL46" t="str">
        <f>"BETULIA"</f>
        <v>BETULIA</v>
      </c>
      <c r="BM46" t="str">
        <f t="shared" si="49"/>
        <v>COLOMBIA</v>
      </c>
      <c r="BN46" t="str">
        <f>"ANTIOQUIA"</f>
        <v>ANTIOQUIA</v>
      </c>
      <c r="BO46" t="str">
        <f>"BETULIA"</f>
        <v>BETULIA</v>
      </c>
      <c r="BP46" t="str">
        <f>"ANTIOQUIA"</f>
        <v>ANTIOQUIA</v>
      </c>
      <c r="BQ46" t="str">
        <f>"MEDELLIN"</f>
        <v>MEDELLIN</v>
      </c>
    </row>
    <row r="47" spans="1:69" x14ac:dyDescent="0.25">
      <c r="A47" t="str">
        <f>"7285489"</f>
        <v>7285489</v>
      </c>
      <c r="B47" t="str">
        <f t="shared" si="0"/>
        <v>459</v>
      </c>
      <c r="C47" t="str">
        <f>"12/02/2021 12:00:00 a. m."</f>
        <v>12/02/2021 12:00:00 a. m.</v>
      </c>
      <c r="D47" t="str">
        <f>"52"</f>
        <v>52</v>
      </c>
      <c r="E47" t="str">
        <f t="shared" si="1"/>
        <v>2020</v>
      </c>
      <c r="F47" t="str">
        <f>"5400100371"</f>
        <v>5400100371</v>
      </c>
      <c r="G47" t="str">
        <f>"01"</f>
        <v>01</v>
      </c>
      <c r="H47" t="str">
        <f>"13"</f>
        <v>13</v>
      </c>
      <c r="I47" t="str">
        <f t="shared" si="39"/>
        <v>1</v>
      </c>
      <c r="J47" t="str">
        <f>"M"</f>
        <v>M</v>
      </c>
      <c r="K47" t="str">
        <f t="shared" si="43"/>
        <v>170</v>
      </c>
      <c r="L47" t="str">
        <f>"54"</f>
        <v>54</v>
      </c>
      <c r="M47" t="str">
        <f>"001"</f>
        <v>001</v>
      </c>
      <c r="N47" t="str">
        <f>"1"</f>
        <v>1</v>
      </c>
      <c r="O47" t="str">
        <f>"9999"</f>
        <v>9999</v>
      </c>
      <c r="P47" t="str">
        <f>"S"</f>
        <v>S</v>
      </c>
      <c r="Q47" t="str">
        <f>"EPSS45"</f>
        <v>EPSS45</v>
      </c>
      <c r="R47" t="str">
        <f t="shared" si="44"/>
        <v>6</v>
      </c>
      <c r="S47" t="str">
        <f>""</f>
        <v/>
      </c>
      <c r="T47" t="str">
        <f t="shared" si="45"/>
        <v xml:space="preserve">                                                                                                    </v>
      </c>
      <c r="U47" t="str">
        <f>"2         "</f>
        <v xml:space="preserve">2         </v>
      </c>
      <c r="V47" t="str">
        <f t="shared" si="51"/>
        <v>2</v>
      </c>
      <c r="W47" t="str">
        <f t="shared" si="51"/>
        <v>2</v>
      </c>
      <c r="X47" t="str">
        <f t="shared" si="51"/>
        <v>2</v>
      </c>
      <c r="Y47" t="str">
        <f t="shared" si="51"/>
        <v>2</v>
      </c>
      <c r="Z47" t="str">
        <f t="shared" si="51"/>
        <v>2</v>
      </c>
      <c r="AA47" t="str">
        <f t="shared" si="8"/>
        <v xml:space="preserve">          </v>
      </c>
      <c r="AB47" t="str">
        <f t="shared" si="52"/>
        <v>2</v>
      </c>
      <c r="AC47" t="str">
        <f t="shared" si="52"/>
        <v>2</v>
      </c>
      <c r="AD47" t="str">
        <f t="shared" si="52"/>
        <v>2</v>
      </c>
      <c r="AE47" t="str">
        <f t="shared" si="52"/>
        <v>2</v>
      </c>
      <c r="AF47" t="str">
        <f t="shared" si="52"/>
        <v>2</v>
      </c>
      <c r="AG47" t="str">
        <f t="shared" si="52"/>
        <v>2</v>
      </c>
      <c r="AH47" t="str">
        <f t="shared" si="46"/>
        <v>1</v>
      </c>
      <c r="AI47" t="str">
        <f>"2         "</f>
        <v xml:space="preserve">2         </v>
      </c>
      <c r="AJ47" t="str">
        <f t="shared" si="47"/>
        <v>170</v>
      </c>
      <c r="AK47" t="str">
        <f>"54"</f>
        <v>54</v>
      </c>
      <c r="AL47" t="str">
        <f>"001"</f>
        <v>001</v>
      </c>
      <c r="AM47" t="str">
        <f>"54"</f>
        <v>54</v>
      </c>
      <c r="AN47" t="str">
        <f>"54001"</f>
        <v>54001</v>
      </c>
      <c r="AO47" t="str">
        <f>"23/12/2020 12:00:00 a. m."</f>
        <v>23/12/2020 12:00:00 a. m.</v>
      </c>
      <c r="AP47" t="str">
        <f>"23/12/2020 12:00:00 a. m."</f>
        <v>23/12/2020 12:00:00 a. m.</v>
      </c>
      <c r="AQ47" t="str">
        <f>"3"</f>
        <v>3</v>
      </c>
      <c r="AR47" t="str">
        <f t="shared" si="53"/>
        <v>1</v>
      </c>
      <c r="AS47" t="str">
        <f>"23/12/2020 12:00:00 a. m."</f>
        <v>23/12/2020 12:00:00 a. m.</v>
      </c>
      <c r="AT47" t="str">
        <f t="shared" si="36"/>
        <v>1</v>
      </c>
      <c r="AU47" t="str">
        <f>""</f>
        <v/>
      </c>
      <c r="AV47" t="str">
        <f>"0"</f>
        <v>0</v>
      </c>
      <c r="AW47" t="str">
        <f>"1/05/2007 12:00:00 a. m."</f>
        <v>1/05/2007 12:00:00 a. m.</v>
      </c>
      <c r="AX47" t="str">
        <f>""</f>
        <v/>
      </c>
      <c r="AY47" t="str">
        <f t="shared" si="13"/>
        <v>30/04/2021 12:00:00 a. m.</v>
      </c>
      <c r="AZ47" t="str">
        <f>"14/02/2021 12:00:00 a. m."</f>
        <v>14/02/2021 12:00:00 a. m.</v>
      </c>
      <c r="BA47" t="str">
        <f>""</f>
        <v/>
      </c>
      <c r="BB47" t="str">
        <f>""</f>
        <v/>
      </c>
      <c r="BC47" t="str">
        <f>""</f>
        <v/>
      </c>
      <c r="BD47" t="str">
        <f t="shared" si="54"/>
        <v>1</v>
      </c>
      <c r="BE47" t="str">
        <f t="shared" si="54"/>
        <v>1</v>
      </c>
      <c r="BF47" t="str">
        <f t="shared" si="15"/>
        <v xml:space="preserve">3         </v>
      </c>
      <c r="BG47" t="str">
        <f t="shared" si="16"/>
        <v>Confirmado por laboratorio</v>
      </c>
      <c r="BH47" t="str">
        <f>"EMPRESA SOCIAL DEL ESTADO HOSPITAL UNIVERSITARIO E"</f>
        <v>EMPRESA SOCIAL DEL ESTADO HOSPITAL UNIVERSITARIO E</v>
      </c>
      <c r="BI47" t="str">
        <f t="shared" si="48"/>
        <v>COLOMBIA</v>
      </c>
      <c r="BJ47" t="str">
        <f t="shared" si="18"/>
        <v>CANCER INFANTIL</v>
      </c>
      <c r="BK47" t="str">
        <f>"NORTE SANTANDER"</f>
        <v>NORTE SANTANDER</v>
      </c>
      <c r="BL47" t="str">
        <f>"CUCUTA"</f>
        <v>CUCUTA</v>
      </c>
      <c r="BM47" t="str">
        <f t="shared" si="49"/>
        <v>COLOMBIA</v>
      </c>
      <c r="BN47" t="str">
        <f>"NORTE SANTANDER"</f>
        <v>NORTE SANTANDER</v>
      </c>
      <c r="BO47" t="str">
        <f>"CUCUTA"</f>
        <v>CUCUTA</v>
      </c>
      <c r="BP47" t="str">
        <f>"NORTE SANTANDER"</f>
        <v>NORTE SANTANDER</v>
      </c>
      <c r="BQ47" t="str">
        <f>"CUCUTA"</f>
        <v>CUCUTA</v>
      </c>
    </row>
    <row r="48" spans="1:69" x14ac:dyDescent="0.25">
      <c r="A48" t="str">
        <f>"7285561"</f>
        <v>7285561</v>
      </c>
      <c r="B48" t="str">
        <f t="shared" si="0"/>
        <v>459</v>
      </c>
      <c r="C48" t="str">
        <f>"2/01/2021 12:00:00 a. m."</f>
        <v>2/01/2021 12:00:00 a. m.</v>
      </c>
      <c r="D48" t="str">
        <f>"53"</f>
        <v>53</v>
      </c>
      <c r="E48" t="str">
        <f t="shared" si="1"/>
        <v>2020</v>
      </c>
      <c r="F48" t="str">
        <f>"1100105681"</f>
        <v>1100105681</v>
      </c>
      <c r="G48" t="str">
        <f>"01"</f>
        <v>01</v>
      </c>
      <c r="H48" t="str">
        <f>"13"</f>
        <v>13</v>
      </c>
      <c r="I48" t="str">
        <f t="shared" si="39"/>
        <v>1</v>
      </c>
      <c r="J48" t="str">
        <f>"M"</f>
        <v>M</v>
      </c>
      <c r="K48" t="str">
        <f t="shared" si="43"/>
        <v>170</v>
      </c>
      <c r="L48" t="str">
        <f>"25"</f>
        <v>25</v>
      </c>
      <c r="M48" t="str">
        <f>"899"</f>
        <v>899</v>
      </c>
      <c r="N48" t="str">
        <f>"3"</f>
        <v>3</v>
      </c>
      <c r="O48" t="str">
        <f>"9997"</f>
        <v>9997</v>
      </c>
      <c r="P48" t="str">
        <f>"S"</f>
        <v>S</v>
      </c>
      <c r="Q48" t="str">
        <f>"ESS133"</f>
        <v>ESS133</v>
      </c>
      <c r="R48" t="str">
        <f t="shared" si="44"/>
        <v>6</v>
      </c>
      <c r="S48" t="str">
        <f>""</f>
        <v/>
      </c>
      <c r="T48" t="str">
        <f t="shared" si="45"/>
        <v xml:space="preserve">                                                                                                    </v>
      </c>
      <c r="U48" t="str">
        <f>"2         "</f>
        <v xml:space="preserve">2         </v>
      </c>
      <c r="V48" t="str">
        <f t="shared" si="51"/>
        <v>2</v>
      </c>
      <c r="W48" t="str">
        <f t="shared" si="51"/>
        <v>2</v>
      </c>
      <c r="X48" t="str">
        <f t="shared" si="51"/>
        <v>2</v>
      </c>
      <c r="Y48" t="str">
        <f t="shared" si="51"/>
        <v>2</v>
      </c>
      <c r="Z48" t="str">
        <f t="shared" si="51"/>
        <v>2</v>
      </c>
      <c r="AA48" t="str">
        <f t="shared" si="8"/>
        <v xml:space="preserve">          </v>
      </c>
      <c r="AB48" t="str">
        <f t="shared" si="52"/>
        <v>2</v>
      </c>
      <c r="AC48" t="str">
        <f t="shared" si="52"/>
        <v>2</v>
      </c>
      <c r="AD48" t="str">
        <f t="shared" si="52"/>
        <v>2</v>
      </c>
      <c r="AE48" t="str">
        <f t="shared" si="52"/>
        <v>2</v>
      </c>
      <c r="AF48" t="str">
        <f t="shared" si="52"/>
        <v>2</v>
      </c>
      <c r="AG48" t="str">
        <f t="shared" si="52"/>
        <v>2</v>
      </c>
      <c r="AH48" t="str">
        <f t="shared" si="46"/>
        <v>1</v>
      </c>
      <c r="AI48" t="str">
        <f>"1         "</f>
        <v xml:space="preserve">1         </v>
      </c>
      <c r="AJ48" t="str">
        <f t="shared" si="47"/>
        <v>170</v>
      </c>
      <c r="AK48" t="str">
        <f>"25"</f>
        <v>25</v>
      </c>
      <c r="AL48" t="str">
        <f>"899"</f>
        <v>899</v>
      </c>
      <c r="AM48" t="str">
        <f>"11"</f>
        <v>11</v>
      </c>
      <c r="AN48" t="str">
        <f>"11001"</f>
        <v>11001</v>
      </c>
      <c r="AO48" t="str">
        <f>"2/01/2021 12:00:00 a. m."</f>
        <v>2/01/2021 12:00:00 a. m.</v>
      </c>
      <c r="AP48" t="str">
        <f>"31/12/2020 12:00:00 a. m."</f>
        <v>31/12/2020 12:00:00 a. m.</v>
      </c>
      <c r="AQ48" t="str">
        <f>"3"</f>
        <v>3</v>
      </c>
      <c r="AR48" t="str">
        <f t="shared" si="53"/>
        <v>1</v>
      </c>
      <c r="AS48" t="str">
        <f>"2/01/2021 12:00:00 a. m."</f>
        <v>2/01/2021 12:00:00 a. m.</v>
      </c>
      <c r="AT48" t="str">
        <f t="shared" si="36"/>
        <v>1</v>
      </c>
      <c r="AU48" t="str">
        <f>""</f>
        <v/>
      </c>
      <c r="AV48" t="str">
        <f>"7"</f>
        <v>7</v>
      </c>
      <c r="AW48" t="str">
        <f>"5/10/2007 12:00:00 a. m."</f>
        <v>5/10/2007 12:00:00 a. m.</v>
      </c>
      <c r="AX48" t="str">
        <f>""</f>
        <v/>
      </c>
      <c r="AY48" t="str">
        <f t="shared" si="13"/>
        <v>30/04/2021 12:00:00 a. m.</v>
      </c>
      <c r="AZ48" t="str">
        <f>"29/03/2021 12:00:00 a. m."</f>
        <v>29/03/2021 12:00:00 a. m.</v>
      </c>
      <c r="BA48" t="str">
        <f>""</f>
        <v/>
      </c>
      <c r="BB48" t="str">
        <f>""</f>
        <v/>
      </c>
      <c r="BC48" t="str">
        <f>""</f>
        <v/>
      </c>
      <c r="BD48" t="str">
        <f t="shared" si="54"/>
        <v>1</v>
      </c>
      <c r="BE48" t="str">
        <f t="shared" si="54"/>
        <v>1</v>
      </c>
      <c r="BF48" t="str">
        <f t="shared" si="15"/>
        <v xml:space="preserve">3         </v>
      </c>
      <c r="BG48" t="str">
        <f t="shared" si="16"/>
        <v>Confirmado por laboratorio</v>
      </c>
      <c r="BH48" t="str">
        <f>"FUNDACION HOSPITAL DE LA MISERICORDIA"</f>
        <v>FUNDACION HOSPITAL DE LA MISERICORDIA</v>
      </c>
      <c r="BI48" t="str">
        <f t="shared" si="48"/>
        <v>COLOMBIA</v>
      </c>
      <c r="BJ48" t="str">
        <f t="shared" si="18"/>
        <v>CANCER INFANTIL</v>
      </c>
      <c r="BK48" t="str">
        <f>"CUNDINAMARCA"</f>
        <v>CUNDINAMARCA</v>
      </c>
      <c r="BL48" t="str">
        <f>"ZIPAQUIRA"</f>
        <v>ZIPAQUIRA</v>
      </c>
      <c r="BM48" t="str">
        <f t="shared" si="49"/>
        <v>COLOMBIA</v>
      </c>
      <c r="BN48" t="str">
        <f>"CUNDINAMARCA"</f>
        <v>CUNDINAMARCA</v>
      </c>
      <c r="BO48" t="str">
        <f>"ZIPAQUIRA"</f>
        <v>ZIPAQUIRA</v>
      </c>
      <c r="BP48" t="str">
        <f>"BOGOTA"</f>
        <v>BOGOTA</v>
      </c>
      <c r="BQ48" t="str">
        <f>"BOGOTA"</f>
        <v>BOGOTA</v>
      </c>
    </row>
    <row r="49" spans="1:69" x14ac:dyDescent="0.25">
      <c r="A49" t="str">
        <f>"7285484"</f>
        <v>7285484</v>
      </c>
      <c r="B49" t="str">
        <f t="shared" si="0"/>
        <v>459</v>
      </c>
      <c r="C49" t="str">
        <f>"29/05/2020 12:00:00 a. m."</f>
        <v>29/05/2020 12:00:00 a. m.</v>
      </c>
      <c r="D49" t="str">
        <f>"21"</f>
        <v>21</v>
      </c>
      <c r="E49" t="str">
        <f t="shared" si="1"/>
        <v>2020</v>
      </c>
      <c r="F49" t="str">
        <f>"1100116338"</f>
        <v>1100116338</v>
      </c>
      <c r="G49" t="str">
        <f>"83"</f>
        <v>83</v>
      </c>
      <c r="H49" t="str">
        <f>"15"</f>
        <v>15</v>
      </c>
      <c r="I49" t="str">
        <f t="shared" si="39"/>
        <v>1</v>
      </c>
      <c r="J49" t="str">
        <f>"F"</f>
        <v>F</v>
      </c>
      <c r="K49" t="str">
        <f t="shared" si="43"/>
        <v>170</v>
      </c>
      <c r="L49" t="str">
        <f>"25"</f>
        <v>25</v>
      </c>
      <c r="M49" t="str">
        <f>"899"</f>
        <v>899</v>
      </c>
      <c r="N49" t="str">
        <f>"1"</f>
        <v>1</v>
      </c>
      <c r="O49" t="str">
        <f>"9997"</f>
        <v>9997</v>
      </c>
      <c r="P49" t="str">
        <f>"P"</f>
        <v>P</v>
      </c>
      <c r="Q49" t="str">
        <f>"RES003"</f>
        <v>RES003</v>
      </c>
      <c r="R49" t="str">
        <f t="shared" si="44"/>
        <v>6</v>
      </c>
      <c r="S49" t="str">
        <f>""</f>
        <v/>
      </c>
      <c r="T49" t="str">
        <f t="shared" si="45"/>
        <v xml:space="preserve">                                                                                                    </v>
      </c>
      <c r="U49" t="str">
        <f>"3         "</f>
        <v xml:space="preserve">3         </v>
      </c>
      <c r="V49" t="str">
        <f t="shared" si="51"/>
        <v>2</v>
      </c>
      <c r="W49" t="str">
        <f t="shared" si="51"/>
        <v>2</v>
      </c>
      <c r="X49" t="str">
        <f t="shared" si="51"/>
        <v>2</v>
      </c>
      <c r="Y49" t="str">
        <f t="shared" si="51"/>
        <v>2</v>
      </c>
      <c r="Z49" t="str">
        <f t="shared" si="51"/>
        <v>2</v>
      </c>
      <c r="AA49" t="str">
        <f t="shared" si="8"/>
        <v xml:space="preserve">          </v>
      </c>
      <c r="AB49" t="str">
        <f t="shared" si="52"/>
        <v>2</v>
      </c>
      <c r="AC49" t="str">
        <f t="shared" si="52"/>
        <v>2</v>
      </c>
      <c r="AD49" t="str">
        <f t="shared" si="52"/>
        <v>2</v>
      </c>
      <c r="AE49" t="str">
        <f t="shared" si="52"/>
        <v>2</v>
      </c>
      <c r="AF49" t="str">
        <f t="shared" si="52"/>
        <v>2</v>
      </c>
      <c r="AG49" t="str">
        <f t="shared" si="52"/>
        <v>2</v>
      </c>
      <c r="AH49" t="str">
        <f t="shared" si="46"/>
        <v>1</v>
      </c>
      <c r="AI49" t="str">
        <f>"1         "</f>
        <v xml:space="preserve">1         </v>
      </c>
      <c r="AJ49" t="str">
        <f t="shared" si="47"/>
        <v>170</v>
      </c>
      <c r="AK49" t="str">
        <f>"25"</f>
        <v>25</v>
      </c>
      <c r="AL49" t="str">
        <f>"899"</f>
        <v>899</v>
      </c>
      <c r="AM49" t="str">
        <f>"11"</f>
        <v>11</v>
      </c>
      <c r="AN49" t="str">
        <f>"11001"</f>
        <v>11001</v>
      </c>
      <c r="AO49" t="str">
        <f>"22/05/2020 12:00:00 a. m."</f>
        <v>22/05/2020 12:00:00 a. m.</v>
      </c>
      <c r="AP49" t="str">
        <f>"22/05/2020 12:00:00 a. m."</f>
        <v>22/05/2020 12:00:00 a. m.</v>
      </c>
      <c r="AQ49" t="str">
        <f>"2"</f>
        <v>2</v>
      </c>
      <c r="AR49" t="str">
        <f t="shared" si="53"/>
        <v>1</v>
      </c>
      <c r="AS49" t="str">
        <f>"22/05/2020 12:00:00 a. m."</f>
        <v>22/05/2020 12:00:00 a. m.</v>
      </c>
      <c r="AT49" t="str">
        <f t="shared" si="36"/>
        <v>1</v>
      </c>
      <c r="AU49" t="str">
        <f>""</f>
        <v/>
      </c>
      <c r="AV49" t="str">
        <f>"3"</f>
        <v>3</v>
      </c>
      <c r="AW49" t="str">
        <f>"19/08/2004 12:00:00 a. m."</f>
        <v>19/08/2004 12:00:00 a. m.</v>
      </c>
      <c r="AX49" t="str">
        <f>""</f>
        <v/>
      </c>
      <c r="AY49" t="str">
        <f t="shared" si="13"/>
        <v>30/04/2021 12:00:00 a. m.</v>
      </c>
      <c r="AZ49" t="str">
        <f>"27/06/2020 12:00:00 a. m."</f>
        <v>27/06/2020 12:00:00 a. m.</v>
      </c>
      <c r="BA49" t="str">
        <f>""</f>
        <v/>
      </c>
      <c r="BB49" t="str">
        <f>""</f>
        <v/>
      </c>
      <c r="BC49" t="str">
        <f>""</f>
        <v/>
      </c>
      <c r="BD49" t="str">
        <f t="shared" si="54"/>
        <v>1</v>
      </c>
      <c r="BE49" t="str">
        <f t="shared" si="54"/>
        <v>1</v>
      </c>
      <c r="BF49" t="str">
        <f t="shared" si="15"/>
        <v xml:space="preserve">3         </v>
      </c>
      <c r="BG49" t="str">
        <f t="shared" si="16"/>
        <v>Confirmado por laboratorio</v>
      </c>
      <c r="BH49" t="str">
        <f>"HOSPITAL MILITAR CENTRAL CHAPINERO"</f>
        <v>HOSPITAL MILITAR CENTRAL CHAPINERO</v>
      </c>
      <c r="BI49" t="str">
        <f t="shared" si="48"/>
        <v>COLOMBIA</v>
      </c>
      <c r="BJ49" t="str">
        <f t="shared" si="18"/>
        <v>CANCER INFANTIL</v>
      </c>
      <c r="BK49" t="str">
        <f>"CUNDINAMARCA"</f>
        <v>CUNDINAMARCA</v>
      </c>
      <c r="BL49" t="str">
        <f>"ZIPAQUIRA"</f>
        <v>ZIPAQUIRA</v>
      </c>
      <c r="BM49" t="str">
        <f t="shared" si="49"/>
        <v>COLOMBIA</v>
      </c>
      <c r="BN49" t="str">
        <f>"CUNDINAMARCA"</f>
        <v>CUNDINAMARCA</v>
      </c>
      <c r="BO49" t="str">
        <f>"ZIPAQUIRA"</f>
        <v>ZIPAQUIRA</v>
      </c>
      <c r="BP49" t="str">
        <f>"BOGOTA"</f>
        <v>BOGOTA</v>
      </c>
      <c r="BQ49" t="str">
        <f>"BOGOTA"</f>
        <v>BOGOTA</v>
      </c>
    </row>
    <row r="50" spans="1:69" x14ac:dyDescent="0.25">
      <c r="A50" t="str">
        <f>"7285454"</f>
        <v>7285454</v>
      </c>
      <c r="B50" t="str">
        <f t="shared" si="0"/>
        <v>459</v>
      </c>
      <c r="C50" t="str">
        <f>"10/09/2020 12:00:00 a. m."</f>
        <v>10/09/2020 12:00:00 a. m.</v>
      </c>
      <c r="D50" t="str">
        <f>"33"</f>
        <v>33</v>
      </c>
      <c r="E50" t="str">
        <f t="shared" si="1"/>
        <v>2020</v>
      </c>
      <c r="F50" t="str">
        <f>"5400102349"</f>
        <v>5400102349</v>
      </c>
      <c r="G50" t="str">
        <f t="shared" ref="G50:G70" si="55">"01"</f>
        <v>01</v>
      </c>
      <c r="H50" t="str">
        <f>"14"</f>
        <v>14</v>
      </c>
      <c r="I50" t="str">
        <f t="shared" si="39"/>
        <v>1</v>
      </c>
      <c r="J50" t="str">
        <f>"M"</f>
        <v>M</v>
      </c>
      <c r="K50" t="str">
        <f t="shared" si="43"/>
        <v>170</v>
      </c>
      <c r="L50" t="str">
        <f>"54"</f>
        <v>54</v>
      </c>
      <c r="M50" t="str">
        <f>"001"</f>
        <v>001</v>
      </c>
      <c r="N50" t="str">
        <f>"1"</f>
        <v>1</v>
      </c>
      <c r="O50" t="str">
        <f>"9997"</f>
        <v>9997</v>
      </c>
      <c r="P50" t="str">
        <f>"S"</f>
        <v>S</v>
      </c>
      <c r="Q50" t="str">
        <f>"ESS024"</f>
        <v>ESS024</v>
      </c>
      <c r="R50" t="str">
        <f t="shared" si="44"/>
        <v>6</v>
      </c>
      <c r="S50" t="str">
        <f>""</f>
        <v/>
      </c>
      <c r="T50" t="str">
        <f t="shared" si="45"/>
        <v xml:space="preserve">                                                                                                    </v>
      </c>
      <c r="U50" t="str">
        <f>"1         "</f>
        <v xml:space="preserve">1         </v>
      </c>
      <c r="V50" t="str">
        <f t="shared" si="51"/>
        <v>2</v>
      </c>
      <c r="W50" t="str">
        <f t="shared" si="51"/>
        <v>2</v>
      </c>
      <c r="X50" t="str">
        <f t="shared" si="51"/>
        <v>2</v>
      </c>
      <c r="Y50" t="str">
        <f t="shared" si="51"/>
        <v>2</v>
      </c>
      <c r="Z50" t="str">
        <f t="shared" si="51"/>
        <v>2</v>
      </c>
      <c r="AA50" t="str">
        <f t="shared" si="8"/>
        <v xml:space="preserve">          </v>
      </c>
      <c r="AB50" t="str">
        <f t="shared" si="52"/>
        <v>2</v>
      </c>
      <c r="AC50" t="str">
        <f t="shared" si="52"/>
        <v>2</v>
      </c>
      <c r="AD50" t="str">
        <f t="shared" si="52"/>
        <v>2</v>
      </c>
      <c r="AE50" t="str">
        <f t="shared" si="52"/>
        <v>2</v>
      </c>
      <c r="AF50" t="str">
        <f t="shared" si="52"/>
        <v>2</v>
      </c>
      <c r="AG50" t="str">
        <f t="shared" si="52"/>
        <v>2</v>
      </c>
      <c r="AH50" t="str">
        <f t="shared" si="46"/>
        <v>1</v>
      </c>
      <c r="AI50" t="str">
        <f>"2         "</f>
        <v xml:space="preserve">2         </v>
      </c>
      <c r="AJ50" t="str">
        <f t="shared" si="47"/>
        <v>170</v>
      </c>
      <c r="AK50" t="str">
        <f>"54"</f>
        <v>54</v>
      </c>
      <c r="AL50" t="str">
        <f>"001"</f>
        <v>001</v>
      </c>
      <c r="AM50" t="str">
        <f>"54"</f>
        <v>54</v>
      </c>
      <c r="AN50" t="str">
        <f>"54001"</f>
        <v>54001</v>
      </c>
      <c r="AO50" t="str">
        <f>"12/08/2020 12:00:00 a. m."</f>
        <v>12/08/2020 12:00:00 a. m.</v>
      </c>
      <c r="AP50" t="str">
        <f>"9/08/2020 12:00:00 a. m."</f>
        <v>9/08/2020 12:00:00 a. m.</v>
      </c>
      <c r="AQ50" t="str">
        <f t="shared" ref="AQ50:AQ65" si="56">"3"</f>
        <v>3</v>
      </c>
      <c r="AR50" t="str">
        <f t="shared" si="53"/>
        <v>1</v>
      </c>
      <c r="AS50" t="str">
        <f>"12/08/2020 12:00:00 a. m."</f>
        <v>12/08/2020 12:00:00 a. m.</v>
      </c>
      <c r="AT50" t="str">
        <f t="shared" si="36"/>
        <v>1</v>
      </c>
      <c r="AU50" t="str">
        <f>""</f>
        <v/>
      </c>
      <c r="AV50" t="str">
        <f t="shared" ref="AV50:AV63" si="57">"0"</f>
        <v>0</v>
      </c>
      <c r="AW50" t="str">
        <f>"17/08/2006 12:00:00 a. m."</f>
        <v>17/08/2006 12:00:00 a. m.</v>
      </c>
      <c r="AX50" t="str">
        <f>""</f>
        <v/>
      </c>
      <c r="AY50" t="str">
        <f t="shared" si="13"/>
        <v>30/04/2021 12:00:00 a. m.</v>
      </c>
      <c r="AZ50" t="str">
        <f>"15/09/2020 12:00:00 a. m."</f>
        <v>15/09/2020 12:00:00 a. m.</v>
      </c>
      <c r="BA50" t="str">
        <f>""</f>
        <v/>
      </c>
      <c r="BB50" t="str">
        <f>""</f>
        <v/>
      </c>
      <c r="BC50" t="str">
        <f>""</f>
        <v/>
      </c>
      <c r="BD50" t="str">
        <f t="shared" si="54"/>
        <v>1</v>
      </c>
      <c r="BE50" t="str">
        <f t="shared" si="54"/>
        <v>1</v>
      </c>
      <c r="BF50" t="str">
        <f t="shared" si="15"/>
        <v xml:space="preserve">3         </v>
      </c>
      <c r="BG50" t="str">
        <f t="shared" si="16"/>
        <v>Confirmado por laboratorio</v>
      </c>
      <c r="BH50" t="str">
        <f>"CLINICA MEDICAL DUARTE"</f>
        <v>CLINICA MEDICAL DUARTE</v>
      </c>
      <c r="BI50" t="str">
        <f t="shared" si="48"/>
        <v>COLOMBIA</v>
      </c>
      <c r="BJ50" t="str">
        <f t="shared" si="18"/>
        <v>CANCER INFANTIL</v>
      </c>
      <c r="BK50" t="str">
        <f>"NORTE SANTANDER"</f>
        <v>NORTE SANTANDER</v>
      </c>
      <c r="BL50" t="str">
        <f>"CUCUTA"</f>
        <v>CUCUTA</v>
      </c>
      <c r="BM50" t="str">
        <f t="shared" si="49"/>
        <v>COLOMBIA</v>
      </c>
      <c r="BN50" t="str">
        <f>"NORTE SANTANDER"</f>
        <v>NORTE SANTANDER</v>
      </c>
      <c r="BO50" t="str">
        <f>"CUCUTA"</f>
        <v>CUCUTA</v>
      </c>
      <c r="BP50" t="str">
        <f>"NORTE SANTANDER"</f>
        <v>NORTE SANTANDER</v>
      </c>
      <c r="BQ50" t="str">
        <f>"CUCUTA"</f>
        <v>CUCUTA</v>
      </c>
    </row>
    <row r="51" spans="1:69" x14ac:dyDescent="0.25">
      <c r="A51" t="str">
        <f>"7285432"</f>
        <v>7285432</v>
      </c>
      <c r="B51" t="str">
        <f t="shared" si="0"/>
        <v>459</v>
      </c>
      <c r="C51" t="str">
        <f>"15/05/2020 12:00:00 a. m."</f>
        <v>15/05/2020 12:00:00 a. m.</v>
      </c>
      <c r="D51" t="str">
        <f>"20"</f>
        <v>20</v>
      </c>
      <c r="E51" t="str">
        <f t="shared" si="1"/>
        <v>2020</v>
      </c>
      <c r="F51" t="str">
        <f>"0500102104"</f>
        <v>0500102104</v>
      </c>
      <c r="G51" t="str">
        <f t="shared" si="55"/>
        <v>01</v>
      </c>
      <c r="H51" t="str">
        <f>"1"</f>
        <v>1</v>
      </c>
      <c r="I51" t="str">
        <f t="shared" si="39"/>
        <v>1</v>
      </c>
      <c r="J51" t="str">
        <f>"F"</f>
        <v>F</v>
      </c>
      <c r="K51" t="str">
        <f t="shared" si="43"/>
        <v>170</v>
      </c>
      <c r="L51" t="str">
        <f>"05"</f>
        <v>05</v>
      </c>
      <c r="M51" t="str">
        <f>"615"</f>
        <v>615</v>
      </c>
      <c r="N51" t="str">
        <f>"1"</f>
        <v>1</v>
      </c>
      <c r="O51" t="str">
        <f>"9999"</f>
        <v>9999</v>
      </c>
      <c r="P51" t="str">
        <f>"C"</f>
        <v>C</v>
      </c>
      <c r="Q51" t="str">
        <f>"EMP021"</f>
        <v>EMP021</v>
      </c>
      <c r="R51" t="str">
        <f t="shared" si="44"/>
        <v>6</v>
      </c>
      <c r="S51" t="str">
        <f>""</f>
        <v/>
      </c>
      <c r="T51" t="str">
        <f t="shared" si="45"/>
        <v xml:space="preserve">                                                                                                    </v>
      </c>
      <c r="U51" t="str">
        <f>"4         "</f>
        <v xml:space="preserve">4         </v>
      </c>
      <c r="V51" t="str">
        <f t="shared" si="51"/>
        <v>2</v>
      </c>
      <c r="W51" t="str">
        <f t="shared" si="51"/>
        <v>2</v>
      </c>
      <c r="X51" t="str">
        <f t="shared" si="51"/>
        <v>2</v>
      </c>
      <c r="Y51" t="str">
        <f t="shared" si="51"/>
        <v>2</v>
      </c>
      <c r="Z51" t="str">
        <f t="shared" si="51"/>
        <v>2</v>
      </c>
      <c r="AA51" t="str">
        <f t="shared" si="8"/>
        <v xml:space="preserve">          </v>
      </c>
      <c r="AB51" t="str">
        <f t="shared" si="52"/>
        <v>2</v>
      </c>
      <c r="AC51" t="str">
        <f t="shared" si="52"/>
        <v>2</v>
      </c>
      <c r="AD51" t="str">
        <f t="shared" si="52"/>
        <v>2</v>
      </c>
      <c r="AE51" t="str">
        <f t="shared" si="52"/>
        <v>2</v>
      </c>
      <c r="AF51" t="str">
        <f t="shared" si="52"/>
        <v>2</v>
      </c>
      <c r="AG51" t="str">
        <f t="shared" si="52"/>
        <v>2</v>
      </c>
      <c r="AH51" t="str">
        <f t="shared" si="46"/>
        <v>1</v>
      </c>
      <c r="AI51" t="str">
        <f>"1         "</f>
        <v xml:space="preserve">1         </v>
      </c>
      <c r="AJ51" t="str">
        <f t="shared" si="47"/>
        <v>170</v>
      </c>
      <c r="AK51" t="str">
        <f>"05"</f>
        <v>05</v>
      </c>
      <c r="AL51" t="str">
        <f>"615"</f>
        <v>615</v>
      </c>
      <c r="AM51" t="str">
        <f>"05"</f>
        <v>05</v>
      </c>
      <c r="AN51" t="str">
        <f>"05001"</f>
        <v>05001</v>
      </c>
      <c r="AO51" t="str">
        <f>"15/05/2020 12:00:00 a. m."</f>
        <v>15/05/2020 12:00:00 a. m.</v>
      </c>
      <c r="AP51" t="str">
        <f>"3/05/2020 12:00:00 a. m."</f>
        <v>3/05/2020 12:00:00 a. m.</v>
      </c>
      <c r="AQ51" t="str">
        <f t="shared" si="56"/>
        <v>3</v>
      </c>
      <c r="AR51" t="str">
        <f>"2"</f>
        <v>2</v>
      </c>
      <c r="AS51" t="str">
        <f>""</f>
        <v/>
      </c>
      <c r="AT51" t="str">
        <f t="shared" si="36"/>
        <v>1</v>
      </c>
      <c r="AU51" t="str">
        <f>""</f>
        <v/>
      </c>
      <c r="AV51" t="str">
        <f t="shared" si="57"/>
        <v>0</v>
      </c>
      <c r="AW51" t="str">
        <f>"24/08/2018 12:00:00 a. m."</f>
        <v>24/08/2018 12:00:00 a. m.</v>
      </c>
      <c r="AX51" t="str">
        <f>""</f>
        <v/>
      </c>
      <c r="AY51" t="str">
        <f t="shared" si="13"/>
        <v>30/04/2021 12:00:00 a. m.</v>
      </c>
      <c r="AZ51" t="str">
        <f>"27/05/2020 12:00:00 a. m."</f>
        <v>27/05/2020 12:00:00 a. m.</v>
      </c>
      <c r="BA51" t="str">
        <f>""</f>
        <v/>
      </c>
      <c r="BB51" t="str">
        <f>""</f>
        <v/>
      </c>
      <c r="BC51" t="str">
        <f>""</f>
        <v/>
      </c>
      <c r="BD51" t="str">
        <f t="shared" si="54"/>
        <v>1</v>
      </c>
      <c r="BE51" t="str">
        <f t="shared" si="54"/>
        <v>1</v>
      </c>
      <c r="BF51" t="str">
        <f t="shared" si="15"/>
        <v xml:space="preserve">3         </v>
      </c>
      <c r="BG51" t="str">
        <f t="shared" si="16"/>
        <v>Confirmado por laboratorio</v>
      </c>
      <c r="BH51" t="str">
        <f>"HOSPITAL PABLO TOBON URIBE"</f>
        <v>HOSPITAL PABLO TOBON URIBE</v>
      </c>
      <c r="BI51" t="str">
        <f t="shared" si="48"/>
        <v>COLOMBIA</v>
      </c>
      <c r="BJ51" t="str">
        <f t="shared" si="18"/>
        <v>CANCER INFANTIL</v>
      </c>
      <c r="BK51" t="str">
        <f>"ANTIOQUIA"</f>
        <v>ANTIOQUIA</v>
      </c>
      <c r="BL51" t="str">
        <f>"RIONEGRO"</f>
        <v>RIONEGRO</v>
      </c>
      <c r="BM51" t="str">
        <f t="shared" si="49"/>
        <v>COLOMBIA</v>
      </c>
      <c r="BN51" t="str">
        <f>"ANTIOQUIA"</f>
        <v>ANTIOQUIA</v>
      </c>
      <c r="BO51" t="str">
        <f>"RIONEGRO"</f>
        <v>RIONEGRO</v>
      </c>
      <c r="BP51" t="str">
        <f>"ANTIOQUIA"</f>
        <v>ANTIOQUIA</v>
      </c>
      <c r="BQ51" t="str">
        <f>"MEDELLIN"</f>
        <v>MEDELLIN</v>
      </c>
    </row>
    <row r="52" spans="1:69" x14ac:dyDescent="0.25">
      <c r="A52" t="str">
        <f>"7285416"</f>
        <v>7285416</v>
      </c>
      <c r="B52" t="str">
        <f t="shared" si="0"/>
        <v>459</v>
      </c>
      <c r="C52" t="str">
        <f>"6/04/2020 12:00:00 a. m."</f>
        <v>6/04/2020 12:00:00 a. m.</v>
      </c>
      <c r="D52" t="str">
        <f>"09"</f>
        <v>09</v>
      </c>
      <c r="E52" t="str">
        <f t="shared" si="1"/>
        <v>2020</v>
      </c>
      <c r="F52" t="str">
        <f>"0500102175"</f>
        <v>0500102175</v>
      </c>
      <c r="G52" t="str">
        <f t="shared" si="55"/>
        <v>01</v>
      </c>
      <c r="H52" t="str">
        <f>"2"</f>
        <v>2</v>
      </c>
      <c r="I52" t="str">
        <f t="shared" si="39"/>
        <v>1</v>
      </c>
      <c r="J52" t="str">
        <f>"F"</f>
        <v>F</v>
      </c>
      <c r="K52" t="str">
        <f t="shared" si="43"/>
        <v>170</v>
      </c>
      <c r="L52" t="str">
        <f>"05"</f>
        <v>05</v>
      </c>
      <c r="M52" t="str">
        <f>"475"</f>
        <v>475</v>
      </c>
      <c r="N52" t="str">
        <f>"3"</f>
        <v>3</v>
      </c>
      <c r="O52" t="str">
        <f>"9999"</f>
        <v>9999</v>
      </c>
      <c r="P52" t="str">
        <f>"C"</f>
        <v>C</v>
      </c>
      <c r="Q52" t="str">
        <f>"EPSIC3"</f>
        <v>EPSIC3</v>
      </c>
      <c r="R52" t="str">
        <f>"1"</f>
        <v>1</v>
      </c>
      <c r="S52" t="str">
        <f>""</f>
        <v/>
      </c>
      <c r="T52" t="str">
        <f t="shared" si="45"/>
        <v xml:space="preserve">                                                                                                    </v>
      </c>
      <c r="U52" t="str">
        <f>"1         "</f>
        <v xml:space="preserve">1         </v>
      </c>
      <c r="V52" t="str">
        <f t="shared" ref="V52:Z58" si="58">"2"</f>
        <v>2</v>
      </c>
      <c r="W52" t="str">
        <f t="shared" si="58"/>
        <v>2</v>
      </c>
      <c r="X52" t="str">
        <f t="shared" si="58"/>
        <v>2</v>
      </c>
      <c r="Y52" t="str">
        <f t="shared" si="58"/>
        <v>2</v>
      </c>
      <c r="Z52" t="str">
        <f t="shared" si="58"/>
        <v>2</v>
      </c>
      <c r="AA52" t="str">
        <f t="shared" si="8"/>
        <v xml:space="preserve">          </v>
      </c>
      <c r="AB52" t="str">
        <f t="shared" ref="AB52:AG59" si="59">"2"</f>
        <v>2</v>
      </c>
      <c r="AC52" t="str">
        <f t="shared" si="59"/>
        <v>2</v>
      </c>
      <c r="AD52" t="str">
        <f t="shared" si="59"/>
        <v>2</v>
      </c>
      <c r="AE52" t="str">
        <f t="shared" si="59"/>
        <v>2</v>
      </c>
      <c r="AF52" t="str">
        <f t="shared" si="59"/>
        <v>2</v>
      </c>
      <c r="AG52" t="str">
        <f t="shared" si="59"/>
        <v>2</v>
      </c>
      <c r="AH52" t="str">
        <f t="shared" si="46"/>
        <v>1</v>
      </c>
      <c r="AI52" t="str">
        <f>"1         "</f>
        <v xml:space="preserve">1         </v>
      </c>
      <c r="AJ52" t="str">
        <f t="shared" si="47"/>
        <v>170</v>
      </c>
      <c r="AK52" t="str">
        <f>"05"</f>
        <v>05</v>
      </c>
      <c r="AL52" t="str">
        <f>"475"</f>
        <v>475</v>
      </c>
      <c r="AM52" t="str">
        <f>"05"</f>
        <v>05</v>
      </c>
      <c r="AN52" t="str">
        <f>"05001"</f>
        <v>05001</v>
      </c>
      <c r="AO52" t="str">
        <f>"23/02/2020 12:00:00 a. m."</f>
        <v>23/02/2020 12:00:00 a. m.</v>
      </c>
      <c r="AP52" t="str">
        <f>"10/02/2020 12:00:00 a. m."</f>
        <v>10/02/2020 12:00:00 a. m.</v>
      </c>
      <c r="AQ52" t="str">
        <f t="shared" si="56"/>
        <v>3</v>
      </c>
      <c r="AR52" t="str">
        <f t="shared" ref="AR52:AR59" si="60">"1"</f>
        <v>1</v>
      </c>
      <c r="AS52" t="str">
        <f>"23/02/2020 12:00:00 a. m."</f>
        <v>23/02/2020 12:00:00 a. m.</v>
      </c>
      <c r="AT52" t="str">
        <f t="shared" si="36"/>
        <v>1</v>
      </c>
      <c r="AU52" t="str">
        <f>""</f>
        <v/>
      </c>
      <c r="AV52" t="str">
        <f t="shared" si="57"/>
        <v>0</v>
      </c>
      <c r="AW52" t="str">
        <f>"9/12/2017 12:00:00 a. m."</f>
        <v>9/12/2017 12:00:00 a. m.</v>
      </c>
      <c r="AX52" t="str">
        <f>""</f>
        <v/>
      </c>
      <c r="AY52" t="str">
        <f t="shared" si="13"/>
        <v>30/04/2021 12:00:00 a. m.</v>
      </c>
      <c r="AZ52" t="str">
        <f>"6/04/2020 12:00:00 a. m."</f>
        <v>6/04/2020 12:00:00 a. m.</v>
      </c>
      <c r="BA52" t="str">
        <f>""</f>
        <v/>
      </c>
      <c r="BB52" t="str">
        <f>""</f>
        <v/>
      </c>
      <c r="BC52" t="str">
        <f>""</f>
        <v/>
      </c>
      <c r="BD52" t="str">
        <f t="shared" si="54"/>
        <v>1</v>
      </c>
      <c r="BE52" t="str">
        <f t="shared" si="54"/>
        <v>1</v>
      </c>
      <c r="BF52" t="str">
        <f t="shared" si="15"/>
        <v xml:space="preserve">3         </v>
      </c>
      <c r="BG52" t="str">
        <f t="shared" si="16"/>
        <v>Confirmado por laboratorio</v>
      </c>
      <c r="BH52" t="str">
        <f>"FUNDACION HOSPITALARIA SAN VICENTE DE PAUL"</f>
        <v>FUNDACION HOSPITALARIA SAN VICENTE DE PAUL</v>
      </c>
      <c r="BI52" t="str">
        <f t="shared" si="48"/>
        <v>COLOMBIA</v>
      </c>
      <c r="BJ52" t="str">
        <f t="shared" si="18"/>
        <v>CANCER INFANTIL</v>
      </c>
      <c r="BK52" t="str">
        <f>"ANTIOQUIA"</f>
        <v>ANTIOQUIA</v>
      </c>
      <c r="BL52" t="str">
        <f>"MURINDO"</f>
        <v>MURINDO</v>
      </c>
      <c r="BM52" t="str">
        <f t="shared" si="49"/>
        <v>COLOMBIA</v>
      </c>
      <c r="BN52" t="str">
        <f>"ANTIOQUIA"</f>
        <v>ANTIOQUIA</v>
      </c>
      <c r="BO52" t="str">
        <f>"MURINDO"</f>
        <v>MURINDO</v>
      </c>
      <c r="BP52" t="str">
        <f>"ANTIOQUIA"</f>
        <v>ANTIOQUIA</v>
      </c>
      <c r="BQ52" t="str">
        <f>"MEDELLIN"</f>
        <v>MEDELLIN</v>
      </c>
    </row>
    <row r="53" spans="1:69" x14ac:dyDescent="0.25">
      <c r="A53" t="str">
        <f>"7285418"</f>
        <v>7285418</v>
      </c>
      <c r="B53" t="str">
        <f t="shared" si="0"/>
        <v>459</v>
      </c>
      <c r="C53" t="str">
        <f>"24/03/2021 12:00:00 a. m."</f>
        <v>24/03/2021 12:00:00 a. m.</v>
      </c>
      <c r="D53" t="str">
        <f>"52"</f>
        <v>52</v>
      </c>
      <c r="E53" t="str">
        <f t="shared" si="1"/>
        <v>2020</v>
      </c>
      <c r="F53" t="str">
        <f>"0500102175"</f>
        <v>0500102175</v>
      </c>
      <c r="G53" t="str">
        <f t="shared" si="55"/>
        <v>01</v>
      </c>
      <c r="H53" t="str">
        <f>"2"</f>
        <v>2</v>
      </c>
      <c r="I53" t="str">
        <f t="shared" si="39"/>
        <v>1</v>
      </c>
      <c r="J53" t="str">
        <f>"F"</f>
        <v>F</v>
      </c>
      <c r="K53" t="str">
        <f t="shared" si="43"/>
        <v>170</v>
      </c>
      <c r="L53" t="str">
        <f>"05"</f>
        <v>05</v>
      </c>
      <c r="M53" t="str">
        <f>"579"</f>
        <v>579</v>
      </c>
      <c r="N53" t="str">
        <f>"1"</f>
        <v>1</v>
      </c>
      <c r="O53" t="str">
        <f>"9999"</f>
        <v>9999</v>
      </c>
      <c r="P53" t="str">
        <f>"S"</f>
        <v>S</v>
      </c>
      <c r="Q53" t="str">
        <f>"EPSS40"</f>
        <v>EPSS40</v>
      </c>
      <c r="R53" t="str">
        <f t="shared" ref="R53:R59" si="61">"6"</f>
        <v>6</v>
      </c>
      <c r="S53" t="str">
        <f>""</f>
        <v/>
      </c>
      <c r="T53" t="str">
        <f t="shared" si="45"/>
        <v xml:space="preserve">                                                                                                    </v>
      </c>
      <c r="U53" t="str">
        <f>"2         "</f>
        <v xml:space="preserve">2         </v>
      </c>
      <c r="V53" t="str">
        <f t="shared" si="58"/>
        <v>2</v>
      </c>
      <c r="W53" t="str">
        <f t="shared" si="58"/>
        <v>2</v>
      </c>
      <c r="X53" t="str">
        <f t="shared" si="58"/>
        <v>2</v>
      </c>
      <c r="Y53" t="str">
        <f t="shared" si="58"/>
        <v>2</v>
      </c>
      <c r="Z53" t="str">
        <f t="shared" si="58"/>
        <v>2</v>
      </c>
      <c r="AA53" t="str">
        <f t="shared" si="8"/>
        <v xml:space="preserve">          </v>
      </c>
      <c r="AB53" t="str">
        <f t="shared" si="59"/>
        <v>2</v>
      </c>
      <c r="AC53" t="str">
        <f t="shared" si="59"/>
        <v>2</v>
      </c>
      <c r="AD53" t="str">
        <f t="shared" si="59"/>
        <v>2</v>
      </c>
      <c r="AE53" t="str">
        <f t="shared" si="59"/>
        <v>2</v>
      </c>
      <c r="AF53" t="str">
        <f t="shared" si="59"/>
        <v>2</v>
      </c>
      <c r="AG53" t="str">
        <f t="shared" si="59"/>
        <v>2</v>
      </c>
      <c r="AH53" t="str">
        <f t="shared" si="46"/>
        <v>1</v>
      </c>
      <c r="AI53" t="str">
        <f>"1         "</f>
        <v xml:space="preserve">1         </v>
      </c>
      <c r="AJ53" t="str">
        <f t="shared" si="47"/>
        <v>170</v>
      </c>
      <c r="AK53" t="str">
        <f>"05"</f>
        <v>05</v>
      </c>
      <c r="AL53" t="str">
        <f>"579"</f>
        <v>579</v>
      </c>
      <c r="AM53" t="str">
        <f>"05"</f>
        <v>05</v>
      </c>
      <c r="AN53" t="str">
        <f>"05001"</f>
        <v>05001</v>
      </c>
      <c r="AO53" t="str">
        <f>"20/12/2020 12:00:00 a. m."</f>
        <v>20/12/2020 12:00:00 a. m.</v>
      </c>
      <c r="AP53" t="str">
        <f>"10/12/2020 12:00:00 a. m."</f>
        <v>10/12/2020 12:00:00 a. m.</v>
      </c>
      <c r="AQ53" t="str">
        <f t="shared" si="56"/>
        <v>3</v>
      </c>
      <c r="AR53" t="str">
        <f t="shared" si="60"/>
        <v>1</v>
      </c>
      <c r="AS53" t="str">
        <f>"20/12/2020 12:00:00 a. m."</f>
        <v>20/12/2020 12:00:00 a. m.</v>
      </c>
      <c r="AT53" t="str">
        <f t="shared" si="36"/>
        <v>1</v>
      </c>
      <c r="AU53" t="str">
        <f>""</f>
        <v/>
      </c>
      <c r="AV53" t="str">
        <f t="shared" si="57"/>
        <v>0</v>
      </c>
      <c r="AW53" t="str">
        <f>"22/04/2018 12:00:00 a. m."</f>
        <v>22/04/2018 12:00:00 a. m.</v>
      </c>
      <c r="AX53" t="str">
        <f>""</f>
        <v/>
      </c>
      <c r="AY53" t="str">
        <f t="shared" si="13"/>
        <v>30/04/2021 12:00:00 a. m.</v>
      </c>
      <c r="AZ53" t="str">
        <f>"24/03/2021 12:00:00 a. m."</f>
        <v>24/03/2021 12:00:00 a. m.</v>
      </c>
      <c r="BA53" t="str">
        <f>""</f>
        <v/>
      </c>
      <c r="BB53" t="str">
        <f>""</f>
        <v/>
      </c>
      <c r="BC53" t="str">
        <f>""</f>
        <v/>
      </c>
      <c r="BD53" t="str">
        <f t="shared" si="54"/>
        <v>1</v>
      </c>
      <c r="BE53" t="str">
        <f t="shared" si="54"/>
        <v>1</v>
      </c>
      <c r="BF53" t="str">
        <f t="shared" si="15"/>
        <v xml:space="preserve">3         </v>
      </c>
      <c r="BG53" t="str">
        <f t="shared" si="16"/>
        <v>Confirmado por laboratorio</v>
      </c>
      <c r="BH53" t="str">
        <f>"FUNDACION HOSPITALARIA SAN VICENTE DE PAUL"</f>
        <v>FUNDACION HOSPITALARIA SAN VICENTE DE PAUL</v>
      </c>
      <c r="BI53" t="str">
        <f t="shared" si="48"/>
        <v>COLOMBIA</v>
      </c>
      <c r="BJ53" t="str">
        <f t="shared" si="18"/>
        <v>CANCER INFANTIL</v>
      </c>
      <c r="BK53" t="str">
        <f>"ANTIOQUIA"</f>
        <v>ANTIOQUIA</v>
      </c>
      <c r="BL53" t="str">
        <f>"PUERTO BERRIO"</f>
        <v>PUERTO BERRIO</v>
      </c>
      <c r="BM53" t="str">
        <f t="shared" si="49"/>
        <v>COLOMBIA</v>
      </c>
      <c r="BN53" t="str">
        <f>"ANTIOQUIA"</f>
        <v>ANTIOQUIA</v>
      </c>
      <c r="BO53" t="str">
        <f>"PUERTO BERRIO"</f>
        <v>PUERTO BERRIO</v>
      </c>
      <c r="BP53" t="str">
        <f>"ANTIOQUIA"</f>
        <v>ANTIOQUIA</v>
      </c>
      <c r="BQ53" t="str">
        <f>"MEDELLIN"</f>
        <v>MEDELLIN</v>
      </c>
    </row>
    <row r="54" spans="1:69" x14ac:dyDescent="0.25">
      <c r="A54" t="str">
        <f>"7285391"</f>
        <v>7285391</v>
      </c>
      <c r="B54" t="str">
        <f t="shared" si="0"/>
        <v>459</v>
      </c>
      <c r="C54" t="str">
        <f>"14/06/2020 12:00:00 a. m."</f>
        <v>14/06/2020 12:00:00 a. m.</v>
      </c>
      <c r="D54" t="str">
        <f>"25"</f>
        <v>25</v>
      </c>
      <c r="E54" t="str">
        <f t="shared" si="1"/>
        <v>2020</v>
      </c>
      <c r="F54" t="str">
        <f>"0500102104"</f>
        <v>0500102104</v>
      </c>
      <c r="G54" t="str">
        <f t="shared" si="55"/>
        <v>01</v>
      </c>
      <c r="H54" t="str">
        <f>"5"</f>
        <v>5</v>
      </c>
      <c r="I54" t="str">
        <f t="shared" si="39"/>
        <v>1</v>
      </c>
      <c r="J54" t="str">
        <f>"F"</f>
        <v>F</v>
      </c>
      <c r="K54" t="str">
        <f t="shared" si="43"/>
        <v>170</v>
      </c>
      <c r="L54" t="str">
        <f>"05"</f>
        <v>05</v>
      </c>
      <c r="M54" t="str">
        <f>"360"</f>
        <v>360</v>
      </c>
      <c r="N54" t="str">
        <f>"1"</f>
        <v>1</v>
      </c>
      <c r="O54" t="str">
        <f>"9999"</f>
        <v>9999</v>
      </c>
      <c r="P54" t="str">
        <f>"C"</f>
        <v>C</v>
      </c>
      <c r="Q54" t="str">
        <f>"EPS010"</f>
        <v>EPS010</v>
      </c>
      <c r="R54" t="str">
        <f t="shared" si="61"/>
        <v>6</v>
      </c>
      <c r="S54" t="str">
        <f>""</f>
        <v/>
      </c>
      <c r="T54" t="str">
        <f t="shared" si="45"/>
        <v xml:space="preserve">                                                                                                    </v>
      </c>
      <c r="U54" t="str">
        <f>"2         "</f>
        <v xml:space="preserve">2         </v>
      </c>
      <c r="V54" t="str">
        <f t="shared" si="58"/>
        <v>2</v>
      </c>
      <c r="W54" t="str">
        <f t="shared" si="58"/>
        <v>2</v>
      </c>
      <c r="X54" t="str">
        <f t="shared" si="58"/>
        <v>2</v>
      </c>
      <c r="Y54" t="str">
        <f t="shared" si="58"/>
        <v>2</v>
      </c>
      <c r="Z54" t="str">
        <f t="shared" si="58"/>
        <v>2</v>
      </c>
      <c r="AA54" t="str">
        <f t="shared" si="8"/>
        <v xml:space="preserve">          </v>
      </c>
      <c r="AB54" t="str">
        <f t="shared" si="59"/>
        <v>2</v>
      </c>
      <c r="AC54" t="str">
        <f t="shared" si="59"/>
        <v>2</v>
      </c>
      <c r="AD54" t="str">
        <f t="shared" si="59"/>
        <v>2</v>
      </c>
      <c r="AE54" t="str">
        <f t="shared" si="59"/>
        <v>2</v>
      </c>
      <c r="AF54" t="str">
        <f t="shared" si="59"/>
        <v>2</v>
      </c>
      <c r="AG54" t="str">
        <f t="shared" si="59"/>
        <v>2</v>
      </c>
      <c r="AH54" t="str">
        <f t="shared" si="46"/>
        <v>1</v>
      </c>
      <c r="AI54" t="str">
        <f>"1         "</f>
        <v xml:space="preserve">1         </v>
      </c>
      <c r="AJ54" t="str">
        <f t="shared" si="47"/>
        <v>170</v>
      </c>
      <c r="AK54" t="str">
        <f>"05"</f>
        <v>05</v>
      </c>
      <c r="AL54" t="str">
        <f>"001"</f>
        <v>001</v>
      </c>
      <c r="AM54" t="str">
        <f>"05"</f>
        <v>05</v>
      </c>
      <c r="AN54" t="str">
        <f>"05001"</f>
        <v>05001</v>
      </c>
      <c r="AO54" t="str">
        <f>"14/06/2020 12:00:00 a. m."</f>
        <v>14/06/2020 12:00:00 a. m.</v>
      </c>
      <c r="AP54" t="str">
        <f>"1/05/2020 12:00:00 a. m."</f>
        <v>1/05/2020 12:00:00 a. m.</v>
      </c>
      <c r="AQ54" t="str">
        <f t="shared" si="56"/>
        <v>3</v>
      </c>
      <c r="AR54" t="str">
        <f t="shared" si="60"/>
        <v>1</v>
      </c>
      <c r="AS54" t="str">
        <f>"14/06/2020 12:00:00 a. m."</f>
        <v>14/06/2020 12:00:00 a. m.</v>
      </c>
      <c r="AT54" t="str">
        <f t="shared" si="36"/>
        <v>1</v>
      </c>
      <c r="AU54" t="str">
        <f>""</f>
        <v/>
      </c>
      <c r="AV54" t="str">
        <f t="shared" si="57"/>
        <v>0</v>
      </c>
      <c r="AW54" t="str">
        <f>"18/07/2014 12:00:00 a. m."</f>
        <v>18/07/2014 12:00:00 a. m.</v>
      </c>
      <c r="AX54" t="str">
        <f>""</f>
        <v/>
      </c>
      <c r="AY54" t="str">
        <f t="shared" si="13"/>
        <v>30/04/2021 12:00:00 a. m.</v>
      </c>
      <c r="AZ54" t="str">
        <f>"24/06/2020 12:00:00 a. m."</f>
        <v>24/06/2020 12:00:00 a. m.</v>
      </c>
      <c r="BA54" t="str">
        <f>""</f>
        <v/>
      </c>
      <c r="BB54" t="str">
        <f>""</f>
        <v/>
      </c>
      <c r="BC54" t="str">
        <f>""</f>
        <v/>
      </c>
      <c r="BD54" t="str">
        <f t="shared" si="54"/>
        <v>1</v>
      </c>
      <c r="BE54" t="str">
        <f t="shared" si="54"/>
        <v>1</v>
      </c>
      <c r="BF54" t="str">
        <f t="shared" si="15"/>
        <v xml:space="preserve">3         </v>
      </c>
      <c r="BG54" t="str">
        <f t="shared" si="16"/>
        <v>Confirmado por laboratorio</v>
      </c>
      <c r="BH54" t="str">
        <f>"HOSPITAL PABLO TOBON URIBE"</f>
        <v>HOSPITAL PABLO TOBON URIBE</v>
      </c>
      <c r="BI54" t="str">
        <f t="shared" si="48"/>
        <v>COLOMBIA</v>
      </c>
      <c r="BJ54" t="str">
        <f t="shared" si="18"/>
        <v>CANCER INFANTIL</v>
      </c>
      <c r="BK54" t="str">
        <f>"ANTIOQUIA"</f>
        <v>ANTIOQUIA</v>
      </c>
      <c r="BL54" t="str">
        <f>"ITAGUI"</f>
        <v>ITAGUI</v>
      </c>
      <c r="BM54" t="str">
        <f t="shared" si="49"/>
        <v>COLOMBIA</v>
      </c>
      <c r="BN54" t="str">
        <f>"ANTIOQUIA"</f>
        <v>ANTIOQUIA</v>
      </c>
      <c r="BO54" t="str">
        <f>"MEDELLIN"</f>
        <v>MEDELLIN</v>
      </c>
      <c r="BP54" t="str">
        <f>"ANTIOQUIA"</f>
        <v>ANTIOQUIA</v>
      </c>
      <c r="BQ54" t="str">
        <f>"MEDELLIN"</f>
        <v>MEDELLIN</v>
      </c>
    </row>
    <row r="55" spans="1:69" x14ac:dyDescent="0.25">
      <c r="A55" t="str">
        <f>"7285455"</f>
        <v>7285455</v>
      </c>
      <c r="B55" t="str">
        <f t="shared" si="0"/>
        <v>459</v>
      </c>
      <c r="C55" t="str">
        <f>"13/10/2020 12:00:00 a. m."</f>
        <v>13/10/2020 12:00:00 a. m.</v>
      </c>
      <c r="D55" t="str">
        <f>"37"</f>
        <v>37</v>
      </c>
      <c r="E55" t="str">
        <f t="shared" si="1"/>
        <v>2020</v>
      </c>
      <c r="F55" t="str">
        <f>"5400102349"</f>
        <v>5400102349</v>
      </c>
      <c r="G55" t="str">
        <f t="shared" si="55"/>
        <v>01</v>
      </c>
      <c r="H55" t="str">
        <f>"13"</f>
        <v>13</v>
      </c>
      <c r="I55" t="str">
        <f t="shared" si="39"/>
        <v>1</v>
      </c>
      <c r="J55" t="str">
        <f>"M"</f>
        <v>M</v>
      </c>
      <c r="K55" t="str">
        <f t="shared" si="43"/>
        <v>170</v>
      </c>
      <c r="L55" t="str">
        <f>"54"</f>
        <v>54</v>
      </c>
      <c r="M55" t="str">
        <f>"001"</f>
        <v>001</v>
      </c>
      <c r="N55" t="str">
        <f>"1"</f>
        <v>1</v>
      </c>
      <c r="O55" t="str">
        <f>"9997"</f>
        <v>9997</v>
      </c>
      <c r="P55" t="str">
        <f>"S"</f>
        <v>S</v>
      </c>
      <c r="Q55" t="str">
        <f>"CCF050"</f>
        <v>CCF050</v>
      </c>
      <c r="R55" t="str">
        <f t="shared" si="61"/>
        <v>6</v>
      </c>
      <c r="S55" t="str">
        <f>""</f>
        <v/>
      </c>
      <c r="T55" t="str">
        <f t="shared" si="45"/>
        <v xml:space="preserve">                                                                                                    </v>
      </c>
      <c r="U55" t="str">
        <f>"1         "</f>
        <v xml:space="preserve">1         </v>
      </c>
      <c r="V55" t="str">
        <f t="shared" si="58"/>
        <v>2</v>
      </c>
      <c r="W55" t="str">
        <f t="shared" si="58"/>
        <v>2</v>
      </c>
      <c r="X55" t="str">
        <f t="shared" si="58"/>
        <v>2</v>
      </c>
      <c r="Y55" t="str">
        <f t="shared" si="58"/>
        <v>2</v>
      </c>
      <c r="Z55" t="str">
        <f t="shared" si="58"/>
        <v>2</v>
      </c>
      <c r="AA55" t="str">
        <f t="shared" si="8"/>
        <v xml:space="preserve">          </v>
      </c>
      <c r="AB55" t="str">
        <f t="shared" si="59"/>
        <v>2</v>
      </c>
      <c r="AC55" t="str">
        <f t="shared" si="59"/>
        <v>2</v>
      </c>
      <c r="AD55" t="str">
        <f t="shared" si="59"/>
        <v>2</v>
      </c>
      <c r="AE55" t="str">
        <f t="shared" si="59"/>
        <v>2</v>
      </c>
      <c r="AF55" t="str">
        <f t="shared" si="59"/>
        <v>2</v>
      </c>
      <c r="AG55" t="str">
        <f t="shared" si="59"/>
        <v>2</v>
      </c>
      <c r="AH55" t="str">
        <f t="shared" si="46"/>
        <v>1</v>
      </c>
      <c r="AI55" t="str">
        <f>"2         "</f>
        <v xml:space="preserve">2         </v>
      </c>
      <c r="AJ55" t="str">
        <f t="shared" si="47"/>
        <v>170</v>
      </c>
      <c r="AK55" t="str">
        <f>"54"</f>
        <v>54</v>
      </c>
      <c r="AL55" t="str">
        <f>"001"</f>
        <v>001</v>
      </c>
      <c r="AM55" t="str">
        <f>"54"</f>
        <v>54</v>
      </c>
      <c r="AN55" t="str">
        <f>"54001"</f>
        <v>54001</v>
      </c>
      <c r="AO55" t="str">
        <f>"9/09/2020 12:00:00 a. m."</f>
        <v>9/09/2020 12:00:00 a. m.</v>
      </c>
      <c r="AP55" t="str">
        <f>"12/08/2020 12:00:00 a. m."</f>
        <v>12/08/2020 12:00:00 a. m.</v>
      </c>
      <c r="AQ55" t="str">
        <f t="shared" si="56"/>
        <v>3</v>
      </c>
      <c r="AR55" t="str">
        <f t="shared" si="60"/>
        <v>1</v>
      </c>
      <c r="AS55" t="str">
        <f>"9/09/2020 12:00:00 a. m."</f>
        <v>9/09/2020 12:00:00 a. m.</v>
      </c>
      <c r="AT55" t="str">
        <f t="shared" ref="AT55:AT75" si="62">"1"</f>
        <v>1</v>
      </c>
      <c r="AU55" t="str">
        <f>""</f>
        <v/>
      </c>
      <c r="AV55" t="str">
        <f t="shared" si="57"/>
        <v>0</v>
      </c>
      <c r="AW55" t="str">
        <f>"16/04/2007 12:00:00 a. m."</f>
        <v>16/04/2007 12:00:00 a. m.</v>
      </c>
      <c r="AX55" t="str">
        <f>""</f>
        <v/>
      </c>
      <c r="AY55" t="str">
        <f t="shared" si="13"/>
        <v>30/04/2021 12:00:00 a. m.</v>
      </c>
      <c r="AZ55" t="str">
        <f>"19/10/2020 12:00:00 a. m."</f>
        <v>19/10/2020 12:00:00 a. m.</v>
      </c>
      <c r="BA55" t="str">
        <f>""</f>
        <v/>
      </c>
      <c r="BB55" t="str">
        <f>""</f>
        <v/>
      </c>
      <c r="BC55" t="str">
        <f>""</f>
        <v/>
      </c>
      <c r="BD55" t="str">
        <f t="shared" si="54"/>
        <v>1</v>
      </c>
      <c r="BE55" t="str">
        <f t="shared" si="54"/>
        <v>1</v>
      </c>
      <c r="BF55" t="str">
        <f t="shared" si="15"/>
        <v xml:space="preserve">3         </v>
      </c>
      <c r="BG55" t="str">
        <f t="shared" si="16"/>
        <v>Confirmado por laboratorio</v>
      </c>
      <c r="BH55" t="str">
        <f>"CLINICA MEDICAL DUARTE"</f>
        <v>CLINICA MEDICAL DUARTE</v>
      </c>
      <c r="BI55" t="str">
        <f t="shared" si="48"/>
        <v>COLOMBIA</v>
      </c>
      <c r="BJ55" t="str">
        <f t="shared" si="18"/>
        <v>CANCER INFANTIL</v>
      </c>
      <c r="BK55" t="str">
        <f>"NORTE SANTANDER"</f>
        <v>NORTE SANTANDER</v>
      </c>
      <c r="BL55" t="str">
        <f>"CUCUTA"</f>
        <v>CUCUTA</v>
      </c>
      <c r="BM55" t="str">
        <f t="shared" si="49"/>
        <v>COLOMBIA</v>
      </c>
      <c r="BN55" t="str">
        <f>"NORTE SANTANDER"</f>
        <v>NORTE SANTANDER</v>
      </c>
      <c r="BO55" t="str">
        <f>"CUCUTA"</f>
        <v>CUCUTA</v>
      </c>
      <c r="BP55" t="str">
        <f>"NORTE SANTANDER"</f>
        <v>NORTE SANTANDER</v>
      </c>
      <c r="BQ55" t="str">
        <f>"CUCUTA"</f>
        <v>CUCUTA</v>
      </c>
    </row>
    <row r="56" spans="1:69" x14ac:dyDescent="0.25">
      <c r="A56" t="str">
        <f>"7285460"</f>
        <v>7285460</v>
      </c>
      <c r="B56" t="str">
        <f t="shared" si="0"/>
        <v>459</v>
      </c>
      <c r="C56" t="str">
        <f>"11/11/2020 12:00:00 a. m."</f>
        <v>11/11/2020 12:00:00 a. m.</v>
      </c>
      <c r="D56" t="str">
        <f>"40"</f>
        <v>40</v>
      </c>
      <c r="E56" t="str">
        <f t="shared" si="1"/>
        <v>2020</v>
      </c>
      <c r="F56" t="str">
        <f>"5400102349"</f>
        <v>5400102349</v>
      </c>
      <c r="G56" t="str">
        <f t="shared" si="55"/>
        <v>01</v>
      </c>
      <c r="H56" t="str">
        <f>"6"</f>
        <v>6</v>
      </c>
      <c r="I56" t="str">
        <f t="shared" si="39"/>
        <v>1</v>
      </c>
      <c r="J56" t="str">
        <f>"F"</f>
        <v>F</v>
      </c>
      <c r="K56" t="str">
        <f t="shared" si="43"/>
        <v>170</v>
      </c>
      <c r="L56" t="str">
        <f>"54"</f>
        <v>54</v>
      </c>
      <c r="M56" t="str">
        <f>"001"</f>
        <v>001</v>
      </c>
      <c r="N56" t="str">
        <f>"1"</f>
        <v>1</v>
      </c>
      <c r="O56" t="str">
        <f>"9999"</f>
        <v>9999</v>
      </c>
      <c r="P56" t="str">
        <f>"S"</f>
        <v>S</v>
      </c>
      <c r="Q56" t="str">
        <f>"EPSS45"</f>
        <v>EPSS45</v>
      </c>
      <c r="R56" t="str">
        <f t="shared" si="61"/>
        <v>6</v>
      </c>
      <c r="S56" t="str">
        <f>""</f>
        <v/>
      </c>
      <c r="T56" t="str">
        <f t="shared" si="45"/>
        <v xml:space="preserve">                                                                                                    </v>
      </c>
      <c r="U56" t="str">
        <f>"1         "</f>
        <v xml:space="preserve">1         </v>
      </c>
      <c r="V56" t="str">
        <f t="shared" si="58"/>
        <v>2</v>
      </c>
      <c r="W56" t="str">
        <f t="shared" si="58"/>
        <v>2</v>
      </c>
      <c r="X56" t="str">
        <f t="shared" si="58"/>
        <v>2</v>
      </c>
      <c r="Y56" t="str">
        <f t="shared" si="58"/>
        <v>2</v>
      </c>
      <c r="Z56" t="str">
        <f t="shared" si="58"/>
        <v>2</v>
      </c>
      <c r="AA56" t="str">
        <f t="shared" si="8"/>
        <v xml:space="preserve">          </v>
      </c>
      <c r="AB56" t="str">
        <f t="shared" si="59"/>
        <v>2</v>
      </c>
      <c r="AC56" t="str">
        <f t="shared" si="59"/>
        <v>2</v>
      </c>
      <c r="AD56" t="str">
        <f t="shared" si="59"/>
        <v>2</v>
      </c>
      <c r="AE56" t="str">
        <f t="shared" si="59"/>
        <v>2</v>
      </c>
      <c r="AF56" t="str">
        <f t="shared" si="59"/>
        <v>2</v>
      </c>
      <c r="AG56" t="str">
        <f t="shared" si="59"/>
        <v>2</v>
      </c>
      <c r="AH56" t="str">
        <f t="shared" si="46"/>
        <v>1</v>
      </c>
      <c r="AI56" t="str">
        <f>"1         "</f>
        <v xml:space="preserve">1         </v>
      </c>
      <c r="AJ56" t="str">
        <f t="shared" si="47"/>
        <v>170</v>
      </c>
      <c r="AK56" t="str">
        <f>"54"</f>
        <v>54</v>
      </c>
      <c r="AL56" t="str">
        <f>"001"</f>
        <v>001</v>
      </c>
      <c r="AM56" t="str">
        <f>"54"</f>
        <v>54</v>
      </c>
      <c r="AN56" t="str">
        <f>"54001"</f>
        <v>54001</v>
      </c>
      <c r="AO56" t="str">
        <f>"1/10/2020 12:00:00 a. m."</f>
        <v>1/10/2020 12:00:00 a. m.</v>
      </c>
      <c r="AP56" t="str">
        <f>"28/09/2020 12:00:00 a. m."</f>
        <v>28/09/2020 12:00:00 a. m.</v>
      </c>
      <c r="AQ56" t="str">
        <f t="shared" si="56"/>
        <v>3</v>
      </c>
      <c r="AR56" t="str">
        <f t="shared" si="60"/>
        <v>1</v>
      </c>
      <c r="AS56" t="str">
        <f>"1/10/2020 12:00:00 a. m."</f>
        <v>1/10/2020 12:00:00 a. m.</v>
      </c>
      <c r="AT56" t="str">
        <f t="shared" si="62"/>
        <v>1</v>
      </c>
      <c r="AU56" t="str">
        <f>""</f>
        <v/>
      </c>
      <c r="AV56" t="str">
        <f t="shared" si="57"/>
        <v>0</v>
      </c>
      <c r="AW56" t="str">
        <f>"7/08/2014 12:00:00 a. m."</f>
        <v>7/08/2014 12:00:00 a. m.</v>
      </c>
      <c r="AX56" t="str">
        <f>""</f>
        <v/>
      </c>
      <c r="AY56" t="str">
        <f t="shared" si="13"/>
        <v>30/04/2021 12:00:00 a. m.</v>
      </c>
      <c r="AZ56" t="str">
        <f>"17/12/2020 12:00:00 a. m."</f>
        <v>17/12/2020 12:00:00 a. m.</v>
      </c>
      <c r="BA56" t="str">
        <f>""</f>
        <v/>
      </c>
      <c r="BB56" t="str">
        <f>""</f>
        <v/>
      </c>
      <c r="BC56" t="str">
        <f>""</f>
        <v/>
      </c>
      <c r="BD56" t="str">
        <f t="shared" si="54"/>
        <v>1</v>
      </c>
      <c r="BE56" t="str">
        <f t="shared" si="54"/>
        <v>1</v>
      </c>
      <c r="BF56" t="str">
        <f t="shared" si="15"/>
        <v xml:space="preserve">3         </v>
      </c>
      <c r="BG56" t="str">
        <f t="shared" si="16"/>
        <v>Confirmado por laboratorio</v>
      </c>
      <c r="BH56" t="str">
        <f>"CLINICA MEDICAL DUARTE"</f>
        <v>CLINICA MEDICAL DUARTE</v>
      </c>
      <c r="BI56" t="str">
        <f t="shared" si="48"/>
        <v>COLOMBIA</v>
      </c>
      <c r="BJ56" t="str">
        <f t="shared" si="18"/>
        <v>CANCER INFANTIL</v>
      </c>
      <c r="BK56" t="str">
        <f>"NORTE SANTANDER"</f>
        <v>NORTE SANTANDER</v>
      </c>
      <c r="BL56" t="str">
        <f>"CUCUTA"</f>
        <v>CUCUTA</v>
      </c>
      <c r="BM56" t="str">
        <f t="shared" si="49"/>
        <v>COLOMBIA</v>
      </c>
      <c r="BN56" t="str">
        <f>"NORTE SANTANDER"</f>
        <v>NORTE SANTANDER</v>
      </c>
      <c r="BO56" t="str">
        <f>"CUCUTA"</f>
        <v>CUCUTA</v>
      </c>
      <c r="BP56" t="str">
        <f>"NORTE SANTANDER"</f>
        <v>NORTE SANTANDER</v>
      </c>
      <c r="BQ56" t="str">
        <f>"CUCUTA"</f>
        <v>CUCUTA</v>
      </c>
    </row>
    <row r="57" spans="1:69" x14ac:dyDescent="0.25">
      <c r="A57" t="str">
        <f>"7285396"</f>
        <v>7285396</v>
      </c>
      <c r="B57" t="str">
        <f t="shared" si="0"/>
        <v>459</v>
      </c>
      <c r="C57" t="str">
        <f>"14/09/2020 12:00:00 a. m."</f>
        <v>14/09/2020 12:00:00 a. m.</v>
      </c>
      <c r="D57" t="str">
        <f>"36"</f>
        <v>36</v>
      </c>
      <c r="E57" t="str">
        <f t="shared" si="1"/>
        <v>2020</v>
      </c>
      <c r="F57" t="str">
        <f>"0500102175"</f>
        <v>0500102175</v>
      </c>
      <c r="G57" t="str">
        <f t="shared" si="55"/>
        <v>01</v>
      </c>
      <c r="H57" t="str">
        <f>"14"</f>
        <v>14</v>
      </c>
      <c r="I57" t="str">
        <f t="shared" si="39"/>
        <v>1</v>
      </c>
      <c r="J57" t="str">
        <f>"M"</f>
        <v>M</v>
      </c>
      <c r="K57" t="str">
        <f t="shared" si="43"/>
        <v>170</v>
      </c>
      <c r="L57" t="str">
        <f>"05"</f>
        <v>05</v>
      </c>
      <c r="M57" t="str">
        <f>"615"</f>
        <v>615</v>
      </c>
      <c r="N57" t="str">
        <f>"3"</f>
        <v>3</v>
      </c>
      <c r="O57" t="str">
        <f>"9997"</f>
        <v>9997</v>
      </c>
      <c r="P57" t="str">
        <f>"C"</f>
        <v>C</v>
      </c>
      <c r="Q57" t="str">
        <f>"EPS010"</f>
        <v>EPS010</v>
      </c>
      <c r="R57" t="str">
        <f t="shared" si="61"/>
        <v>6</v>
      </c>
      <c r="S57" t="str">
        <f>""</f>
        <v/>
      </c>
      <c r="T57" t="str">
        <f t="shared" si="45"/>
        <v xml:space="preserve">                                                                                                    </v>
      </c>
      <c r="U57" t="str">
        <f>"2         "</f>
        <v xml:space="preserve">2         </v>
      </c>
      <c r="V57" t="str">
        <f t="shared" si="58"/>
        <v>2</v>
      </c>
      <c r="W57" t="str">
        <f t="shared" si="58"/>
        <v>2</v>
      </c>
      <c r="X57" t="str">
        <f t="shared" si="58"/>
        <v>2</v>
      </c>
      <c r="Y57" t="str">
        <f t="shared" si="58"/>
        <v>2</v>
      </c>
      <c r="Z57" t="str">
        <f t="shared" si="58"/>
        <v>2</v>
      </c>
      <c r="AA57" t="str">
        <f t="shared" si="8"/>
        <v xml:space="preserve">          </v>
      </c>
      <c r="AB57" t="str">
        <f t="shared" si="59"/>
        <v>2</v>
      </c>
      <c r="AC57" t="str">
        <f t="shared" si="59"/>
        <v>2</v>
      </c>
      <c r="AD57" t="str">
        <f t="shared" si="59"/>
        <v>2</v>
      </c>
      <c r="AE57" t="str">
        <f t="shared" si="59"/>
        <v>2</v>
      </c>
      <c r="AF57" t="str">
        <f t="shared" si="59"/>
        <v>2</v>
      </c>
      <c r="AG57" t="str">
        <f t="shared" si="59"/>
        <v>2</v>
      </c>
      <c r="AH57" t="str">
        <f t="shared" si="46"/>
        <v>1</v>
      </c>
      <c r="AI57" t="str">
        <f>"1         "</f>
        <v xml:space="preserve">1         </v>
      </c>
      <c r="AJ57" t="str">
        <f t="shared" si="47"/>
        <v>170</v>
      </c>
      <c r="AK57" t="str">
        <f>"05"</f>
        <v>05</v>
      </c>
      <c r="AL57" t="str">
        <f>"615"</f>
        <v>615</v>
      </c>
      <c r="AM57" t="str">
        <f>"05"</f>
        <v>05</v>
      </c>
      <c r="AN57" t="str">
        <f>"05001"</f>
        <v>05001</v>
      </c>
      <c r="AO57" t="str">
        <f>"30/08/2020 12:00:00 a. m."</f>
        <v>30/08/2020 12:00:00 a. m.</v>
      </c>
      <c r="AP57" t="str">
        <f>"20/08/2020 12:00:00 a. m."</f>
        <v>20/08/2020 12:00:00 a. m.</v>
      </c>
      <c r="AQ57" t="str">
        <f t="shared" si="56"/>
        <v>3</v>
      </c>
      <c r="AR57" t="str">
        <f t="shared" si="60"/>
        <v>1</v>
      </c>
      <c r="AS57" t="str">
        <f>"30/08/2020 12:00:00 a. m."</f>
        <v>30/08/2020 12:00:00 a. m.</v>
      </c>
      <c r="AT57" t="str">
        <f t="shared" si="62"/>
        <v>1</v>
      </c>
      <c r="AU57" t="str">
        <f>""</f>
        <v/>
      </c>
      <c r="AV57" t="str">
        <f t="shared" si="57"/>
        <v>0</v>
      </c>
      <c r="AW57" t="str">
        <f>"5/05/2006 12:00:00 a. m."</f>
        <v>5/05/2006 12:00:00 a. m.</v>
      </c>
      <c r="AX57" t="str">
        <f>""</f>
        <v/>
      </c>
      <c r="AY57" t="str">
        <f t="shared" si="13"/>
        <v>30/04/2021 12:00:00 a. m.</v>
      </c>
      <c r="AZ57" t="str">
        <f>"14/09/2020 12:00:00 a. m."</f>
        <v>14/09/2020 12:00:00 a. m.</v>
      </c>
      <c r="BA57" t="str">
        <f>""</f>
        <v/>
      </c>
      <c r="BB57" t="str">
        <f>""</f>
        <v/>
      </c>
      <c r="BC57" t="str">
        <f>""</f>
        <v/>
      </c>
      <c r="BD57" t="str">
        <f t="shared" si="54"/>
        <v>1</v>
      </c>
      <c r="BE57" t="str">
        <f t="shared" si="54"/>
        <v>1</v>
      </c>
      <c r="BF57" t="str">
        <f t="shared" si="15"/>
        <v xml:space="preserve">3         </v>
      </c>
      <c r="BG57" t="str">
        <f t="shared" si="16"/>
        <v>Confirmado por laboratorio</v>
      </c>
      <c r="BH57" t="str">
        <f>"FUNDACION HOSPITALARIA SAN VICENTE DE PAUL"</f>
        <v>FUNDACION HOSPITALARIA SAN VICENTE DE PAUL</v>
      </c>
      <c r="BI57" t="str">
        <f t="shared" si="48"/>
        <v>COLOMBIA</v>
      </c>
      <c r="BJ57" t="str">
        <f t="shared" si="18"/>
        <v>CANCER INFANTIL</v>
      </c>
      <c r="BK57" t="str">
        <f>"ANTIOQUIA"</f>
        <v>ANTIOQUIA</v>
      </c>
      <c r="BL57" t="str">
        <f>"RIONEGRO"</f>
        <v>RIONEGRO</v>
      </c>
      <c r="BM57" t="str">
        <f t="shared" si="49"/>
        <v>COLOMBIA</v>
      </c>
      <c r="BN57" t="str">
        <f>"ANTIOQUIA"</f>
        <v>ANTIOQUIA</v>
      </c>
      <c r="BO57" t="str">
        <f>"RIONEGRO"</f>
        <v>RIONEGRO</v>
      </c>
      <c r="BP57" t="str">
        <f>"ANTIOQUIA"</f>
        <v>ANTIOQUIA</v>
      </c>
      <c r="BQ57" t="str">
        <f>"MEDELLIN"</f>
        <v>MEDELLIN</v>
      </c>
    </row>
    <row r="58" spans="1:69" x14ac:dyDescent="0.25">
      <c r="A58" t="str">
        <f>"7285400"</f>
        <v>7285400</v>
      </c>
      <c r="B58" t="str">
        <f t="shared" si="0"/>
        <v>459</v>
      </c>
      <c r="C58" t="str">
        <f>"4/11/2020 12:00:00 a. m."</f>
        <v>4/11/2020 12:00:00 a. m.</v>
      </c>
      <c r="D58" t="str">
        <f>"38"</f>
        <v>38</v>
      </c>
      <c r="E58" t="str">
        <f t="shared" si="1"/>
        <v>2020</v>
      </c>
      <c r="F58" t="str">
        <f>"0500102175"</f>
        <v>0500102175</v>
      </c>
      <c r="G58" t="str">
        <f t="shared" si="55"/>
        <v>01</v>
      </c>
      <c r="H58" t="str">
        <f>"8"</f>
        <v>8</v>
      </c>
      <c r="I58" t="str">
        <f t="shared" si="39"/>
        <v>1</v>
      </c>
      <c r="J58" t="str">
        <f>"F"</f>
        <v>F</v>
      </c>
      <c r="K58" t="str">
        <f t="shared" si="43"/>
        <v>170</v>
      </c>
      <c r="L58" t="str">
        <f>"05"</f>
        <v>05</v>
      </c>
      <c r="M58" t="str">
        <f>"790"</f>
        <v>790</v>
      </c>
      <c r="N58" t="str">
        <f t="shared" ref="N58:N63" si="63">"1"</f>
        <v>1</v>
      </c>
      <c r="O58" t="str">
        <f>"9999"</f>
        <v>9999</v>
      </c>
      <c r="P58" t="str">
        <f t="shared" ref="P58:P64" si="64">"S"</f>
        <v>S</v>
      </c>
      <c r="Q58" t="str">
        <f>"EPSS40"</f>
        <v>EPSS40</v>
      </c>
      <c r="R58" t="str">
        <f t="shared" si="61"/>
        <v>6</v>
      </c>
      <c r="S58" t="str">
        <f>""</f>
        <v/>
      </c>
      <c r="T58" t="str">
        <f t="shared" si="45"/>
        <v xml:space="preserve">                                                                                                    </v>
      </c>
      <c r="U58" t="str">
        <f>"2         "</f>
        <v xml:space="preserve">2         </v>
      </c>
      <c r="V58" t="str">
        <f t="shared" si="58"/>
        <v>2</v>
      </c>
      <c r="W58" t="str">
        <f t="shared" si="58"/>
        <v>2</v>
      </c>
      <c r="X58" t="str">
        <f t="shared" si="58"/>
        <v>2</v>
      </c>
      <c r="Y58" t="str">
        <f t="shared" si="58"/>
        <v>2</v>
      </c>
      <c r="Z58" t="str">
        <f t="shared" si="58"/>
        <v>2</v>
      </c>
      <c r="AA58" t="str">
        <f t="shared" si="8"/>
        <v xml:space="preserve">          </v>
      </c>
      <c r="AB58" t="str">
        <f t="shared" si="59"/>
        <v>2</v>
      </c>
      <c r="AC58" t="str">
        <f t="shared" si="59"/>
        <v>2</v>
      </c>
      <c r="AD58" t="str">
        <f t="shared" si="59"/>
        <v>2</v>
      </c>
      <c r="AE58" t="str">
        <f t="shared" si="59"/>
        <v>2</v>
      </c>
      <c r="AF58" t="str">
        <f t="shared" si="59"/>
        <v>2</v>
      </c>
      <c r="AG58" t="str">
        <f t="shared" si="59"/>
        <v>2</v>
      </c>
      <c r="AH58" t="str">
        <f t="shared" si="46"/>
        <v>1</v>
      </c>
      <c r="AI58" t="str">
        <f>"1         "</f>
        <v xml:space="preserve">1         </v>
      </c>
      <c r="AJ58" t="str">
        <f t="shared" si="47"/>
        <v>170</v>
      </c>
      <c r="AK58" t="str">
        <f>"05"</f>
        <v>05</v>
      </c>
      <c r="AL58" t="str">
        <f>"790"</f>
        <v>790</v>
      </c>
      <c r="AM58" t="str">
        <f>"05"</f>
        <v>05</v>
      </c>
      <c r="AN58" t="str">
        <f>"05001"</f>
        <v>05001</v>
      </c>
      <c r="AO58" t="str">
        <f>"19/09/2020 12:00:00 a. m."</f>
        <v>19/09/2020 12:00:00 a. m.</v>
      </c>
      <c r="AP58" t="str">
        <f>"2/09/2020 12:00:00 a. m."</f>
        <v>2/09/2020 12:00:00 a. m.</v>
      </c>
      <c r="AQ58" t="str">
        <f t="shared" si="56"/>
        <v>3</v>
      </c>
      <c r="AR58" t="str">
        <f t="shared" si="60"/>
        <v>1</v>
      </c>
      <c r="AS58" t="str">
        <f>"19/09/2020 12:00:00 a. m."</f>
        <v>19/09/2020 12:00:00 a. m.</v>
      </c>
      <c r="AT58" t="str">
        <f t="shared" si="62"/>
        <v>1</v>
      </c>
      <c r="AU58" t="str">
        <f>""</f>
        <v/>
      </c>
      <c r="AV58" t="str">
        <f t="shared" si="57"/>
        <v>0</v>
      </c>
      <c r="AW58" t="str">
        <f>"24/07/2012 12:00:00 a. m."</f>
        <v>24/07/2012 12:00:00 a. m.</v>
      </c>
      <c r="AX58" t="str">
        <f>""</f>
        <v/>
      </c>
      <c r="AY58" t="str">
        <f t="shared" si="13"/>
        <v>30/04/2021 12:00:00 a. m.</v>
      </c>
      <c r="AZ58" t="str">
        <f>"4/11/2020 12:00:00 a. m."</f>
        <v>4/11/2020 12:00:00 a. m.</v>
      </c>
      <c r="BA58" t="str">
        <f>""</f>
        <v/>
      </c>
      <c r="BB58" t="str">
        <f>""</f>
        <v/>
      </c>
      <c r="BC58" t="str">
        <f>""</f>
        <v/>
      </c>
      <c r="BD58" t="str">
        <f t="shared" si="54"/>
        <v>1</v>
      </c>
      <c r="BE58" t="str">
        <f t="shared" si="54"/>
        <v>1</v>
      </c>
      <c r="BF58" t="str">
        <f t="shared" si="15"/>
        <v xml:space="preserve">3         </v>
      </c>
      <c r="BG58" t="str">
        <f t="shared" si="16"/>
        <v>Confirmado por laboratorio</v>
      </c>
      <c r="BH58" t="str">
        <f>"FUNDACION HOSPITALARIA SAN VICENTE DE PAUL"</f>
        <v>FUNDACION HOSPITALARIA SAN VICENTE DE PAUL</v>
      </c>
      <c r="BI58" t="str">
        <f t="shared" si="48"/>
        <v>COLOMBIA</v>
      </c>
      <c r="BJ58" t="str">
        <f t="shared" si="18"/>
        <v>CANCER INFANTIL</v>
      </c>
      <c r="BK58" t="str">
        <f>"ANTIOQUIA"</f>
        <v>ANTIOQUIA</v>
      </c>
      <c r="BL58" t="str">
        <f>"TARAZA"</f>
        <v>TARAZA</v>
      </c>
      <c r="BM58" t="str">
        <f t="shared" si="49"/>
        <v>COLOMBIA</v>
      </c>
      <c r="BN58" t="str">
        <f>"ANTIOQUIA"</f>
        <v>ANTIOQUIA</v>
      </c>
      <c r="BO58" t="str">
        <f>"TARAZA"</f>
        <v>TARAZA</v>
      </c>
      <c r="BP58" t="str">
        <f>"ANTIOQUIA"</f>
        <v>ANTIOQUIA</v>
      </c>
      <c r="BQ58" t="str">
        <f>"MEDELLIN"</f>
        <v>MEDELLIN</v>
      </c>
    </row>
    <row r="59" spans="1:69" x14ac:dyDescent="0.25">
      <c r="A59" t="str">
        <f>"7285781"</f>
        <v>7285781</v>
      </c>
      <c r="B59" t="str">
        <f t="shared" si="0"/>
        <v>459</v>
      </c>
      <c r="C59" t="str">
        <f>"21/10/2020 12:00:00 a. m."</f>
        <v>21/10/2020 12:00:00 a. m.</v>
      </c>
      <c r="D59" t="str">
        <f>"43"</f>
        <v>43</v>
      </c>
      <c r="E59" t="str">
        <f t="shared" si="1"/>
        <v>2020</v>
      </c>
      <c r="F59" t="str">
        <f>"1100106065"</f>
        <v>1100106065</v>
      </c>
      <c r="G59" t="str">
        <f t="shared" si="55"/>
        <v>01</v>
      </c>
      <c r="H59" t="str">
        <f>"16"</f>
        <v>16</v>
      </c>
      <c r="I59" t="str">
        <f t="shared" si="39"/>
        <v>1</v>
      </c>
      <c r="J59" t="str">
        <f>"F"</f>
        <v>F</v>
      </c>
      <c r="K59" t="str">
        <f t="shared" si="43"/>
        <v>170</v>
      </c>
      <c r="L59" t="str">
        <f>"44"</f>
        <v>44</v>
      </c>
      <c r="M59" t="str">
        <f>"001"</f>
        <v>001</v>
      </c>
      <c r="N59" t="str">
        <f t="shared" si="63"/>
        <v>1</v>
      </c>
      <c r="O59" t="str">
        <f>"9998"</f>
        <v>9998</v>
      </c>
      <c r="P59" t="str">
        <f t="shared" si="64"/>
        <v>S</v>
      </c>
      <c r="Q59" t="str">
        <f>"CCF023"</f>
        <v>CCF023</v>
      </c>
      <c r="R59" t="str">
        <f t="shared" si="61"/>
        <v>6</v>
      </c>
      <c r="S59" t="str">
        <f>""</f>
        <v/>
      </c>
      <c r="T59" t="str">
        <f t="shared" si="45"/>
        <v xml:space="preserve">                                                                                                    </v>
      </c>
      <c r="U59" t="str">
        <f>"2         "</f>
        <v xml:space="preserve">2         </v>
      </c>
      <c r="V59" t="str">
        <f t="shared" ref="V59:W78" si="65">"2"</f>
        <v>2</v>
      </c>
      <c r="W59" t="str">
        <f t="shared" si="65"/>
        <v>2</v>
      </c>
      <c r="X59" t="str">
        <f>"1"</f>
        <v>1</v>
      </c>
      <c r="Y59" t="str">
        <f t="shared" ref="Y59:Z78" si="66">"2"</f>
        <v>2</v>
      </c>
      <c r="Z59" t="str">
        <f t="shared" si="66"/>
        <v>2</v>
      </c>
      <c r="AA59" t="str">
        <f t="shared" si="8"/>
        <v xml:space="preserve">          </v>
      </c>
      <c r="AB59" t="str">
        <f t="shared" si="59"/>
        <v>2</v>
      </c>
      <c r="AC59" t="str">
        <f t="shared" si="59"/>
        <v>2</v>
      </c>
      <c r="AD59" t="str">
        <f t="shared" si="59"/>
        <v>2</v>
      </c>
      <c r="AE59" t="str">
        <f t="shared" si="59"/>
        <v>2</v>
      </c>
      <c r="AF59" t="str">
        <f t="shared" si="59"/>
        <v>2</v>
      </c>
      <c r="AG59" t="str">
        <f t="shared" si="59"/>
        <v>2</v>
      </c>
      <c r="AH59" t="str">
        <f>"2"</f>
        <v>2</v>
      </c>
      <c r="AI59" t="str">
        <f>"1         "</f>
        <v xml:space="preserve">1         </v>
      </c>
      <c r="AJ59" t="str">
        <f t="shared" si="47"/>
        <v>170</v>
      </c>
      <c r="AK59" t="str">
        <f>"44"</f>
        <v>44</v>
      </c>
      <c r="AL59" t="str">
        <f>"001"</f>
        <v>001</v>
      </c>
      <c r="AM59" t="str">
        <f>"11"</f>
        <v>11</v>
      </c>
      <c r="AN59" t="str">
        <f>"11001"</f>
        <v>11001</v>
      </c>
      <c r="AO59" t="str">
        <f>"21/10/2020 12:00:00 a. m."</f>
        <v>21/10/2020 12:00:00 a. m.</v>
      </c>
      <c r="AP59" t="str">
        <f>"15/09/2020 12:00:00 a. m."</f>
        <v>15/09/2020 12:00:00 a. m.</v>
      </c>
      <c r="AQ59" t="str">
        <f t="shared" si="56"/>
        <v>3</v>
      </c>
      <c r="AR59" t="str">
        <f t="shared" si="60"/>
        <v>1</v>
      </c>
      <c r="AS59" t="str">
        <f>"21/10/2020 12:00:00 a. m."</f>
        <v>21/10/2020 12:00:00 a. m.</v>
      </c>
      <c r="AT59" t="str">
        <f t="shared" si="62"/>
        <v>1</v>
      </c>
      <c r="AU59" t="str">
        <f>""</f>
        <v/>
      </c>
      <c r="AV59" t="str">
        <f t="shared" si="57"/>
        <v>0</v>
      </c>
      <c r="AW59" t="str">
        <f>"13/05/2004 12:00:00 a. m."</f>
        <v>13/05/2004 12:00:00 a. m.</v>
      </c>
      <c r="AX59" t="str">
        <f>""</f>
        <v/>
      </c>
      <c r="AY59" t="str">
        <f t="shared" si="13"/>
        <v>30/04/2021 12:00:00 a. m.</v>
      </c>
      <c r="AZ59" t="str">
        <f>"26/10/2020 12:00:00 a. m."</f>
        <v>26/10/2020 12:00:00 a. m.</v>
      </c>
      <c r="BA59" t="str">
        <f>""</f>
        <v/>
      </c>
      <c r="BB59" t="str">
        <f>""</f>
        <v/>
      </c>
      <c r="BC59" t="str">
        <f>""</f>
        <v/>
      </c>
      <c r="BD59" t="str">
        <f t="shared" si="54"/>
        <v>1</v>
      </c>
      <c r="BE59" t="str">
        <f t="shared" si="54"/>
        <v>1</v>
      </c>
      <c r="BF59" t="str">
        <f t="shared" si="15"/>
        <v xml:space="preserve">3         </v>
      </c>
      <c r="BG59" t="str">
        <f t="shared" si="16"/>
        <v>Confirmado por laboratorio</v>
      </c>
      <c r="BH59" t="str">
        <f>"ESE INSTITUTO NACIONAL DE CANCEROLOGIA"</f>
        <v>ESE INSTITUTO NACIONAL DE CANCEROLOGIA</v>
      </c>
      <c r="BI59" t="str">
        <f t="shared" si="48"/>
        <v>COLOMBIA</v>
      </c>
      <c r="BJ59" t="str">
        <f t="shared" si="18"/>
        <v>CANCER INFANTIL</v>
      </c>
      <c r="BK59" t="str">
        <f>"GUAJIRA"</f>
        <v>GUAJIRA</v>
      </c>
      <c r="BL59" t="str">
        <f>"RIOHACHA"</f>
        <v>RIOHACHA</v>
      </c>
      <c r="BM59" t="str">
        <f t="shared" si="49"/>
        <v>COLOMBIA</v>
      </c>
      <c r="BN59" t="str">
        <f>"GUAJIRA"</f>
        <v>GUAJIRA</v>
      </c>
      <c r="BO59" t="str">
        <f>"RIOHACHA"</f>
        <v>RIOHACHA</v>
      </c>
      <c r="BP59" t="str">
        <f>"BOGOTA"</f>
        <v>BOGOTA</v>
      </c>
      <c r="BQ59" t="str">
        <f>"BOGOTA"</f>
        <v>BOGOTA</v>
      </c>
    </row>
    <row r="60" spans="1:69" x14ac:dyDescent="0.25">
      <c r="A60" t="str">
        <f>"7285786"</f>
        <v>7285786</v>
      </c>
      <c r="B60" t="str">
        <f t="shared" si="0"/>
        <v>459</v>
      </c>
      <c r="C60" t="str">
        <f>"13/11/2020 12:00:00 a. m."</f>
        <v>13/11/2020 12:00:00 a. m.</v>
      </c>
      <c r="D60" t="str">
        <f>"27"</f>
        <v>27</v>
      </c>
      <c r="E60" t="str">
        <f t="shared" si="1"/>
        <v>2020</v>
      </c>
      <c r="F60" t="str">
        <f>"5400101563"</f>
        <v>5400101563</v>
      </c>
      <c r="G60" t="str">
        <f t="shared" si="55"/>
        <v>01</v>
      </c>
      <c r="H60" t="str">
        <f>"11"</f>
        <v>11</v>
      </c>
      <c r="I60" t="str">
        <f t="shared" si="39"/>
        <v>1</v>
      </c>
      <c r="J60" t="str">
        <f>"M"</f>
        <v>M</v>
      </c>
      <c r="K60" t="str">
        <f t="shared" si="43"/>
        <v>170</v>
      </c>
      <c r="L60" t="str">
        <f>"54"</f>
        <v>54</v>
      </c>
      <c r="M60" t="str">
        <f>"001"</f>
        <v>001</v>
      </c>
      <c r="N60" t="str">
        <f t="shared" si="63"/>
        <v>1</v>
      </c>
      <c r="O60" t="str">
        <f>"9997"</f>
        <v>9997</v>
      </c>
      <c r="P60" t="str">
        <f t="shared" si="64"/>
        <v>S</v>
      </c>
      <c r="Q60" t="str">
        <f>"EPSS41"</f>
        <v>EPSS41</v>
      </c>
      <c r="R60" t="str">
        <f>"1"</f>
        <v>1</v>
      </c>
      <c r="S60" t="str">
        <f>""</f>
        <v/>
      </c>
      <c r="T60" t="str">
        <f t="shared" si="45"/>
        <v xml:space="preserve">                                                                                                    </v>
      </c>
      <c r="U60" t="str">
        <f>"2         "</f>
        <v xml:space="preserve">2         </v>
      </c>
      <c r="V60" t="str">
        <f t="shared" si="65"/>
        <v>2</v>
      </c>
      <c r="W60" t="str">
        <f t="shared" si="65"/>
        <v>2</v>
      </c>
      <c r="X60" t="str">
        <f>"1"</f>
        <v>1</v>
      </c>
      <c r="Y60" t="str">
        <f t="shared" si="66"/>
        <v>2</v>
      </c>
      <c r="Z60" t="str">
        <f t="shared" si="66"/>
        <v>2</v>
      </c>
      <c r="AA60" t="str">
        <f t="shared" si="8"/>
        <v xml:space="preserve">          </v>
      </c>
      <c r="AB60" t="str">
        <f t="shared" ref="AB60:AB123" si="67">"2"</f>
        <v>2</v>
      </c>
      <c r="AC60" t="str">
        <f>"1"</f>
        <v>1</v>
      </c>
      <c r="AD60" t="str">
        <f t="shared" ref="AD60:AG79" si="68">"2"</f>
        <v>2</v>
      </c>
      <c r="AE60" t="str">
        <f t="shared" si="68"/>
        <v>2</v>
      </c>
      <c r="AF60" t="str">
        <f t="shared" si="68"/>
        <v>2</v>
      </c>
      <c r="AG60" t="str">
        <f t="shared" si="68"/>
        <v>2</v>
      </c>
      <c r="AH60" t="str">
        <f>"2"</f>
        <v>2</v>
      </c>
      <c r="AI60" t="str">
        <f>"2         "</f>
        <v xml:space="preserve">2         </v>
      </c>
      <c r="AJ60" t="str">
        <f t="shared" si="47"/>
        <v>170</v>
      </c>
      <c r="AK60" t="str">
        <f>"54"</f>
        <v>54</v>
      </c>
      <c r="AL60" t="str">
        <f>"001"</f>
        <v>001</v>
      </c>
      <c r="AM60" t="str">
        <f>"54"</f>
        <v>54</v>
      </c>
      <c r="AN60" t="str">
        <f>"54001"</f>
        <v>54001</v>
      </c>
      <c r="AO60" t="str">
        <f>"29/06/2020 12:00:00 a. m."</f>
        <v>29/06/2020 12:00:00 a. m.</v>
      </c>
      <c r="AP60" t="str">
        <f>"1/11/2019 12:00:00 a. m."</f>
        <v>1/11/2019 12:00:00 a. m.</v>
      </c>
      <c r="AQ60" t="str">
        <f t="shared" si="56"/>
        <v>3</v>
      </c>
      <c r="AR60" t="str">
        <f>"2"</f>
        <v>2</v>
      </c>
      <c r="AS60" t="str">
        <f>""</f>
        <v/>
      </c>
      <c r="AT60" t="str">
        <f t="shared" si="62"/>
        <v>1</v>
      </c>
      <c r="AU60" t="str">
        <f>""</f>
        <v/>
      </c>
      <c r="AV60" t="str">
        <f t="shared" si="57"/>
        <v>0</v>
      </c>
      <c r="AW60" t="str">
        <f>"27/08/2009 12:00:00 a. m."</f>
        <v>27/08/2009 12:00:00 a. m.</v>
      </c>
      <c r="AX60" t="str">
        <f>""</f>
        <v/>
      </c>
      <c r="AY60" t="str">
        <f t="shared" si="13"/>
        <v>30/04/2021 12:00:00 a. m.</v>
      </c>
      <c r="AZ60" t="str">
        <f>"13/11/2020 12:00:00 a. m."</f>
        <v>13/11/2020 12:00:00 a. m.</v>
      </c>
      <c r="BA60" t="str">
        <f>""</f>
        <v/>
      </c>
      <c r="BB60" t="str">
        <f>""</f>
        <v/>
      </c>
      <c r="BC60" t="str">
        <f>""</f>
        <v/>
      </c>
      <c r="BD60" t="str">
        <f t="shared" si="54"/>
        <v>1</v>
      </c>
      <c r="BE60" t="str">
        <f t="shared" si="54"/>
        <v>1</v>
      </c>
      <c r="BF60" t="str">
        <f t="shared" si="15"/>
        <v xml:space="preserve">3         </v>
      </c>
      <c r="BG60" t="str">
        <f t="shared" si="16"/>
        <v>Confirmado por laboratorio</v>
      </c>
      <c r="BH60" t="str">
        <f>"UNIDAD HEMATOLOGICA ESPECIALIZADA"</f>
        <v>UNIDAD HEMATOLOGICA ESPECIALIZADA</v>
      </c>
      <c r="BI60" t="str">
        <f t="shared" si="48"/>
        <v>COLOMBIA</v>
      </c>
      <c r="BJ60" t="str">
        <f t="shared" si="18"/>
        <v>CANCER INFANTIL</v>
      </c>
      <c r="BK60" t="str">
        <f>"NORTE SANTANDER"</f>
        <v>NORTE SANTANDER</v>
      </c>
      <c r="BL60" t="str">
        <f>"CUCUTA"</f>
        <v>CUCUTA</v>
      </c>
      <c r="BM60" t="str">
        <f t="shared" si="49"/>
        <v>COLOMBIA</v>
      </c>
      <c r="BN60" t="str">
        <f>"NORTE SANTANDER"</f>
        <v>NORTE SANTANDER</v>
      </c>
      <c r="BO60" t="str">
        <f>"CUCUTA"</f>
        <v>CUCUTA</v>
      </c>
      <c r="BP60" t="str">
        <f>"NORTE SANTANDER"</f>
        <v>NORTE SANTANDER</v>
      </c>
      <c r="BQ60" t="str">
        <f>"CUCUTA"</f>
        <v>CUCUTA</v>
      </c>
    </row>
    <row r="61" spans="1:69" x14ac:dyDescent="0.25">
      <c r="A61" t="str">
        <f>"7285635"</f>
        <v>7285635</v>
      </c>
      <c r="B61" t="str">
        <f t="shared" si="0"/>
        <v>459</v>
      </c>
      <c r="C61" t="str">
        <f>"22/07/2020 12:00:00 a. m."</f>
        <v>22/07/2020 12:00:00 a. m.</v>
      </c>
      <c r="D61" t="str">
        <f>"28"</f>
        <v>28</v>
      </c>
      <c r="E61" t="str">
        <f t="shared" si="1"/>
        <v>2020</v>
      </c>
      <c r="F61" t="str">
        <f>"6854704947"</f>
        <v>6854704947</v>
      </c>
      <c r="G61" t="str">
        <f t="shared" si="55"/>
        <v>01</v>
      </c>
      <c r="H61" t="str">
        <f>"17"</f>
        <v>17</v>
      </c>
      <c r="I61" t="str">
        <f t="shared" si="39"/>
        <v>1</v>
      </c>
      <c r="J61" t="str">
        <f>"M"</f>
        <v>M</v>
      </c>
      <c r="K61" t="str">
        <f t="shared" si="43"/>
        <v>170</v>
      </c>
      <c r="L61" t="str">
        <f>"20"</f>
        <v>20</v>
      </c>
      <c r="M61" t="str">
        <f>"001"</f>
        <v>001</v>
      </c>
      <c r="N61" t="str">
        <f t="shared" si="63"/>
        <v>1</v>
      </c>
      <c r="O61" t="str">
        <f>"9997"</f>
        <v>9997</v>
      </c>
      <c r="P61" t="str">
        <f t="shared" si="64"/>
        <v>S</v>
      </c>
      <c r="Q61" t="str">
        <f>"EPSS41"</f>
        <v>EPSS41</v>
      </c>
      <c r="R61" t="str">
        <f t="shared" ref="R61:R92" si="69">"6"</f>
        <v>6</v>
      </c>
      <c r="S61" t="str">
        <f>""</f>
        <v/>
      </c>
      <c r="T61" t="str">
        <f t="shared" si="45"/>
        <v xml:space="preserve">                                                                                                    </v>
      </c>
      <c r="U61" t="str">
        <f>"1         "</f>
        <v xml:space="preserve">1         </v>
      </c>
      <c r="V61" t="str">
        <f t="shared" si="65"/>
        <v>2</v>
      </c>
      <c r="W61" t="str">
        <f t="shared" si="65"/>
        <v>2</v>
      </c>
      <c r="X61" t="str">
        <f>"2"</f>
        <v>2</v>
      </c>
      <c r="Y61" t="str">
        <f t="shared" si="66"/>
        <v>2</v>
      </c>
      <c r="Z61" t="str">
        <f t="shared" si="66"/>
        <v>2</v>
      </c>
      <c r="AA61" t="str">
        <f t="shared" si="8"/>
        <v xml:space="preserve">          </v>
      </c>
      <c r="AB61" t="str">
        <f t="shared" si="67"/>
        <v>2</v>
      </c>
      <c r="AC61" t="str">
        <f t="shared" ref="AC61:AC124" si="70">"2"</f>
        <v>2</v>
      </c>
      <c r="AD61" t="str">
        <f t="shared" si="68"/>
        <v>2</v>
      </c>
      <c r="AE61" t="str">
        <f t="shared" si="68"/>
        <v>2</v>
      </c>
      <c r="AF61" t="str">
        <f t="shared" si="68"/>
        <v>2</v>
      </c>
      <c r="AG61" t="str">
        <f t="shared" si="68"/>
        <v>2</v>
      </c>
      <c r="AH61" t="str">
        <f>"1"</f>
        <v>1</v>
      </c>
      <c r="AI61" t="str">
        <f>"1         "</f>
        <v xml:space="preserve">1         </v>
      </c>
      <c r="AJ61" t="str">
        <f t="shared" si="47"/>
        <v>170</v>
      </c>
      <c r="AK61" t="str">
        <f>"20"</f>
        <v>20</v>
      </c>
      <c r="AL61" t="str">
        <f>"001"</f>
        <v>001</v>
      </c>
      <c r="AM61" t="str">
        <f>"68"</f>
        <v>68</v>
      </c>
      <c r="AN61" t="str">
        <f>"68547"</f>
        <v>68547</v>
      </c>
      <c r="AO61" t="str">
        <f>"7/07/2020 12:00:00 a. m."</f>
        <v>7/07/2020 12:00:00 a. m.</v>
      </c>
      <c r="AP61" t="str">
        <f>"6/06/2020 12:00:00 a. m."</f>
        <v>6/06/2020 12:00:00 a. m.</v>
      </c>
      <c r="AQ61" t="str">
        <f t="shared" si="56"/>
        <v>3</v>
      </c>
      <c r="AR61" t="str">
        <f t="shared" ref="AR61:AR73" si="71">"1"</f>
        <v>1</v>
      </c>
      <c r="AS61" t="str">
        <f>"7/07/2020 12:00:00 a. m."</f>
        <v>7/07/2020 12:00:00 a. m.</v>
      </c>
      <c r="AT61" t="str">
        <f t="shared" si="62"/>
        <v>1</v>
      </c>
      <c r="AU61" t="str">
        <f>""</f>
        <v/>
      </c>
      <c r="AV61" t="str">
        <f t="shared" si="57"/>
        <v>0</v>
      </c>
      <c r="AW61" t="str">
        <f>"12/07/2003 12:00:00 a. m."</f>
        <v>12/07/2003 12:00:00 a. m.</v>
      </c>
      <c r="AX61" t="str">
        <f>""</f>
        <v/>
      </c>
      <c r="AY61" t="str">
        <f t="shared" si="13"/>
        <v>30/04/2021 12:00:00 a. m.</v>
      </c>
      <c r="AZ61" t="str">
        <f>"22/07/2020 12:00:00 a. m."</f>
        <v>22/07/2020 12:00:00 a. m.</v>
      </c>
      <c r="BA61" t="str">
        <f>""</f>
        <v/>
      </c>
      <c r="BB61" t="str">
        <f>""</f>
        <v/>
      </c>
      <c r="BC61" t="str">
        <f>""</f>
        <v/>
      </c>
      <c r="BD61" t="str">
        <f t="shared" si="54"/>
        <v>1</v>
      </c>
      <c r="BE61" t="str">
        <f t="shared" si="54"/>
        <v>1</v>
      </c>
      <c r="BF61" t="str">
        <f t="shared" si="15"/>
        <v xml:space="preserve">3         </v>
      </c>
      <c r="BG61" t="str">
        <f t="shared" si="16"/>
        <v>Confirmado por laboratorio</v>
      </c>
      <c r="BH61" t="str">
        <f>"HOSPITAL INTERNACIONAL DE COLOMBIA"</f>
        <v>HOSPITAL INTERNACIONAL DE COLOMBIA</v>
      </c>
      <c r="BI61" t="str">
        <f t="shared" si="48"/>
        <v>COLOMBIA</v>
      </c>
      <c r="BJ61" t="str">
        <f t="shared" si="18"/>
        <v>CANCER INFANTIL</v>
      </c>
      <c r="BK61" t="str">
        <f>"CESAR"</f>
        <v>CESAR</v>
      </c>
      <c r="BL61" t="str">
        <f>"VALLEDUPAR"</f>
        <v>VALLEDUPAR</v>
      </c>
      <c r="BM61" t="str">
        <f t="shared" si="49"/>
        <v>COLOMBIA</v>
      </c>
      <c r="BN61" t="str">
        <f>"CESAR"</f>
        <v>CESAR</v>
      </c>
      <c r="BO61" t="str">
        <f>"VALLEDUPAR"</f>
        <v>VALLEDUPAR</v>
      </c>
      <c r="BP61" t="str">
        <f>"SANTANDER"</f>
        <v>SANTANDER</v>
      </c>
      <c r="BQ61" t="str">
        <f>"PIEDECUESTA"</f>
        <v>PIEDECUESTA</v>
      </c>
    </row>
    <row r="62" spans="1:69" x14ac:dyDescent="0.25">
      <c r="A62" t="str">
        <f>"7285471"</f>
        <v>7285471</v>
      </c>
      <c r="B62" t="str">
        <f t="shared" si="0"/>
        <v>459</v>
      </c>
      <c r="C62" t="str">
        <f>"9/12/2020 12:00:00 a. m."</f>
        <v>9/12/2020 12:00:00 a. m.</v>
      </c>
      <c r="D62" t="str">
        <f>"48"</f>
        <v>48</v>
      </c>
      <c r="E62" t="str">
        <f t="shared" si="1"/>
        <v>2020</v>
      </c>
      <c r="F62" t="str">
        <f>"6854704947"</f>
        <v>6854704947</v>
      </c>
      <c r="G62" t="str">
        <f t="shared" si="55"/>
        <v>01</v>
      </c>
      <c r="H62" t="str">
        <f>"13"</f>
        <v>13</v>
      </c>
      <c r="I62" t="str">
        <f t="shared" si="39"/>
        <v>1</v>
      </c>
      <c r="J62" t="str">
        <f>"F"</f>
        <v>F</v>
      </c>
      <c r="K62" t="str">
        <f t="shared" si="43"/>
        <v>170</v>
      </c>
      <c r="L62" t="str">
        <f>"54"</f>
        <v>54</v>
      </c>
      <c r="M62" t="str">
        <f>"001"</f>
        <v>001</v>
      </c>
      <c r="N62" t="str">
        <f t="shared" si="63"/>
        <v>1</v>
      </c>
      <c r="O62" t="str">
        <f>"9997"</f>
        <v>9997</v>
      </c>
      <c r="P62" t="str">
        <f t="shared" si="64"/>
        <v>S</v>
      </c>
      <c r="Q62" t="str">
        <f>"ESS024"</f>
        <v>ESS024</v>
      </c>
      <c r="R62" t="str">
        <f t="shared" si="69"/>
        <v>6</v>
      </c>
      <c r="S62" t="str">
        <f>""</f>
        <v/>
      </c>
      <c r="T62" t="str">
        <f t="shared" si="45"/>
        <v xml:space="preserve">                                                                                                    </v>
      </c>
      <c r="U62" t="str">
        <f>"1         "</f>
        <v xml:space="preserve">1         </v>
      </c>
      <c r="V62" t="str">
        <f t="shared" si="65"/>
        <v>2</v>
      </c>
      <c r="W62" t="str">
        <f t="shared" si="65"/>
        <v>2</v>
      </c>
      <c r="X62" t="str">
        <f>"2"</f>
        <v>2</v>
      </c>
      <c r="Y62" t="str">
        <f t="shared" si="66"/>
        <v>2</v>
      </c>
      <c r="Z62" t="str">
        <f t="shared" si="66"/>
        <v>2</v>
      </c>
      <c r="AA62" t="str">
        <f t="shared" si="8"/>
        <v xml:space="preserve">          </v>
      </c>
      <c r="AB62" t="str">
        <f t="shared" si="67"/>
        <v>2</v>
      </c>
      <c r="AC62" t="str">
        <f t="shared" si="70"/>
        <v>2</v>
      </c>
      <c r="AD62" t="str">
        <f t="shared" si="68"/>
        <v>2</v>
      </c>
      <c r="AE62" t="str">
        <f t="shared" si="68"/>
        <v>2</v>
      </c>
      <c r="AF62" t="str">
        <f t="shared" si="68"/>
        <v>2</v>
      </c>
      <c r="AG62" t="str">
        <f t="shared" si="68"/>
        <v>2</v>
      </c>
      <c r="AH62" t="str">
        <f>"1"</f>
        <v>1</v>
      </c>
      <c r="AI62" t="str">
        <f>"1         "</f>
        <v xml:space="preserve">1         </v>
      </c>
      <c r="AJ62" t="str">
        <f t="shared" si="47"/>
        <v>170</v>
      </c>
      <c r="AK62" t="str">
        <f>"54"</f>
        <v>54</v>
      </c>
      <c r="AL62" t="str">
        <f>"001"</f>
        <v>001</v>
      </c>
      <c r="AM62" t="str">
        <f>"68"</f>
        <v>68</v>
      </c>
      <c r="AN62" t="str">
        <f>"68547"</f>
        <v>68547</v>
      </c>
      <c r="AO62" t="str">
        <f>"23/11/2020 12:00:00 a. m."</f>
        <v>23/11/2020 12:00:00 a. m.</v>
      </c>
      <c r="AP62" t="str">
        <f>"23/10/2020 12:00:00 a. m."</f>
        <v>23/10/2020 12:00:00 a. m.</v>
      </c>
      <c r="AQ62" t="str">
        <f t="shared" si="56"/>
        <v>3</v>
      </c>
      <c r="AR62" t="str">
        <f t="shared" si="71"/>
        <v>1</v>
      </c>
      <c r="AS62" t="str">
        <f>"23/11/2020 12:00:00 a. m."</f>
        <v>23/11/2020 12:00:00 a. m.</v>
      </c>
      <c r="AT62" t="str">
        <f t="shared" si="62"/>
        <v>1</v>
      </c>
      <c r="AU62" t="str">
        <f>""</f>
        <v/>
      </c>
      <c r="AV62" t="str">
        <f t="shared" si="57"/>
        <v>0</v>
      </c>
      <c r="AW62" t="str">
        <f>"21/11/2007 12:00:00 a. m."</f>
        <v>21/11/2007 12:00:00 a. m.</v>
      </c>
      <c r="AX62" t="str">
        <f>""</f>
        <v/>
      </c>
      <c r="AY62" t="str">
        <f t="shared" si="13"/>
        <v>30/04/2021 12:00:00 a. m.</v>
      </c>
      <c r="AZ62" t="str">
        <f>"9/12/2020 12:00:00 a. m."</f>
        <v>9/12/2020 12:00:00 a. m.</v>
      </c>
      <c r="BA62" t="str">
        <f>""</f>
        <v/>
      </c>
      <c r="BB62" t="str">
        <f>""</f>
        <v/>
      </c>
      <c r="BC62" t="str">
        <f>""</f>
        <v/>
      </c>
      <c r="BD62" t="str">
        <f t="shared" ref="BD62:BE81" si="72">"1"</f>
        <v>1</v>
      </c>
      <c r="BE62" t="str">
        <f t="shared" si="72"/>
        <v>1</v>
      </c>
      <c r="BF62" t="str">
        <f t="shared" si="15"/>
        <v xml:space="preserve">3         </v>
      </c>
      <c r="BG62" t="str">
        <f t="shared" si="16"/>
        <v>Confirmado por laboratorio</v>
      </c>
      <c r="BH62" t="str">
        <f>"HOSPITAL INTERNACIONAL DE COLOMBIA"</f>
        <v>HOSPITAL INTERNACIONAL DE COLOMBIA</v>
      </c>
      <c r="BI62" t="str">
        <f t="shared" si="48"/>
        <v>COLOMBIA</v>
      </c>
      <c r="BJ62" t="str">
        <f t="shared" si="18"/>
        <v>CANCER INFANTIL</v>
      </c>
      <c r="BK62" t="str">
        <f>"NORTE SANTANDER"</f>
        <v>NORTE SANTANDER</v>
      </c>
      <c r="BL62" t="str">
        <f>"CUCUTA"</f>
        <v>CUCUTA</v>
      </c>
      <c r="BM62" t="str">
        <f t="shared" si="49"/>
        <v>COLOMBIA</v>
      </c>
      <c r="BN62" t="str">
        <f>"NORTE SANTANDER"</f>
        <v>NORTE SANTANDER</v>
      </c>
      <c r="BO62" t="str">
        <f>"CUCUTA"</f>
        <v>CUCUTA</v>
      </c>
      <c r="BP62" t="str">
        <f>"SANTANDER"</f>
        <v>SANTANDER</v>
      </c>
      <c r="BQ62" t="str">
        <f>"PIEDECUESTA"</f>
        <v>PIEDECUESTA</v>
      </c>
    </row>
    <row r="63" spans="1:69" x14ac:dyDescent="0.25">
      <c r="A63" t="str">
        <f>"7285483"</f>
        <v>7285483</v>
      </c>
      <c r="B63" t="str">
        <f t="shared" si="0"/>
        <v>459</v>
      </c>
      <c r="C63" t="str">
        <f>"8/09/2020 12:00:00 a. m."</f>
        <v>8/09/2020 12:00:00 a. m.</v>
      </c>
      <c r="D63" t="str">
        <f>"34"</f>
        <v>34</v>
      </c>
      <c r="E63" t="str">
        <f t="shared" si="1"/>
        <v>2020</v>
      </c>
      <c r="F63" t="str">
        <f>"6854704947"</f>
        <v>6854704947</v>
      </c>
      <c r="G63" t="str">
        <f t="shared" si="55"/>
        <v>01</v>
      </c>
      <c r="H63" t="str">
        <f>"5"</f>
        <v>5</v>
      </c>
      <c r="I63" t="str">
        <f t="shared" si="39"/>
        <v>1</v>
      </c>
      <c r="J63" t="str">
        <f>"F"</f>
        <v>F</v>
      </c>
      <c r="K63" t="str">
        <f t="shared" si="43"/>
        <v>170</v>
      </c>
      <c r="L63" t="str">
        <f>"68"</f>
        <v>68</v>
      </c>
      <c r="M63" t="str">
        <f>"132"</f>
        <v>132</v>
      </c>
      <c r="N63" t="str">
        <f t="shared" si="63"/>
        <v>1</v>
      </c>
      <c r="O63" t="str">
        <f>"9997"</f>
        <v>9997</v>
      </c>
      <c r="P63" t="str">
        <f t="shared" si="64"/>
        <v>S</v>
      </c>
      <c r="Q63" t="str">
        <f>"EPSS37"</f>
        <v>EPSS37</v>
      </c>
      <c r="R63" t="str">
        <f t="shared" si="69"/>
        <v>6</v>
      </c>
      <c r="S63" t="str">
        <f>""</f>
        <v/>
      </c>
      <c r="T63" t="str">
        <f t="shared" si="45"/>
        <v xml:space="preserve">                                                                                                    </v>
      </c>
      <c r="U63" t="str">
        <f>"2         "</f>
        <v xml:space="preserve">2         </v>
      </c>
      <c r="V63" t="str">
        <f t="shared" si="65"/>
        <v>2</v>
      </c>
      <c r="W63" t="str">
        <f t="shared" si="65"/>
        <v>2</v>
      </c>
      <c r="X63" t="str">
        <f>"2"</f>
        <v>2</v>
      </c>
      <c r="Y63" t="str">
        <f t="shared" si="66"/>
        <v>2</v>
      </c>
      <c r="Z63" t="str">
        <f t="shared" si="66"/>
        <v>2</v>
      </c>
      <c r="AA63" t="str">
        <f t="shared" si="8"/>
        <v xml:space="preserve">          </v>
      </c>
      <c r="AB63" t="str">
        <f t="shared" si="67"/>
        <v>2</v>
      </c>
      <c r="AC63" t="str">
        <f t="shared" si="70"/>
        <v>2</v>
      </c>
      <c r="AD63" t="str">
        <f t="shared" si="68"/>
        <v>2</v>
      </c>
      <c r="AE63" t="str">
        <f t="shared" si="68"/>
        <v>2</v>
      </c>
      <c r="AF63" t="str">
        <f t="shared" si="68"/>
        <v>2</v>
      </c>
      <c r="AG63" t="str">
        <f t="shared" si="68"/>
        <v>2</v>
      </c>
      <c r="AH63" t="str">
        <f>"1"</f>
        <v>1</v>
      </c>
      <c r="AI63" t="str">
        <f>"1         "</f>
        <v xml:space="preserve">1         </v>
      </c>
      <c r="AJ63" t="str">
        <f t="shared" si="47"/>
        <v>170</v>
      </c>
      <c r="AK63" t="str">
        <f>"68"</f>
        <v>68</v>
      </c>
      <c r="AL63" t="str">
        <f>"132"</f>
        <v>132</v>
      </c>
      <c r="AM63" t="str">
        <f>"68"</f>
        <v>68</v>
      </c>
      <c r="AN63" t="str">
        <f>"68547"</f>
        <v>68547</v>
      </c>
      <c r="AO63" t="str">
        <f>"20/08/2020 12:00:00 a. m."</f>
        <v>20/08/2020 12:00:00 a. m.</v>
      </c>
      <c r="AP63" t="str">
        <f>"11/08/2020 12:00:00 a. m."</f>
        <v>11/08/2020 12:00:00 a. m.</v>
      </c>
      <c r="AQ63" t="str">
        <f t="shared" si="56"/>
        <v>3</v>
      </c>
      <c r="AR63" t="str">
        <f t="shared" si="71"/>
        <v>1</v>
      </c>
      <c r="AS63" t="str">
        <f>"20/08/2020 12:00:00 a. m."</f>
        <v>20/08/2020 12:00:00 a. m.</v>
      </c>
      <c r="AT63" t="str">
        <f t="shared" si="62"/>
        <v>1</v>
      </c>
      <c r="AU63" t="str">
        <f>""</f>
        <v/>
      </c>
      <c r="AV63" t="str">
        <f t="shared" si="57"/>
        <v>0</v>
      </c>
      <c r="AW63" t="str">
        <f>"28/12/2014 12:00:00 a. m."</f>
        <v>28/12/2014 12:00:00 a. m.</v>
      </c>
      <c r="AX63" t="str">
        <f>""</f>
        <v/>
      </c>
      <c r="AY63" t="str">
        <f t="shared" si="13"/>
        <v>30/04/2021 12:00:00 a. m.</v>
      </c>
      <c r="AZ63" t="str">
        <f>"8/09/2020 12:00:00 a. m."</f>
        <v>8/09/2020 12:00:00 a. m.</v>
      </c>
      <c r="BA63" t="str">
        <f>""</f>
        <v/>
      </c>
      <c r="BB63" t="str">
        <f>""</f>
        <v/>
      </c>
      <c r="BC63" t="str">
        <f>""</f>
        <v/>
      </c>
      <c r="BD63" t="str">
        <f t="shared" si="72"/>
        <v>1</v>
      </c>
      <c r="BE63" t="str">
        <f t="shared" si="72"/>
        <v>1</v>
      </c>
      <c r="BF63" t="str">
        <f t="shared" si="15"/>
        <v xml:space="preserve">3         </v>
      </c>
      <c r="BG63" t="str">
        <f t="shared" si="16"/>
        <v>Confirmado por laboratorio</v>
      </c>
      <c r="BH63" t="str">
        <f>"HOSPITAL INTERNACIONAL DE COLOMBIA"</f>
        <v>HOSPITAL INTERNACIONAL DE COLOMBIA</v>
      </c>
      <c r="BI63" t="str">
        <f t="shared" si="48"/>
        <v>COLOMBIA</v>
      </c>
      <c r="BJ63" t="str">
        <f t="shared" si="18"/>
        <v>CANCER INFANTIL</v>
      </c>
      <c r="BK63" t="str">
        <f>"SANTANDER"</f>
        <v>SANTANDER</v>
      </c>
      <c r="BL63" t="str">
        <f>"CALIFORNIA"</f>
        <v>CALIFORNIA</v>
      </c>
      <c r="BM63" t="str">
        <f t="shared" si="49"/>
        <v>COLOMBIA</v>
      </c>
      <c r="BN63" t="str">
        <f>"SANTANDER"</f>
        <v>SANTANDER</v>
      </c>
      <c r="BO63" t="str">
        <f>"CALIFORNIA"</f>
        <v>CALIFORNIA</v>
      </c>
      <c r="BP63" t="str">
        <f>"SANTANDER"</f>
        <v>SANTANDER</v>
      </c>
      <c r="BQ63" t="str">
        <f>"PIEDECUESTA"</f>
        <v>PIEDECUESTA</v>
      </c>
    </row>
    <row r="64" spans="1:69" x14ac:dyDescent="0.25">
      <c r="A64" t="str">
        <f>"7285632"</f>
        <v>7285632</v>
      </c>
      <c r="B64" t="str">
        <f t="shared" si="0"/>
        <v>459</v>
      </c>
      <c r="C64" t="str">
        <f>"26/01/2020 12:00:00 a. m."</f>
        <v>26/01/2020 12:00:00 a. m.</v>
      </c>
      <c r="D64" t="str">
        <f>"02"</f>
        <v>02</v>
      </c>
      <c r="E64" t="str">
        <f t="shared" si="1"/>
        <v>2020</v>
      </c>
      <c r="F64" t="str">
        <f>"4129800419"</f>
        <v>4129800419</v>
      </c>
      <c r="G64" t="str">
        <f t="shared" si="55"/>
        <v>01</v>
      </c>
      <c r="H64" t="str">
        <f>"17"</f>
        <v>17</v>
      </c>
      <c r="I64" t="str">
        <f t="shared" si="39"/>
        <v>1</v>
      </c>
      <c r="J64" t="str">
        <f>"M"</f>
        <v>M</v>
      </c>
      <c r="K64" t="str">
        <f t="shared" si="43"/>
        <v>170</v>
      </c>
      <c r="L64" t="str">
        <f>"41"</f>
        <v>41</v>
      </c>
      <c r="M64" t="str">
        <f>"298"</f>
        <v>298</v>
      </c>
      <c r="N64" t="str">
        <f>"3"</f>
        <v>3</v>
      </c>
      <c r="O64" t="str">
        <f>"9997"</f>
        <v>9997</v>
      </c>
      <c r="P64" t="str">
        <f t="shared" si="64"/>
        <v>S</v>
      </c>
      <c r="Q64" t="str">
        <f>"ESS062"</f>
        <v>ESS062</v>
      </c>
      <c r="R64" t="str">
        <f t="shared" si="69"/>
        <v>6</v>
      </c>
      <c r="S64" t="str">
        <f>""</f>
        <v/>
      </c>
      <c r="T64" t="str">
        <f t="shared" si="45"/>
        <v xml:space="preserve">                                                                                                    </v>
      </c>
      <c r="U64" t="str">
        <f>"1         "</f>
        <v xml:space="preserve">1         </v>
      </c>
      <c r="V64" t="str">
        <f t="shared" si="65"/>
        <v>2</v>
      </c>
      <c r="W64" t="str">
        <f t="shared" si="65"/>
        <v>2</v>
      </c>
      <c r="X64" t="str">
        <f>"2"</f>
        <v>2</v>
      </c>
      <c r="Y64" t="str">
        <f t="shared" si="66"/>
        <v>2</v>
      </c>
      <c r="Z64" t="str">
        <f t="shared" si="66"/>
        <v>2</v>
      </c>
      <c r="AA64" t="str">
        <f t="shared" si="8"/>
        <v xml:space="preserve">          </v>
      </c>
      <c r="AB64" t="str">
        <f t="shared" si="67"/>
        <v>2</v>
      </c>
      <c r="AC64" t="str">
        <f t="shared" si="70"/>
        <v>2</v>
      </c>
      <c r="AD64" t="str">
        <f t="shared" si="68"/>
        <v>2</v>
      </c>
      <c r="AE64" t="str">
        <f t="shared" si="68"/>
        <v>2</v>
      </c>
      <c r="AF64" t="str">
        <f t="shared" si="68"/>
        <v>2</v>
      </c>
      <c r="AG64" t="str">
        <f t="shared" si="68"/>
        <v>2</v>
      </c>
      <c r="AH64" t="str">
        <f>"1"</f>
        <v>1</v>
      </c>
      <c r="AI64" t="str">
        <f>"1         "</f>
        <v xml:space="preserve">1         </v>
      </c>
      <c r="AJ64" t="str">
        <f t="shared" si="47"/>
        <v>170</v>
      </c>
      <c r="AK64" t="str">
        <f>"41"</f>
        <v>41</v>
      </c>
      <c r="AL64" t="str">
        <f>"298"</f>
        <v>298</v>
      </c>
      <c r="AM64" t="str">
        <f>"41"</f>
        <v>41</v>
      </c>
      <c r="AN64" t="str">
        <f>"41298"</f>
        <v>41298</v>
      </c>
      <c r="AO64" t="str">
        <f>"7/01/2020 12:00:00 a. m."</f>
        <v>7/01/2020 12:00:00 a. m.</v>
      </c>
      <c r="AP64" t="str">
        <f>"30/08/2019 12:00:00 a. m."</f>
        <v>30/08/2019 12:00:00 a. m.</v>
      </c>
      <c r="AQ64" t="str">
        <f t="shared" si="56"/>
        <v>3</v>
      </c>
      <c r="AR64" t="str">
        <f t="shared" si="71"/>
        <v>1</v>
      </c>
      <c r="AS64" t="str">
        <f>"7/01/2020 12:00:00 a. m."</f>
        <v>7/01/2020 12:00:00 a. m.</v>
      </c>
      <c r="AT64" t="str">
        <f t="shared" si="62"/>
        <v>1</v>
      </c>
      <c r="AU64" t="str">
        <f>""</f>
        <v/>
      </c>
      <c r="AV64" t="str">
        <f>"3"</f>
        <v>3</v>
      </c>
      <c r="AW64" t="str">
        <f>"15/09/2002 12:00:00 a. m."</f>
        <v>15/09/2002 12:00:00 a. m.</v>
      </c>
      <c r="AX64" t="str">
        <f>""</f>
        <v/>
      </c>
      <c r="AY64" t="str">
        <f t="shared" si="13"/>
        <v>30/04/2021 12:00:00 a. m.</v>
      </c>
      <c r="AZ64" t="str">
        <f>"10/12/2020 12:00:00 a. m."</f>
        <v>10/12/2020 12:00:00 a. m.</v>
      </c>
      <c r="BA64" t="str">
        <f>""</f>
        <v/>
      </c>
      <c r="BB64" t="str">
        <f>""</f>
        <v/>
      </c>
      <c r="BC64" t="str">
        <f>""</f>
        <v/>
      </c>
      <c r="BD64" t="str">
        <f t="shared" si="72"/>
        <v>1</v>
      </c>
      <c r="BE64" t="str">
        <f t="shared" si="72"/>
        <v>1</v>
      </c>
      <c r="BF64" t="str">
        <f t="shared" si="15"/>
        <v xml:space="preserve">3         </v>
      </c>
      <c r="BG64" t="str">
        <f t="shared" si="16"/>
        <v>Confirmado por laboratorio</v>
      </c>
      <c r="BH64" t="str">
        <f>"HOSPITAL DEPARTAMENTAL SAN VICENTE DE PAUL"</f>
        <v>HOSPITAL DEPARTAMENTAL SAN VICENTE DE PAUL</v>
      </c>
      <c r="BI64" t="str">
        <f t="shared" si="48"/>
        <v>COLOMBIA</v>
      </c>
      <c r="BJ64" t="str">
        <f t="shared" si="18"/>
        <v>CANCER INFANTIL</v>
      </c>
      <c r="BK64" t="str">
        <f>"HUILA"</f>
        <v>HUILA</v>
      </c>
      <c r="BL64" t="str">
        <f>"GARZON"</f>
        <v>GARZON</v>
      </c>
      <c r="BM64" t="str">
        <f t="shared" si="49"/>
        <v>COLOMBIA</v>
      </c>
      <c r="BN64" t="str">
        <f>"HUILA"</f>
        <v>HUILA</v>
      </c>
      <c r="BO64" t="str">
        <f>"GARZON"</f>
        <v>GARZON</v>
      </c>
      <c r="BP64" t="str">
        <f>"HUILA"</f>
        <v>HUILA</v>
      </c>
      <c r="BQ64" t="str">
        <f>"GARZON"</f>
        <v>GARZON</v>
      </c>
    </row>
    <row r="65" spans="1:69" x14ac:dyDescent="0.25">
      <c r="A65" t="str">
        <f>"7285778"</f>
        <v>7285778</v>
      </c>
      <c r="B65" t="str">
        <f t="shared" si="0"/>
        <v>459</v>
      </c>
      <c r="C65" t="str">
        <f>"25/08/2020 12:00:00 a. m."</f>
        <v>25/08/2020 12:00:00 a. m.</v>
      </c>
      <c r="D65" t="str">
        <f>"31"</f>
        <v>31</v>
      </c>
      <c r="E65" t="str">
        <f t="shared" si="1"/>
        <v>2020</v>
      </c>
      <c r="F65" t="str">
        <f>"5400100371"</f>
        <v>5400100371</v>
      </c>
      <c r="G65" t="str">
        <f t="shared" si="55"/>
        <v>01</v>
      </c>
      <c r="H65" t="str">
        <f>"17"</f>
        <v>17</v>
      </c>
      <c r="I65" t="str">
        <f t="shared" si="39"/>
        <v>1</v>
      </c>
      <c r="J65" t="str">
        <f>"F"</f>
        <v>F</v>
      </c>
      <c r="K65" t="str">
        <f t="shared" si="43"/>
        <v>170</v>
      </c>
      <c r="L65" t="str">
        <f>"54"</f>
        <v>54</v>
      </c>
      <c r="M65" t="str">
        <f>"001"</f>
        <v>001</v>
      </c>
      <c r="N65" t="str">
        <f t="shared" ref="N65:N87" si="73">"1"</f>
        <v>1</v>
      </c>
      <c r="O65" t="str">
        <f>"9999"</f>
        <v>9999</v>
      </c>
      <c r="P65" t="str">
        <f>"N"</f>
        <v>N</v>
      </c>
      <c r="Q65" t="str">
        <f>""</f>
        <v/>
      </c>
      <c r="R65" t="str">
        <f t="shared" si="69"/>
        <v>6</v>
      </c>
      <c r="S65" t="str">
        <f>""</f>
        <v/>
      </c>
      <c r="T65" t="str">
        <f t="shared" si="45"/>
        <v xml:space="preserve">                                                                                                    </v>
      </c>
      <c r="U65" t="str">
        <f>"2         "</f>
        <v xml:space="preserve">2         </v>
      </c>
      <c r="V65" t="str">
        <f t="shared" si="65"/>
        <v>2</v>
      </c>
      <c r="W65" t="str">
        <f t="shared" si="65"/>
        <v>2</v>
      </c>
      <c r="X65" t="str">
        <f>"1"</f>
        <v>1</v>
      </c>
      <c r="Y65" t="str">
        <f t="shared" si="66"/>
        <v>2</v>
      </c>
      <c r="Z65" t="str">
        <f t="shared" si="66"/>
        <v>2</v>
      </c>
      <c r="AA65" t="str">
        <f t="shared" si="8"/>
        <v xml:space="preserve">          </v>
      </c>
      <c r="AB65" t="str">
        <f t="shared" si="67"/>
        <v>2</v>
      </c>
      <c r="AC65" t="str">
        <f t="shared" si="70"/>
        <v>2</v>
      </c>
      <c r="AD65" t="str">
        <f t="shared" si="68"/>
        <v>2</v>
      </c>
      <c r="AE65" t="str">
        <f t="shared" si="68"/>
        <v>2</v>
      </c>
      <c r="AF65" t="str">
        <f t="shared" si="68"/>
        <v>2</v>
      </c>
      <c r="AG65" t="str">
        <f t="shared" si="68"/>
        <v>2</v>
      </c>
      <c r="AH65" t="str">
        <f>"2"</f>
        <v>2</v>
      </c>
      <c r="AI65" t="str">
        <f>"2         "</f>
        <v xml:space="preserve">2         </v>
      </c>
      <c r="AJ65" t="str">
        <f t="shared" si="47"/>
        <v>170</v>
      </c>
      <c r="AK65" t="str">
        <f>"54"</f>
        <v>54</v>
      </c>
      <c r="AL65" t="str">
        <f>"001"</f>
        <v>001</v>
      </c>
      <c r="AM65" t="str">
        <f>"54"</f>
        <v>54</v>
      </c>
      <c r="AN65" t="str">
        <f>"54001"</f>
        <v>54001</v>
      </c>
      <c r="AO65" t="str">
        <f>"28/07/2020 12:00:00 a. m."</f>
        <v>28/07/2020 12:00:00 a. m.</v>
      </c>
      <c r="AP65" t="str">
        <f>"28/07/2020 12:00:00 a. m."</f>
        <v>28/07/2020 12:00:00 a. m.</v>
      </c>
      <c r="AQ65" t="str">
        <f t="shared" si="56"/>
        <v>3</v>
      </c>
      <c r="AR65" t="str">
        <f t="shared" si="71"/>
        <v>1</v>
      </c>
      <c r="AS65" t="str">
        <f>"28/07/2020 12:00:00 a. m."</f>
        <v>28/07/2020 12:00:00 a. m.</v>
      </c>
      <c r="AT65" t="str">
        <f t="shared" si="62"/>
        <v>1</v>
      </c>
      <c r="AU65" t="str">
        <f>""</f>
        <v/>
      </c>
      <c r="AV65" t="str">
        <f>"0"</f>
        <v>0</v>
      </c>
      <c r="AW65" t="str">
        <f>"25/04/2003 12:00:00 a. m."</f>
        <v>25/04/2003 12:00:00 a. m.</v>
      </c>
      <c r="AX65" t="str">
        <f>""</f>
        <v/>
      </c>
      <c r="AY65" t="str">
        <f t="shared" si="13"/>
        <v>30/04/2021 12:00:00 a. m.</v>
      </c>
      <c r="AZ65" t="str">
        <f>"27/08/2020 12:00:00 a. m."</f>
        <v>27/08/2020 12:00:00 a. m.</v>
      </c>
      <c r="BA65" t="str">
        <f>""</f>
        <v/>
      </c>
      <c r="BB65" t="str">
        <f>""</f>
        <v/>
      </c>
      <c r="BC65" t="str">
        <f>""</f>
        <v/>
      </c>
      <c r="BD65" t="str">
        <f t="shared" si="72"/>
        <v>1</v>
      </c>
      <c r="BE65" t="str">
        <f t="shared" si="72"/>
        <v>1</v>
      </c>
      <c r="BF65" t="str">
        <f t="shared" si="15"/>
        <v xml:space="preserve">3         </v>
      </c>
      <c r="BG65" t="str">
        <f t="shared" si="16"/>
        <v>Confirmado por laboratorio</v>
      </c>
      <c r="BH65" t="str">
        <f>"EMPRESA SOCIAL DEL ESTADO HOSPITAL UNIVERSITARIO E"</f>
        <v>EMPRESA SOCIAL DEL ESTADO HOSPITAL UNIVERSITARIO E</v>
      </c>
      <c r="BI65" t="str">
        <f t="shared" si="48"/>
        <v>COLOMBIA</v>
      </c>
      <c r="BJ65" t="str">
        <f t="shared" si="18"/>
        <v>CANCER INFANTIL</v>
      </c>
      <c r="BK65" t="str">
        <f>"NORTE SANTANDER"</f>
        <v>NORTE SANTANDER</v>
      </c>
      <c r="BL65" t="str">
        <f>"CUCUTA"</f>
        <v>CUCUTA</v>
      </c>
      <c r="BM65" t="str">
        <f t="shared" si="49"/>
        <v>COLOMBIA</v>
      </c>
      <c r="BN65" t="str">
        <f>"NORTE SANTANDER"</f>
        <v>NORTE SANTANDER</v>
      </c>
      <c r="BO65" t="str">
        <f>"CUCUTA"</f>
        <v>CUCUTA</v>
      </c>
      <c r="BP65" t="str">
        <f>"NORTE SANTANDER"</f>
        <v>NORTE SANTANDER</v>
      </c>
      <c r="BQ65" t="str">
        <f>"CUCUTA"</f>
        <v>CUCUTA</v>
      </c>
    </row>
    <row r="66" spans="1:69" x14ac:dyDescent="0.25">
      <c r="A66" t="str">
        <f>"7285604"</f>
        <v>7285604</v>
      </c>
      <c r="B66" t="str">
        <f t="shared" ref="B66:B129" si="74">"459"</f>
        <v>459</v>
      </c>
      <c r="C66" t="str">
        <f>"11/05/2020 12:00:00 a. m."</f>
        <v>11/05/2020 12:00:00 a. m.</v>
      </c>
      <c r="D66" t="str">
        <f>"14"</f>
        <v>14</v>
      </c>
      <c r="E66" t="str">
        <f t="shared" ref="E66:E129" si="75">"2020"</f>
        <v>2020</v>
      </c>
      <c r="F66" t="str">
        <f>"5400100603"</f>
        <v>5400100603</v>
      </c>
      <c r="G66" t="str">
        <f t="shared" si="55"/>
        <v>01</v>
      </c>
      <c r="H66" t="str">
        <f>"17"</f>
        <v>17</v>
      </c>
      <c r="I66" t="str">
        <f t="shared" si="39"/>
        <v>1</v>
      </c>
      <c r="J66" t="str">
        <f>"M"</f>
        <v>M</v>
      </c>
      <c r="K66" t="str">
        <f t="shared" ref="K66:K100" si="76">"170"</f>
        <v>170</v>
      </c>
      <c r="L66" t="str">
        <f>"54"</f>
        <v>54</v>
      </c>
      <c r="M66" t="str">
        <f>"001"</f>
        <v>001</v>
      </c>
      <c r="N66" t="str">
        <f t="shared" si="73"/>
        <v>1</v>
      </c>
      <c r="O66" t="str">
        <f>"9997"</f>
        <v>9997</v>
      </c>
      <c r="P66" t="str">
        <f>"C"</f>
        <v>C</v>
      </c>
      <c r="Q66" t="str">
        <f>"EPS016"</f>
        <v>EPS016</v>
      </c>
      <c r="R66" t="str">
        <f t="shared" si="69"/>
        <v>6</v>
      </c>
      <c r="S66" t="str">
        <f>""</f>
        <v/>
      </c>
      <c r="T66" t="str">
        <f t="shared" ref="T66:T97" si="77">"                                                                                                    "</f>
        <v xml:space="preserve">                                                                                                    </v>
      </c>
      <c r="U66" t="str">
        <f>"2         "</f>
        <v xml:space="preserve">2         </v>
      </c>
      <c r="V66" t="str">
        <f t="shared" si="65"/>
        <v>2</v>
      </c>
      <c r="W66" t="str">
        <f t="shared" si="65"/>
        <v>2</v>
      </c>
      <c r="X66" t="str">
        <f t="shared" ref="X66:X78" si="78">"2"</f>
        <v>2</v>
      </c>
      <c r="Y66" t="str">
        <f t="shared" si="66"/>
        <v>2</v>
      </c>
      <c r="Z66" t="str">
        <f t="shared" si="66"/>
        <v>2</v>
      </c>
      <c r="AA66" t="str">
        <f t="shared" ref="AA66:AA129" si="79">"          "</f>
        <v xml:space="preserve">          </v>
      </c>
      <c r="AB66" t="str">
        <f t="shared" si="67"/>
        <v>2</v>
      </c>
      <c r="AC66" t="str">
        <f t="shared" si="70"/>
        <v>2</v>
      </c>
      <c r="AD66" t="str">
        <f t="shared" si="68"/>
        <v>2</v>
      </c>
      <c r="AE66" t="str">
        <f t="shared" si="68"/>
        <v>2</v>
      </c>
      <c r="AF66" t="str">
        <f t="shared" si="68"/>
        <v>2</v>
      </c>
      <c r="AG66" t="str">
        <f t="shared" si="68"/>
        <v>2</v>
      </c>
      <c r="AH66" t="str">
        <f t="shared" ref="AH66:AH78" si="80">"1"</f>
        <v>1</v>
      </c>
      <c r="AI66" t="str">
        <f>"1         "</f>
        <v xml:space="preserve">1         </v>
      </c>
      <c r="AJ66" t="str">
        <f t="shared" ref="AJ66:AJ100" si="81">"170"</f>
        <v>170</v>
      </c>
      <c r="AK66" t="str">
        <f>"54"</f>
        <v>54</v>
      </c>
      <c r="AL66" t="str">
        <f>"001"</f>
        <v>001</v>
      </c>
      <c r="AM66" t="str">
        <f>"54"</f>
        <v>54</v>
      </c>
      <c r="AN66" t="str">
        <f>"54001"</f>
        <v>54001</v>
      </c>
      <c r="AO66" t="str">
        <f>"3/04/2020 12:00:00 a. m."</f>
        <v>3/04/2020 12:00:00 a. m.</v>
      </c>
      <c r="AP66" t="str">
        <f>"3/03/2020 12:00:00 a. m."</f>
        <v>3/03/2020 12:00:00 a. m.</v>
      </c>
      <c r="AQ66" t="str">
        <f>"2"</f>
        <v>2</v>
      </c>
      <c r="AR66" t="str">
        <f t="shared" si="71"/>
        <v>1</v>
      </c>
      <c r="AS66" t="str">
        <f>"3/04/2020 12:00:00 a. m."</f>
        <v>3/04/2020 12:00:00 a. m.</v>
      </c>
      <c r="AT66" t="str">
        <f t="shared" si="62"/>
        <v>1</v>
      </c>
      <c r="AU66" t="str">
        <f>""</f>
        <v/>
      </c>
      <c r="AV66" t="str">
        <f>"3"</f>
        <v>3</v>
      </c>
      <c r="AW66" t="str">
        <f>"20/09/2002 12:00:00 a. m."</f>
        <v>20/09/2002 12:00:00 a. m.</v>
      </c>
      <c r="AX66" t="str">
        <f>""</f>
        <v/>
      </c>
      <c r="AY66" t="str">
        <f t="shared" ref="AY66:AY129" si="82">"30/04/2021 12:00:00 a. m."</f>
        <v>30/04/2021 12:00:00 a. m.</v>
      </c>
      <c r="AZ66" t="str">
        <f>"14/07/2020 12:00:00 a. m."</f>
        <v>14/07/2020 12:00:00 a. m.</v>
      </c>
      <c r="BA66" t="str">
        <f>""</f>
        <v/>
      </c>
      <c r="BB66" t="str">
        <f>""</f>
        <v/>
      </c>
      <c r="BC66" t="str">
        <f>""</f>
        <v/>
      </c>
      <c r="BD66" t="str">
        <f t="shared" si="72"/>
        <v>1</v>
      </c>
      <c r="BE66" t="str">
        <f t="shared" si="72"/>
        <v>1</v>
      </c>
      <c r="BF66" t="str">
        <f t="shared" ref="BF66:BF129" si="83">"3         "</f>
        <v xml:space="preserve">3         </v>
      </c>
      <c r="BG66" t="str">
        <f t="shared" ref="BG66:BG129" si="84">"Confirmado por laboratorio"</f>
        <v>Confirmado por laboratorio</v>
      </c>
      <c r="BH66" t="str">
        <f>"CLINICA SANTA ANA SA"</f>
        <v>CLINICA SANTA ANA SA</v>
      </c>
      <c r="BI66" t="str">
        <f t="shared" ref="BI66:BI100" si="85">"COLOMBIA"</f>
        <v>COLOMBIA</v>
      </c>
      <c r="BJ66" t="str">
        <f t="shared" ref="BJ66:BJ129" si="86">"CANCER INFANTIL"</f>
        <v>CANCER INFANTIL</v>
      </c>
      <c r="BK66" t="str">
        <f>"NORTE SANTANDER"</f>
        <v>NORTE SANTANDER</v>
      </c>
      <c r="BL66" t="str">
        <f>"CUCUTA"</f>
        <v>CUCUTA</v>
      </c>
      <c r="BM66" t="str">
        <f t="shared" ref="BM66:BM100" si="87">"COLOMBIA"</f>
        <v>COLOMBIA</v>
      </c>
      <c r="BN66" t="str">
        <f>"NORTE SANTANDER"</f>
        <v>NORTE SANTANDER</v>
      </c>
      <c r="BO66" t="str">
        <f>"CUCUTA"</f>
        <v>CUCUTA</v>
      </c>
      <c r="BP66" t="str">
        <f>"NORTE SANTANDER"</f>
        <v>NORTE SANTANDER</v>
      </c>
      <c r="BQ66" t="str">
        <f>"CUCUTA"</f>
        <v>CUCUTA</v>
      </c>
    </row>
    <row r="67" spans="1:69" x14ac:dyDescent="0.25">
      <c r="A67" t="str">
        <f>"7285631"</f>
        <v>7285631</v>
      </c>
      <c r="B67" t="str">
        <f t="shared" si="74"/>
        <v>459</v>
      </c>
      <c r="C67" t="str">
        <f>"28/01/2020 12:00:00 a. m."</f>
        <v>28/01/2020 12:00:00 a. m.</v>
      </c>
      <c r="D67" t="str">
        <f>"05"</f>
        <v>05</v>
      </c>
      <c r="E67" t="str">
        <f t="shared" si="75"/>
        <v>2020</v>
      </c>
      <c r="F67" t="str">
        <f>"0561502129"</f>
        <v>0561502129</v>
      </c>
      <c r="G67" t="str">
        <f t="shared" si="55"/>
        <v>01</v>
      </c>
      <c r="H67" t="str">
        <f>"16"</f>
        <v>16</v>
      </c>
      <c r="I67" t="str">
        <f t="shared" si="39"/>
        <v>1</v>
      </c>
      <c r="J67" t="str">
        <f>"F"</f>
        <v>F</v>
      </c>
      <c r="K67" t="str">
        <f t="shared" si="76"/>
        <v>170</v>
      </c>
      <c r="L67" t="str">
        <f>"05"</f>
        <v>05</v>
      </c>
      <c r="M67" t="str">
        <f>"615"</f>
        <v>615</v>
      </c>
      <c r="N67" t="str">
        <f t="shared" si="73"/>
        <v>1</v>
      </c>
      <c r="O67" t="str">
        <f>"9997"</f>
        <v>9997</v>
      </c>
      <c r="P67" t="str">
        <f>"S"</f>
        <v>S</v>
      </c>
      <c r="Q67" t="str">
        <f>"ESS091"</f>
        <v>ESS091</v>
      </c>
      <c r="R67" t="str">
        <f t="shared" si="69"/>
        <v>6</v>
      </c>
      <c r="S67" t="str">
        <f>""</f>
        <v/>
      </c>
      <c r="T67" t="str">
        <f t="shared" si="77"/>
        <v xml:space="preserve">                                                                                                    </v>
      </c>
      <c r="U67" t="str">
        <f>"2         "</f>
        <v xml:space="preserve">2         </v>
      </c>
      <c r="V67" t="str">
        <f t="shared" si="65"/>
        <v>2</v>
      </c>
      <c r="W67" t="str">
        <f t="shared" si="65"/>
        <v>2</v>
      </c>
      <c r="X67" t="str">
        <f t="shared" si="78"/>
        <v>2</v>
      </c>
      <c r="Y67" t="str">
        <f t="shared" si="66"/>
        <v>2</v>
      </c>
      <c r="Z67" t="str">
        <f t="shared" si="66"/>
        <v>2</v>
      </c>
      <c r="AA67" t="str">
        <f t="shared" si="79"/>
        <v xml:space="preserve">          </v>
      </c>
      <c r="AB67" t="str">
        <f t="shared" si="67"/>
        <v>2</v>
      </c>
      <c r="AC67" t="str">
        <f t="shared" si="70"/>
        <v>2</v>
      </c>
      <c r="AD67" t="str">
        <f t="shared" si="68"/>
        <v>2</v>
      </c>
      <c r="AE67" t="str">
        <f t="shared" si="68"/>
        <v>2</v>
      </c>
      <c r="AF67" t="str">
        <f t="shared" si="68"/>
        <v>2</v>
      </c>
      <c r="AG67" t="str">
        <f t="shared" si="68"/>
        <v>2</v>
      </c>
      <c r="AH67" t="str">
        <f t="shared" si="80"/>
        <v>1</v>
      </c>
      <c r="AI67" t="str">
        <f>"1         "</f>
        <v xml:space="preserve">1         </v>
      </c>
      <c r="AJ67" t="str">
        <f t="shared" si="81"/>
        <v>170</v>
      </c>
      <c r="AK67" t="str">
        <f>"15"</f>
        <v>15</v>
      </c>
      <c r="AL67" t="str">
        <f>"572"</f>
        <v>572</v>
      </c>
      <c r="AM67" t="str">
        <f>"05"</f>
        <v>05</v>
      </c>
      <c r="AN67" t="str">
        <f>"05615"</f>
        <v>05615</v>
      </c>
      <c r="AO67" t="str">
        <f>"28/01/2020 12:00:00 a. m."</f>
        <v>28/01/2020 12:00:00 a. m.</v>
      </c>
      <c r="AP67" t="str">
        <f>"1/12/2019 12:00:00 a. m."</f>
        <v>1/12/2019 12:00:00 a. m.</v>
      </c>
      <c r="AQ67" t="str">
        <f>"3"</f>
        <v>3</v>
      </c>
      <c r="AR67" t="str">
        <f t="shared" si="71"/>
        <v>1</v>
      </c>
      <c r="AS67" t="str">
        <f>"28/01/2020 12:00:00 a. m."</f>
        <v>28/01/2020 12:00:00 a. m.</v>
      </c>
      <c r="AT67" t="str">
        <f t="shared" si="62"/>
        <v>1</v>
      </c>
      <c r="AU67" t="str">
        <f>""</f>
        <v/>
      </c>
      <c r="AV67" t="str">
        <f>"0"</f>
        <v>0</v>
      </c>
      <c r="AW67" t="str">
        <f>"23/09/2003 12:00:00 a. m."</f>
        <v>23/09/2003 12:00:00 a. m.</v>
      </c>
      <c r="AX67" t="str">
        <f>""</f>
        <v/>
      </c>
      <c r="AY67" t="str">
        <f t="shared" si="82"/>
        <v>30/04/2021 12:00:00 a. m.</v>
      </c>
      <c r="AZ67" t="str">
        <f>"28/01/2020 12:00:00 a. m."</f>
        <v>28/01/2020 12:00:00 a. m.</v>
      </c>
      <c r="BA67" t="str">
        <f>""</f>
        <v/>
      </c>
      <c r="BB67" t="str">
        <f>""</f>
        <v/>
      </c>
      <c r="BC67" t="str">
        <f>""</f>
        <v/>
      </c>
      <c r="BD67" t="str">
        <f t="shared" si="72"/>
        <v>1</v>
      </c>
      <c r="BE67" t="str">
        <f t="shared" si="72"/>
        <v>1</v>
      </c>
      <c r="BF67" t="str">
        <f t="shared" si="83"/>
        <v xml:space="preserve">3         </v>
      </c>
      <c r="BG67" t="str">
        <f t="shared" si="84"/>
        <v>Confirmado por laboratorio</v>
      </c>
      <c r="BH67" t="str">
        <f>"SOCIEDAD MEDICA DE RIONEGRO SA SOMER SA"</f>
        <v>SOCIEDAD MEDICA DE RIONEGRO SA SOMER SA</v>
      </c>
      <c r="BI67" t="str">
        <f t="shared" si="85"/>
        <v>COLOMBIA</v>
      </c>
      <c r="BJ67" t="str">
        <f t="shared" si="86"/>
        <v>CANCER INFANTIL</v>
      </c>
      <c r="BK67" t="str">
        <f>"ANTIOQUIA"</f>
        <v>ANTIOQUIA</v>
      </c>
      <c r="BL67" t="str">
        <f>"RIONEGRO"</f>
        <v>RIONEGRO</v>
      </c>
      <c r="BM67" t="str">
        <f t="shared" si="87"/>
        <v>COLOMBIA</v>
      </c>
      <c r="BN67" t="str">
        <f>"BOYACA"</f>
        <v>BOYACA</v>
      </c>
      <c r="BO67" t="str">
        <f>"PUERTO BOYACA"</f>
        <v>PUERTO BOYACA</v>
      </c>
      <c r="BP67" t="str">
        <f>"ANTIOQUIA"</f>
        <v>ANTIOQUIA</v>
      </c>
      <c r="BQ67" t="str">
        <f>"RIONEGRO"</f>
        <v>RIONEGRO</v>
      </c>
    </row>
    <row r="68" spans="1:69" x14ac:dyDescent="0.25">
      <c r="A68" t="str">
        <f>"7285459"</f>
        <v>7285459</v>
      </c>
      <c r="B68" t="str">
        <f t="shared" si="74"/>
        <v>459</v>
      </c>
      <c r="C68" t="str">
        <f>"22/01/2020 12:00:00 a. m."</f>
        <v>22/01/2020 12:00:00 a. m.</v>
      </c>
      <c r="D68" t="str">
        <f>"02"</f>
        <v>02</v>
      </c>
      <c r="E68" t="str">
        <f t="shared" si="75"/>
        <v>2020</v>
      </c>
      <c r="F68" t="str">
        <f>"1100105681"</f>
        <v>1100105681</v>
      </c>
      <c r="G68" t="str">
        <f t="shared" si="55"/>
        <v>01</v>
      </c>
      <c r="H68" t="str">
        <f>"15"</f>
        <v>15</v>
      </c>
      <c r="I68" t="str">
        <f t="shared" si="39"/>
        <v>1</v>
      </c>
      <c r="J68" t="str">
        <f>"M"</f>
        <v>M</v>
      </c>
      <c r="K68" t="str">
        <f t="shared" si="76"/>
        <v>170</v>
      </c>
      <c r="L68" t="str">
        <f>"11"</f>
        <v>11</v>
      </c>
      <c r="M68" t="str">
        <f>"001"</f>
        <v>001</v>
      </c>
      <c r="N68" t="str">
        <f t="shared" si="73"/>
        <v>1</v>
      </c>
      <c r="O68" t="str">
        <f>"9997"</f>
        <v>9997</v>
      </c>
      <c r="P68" t="str">
        <f>"C"</f>
        <v>C</v>
      </c>
      <c r="Q68" t="str">
        <f>"EPS005"</f>
        <v>EPS005</v>
      </c>
      <c r="R68" t="str">
        <f t="shared" si="69"/>
        <v>6</v>
      </c>
      <c r="S68" t="str">
        <f>""</f>
        <v/>
      </c>
      <c r="T68" t="str">
        <f t="shared" si="77"/>
        <v xml:space="preserve">                                                                                                    </v>
      </c>
      <c r="U68" t="str">
        <f>"2         "</f>
        <v xml:space="preserve">2         </v>
      </c>
      <c r="V68" t="str">
        <f t="shared" si="65"/>
        <v>2</v>
      </c>
      <c r="W68" t="str">
        <f t="shared" si="65"/>
        <v>2</v>
      </c>
      <c r="X68" t="str">
        <f t="shared" si="78"/>
        <v>2</v>
      </c>
      <c r="Y68" t="str">
        <f t="shared" si="66"/>
        <v>2</v>
      </c>
      <c r="Z68" t="str">
        <f t="shared" si="66"/>
        <v>2</v>
      </c>
      <c r="AA68" t="str">
        <f t="shared" si="79"/>
        <v xml:space="preserve">          </v>
      </c>
      <c r="AB68" t="str">
        <f t="shared" si="67"/>
        <v>2</v>
      </c>
      <c r="AC68" t="str">
        <f t="shared" si="70"/>
        <v>2</v>
      </c>
      <c r="AD68" t="str">
        <f t="shared" si="68"/>
        <v>2</v>
      </c>
      <c r="AE68" t="str">
        <f t="shared" si="68"/>
        <v>2</v>
      </c>
      <c r="AF68" t="str">
        <f t="shared" si="68"/>
        <v>2</v>
      </c>
      <c r="AG68" t="str">
        <f t="shared" si="68"/>
        <v>2</v>
      </c>
      <c r="AH68" t="str">
        <f t="shared" si="80"/>
        <v>1</v>
      </c>
      <c r="AI68" t="str">
        <f>"2         "</f>
        <v xml:space="preserve">2         </v>
      </c>
      <c r="AJ68" t="str">
        <f t="shared" si="81"/>
        <v>170</v>
      </c>
      <c r="AK68" t="str">
        <f>"11"</f>
        <v>11</v>
      </c>
      <c r="AL68" t="str">
        <f>"001"</f>
        <v>001</v>
      </c>
      <c r="AM68" t="str">
        <f>"11"</f>
        <v>11</v>
      </c>
      <c r="AN68" t="str">
        <f>"11001"</f>
        <v>11001</v>
      </c>
      <c r="AO68" t="str">
        <f>"10/01/2020 12:00:00 a. m."</f>
        <v>10/01/2020 12:00:00 a. m.</v>
      </c>
      <c r="AP68" t="str">
        <f>"1/01/2020 12:00:00 a. m."</f>
        <v>1/01/2020 12:00:00 a. m.</v>
      </c>
      <c r="AQ68" t="str">
        <f>"3"</f>
        <v>3</v>
      </c>
      <c r="AR68" t="str">
        <f t="shared" si="71"/>
        <v>1</v>
      </c>
      <c r="AS68" t="str">
        <f>"10/01/2020 12:00:00 a. m."</f>
        <v>10/01/2020 12:00:00 a. m.</v>
      </c>
      <c r="AT68" t="str">
        <f t="shared" si="62"/>
        <v>1</v>
      </c>
      <c r="AU68" t="str">
        <f>""</f>
        <v/>
      </c>
      <c r="AV68" t="str">
        <f>"7"</f>
        <v>7</v>
      </c>
      <c r="AW68" t="str">
        <f>"5/06/2005 12:00:00 a. m."</f>
        <v>5/06/2005 12:00:00 a. m.</v>
      </c>
      <c r="AX68" t="str">
        <f>""</f>
        <v/>
      </c>
      <c r="AY68" t="str">
        <f t="shared" si="82"/>
        <v>30/04/2021 12:00:00 a. m.</v>
      </c>
      <c r="AZ68" t="str">
        <f>"19/02/2021 12:00:00 a. m."</f>
        <v>19/02/2021 12:00:00 a. m.</v>
      </c>
      <c r="BA68" t="str">
        <f>""</f>
        <v/>
      </c>
      <c r="BB68" t="str">
        <f>""</f>
        <v/>
      </c>
      <c r="BC68" t="str">
        <f>""</f>
        <v/>
      </c>
      <c r="BD68" t="str">
        <f t="shared" si="72"/>
        <v>1</v>
      </c>
      <c r="BE68" t="str">
        <f t="shared" si="72"/>
        <v>1</v>
      </c>
      <c r="BF68" t="str">
        <f t="shared" si="83"/>
        <v xml:space="preserve">3         </v>
      </c>
      <c r="BG68" t="str">
        <f t="shared" si="84"/>
        <v>Confirmado por laboratorio</v>
      </c>
      <c r="BH68" t="str">
        <f>"FUNDACION HOSPITAL DE LA MISERICORDIA"</f>
        <v>FUNDACION HOSPITAL DE LA MISERICORDIA</v>
      </c>
      <c r="BI68" t="str">
        <f t="shared" si="85"/>
        <v>COLOMBIA</v>
      </c>
      <c r="BJ68" t="str">
        <f t="shared" si="86"/>
        <v>CANCER INFANTIL</v>
      </c>
      <c r="BK68" t="str">
        <f t="shared" ref="BK68:BL70" si="88">"BOGOTA"</f>
        <v>BOGOTA</v>
      </c>
      <c r="BL68" t="str">
        <f t="shared" si="88"/>
        <v>BOGOTA</v>
      </c>
      <c r="BM68" t="str">
        <f t="shared" si="87"/>
        <v>COLOMBIA</v>
      </c>
      <c r="BN68" t="str">
        <f t="shared" ref="BN68:BQ70" si="89">"BOGOTA"</f>
        <v>BOGOTA</v>
      </c>
      <c r="BO68" t="str">
        <f t="shared" si="89"/>
        <v>BOGOTA</v>
      </c>
      <c r="BP68" t="str">
        <f t="shared" si="89"/>
        <v>BOGOTA</v>
      </c>
      <c r="BQ68" t="str">
        <f t="shared" si="89"/>
        <v>BOGOTA</v>
      </c>
    </row>
    <row r="69" spans="1:69" x14ac:dyDescent="0.25">
      <c r="A69" t="str">
        <f>"7285362"</f>
        <v>7285362</v>
      </c>
      <c r="B69" t="str">
        <f t="shared" si="74"/>
        <v>459</v>
      </c>
      <c r="C69" t="str">
        <f>"7/12/2020 12:00:00 a. m."</f>
        <v>7/12/2020 12:00:00 a. m.</v>
      </c>
      <c r="D69" t="str">
        <f>"49"</f>
        <v>49</v>
      </c>
      <c r="E69" t="str">
        <f t="shared" si="75"/>
        <v>2020</v>
      </c>
      <c r="F69" t="str">
        <f>"1100105668"</f>
        <v>1100105668</v>
      </c>
      <c r="G69" t="str">
        <f t="shared" si="55"/>
        <v>01</v>
      </c>
      <c r="H69" t="str">
        <f>"14"</f>
        <v>14</v>
      </c>
      <c r="I69" t="str">
        <f t="shared" si="39"/>
        <v>1</v>
      </c>
      <c r="J69" t="str">
        <f>"M"</f>
        <v>M</v>
      </c>
      <c r="K69" t="str">
        <f t="shared" si="76"/>
        <v>170</v>
      </c>
      <c r="L69" t="str">
        <f>"11"</f>
        <v>11</v>
      </c>
      <c r="M69" t="str">
        <f>"001"</f>
        <v>001</v>
      </c>
      <c r="N69" t="str">
        <f t="shared" si="73"/>
        <v>1</v>
      </c>
      <c r="O69" t="str">
        <f>"9997"</f>
        <v>9997</v>
      </c>
      <c r="P69" t="str">
        <f>"C"</f>
        <v>C</v>
      </c>
      <c r="Q69" t="str">
        <f>"EPS010"</f>
        <v>EPS010</v>
      </c>
      <c r="R69" t="str">
        <f t="shared" si="69"/>
        <v>6</v>
      </c>
      <c r="S69" t="str">
        <f>""</f>
        <v/>
      </c>
      <c r="T69" t="str">
        <f t="shared" si="77"/>
        <v xml:space="preserve">                                                                                                    </v>
      </c>
      <c r="U69" t="str">
        <f>"1         "</f>
        <v xml:space="preserve">1         </v>
      </c>
      <c r="V69" t="str">
        <f t="shared" si="65"/>
        <v>2</v>
      </c>
      <c r="W69" t="str">
        <f t="shared" si="65"/>
        <v>2</v>
      </c>
      <c r="X69" t="str">
        <f t="shared" si="78"/>
        <v>2</v>
      </c>
      <c r="Y69" t="str">
        <f t="shared" si="66"/>
        <v>2</v>
      </c>
      <c r="Z69" t="str">
        <f t="shared" si="66"/>
        <v>2</v>
      </c>
      <c r="AA69" t="str">
        <f t="shared" si="79"/>
        <v xml:space="preserve">          </v>
      </c>
      <c r="AB69" t="str">
        <f t="shared" si="67"/>
        <v>2</v>
      </c>
      <c r="AC69" t="str">
        <f t="shared" si="70"/>
        <v>2</v>
      </c>
      <c r="AD69" t="str">
        <f t="shared" si="68"/>
        <v>2</v>
      </c>
      <c r="AE69" t="str">
        <f t="shared" si="68"/>
        <v>2</v>
      </c>
      <c r="AF69" t="str">
        <f t="shared" si="68"/>
        <v>2</v>
      </c>
      <c r="AG69" t="str">
        <f t="shared" si="68"/>
        <v>2</v>
      </c>
      <c r="AH69" t="str">
        <f t="shared" si="80"/>
        <v>1</v>
      </c>
      <c r="AI69" t="str">
        <f>"1         "</f>
        <v xml:space="preserve">1         </v>
      </c>
      <c r="AJ69" t="str">
        <f t="shared" si="81"/>
        <v>170</v>
      </c>
      <c r="AK69" t="str">
        <f>"11"</f>
        <v>11</v>
      </c>
      <c r="AL69" t="str">
        <f>"001"</f>
        <v>001</v>
      </c>
      <c r="AM69" t="str">
        <f>"11"</f>
        <v>11</v>
      </c>
      <c r="AN69" t="str">
        <f>"11001"</f>
        <v>11001</v>
      </c>
      <c r="AO69" t="str">
        <f>"2/12/2020 12:00:00 a. m."</f>
        <v>2/12/2020 12:00:00 a. m.</v>
      </c>
      <c r="AP69" t="str">
        <f>"2/08/2020 12:00:00 a. m."</f>
        <v>2/08/2020 12:00:00 a. m.</v>
      </c>
      <c r="AQ69" t="str">
        <f>"2"</f>
        <v>2</v>
      </c>
      <c r="AR69" t="str">
        <f t="shared" si="71"/>
        <v>1</v>
      </c>
      <c r="AS69" t="str">
        <f>"2/12/2020 12:00:00 a. m."</f>
        <v>2/12/2020 12:00:00 a. m.</v>
      </c>
      <c r="AT69" t="str">
        <f t="shared" si="62"/>
        <v>1</v>
      </c>
      <c r="AU69" t="str">
        <f>""</f>
        <v/>
      </c>
      <c r="AV69" t="str">
        <f>"3"</f>
        <v>3</v>
      </c>
      <c r="AW69" t="str">
        <f>"13/11/2006 12:00:00 a. m."</f>
        <v>13/11/2006 12:00:00 a. m.</v>
      </c>
      <c r="AX69" t="str">
        <f>""</f>
        <v/>
      </c>
      <c r="AY69" t="str">
        <f t="shared" si="82"/>
        <v>30/04/2021 12:00:00 a. m.</v>
      </c>
      <c r="AZ69" t="str">
        <f>"12/01/2021 12:00:00 a. m."</f>
        <v>12/01/2021 12:00:00 a. m.</v>
      </c>
      <c r="BA69" t="str">
        <f>""</f>
        <v/>
      </c>
      <c r="BB69" t="str">
        <f>""</f>
        <v/>
      </c>
      <c r="BC69" t="str">
        <f>""</f>
        <v/>
      </c>
      <c r="BD69" t="str">
        <f t="shared" si="72"/>
        <v>1</v>
      </c>
      <c r="BE69" t="str">
        <f t="shared" si="72"/>
        <v>1</v>
      </c>
      <c r="BF69" t="str">
        <f t="shared" si="83"/>
        <v xml:space="preserve">3         </v>
      </c>
      <c r="BG69" t="str">
        <f t="shared" si="84"/>
        <v>Confirmado por laboratorio</v>
      </c>
      <c r="BH69" t="str">
        <f>"H UNIVERSITARIO CLINICA SAN RAFAEL - SAN CRISTOBA"</f>
        <v>H UNIVERSITARIO CLINICA SAN RAFAEL - SAN CRISTOBA</v>
      </c>
      <c r="BI69" t="str">
        <f t="shared" si="85"/>
        <v>COLOMBIA</v>
      </c>
      <c r="BJ69" t="str">
        <f t="shared" si="86"/>
        <v>CANCER INFANTIL</v>
      </c>
      <c r="BK69" t="str">
        <f t="shared" si="88"/>
        <v>BOGOTA</v>
      </c>
      <c r="BL69" t="str">
        <f t="shared" si="88"/>
        <v>BOGOTA</v>
      </c>
      <c r="BM69" t="str">
        <f t="shared" si="87"/>
        <v>COLOMBIA</v>
      </c>
      <c r="BN69" t="str">
        <f t="shared" si="89"/>
        <v>BOGOTA</v>
      </c>
      <c r="BO69" t="str">
        <f t="shared" si="89"/>
        <v>BOGOTA</v>
      </c>
      <c r="BP69" t="str">
        <f t="shared" si="89"/>
        <v>BOGOTA</v>
      </c>
      <c r="BQ69" t="str">
        <f t="shared" si="89"/>
        <v>BOGOTA</v>
      </c>
    </row>
    <row r="70" spans="1:69" x14ac:dyDescent="0.25">
      <c r="A70" t="str">
        <f>"7285366"</f>
        <v>7285366</v>
      </c>
      <c r="B70" t="str">
        <f t="shared" si="74"/>
        <v>459</v>
      </c>
      <c r="C70" t="str">
        <f>"12/05/2020 12:00:00 a. m."</f>
        <v>12/05/2020 12:00:00 a. m.</v>
      </c>
      <c r="D70" t="str">
        <f>"16"</f>
        <v>16</v>
      </c>
      <c r="E70" t="str">
        <f t="shared" si="75"/>
        <v>2020</v>
      </c>
      <c r="F70" t="str">
        <f>"1100105668"</f>
        <v>1100105668</v>
      </c>
      <c r="G70" t="str">
        <f t="shared" si="55"/>
        <v>01</v>
      </c>
      <c r="H70" t="str">
        <f>"5"</f>
        <v>5</v>
      </c>
      <c r="I70" t="str">
        <f>"2"</f>
        <v>2</v>
      </c>
      <c r="J70" t="str">
        <f>"M"</f>
        <v>M</v>
      </c>
      <c r="K70" t="str">
        <f t="shared" si="76"/>
        <v>170</v>
      </c>
      <c r="L70" t="str">
        <f>"11"</f>
        <v>11</v>
      </c>
      <c r="M70" t="str">
        <f>"001"</f>
        <v>001</v>
      </c>
      <c r="N70" t="str">
        <f t="shared" si="73"/>
        <v>1</v>
      </c>
      <c r="O70" t="str">
        <f>"9999"</f>
        <v>9999</v>
      </c>
      <c r="P70" t="str">
        <f>"C"</f>
        <v>C</v>
      </c>
      <c r="Q70" t="str">
        <f>"EPS008"</f>
        <v>EPS008</v>
      </c>
      <c r="R70" t="str">
        <f t="shared" si="69"/>
        <v>6</v>
      </c>
      <c r="S70" t="str">
        <f>""</f>
        <v/>
      </c>
      <c r="T70" t="str">
        <f t="shared" si="77"/>
        <v xml:space="preserve">                                                                                                    </v>
      </c>
      <c r="U70" t="str">
        <f>"2         "</f>
        <v xml:space="preserve">2         </v>
      </c>
      <c r="V70" t="str">
        <f t="shared" si="65"/>
        <v>2</v>
      </c>
      <c r="W70" t="str">
        <f t="shared" si="65"/>
        <v>2</v>
      </c>
      <c r="X70" t="str">
        <f t="shared" si="78"/>
        <v>2</v>
      </c>
      <c r="Y70" t="str">
        <f t="shared" si="66"/>
        <v>2</v>
      </c>
      <c r="Z70" t="str">
        <f t="shared" si="66"/>
        <v>2</v>
      </c>
      <c r="AA70" t="str">
        <f t="shared" si="79"/>
        <v xml:space="preserve">          </v>
      </c>
      <c r="AB70" t="str">
        <f t="shared" si="67"/>
        <v>2</v>
      </c>
      <c r="AC70" t="str">
        <f t="shared" si="70"/>
        <v>2</v>
      </c>
      <c r="AD70" t="str">
        <f t="shared" si="68"/>
        <v>2</v>
      </c>
      <c r="AE70" t="str">
        <f t="shared" si="68"/>
        <v>2</v>
      </c>
      <c r="AF70" t="str">
        <f t="shared" si="68"/>
        <v>2</v>
      </c>
      <c r="AG70" t="str">
        <f t="shared" si="68"/>
        <v>2</v>
      </c>
      <c r="AH70" t="str">
        <f t="shared" si="80"/>
        <v>1</v>
      </c>
      <c r="AI70" t="str">
        <f>"2         "</f>
        <v xml:space="preserve">2         </v>
      </c>
      <c r="AJ70" t="str">
        <f t="shared" si="81"/>
        <v>170</v>
      </c>
      <c r="AK70" t="str">
        <f>"11"</f>
        <v>11</v>
      </c>
      <c r="AL70" t="str">
        <f>"001"</f>
        <v>001</v>
      </c>
      <c r="AM70" t="str">
        <f>"11"</f>
        <v>11</v>
      </c>
      <c r="AN70" t="str">
        <f>"11001"</f>
        <v>11001</v>
      </c>
      <c r="AO70" t="str">
        <f>"13/04/2020 12:00:00 a. m."</f>
        <v>13/04/2020 12:00:00 a. m.</v>
      </c>
      <c r="AP70" t="str">
        <f>"11/04/2020 12:00:00 a. m."</f>
        <v>11/04/2020 12:00:00 a. m.</v>
      </c>
      <c r="AQ70" t="str">
        <f>"2"</f>
        <v>2</v>
      </c>
      <c r="AR70" t="str">
        <f t="shared" si="71"/>
        <v>1</v>
      </c>
      <c r="AS70" t="str">
        <f>"13/04/2020 12:00:00 a. m."</f>
        <v>13/04/2020 12:00:00 a. m.</v>
      </c>
      <c r="AT70" t="str">
        <f t="shared" si="62"/>
        <v>1</v>
      </c>
      <c r="AU70" t="str">
        <f>""</f>
        <v/>
      </c>
      <c r="AV70" t="str">
        <f>"3"</f>
        <v>3</v>
      </c>
      <c r="AW70" t="str">
        <f>"6/12/2019 12:00:00 a. m."</f>
        <v>6/12/2019 12:00:00 a. m.</v>
      </c>
      <c r="AX70" t="str">
        <f>""</f>
        <v/>
      </c>
      <c r="AY70" t="str">
        <f t="shared" si="82"/>
        <v>30/04/2021 12:00:00 a. m.</v>
      </c>
      <c r="AZ70" t="str">
        <f>"7/04/2021 12:00:00 a. m."</f>
        <v>7/04/2021 12:00:00 a. m.</v>
      </c>
      <c r="BA70" t="str">
        <f>""</f>
        <v/>
      </c>
      <c r="BB70" t="str">
        <f>""</f>
        <v/>
      </c>
      <c r="BC70" t="str">
        <f>""</f>
        <v/>
      </c>
      <c r="BD70" t="str">
        <f t="shared" si="72"/>
        <v>1</v>
      </c>
      <c r="BE70" t="str">
        <f t="shared" si="72"/>
        <v>1</v>
      </c>
      <c r="BF70" t="str">
        <f t="shared" si="83"/>
        <v xml:space="preserve">3         </v>
      </c>
      <c r="BG70" t="str">
        <f t="shared" si="84"/>
        <v>Confirmado por laboratorio</v>
      </c>
      <c r="BH70" t="str">
        <f>"H UNIVERSITARIO CLINICA SAN RAFAEL - SAN CRISTOBA"</f>
        <v>H UNIVERSITARIO CLINICA SAN RAFAEL - SAN CRISTOBA</v>
      </c>
      <c r="BI70" t="str">
        <f t="shared" si="85"/>
        <v>COLOMBIA</v>
      </c>
      <c r="BJ70" t="str">
        <f t="shared" si="86"/>
        <v>CANCER INFANTIL</v>
      </c>
      <c r="BK70" t="str">
        <f t="shared" si="88"/>
        <v>BOGOTA</v>
      </c>
      <c r="BL70" t="str">
        <f t="shared" si="88"/>
        <v>BOGOTA</v>
      </c>
      <c r="BM70" t="str">
        <f t="shared" si="87"/>
        <v>COLOMBIA</v>
      </c>
      <c r="BN70" t="str">
        <f t="shared" si="89"/>
        <v>BOGOTA</v>
      </c>
      <c r="BO70" t="str">
        <f t="shared" si="89"/>
        <v>BOGOTA</v>
      </c>
      <c r="BP70" t="str">
        <f t="shared" si="89"/>
        <v>BOGOTA</v>
      </c>
      <c r="BQ70" t="str">
        <f t="shared" si="89"/>
        <v>BOGOTA</v>
      </c>
    </row>
    <row r="71" spans="1:69" x14ac:dyDescent="0.25">
      <c r="A71" t="str">
        <f>"7285453"</f>
        <v>7285453</v>
      </c>
      <c r="B71" t="str">
        <f t="shared" si="74"/>
        <v>459</v>
      </c>
      <c r="C71" t="str">
        <f>"26/11/2020 12:00:00 a. m."</f>
        <v>26/11/2020 12:00:00 a. m.</v>
      </c>
      <c r="D71" t="str">
        <f>"48"</f>
        <v>48</v>
      </c>
      <c r="E71" t="str">
        <f t="shared" si="75"/>
        <v>2020</v>
      </c>
      <c r="F71" t="str">
        <f>"1100116338"</f>
        <v>1100116338</v>
      </c>
      <c r="G71" t="str">
        <f>"83"</f>
        <v>83</v>
      </c>
      <c r="H71" t="str">
        <f>"4"</f>
        <v>4</v>
      </c>
      <c r="I71" t="str">
        <f t="shared" ref="I71:I80" si="90">"1"</f>
        <v>1</v>
      </c>
      <c r="J71" t="str">
        <f>"F"</f>
        <v>F</v>
      </c>
      <c r="K71" t="str">
        <f t="shared" si="76"/>
        <v>170</v>
      </c>
      <c r="L71" t="str">
        <f>"25"</f>
        <v>25</v>
      </c>
      <c r="M71" t="str">
        <f>"899"</f>
        <v>899</v>
      </c>
      <c r="N71" t="str">
        <f t="shared" si="73"/>
        <v>1</v>
      </c>
      <c r="O71" t="str">
        <f>"9997"</f>
        <v>9997</v>
      </c>
      <c r="P71" t="str">
        <f>"P"</f>
        <v>P</v>
      </c>
      <c r="Q71" t="str">
        <f>"RES003"</f>
        <v>RES003</v>
      </c>
      <c r="R71" t="str">
        <f t="shared" si="69"/>
        <v>6</v>
      </c>
      <c r="S71" t="str">
        <f>""</f>
        <v/>
      </c>
      <c r="T71" t="str">
        <f t="shared" si="77"/>
        <v xml:space="preserve">                                                                                                    </v>
      </c>
      <c r="U71" t="str">
        <f>"3         "</f>
        <v xml:space="preserve">3         </v>
      </c>
      <c r="V71" t="str">
        <f t="shared" si="65"/>
        <v>2</v>
      </c>
      <c r="W71" t="str">
        <f t="shared" si="65"/>
        <v>2</v>
      </c>
      <c r="X71" t="str">
        <f t="shared" si="78"/>
        <v>2</v>
      </c>
      <c r="Y71" t="str">
        <f t="shared" si="66"/>
        <v>2</v>
      </c>
      <c r="Z71" t="str">
        <f t="shared" si="66"/>
        <v>2</v>
      </c>
      <c r="AA71" t="str">
        <f t="shared" si="79"/>
        <v xml:space="preserve">          </v>
      </c>
      <c r="AB71" t="str">
        <f t="shared" si="67"/>
        <v>2</v>
      </c>
      <c r="AC71" t="str">
        <f t="shared" si="70"/>
        <v>2</v>
      </c>
      <c r="AD71" t="str">
        <f t="shared" si="68"/>
        <v>2</v>
      </c>
      <c r="AE71" t="str">
        <f t="shared" si="68"/>
        <v>2</v>
      </c>
      <c r="AF71" t="str">
        <f t="shared" si="68"/>
        <v>2</v>
      </c>
      <c r="AG71" t="str">
        <f t="shared" si="68"/>
        <v>2</v>
      </c>
      <c r="AH71" t="str">
        <f t="shared" si="80"/>
        <v>1</v>
      </c>
      <c r="AI71" t="str">
        <f>"1         "</f>
        <v xml:space="preserve">1         </v>
      </c>
      <c r="AJ71" t="str">
        <f t="shared" si="81"/>
        <v>170</v>
      </c>
      <c r="AK71" t="str">
        <f>"25"</f>
        <v>25</v>
      </c>
      <c r="AL71" t="str">
        <f>"899"</f>
        <v>899</v>
      </c>
      <c r="AM71" t="str">
        <f>"11"</f>
        <v>11</v>
      </c>
      <c r="AN71" t="str">
        <f>"11001"</f>
        <v>11001</v>
      </c>
      <c r="AO71" t="str">
        <f>"25/11/2020 12:00:00 a. m."</f>
        <v>25/11/2020 12:00:00 a. m.</v>
      </c>
      <c r="AP71" t="str">
        <f>"25/06/2020 12:00:00 a. m."</f>
        <v>25/06/2020 12:00:00 a. m.</v>
      </c>
      <c r="AQ71" t="str">
        <f>"3"</f>
        <v>3</v>
      </c>
      <c r="AR71" t="str">
        <f t="shared" si="71"/>
        <v>1</v>
      </c>
      <c r="AS71" t="str">
        <f>"25/11/2020 12:00:00 a. m."</f>
        <v>25/11/2020 12:00:00 a. m.</v>
      </c>
      <c r="AT71" t="str">
        <f t="shared" si="62"/>
        <v>1</v>
      </c>
      <c r="AU71" t="str">
        <f>""</f>
        <v/>
      </c>
      <c r="AV71" t="str">
        <f>"7"</f>
        <v>7</v>
      </c>
      <c r="AW71" t="str">
        <f>"3/02/2016 12:00:00 a. m."</f>
        <v>3/02/2016 12:00:00 a. m.</v>
      </c>
      <c r="AX71" t="str">
        <f>""</f>
        <v/>
      </c>
      <c r="AY71" t="str">
        <f t="shared" si="82"/>
        <v>30/04/2021 12:00:00 a. m.</v>
      </c>
      <c r="AZ71" t="str">
        <f>"6/01/2021 12:00:00 a. m."</f>
        <v>6/01/2021 12:00:00 a. m.</v>
      </c>
      <c r="BA71" t="str">
        <f>""</f>
        <v/>
      </c>
      <c r="BB71" t="str">
        <f>""</f>
        <v/>
      </c>
      <c r="BC71" t="str">
        <f>""</f>
        <v/>
      </c>
      <c r="BD71" t="str">
        <f t="shared" si="72"/>
        <v>1</v>
      </c>
      <c r="BE71" t="str">
        <f t="shared" si="72"/>
        <v>1</v>
      </c>
      <c r="BF71" t="str">
        <f t="shared" si="83"/>
        <v xml:space="preserve">3         </v>
      </c>
      <c r="BG71" t="str">
        <f t="shared" si="84"/>
        <v>Confirmado por laboratorio</v>
      </c>
      <c r="BH71" t="str">
        <f>"HOSPITAL MILITAR CENTRAL CHAPINERO"</f>
        <v>HOSPITAL MILITAR CENTRAL CHAPINERO</v>
      </c>
      <c r="BI71" t="str">
        <f t="shared" si="85"/>
        <v>COLOMBIA</v>
      </c>
      <c r="BJ71" t="str">
        <f t="shared" si="86"/>
        <v>CANCER INFANTIL</v>
      </c>
      <c r="BK71" t="str">
        <f>"CUNDINAMARCA"</f>
        <v>CUNDINAMARCA</v>
      </c>
      <c r="BL71" t="str">
        <f>"ZIPAQUIRA"</f>
        <v>ZIPAQUIRA</v>
      </c>
      <c r="BM71" t="str">
        <f t="shared" si="87"/>
        <v>COLOMBIA</v>
      </c>
      <c r="BN71" t="str">
        <f>"CUNDINAMARCA"</f>
        <v>CUNDINAMARCA</v>
      </c>
      <c r="BO71" t="str">
        <f>"ZIPAQUIRA"</f>
        <v>ZIPAQUIRA</v>
      </c>
      <c r="BP71" t="str">
        <f>"BOGOTA"</f>
        <v>BOGOTA</v>
      </c>
      <c r="BQ71" t="str">
        <f>"BOGOTA"</f>
        <v>BOGOTA</v>
      </c>
    </row>
    <row r="72" spans="1:69" x14ac:dyDescent="0.25">
      <c r="A72" t="str">
        <f>"7285349"</f>
        <v>7285349</v>
      </c>
      <c r="B72" t="str">
        <f t="shared" si="74"/>
        <v>459</v>
      </c>
      <c r="C72" t="str">
        <f>"23/09/2020 12:00:00 a. m."</f>
        <v>23/09/2020 12:00:00 a. m.</v>
      </c>
      <c r="D72" t="str">
        <f>"37"</f>
        <v>37</v>
      </c>
      <c r="E72" t="str">
        <f t="shared" si="75"/>
        <v>2020</v>
      </c>
      <c r="F72" t="str">
        <f>"0500102104"</f>
        <v>0500102104</v>
      </c>
      <c r="G72" t="str">
        <f>"01"</f>
        <v>01</v>
      </c>
      <c r="H72" t="str">
        <f>"16"</f>
        <v>16</v>
      </c>
      <c r="I72" t="str">
        <f t="shared" si="90"/>
        <v>1</v>
      </c>
      <c r="J72" t="str">
        <f>"F"</f>
        <v>F</v>
      </c>
      <c r="K72" t="str">
        <f t="shared" si="76"/>
        <v>170</v>
      </c>
      <c r="L72" t="str">
        <f>"05"</f>
        <v>05</v>
      </c>
      <c r="M72" t="str">
        <f>"318"</f>
        <v>318</v>
      </c>
      <c r="N72" t="str">
        <f t="shared" si="73"/>
        <v>1</v>
      </c>
      <c r="O72" t="str">
        <f>"9997"</f>
        <v>9997</v>
      </c>
      <c r="P72" t="str">
        <f>"S"</f>
        <v>S</v>
      </c>
      <c r="Q72" t="str">
        <f>"EPSS40"</f>
        <v>EPSS40</v>
      </c>
      <c r="R72" t="str">
        <f t="shared" si="69"/>
        <v>6</v>
      </c>
      <c r="S72" t="str">
        <f>""</f>
        <v/>
      </c>
      <c r="T72" t="str">
        <f t="shared" si="77"/>
        <v xml:space="preserve">                                                                                                    </v>
      </c>
      <c r="U72" t="str">
        <f>"2         "</f>
        <v xml:space="preserve">2         </v>
      </c>
      <c r="V72" t="str">
        <f t="shared" si="65"/>
        <v>2</v>
      </c>
      <c r="W72" t="str">
        <f t="shared" si="65"/>
        <v>2</v>
      </c>
      <c r="X72" t="str">
        <f t="shared" si="78"/>
        <v>2</v>
      </c>
      <c r="Y72" t="str">
        <f t="shared" si="66"/>
        <v>2</v>
      </c>
      <c r="Z72" t="str">
        <f t="shared" si="66"/>
        <v>2</v>
      </c>
      <c r="AA72" t="str">
        <f t="shared" si="79"/>
        <v xml:space="preserve">          </v>
      </c>
      <c r="AB72" t="str">
        <f t="shared" si="67"/>
        <v>2</v>
      </c>
      <c r="AC72" t="str">
        <f t="shared" si="70"/>
        <v>2</v>
      </c>
      <c r="AD72" t="str">
        <f t="shared" si="68"/>
        <v>2</v>
      </c>
      <c r="AE72" t="str">
        <f t="shared" si="68"/>
        <v>2</v>
      </c>
      <c r="AF72" t="str">
        <f t="shared" si="68"/>
        <v>2</v>
      </c>
      <c r="AG72" t="str">
        <f t="shared" si="68"/>
        <v>2</v>
      </c>
      <c r="AH72" t="str">
        <f t="shared" si="80"/>
        <v>1</v>
      </c>
      <c r="AI72" t="str">
        <f>"1         "</f>
        <v xml:space="preserve">1         </v>
      </c>
      <c r="AJ72" t="str">
        <f t="shared" si="81"/>
        <v>170</v>
      </c>
      <c r="AK72" t="str">
        <f>"05"</f>
        <v>05</v>
      </c>
      <c r="AL72" t="str">
        <f>"318"</f>
        <v>318</v>
      </c>
      <c r="AM72" t="str">
        <f>"05"</f>
        <v>05</v>
      </c>
      <c r="AN72" t="str">
        <f>"05001"</f>
        <v>05001</v>
      </c>
      <c r="AO72" t="str">
        <f>"11/09/2020 12:00:00 a. m."</f>
        <v>11/09/2020 12:00:00 a. m.</v>
      </c>
      <c r="AP72" t="str">
        <f>"24/08/2020 12:00:00 a. m."</f>
        <v>24/08/2020 12:00:00 a. m.</v>
      </c>
      <c r="AQ72" t="str">
        <f>"3"</f>
        <v>3</v>
      </c>
      <c r="AR72" t="str">
        <f t="shared" si="71"/>
        <v>1</v>
      </c>
      <c r="AS72" t="str">
        <f>"11/09/2020 12:00:00 a. m."</f>
        <v>11/09/2020 12:00:00 a. m.</v>
      </c>
      <c r="AT72" t="str">
        <f t="shared" si="62"/>
        <v>1</v>
      </c>
      <c r="AU72" t="str">
        <f>""</f>
        <v/>
      </c>
      <c r="AV72" t="str">
        <f>"0"</f>
        <v>0</v>
      </c>
      <c r="AW72" t="str">
        <f>"13/06/2004 12:00:00 a. m."</f>
        <v>13/06/2004 12:00:00 a. m.</v>
      </c>
      <c r="AX72" t="str">
        <f>""</f>
        <v/>
      </c>
      <c r="AY72" t="str">
        <f t="shared" si="82"/>
        <v>30/04/2021 12:00:00 a. m.</v>
      </c>
      <c r="AZ72" t="str">
        <f>"24/09/2020 12:00:00 a. m."</f>
        <v>24/09/2020 12:00:00 a. m.</v>
      </c>
      <c r="BA72" t="str">
        <f>""</f>
        <v/>
      </c>
      <c r="BB72" t="str">
        <f>""</f>
        <v/>
      </c>
      <c r="BC72" t="str">
        <f>""</f>
        <v/>
      </c>
      <c r="BD72" t="str">
        <f t="shared" si="72"/>
        <v>1</v>
      </c>
      <c r="BE72" t="str">
        <f t="shared" si="72"/>
        <v>1</v>
      </c>
      <c r="BF72" t="str">
        <f t="shared" si="83"/>
        <v xml:space="preserve">3         </v>
      </c>
      <c r="BG72" t="str">
        <f t="shared" si="84"/>
        <v>Confirmado por laboratorio</v>
      </c>
      <c r="BH72" t="str">
        <f>"HOSPITAL PABLO TOBON URIBE"</f>
        <v>HOSPITAL PABLO TOBON URIBE</v>
      </c>
      <c r="BI72" t="str">
        <f t="shared" si="85"/>
        <v>COLOMBIA</v>
      </c>
      <c r="BJ72" t="str">
        <f t="shared" si="86"/>
        <v>CANCER INFANTIL</v>
      </c>
      <c r="BK72" t="str">
        <f>"ANTIOQUIA"</f>
        <v>ANTIOQUIA</v>
      </c>
      <c r="BL72" t="str">
        <f>"GUARNE"</f>
        <v>GUARNE</v>
      </c>
      <c r="BM72" t="str">
        <f t="shared" si="87"/>
        <v>COLOMBIA</v>
      </c>
      <c r="BN72" t="str">
        <f>"ANTIOQUIA"</f>
        <v>ANTIOQUIA</v>
      </c>
      <c r="BO72" t="str">
        <f>"GUARNE"</f>
        <v>GUARNE</v>
      </c>
      <c r="BP72" t="str">
        <f>"ANTIOQUIA"</f>
        <v>ANTIOQUIA</v>
      </c>
      <c r="BQ72" t="str">
        <f>"MEDELLIN"</f>
        <v>MEDELLIN</v>
      </c>
    </row>
    <row r="73" spans="1:69" x14ac:dyDescent="0.25">
      <c r="A73" t="str">
        <f>"7285344"</f>
        <v>7285344</v>
      </c>
      <c r="B73" t="str">
        <f t="shared" si="74"/>
        <v>459</v>
      </c>
      <c r="C73" t="str">
        <f>"4/02/2020 12:00:00 a. m."</f>
        <v>4/02/2020 12:00:00 a. m.</v>
      </c>
      <c r="D73" t="str">
        <f>"05"</f>
        <v>05</v>
      </c>
      <c r="E73" t="str">
        <f t="shared" si="75"/>
        <v>2020</v>
      </c>
      <c r="F73" t="str">
        <f>"1100123118"</f>
        <v>1100123118</v>
      </c>
      <c r="G73" t="str">
        <f>"01"</f>
        <v>01</v>
      </c>
      <c r="H73" t="str">
        <f>"12"</f>
        <v>12</v>
      </c>
      <c r="I73" t="str">
        <f t="shared" si="90"/>
        <v>1</v>
      </c>
      <c r="J73" t="str">
        <f>"M"</f>
        <v>M</v>
      </c>
      <c r="K73" t="str">
        <f t="shared" si="76"/>
        <v>170</v>
      </c>
      <c r="L73" t="str">
        <f>"11"</f>
        <v>11</v>
      </c>
      <c r="M73" t="str">
        <f>"001"</f>
        <v>001</v>
      </c>
      <c r="N73" t="str">
        <f t="shared" si="73"/>
        <v>1</v>
      </c>
      <c r="O73" t="str">
        <f>"9999"</f>
        <v>9999</v>
      </c>
      <c r="P73" t="str">
        <f>"P"</f>
        <v>P</v>
      </c>
      <c r="Q73" t="str">
        <f>"RES001"</f>
        <v>RES001</v>
      </c>
      <c r="R73" t="str">
        <f t="shared" si="69"/>
        <v>6</v>
      </c>
      <c r="S73" t="str">
        <f>""</f>
        <v/>
      </c>
      <c r="T73" t="str">
        <f t="shared" si="77"/>
        <v xml:space="preserve">                                                                                                    </v>
      </c>
      <c r="U73" t="str">
        <f>"2         "</f>
        <v xml:space="preserve">2         </v>
      </c>
      <c r="V73" t="str">
        <f t="shared" si="65"/>
        <v>2</v>
      </c>
      <c r="W73" t="str">
        <f t="shared" si="65"/>
        <v>2</v>
      </c>
      <c r="X73" t="str">
        <f t="shared" si="78"/>
        <v>2</v>
      </c>
      <c r="Y73" t="str">
        <f t="shared" si="66"/>
        <v>2</v>
      </c>
      <c r="Z73" t="str">
        <f t="shared" si="66"/>
        <v>2</v>
      </c>
      <c r="AA73" t="str">
        <f t="shared" si="79"/>
        <v xml:space="preserve">          </v>
      </c>
      <c r="AB73" t="str">
        <f t="shared" si="67"/>
        <v>2</v>
      </c>
      <c r="AC73" t="str">
        <f t="shared" si="70"/>
        <v>2</v>
      </c>
      <c r="AD73" t="str">
        <f t="shared" si="68"/>
        <v>2</v>
      </c>
      <c r="AE73" t="str">
        <f t="shared" si="68"/>
        <v>2</v>
      </c>
      <c r="AF73" t="str">
        <f t="shared" si="68"/>
        <v>2</v>
      </c>
      <c r="AG73" t="str">
        <f t="shared" si="68"/>
        <v>2</v>
      </c>
      <c r="AH73" t="str">
        <f t="shared" si="80"/>
        <v>1</v>
      </c>
      <c r="AI73" t="str">
        <f>"1         "</f>
        <v xml:space="preserve">1         </v>
      </c>
      <c r="AJ73" t="str">
        <f t="shared" si="81"/>
        <v>170</v>
      </c>
      <c r="AK73" t="str">
        <f>"11"</f>
        <v>11</v>
      </c>
      <c r="AL73" t="str">
        <f>"001"</f>
        <v>001</v>
      </c>
      <c r="AM73" t="str">
        <f t="shared" ref="AM73:AM80" si="91">"11"</f>
        <v>11</v>
      </c>
      <c r="AN73" t="str">
        <f t="shared" ref="AN73:AN80" si="92">"11001"</f>
        <v>11001</v>
      </c>
      <c r="AO73" t="str">
        <f>"1/02/2020 12:00:00 a. m."</f>
        <v>1/02/2020 12:00:00 a. m.</v>
      </c>
      <c r="AP73" t="str">
        <f>"1/02/2020 12:00:00 a. m."</f>
        <v>1/02/2020 12:00:00 a. m.</v>
      </c>
      <c r="AQ73" t="str">
        <f>"2"</f>
        <v>2</v>
      </c>
      <c r="AR73" t="str">
        <f t="shared" si="71"/>
        <v>1</v>
      </c>
      <c r="AS73" t="str">
        <f>"1/02/2020 12:00:00 a. m."</f>
        <v>1/02/2020 12:00:00 a. m.</v>
      </c>
      <c r="AT73" t="str">
        <f t="shared" si="62"/>
        <v>1</v>
      </c>
      <c r="AU73" t="str">
        <f>""</f>
        <v/>
      </c>
      <c r="AV73" t="str">
        <f>"3"</f>
        <v>3</v>
      </c>
      <c r="AW73" t="str">
        <f>"16/03/2007 12:00:00 a. m."</f>
        <v>16/03/2007 12:00:00 a. m.</v>
      </c>
      <c r="AX73" t="str">
        <f>""</f>
        <v/>
      </c>
      <c r="AY73" t="str">
        <f t="shared" si="82"/>
        <v>30/04/2021 12:00:00 a. m.</v>
      </c>
      <c r="AZ73" t="str">
        <f>"16/04/2020 12:00:00 a. m."</f>
        <v>16/04/2020 12:00:00 a. m.</v>
      </c>
      <c r="BA73" t="str">
        <f>""</f>
        <v/>
      </c>
      <c r="BB73" t="str">
        <f>""</f>
        <v/>
      </c>
      <c r="BC73" t="str">
        <f>""</f>
        <v/>
      </c>
      <c r="BD73" t="str">
        <f t="shared" si="72"/>
        <v>1</v>
      </c>
      <c r="BE73" t="str">
        <f t="shared" si="72"/>
        <v>1</v>
      </c>
      <c r="BF73" t="str">
        <f t="shared" si="83"/>
        <v xml:space="preserve">3         </v>
      </c>
      <c r="BG73" t="str">
        <f t="shared" si="84"/>
        <v>Confirmado por laboratorio</v>
      </c>
      <c r="BH73" t="str">
        <f>"HOSPITAL CENTRAL POLICIA"</f>
        <v>HOSPITAL CENTRAL POLICIA</v>
      </c>
      <c r="BI73" t="str">
        <f t="shared" si="85"/>
        <v>COLOMBIA</v>
      </c>
      <c r="BJ73" t="str">
        <f t="shared" si="86"/>
        <v>CANCER INFANTIL</v>
      </c>
      <c r="BK73" t="str">
        <f t="shared" ref="BK73:BL76" si="93">"BOGOTA"</f>
        <v>BOGOTA</v>
      </c>
      <c r="BL73" t="str">
        <f t="shared" si="93"/>
        <v>BOGOTA</v>
      </c>
      <c r="BM73" t="str">
        <f t="shared" si="87"/>
        <v>COLOMBIA</v>
      </c>
      <c r="BN73" t="str">
        <f t="shared" ref="BN73:BQ76" si="94">"BOGOTA"</f>
        <v>BOGOTA</v>
      </c>
      <c r="BO73" t="str">
        <f t="shared" si="94"/>
        <v>BOGOTA</v>
      </c>
      <c r="BP73" t="str">
        <f t="shared" si="94"/>
        <v>BOGOTA</v>
      </c>
      <c r="BQ73" t="str">
        <f t="shared" si="94"/>
        <v>BOGOTA</v>
      </c>
    </row>
    <row r="74" spans="1:69" x14ac:dyDescent="0.25">
      <c r="A74" t="str">
        <f>"7285316"</f>
        <v>7285316</v>
      </c>
      <c r="B74" t="str">
        <f t="shared" si="74"/>
        <v>459</v>
      </c>
      <c r="C74" t="str">
        <f>"22/09/2020 12:00:00 a. m."</f>
        <v>22/09/2020 12:00:00 a. m.</v>
      </c>
      <c r="D74" t="str">
        <f>"22"</f>
        <v>22</v>
      </c>
      <c r="E74" t="str">
        <f t="shared" si="75"/>
        <v>2020</v>
      </c>
      <c r="F74" t="str">
        <f>"1100116133"</f>
        <v>1100116133</v>
      </c>
      <c r="G74" t="str">
        <f>"01"</f>
        <v>01</v>
      </c>
      <c r="H74" t="str">
        <f>"16"</f>
        <v>16</v>
      </c>
      <c r="I74" t="str">
        <f t="shared" si="90"/>
        <v>1</v>
      </c>
      <c r="J74" t="str">
        <f>"M"</f>
        <v>M</v>
      </c>
      <c r="K74" t="str">
        <f t="shared" si="76"/>
        <v>170</v>
      </c>
      <c r="L74" t="str">
        <f>"11"</f>
        <v>11</v>
      </c>
      <c r="M74" t="str">
        <f>"001"</f>
        <v>001</v>
      </c>
      <c r="N74" t="str">
        <f t="shared" si="73"/>
        <v>1</v>
      </c>
      <c r="O74" t="str">
        <f>"9997"</f>
        <v>9997</v>
      </c>
      <c r="P74" t="str">
        <f>"C"</f>
        <v>C</v>
      </c>
      <c r="Q74" t="str">
        <f>"EPS016"</f>
        <v>EPS016</v>
      </c>
      <c r="R74" t="str">
        <f t="shared" si="69"/>
        <v>6</v>
      </c>
      <c r="S74" t="str">
        <f>""</f>
        <v/>
      </c>
      <c r="T74" t="str">
        <f t="shared" si="77"/>
        <v xml:space="preserve">                                                                                                    </v>
      </c>
      <c r="U74" t="str">
        <f>"2         "</f>
        <v xml:space="preserve">2         </v>
      </c>
      <c r="V74" t="str">
        <f t="shared" si="65"/>
        <v>2</v>
      </c>
      <c r="W74" t="str">
        <f t="shared" si="65"/>
        <v>2</v>
      </c>
      <c r="X74" t="str">
        <f t="shared" si="78"/>
        <v>2</v>
      </c>
      <c r="Y74" t="str">
        <f t="shared" si="66"/>
        <v>2</v>
      </c>
      <c r="Z74" t="str">
        <f t="shared" si="66"/>
        <v>2</v>
      </c>
      <c r="AA74" t="str">
        <f t="shared" si="79"/>
        <v xml:space="preserve">          </v>
      </c>
      <c r="AB74" t="str">
        <f t="shared" si="67"/>
        <v>2</v>
      </c>
      <c r="AC74" t="str">
        <f t="shared" si="70"/>
        <v>2</v>
      </c>
      <c r="AD74" t="str">
        <f t="shared" si="68"/>
        <v>2</v>
      </c>
      <c r="AE74" t="str">
        <f t="shared" si="68"/>
        <v>2</v>
      </c>
      <c r="AF74" t="str">
        <f t="shared" si="68"/>
        <v>2</v>
      </c>
      <c r="AG74" t="str">
        <f t="shared" si="68"/>
        <v>2</v>
      </c>
      <c r="AH74" t="str">
        <f t="shared" si="80"/>
        <v>1</v>
      </c>
      <c r="AI74" t="str">
        <f>"2         "</f>
        <v xml:space="preserve">2         </v>
      </c>
      <c r="AJ74" t="str">
        <f t="shared" si="81"/>
        <v>170</v>
      </c>
      <c r="AK74" t="str">
        <f>"11"</f>
        <v>11</v>
      </c>
      <c r="AL74" t="str">
        <f>"001"</f>
        <v>001</v>
      </c>
      <c r="AM74" t="str">
        <f t="shared" si="91"/>
        <v>11</v>
      </c>
      <c r="AN74" t="str">
        <f t="shared" si="92"/>
        <v>11001</v>
      </c>
      <c r="AO74" t="str">
        <f>"28/05/2020 12:00:00 a. m."</f>
        <v>28/05/2020 12:00:00 a. m.</v>
      </c>
      <c r="AP74" t="str">
        <f>"28/05/2020 12:00:00 a. m."</f>
        <v>28/05/2020 12:00:00 a. m.</v>
      </c>
      <c r="AQ74" t="str">
        <f>"3"</f>
        <v>3</v>
      </c>
      <c r="AR74" t="str">
        <f>"2"</f>
        <v>2</v>
      </c>
      <c r="AS74" t="str">
        <f>""</f>
        <v/>
      </c>
      <c r="AT74" t="str">
        <f t="shared" si="62"/>
        <v>1</v>
      </c>
      <c r="AU74" t="str">
        <f>""</f>
        <v/>
      </c>
      <c r="AV74" t="str">
        <f>"0"</f>
        <v>0</v>
      </c>
      <c r="AW74" t="str">
        <f>"28/04/2004 12:00:00 a. m."</f>
        <v>28/04/2004 12:00:00 a. m.</v>
      </c>
      <c r="AX74" t="str">
        <f>""</f>
        <v/>
      </c>
      <c r="AY74" t="str">
        <f t="shared" si="82"/>
        <v>30/04/2021 12:00:00 a. m.</v>
      </c>
      <c r="AZ74" t="str">
        <f>"22/09/2020 12:00:00 a. m."</f>
        <v>22/09/2020 12:00:00 a. m.</v>
      </c>
      <c r="BA74" t="str">
        <f>""</f>
        <v/>
      </c>
      <c r="BB74" t="str">
        <f>""</f>
        <v/>
      </c>
      <c r="BC74" t="str">
        <f>""</f>
        <v/>
      </c>
      <c r="BD74" t="str">
        <f t="shared" si="72"/>
        <v>1</v>
      </c>
      <c r="BE74" t="str">
        <f t="shared" si="72"/>
        <v>1</v>
      </c>
      <c r="BF74" t="str">
        <f t="shared" si="83"/>
        <v xml:space="preserve">3         </v>
      </c>
      <c r="BG74" t="str">
        <f t="shared" si="84"/>
        <v>Confirmado por laboratorio</v>
      </c>
      <c r="BH74" t="str">
        <f>"FUNDACION HOSPITAL INFANTIL UNIVERSITARIO DE SAN"</f>
        <v>FUNDACION HOSPITAL INFANTIL UNIVERSITARIO DE SAN</v>
      </c>
      <c r="BI74" t="str">
        <f t="shared" si="85"/>
        <v>COLOMBIA</v>
      </c>
      <c r="BJ74" t="str">
        <f t="shared" si="86"/>
        <v>CANCER INFANTIL</v>
      </c>
      <c r="BK74" t="str">
        <f t="shared" si="93"/>
        <v>BOGOTA</v>
      </c>
      <c r="BL74" t="str">
        <f t="shared" si="93"/>
        <v>BOGOTA</v>
      </c>
      <c r="BM74" t="str">
        <f t="shared" si="87"/>
        <v>COLOMBIA</v>
      </c>
      <c r="BN74" t="str">
        <f t="shared" si="94"/>
        <v>BOGOTA</v>
      </c>
      <c r="BO74" t="str">
        <f t="shared" si="94"/>
        <v>BOGOTA</v>
      </c>
      <c r="BP74" t="str">
        <f t="shared" si="94"/>
        <v>BOGOTA</v>
      </c>
      <c r="BQ74" t="str">
        <f t="shared" si="94"/>
        <v>BOGOTA</v>
      </c>
    </row>
    <row r="75" spans="1:69" x14ac:dyDescent="0.25">
      <c r="A75" t="str">
        <f>"7285317"</f>
        <v>7285317</v>
      </c>
      <c r="B75" t="str">
        <f t="shared" si="74"/>
        <v>459</v>
      </c>
      <c r="C75" t="str">
        <f>"3/08/2020 12:00:00 a. m."</f>
        <v>3/08/2020 12:00:00 a. m.</v>
      </c>
      <c r="D75" t="str">
        <f>"31"</f>
        <v>31</v>
      </c>
      <c r="E75" t="str">
        <f t="shared" si="75"/>
        <v>2020</v>
      </c>
      <c r="F75" t="str">
        <f>"1100108171"</f>
        <v>1100108171</v>
      </c>
      <c r="G75" t="str">
        <f>"02"</f>
        <v>02</v>
      </c>
      <c r="H75" t="str">
        <f>"13"</f>
        <v>13</v>
      </c>
      <c r="I75" t="str">
        <f t="shared" si="90"/>
        <v>1</v>
      </c>
      <c r="J75" t="str">
        <f>"M"</f>
        <v>M</v>
      </c>
      <c r="K75" t="str">
        <f t="shared" si="76"/>
        <v>170</v>
      </c>
      <c r="L75" t="str">
        <f>"11"</f>
        <v>11</v>
      </c>
      <c r="M75" t="str">
        <f>"001"</f>
        <v>001</v>
      </c>
      <c r="N75" t="str">
        <f t="shared" si="73"/>
        <v>1</v>
      </c>
      <c r="O75" t="str">
        <f>"9997"</f>
        <v>9997</v>
      </c>
      <c r="P75" t="str">
        <f>"C"</f>
        <v>C</v>
      </c>
      <c r="Q75" t="str">
        <f>"EPS010"</f>
        <v>EPS010</v>
      </c>
      <c r="R75" t="str">
        <f t="shared" si="69"/>
        <v>6</v>
      </c>
      <c r="S75" t="str">
        <f>""</f>
        <v/>
      </c>
      <c r="T75" t="str">
        <f t="shared" si="77"/>
        <v xml:space="preserve">                                                                                                    </v>
      </c>
      <c r="U75" t="str">
        <f>"2         "</f>
        <v xml:space="preserve">2         </v>
      </c>
      <c r="V75" t="str">
        <f t="shared" si="65"/>
        <v>2</v>
      </c>
      <c r="W75" t="str">
        <f t="shared" si="65"/>
        <v>2</v>
      </c>
      <c r="X75" t="str">
        <f t="shared" si="78"/>
        <v>2</v>
      </c>
      <c r="Y75" t="str">
        <f t="shared" si="66"/>
        <v>2</v>
      </c>
      <c r="Z75" t="str">
        <f t="shared" si="66"/>
        <v>2</v>
      </c>
      <c r="AA75" t="str">
        <f t="shared" si="79"/>
        <v xml:space="preserve">          </v>
      </c>
      <c r="AB75" t="str">
        <f t="shared" si="67"/>
        <v>2</v>
      </c>
      <c r="AC75" t="str">
        <f t="shared" si="70"/>
        <v>2</v>
      </c>
      <c r="AD75" t="str">
        <f t="shared" si="68"/>
        <v>2</v>
      </c>
      <c r="AE75" t="str">
        <f t="shared" si="68"/>
        <v>2</v>
      </c>
      <c r="AF75" t="str">
        <f t="shared" si="68"/>
        <v>2</v>
      </c>
      <c r="AG75" t="str">
        <f t="shared" si="68"/>
        <v>2</v>
      </c>
      <c r="AH75" t="str">
        <f t="shared" si="80"/>
        <v>1</v>
      </c>
      <c r="AI75" t="str">
        <f>"1         "</f>
        <v xml:space="preserve">1         </v>
      </c>
      <c r="AJ75" t="str">
        <f t="shared" si="81"/>
        <v>170</v>
      </c>
      <c r="AK75" t="str">
        <f>"11"</f>
        <v>11</v>
      </c>
      <c r="AL75" t="str">
        <f>"001"</f>
        <v>001</v>
      </c>
      <c r="AM75" t="str">
        <f t="shared" si="91"/>
        <v>11</v>
      </c>
      <c r="AN75" t="str">
        <f t="shared" si="92"/>
        <v>11001</v>
      </c>
      <c r="AO75" t="str">
        <f>"30/07/2020 12:00:00 a. m."</f>
        <v>30/07/2020 12:00:00 a. m.</v>
      </c>
      <c r="AP75" t="str">
        <f>"19/01/2019 12:00:00 a. m."</f>
        <v>19/01/2019 12:00:00 a. m.</v>
      </c>
      <c r="AQ75" t="str">
        <f>"2"</f>
        <v>2</v>
      </c>
      <c r="AR75" t="str">
        <f t="shared" ref="AR75:AR89" si="95">"1"</f>
        <v>1</v>
      </c>
      <c r="AS75" t="str">
        <f>"30/07/2020 12:00:00 a. m."</f>
        <v>30/07/2020 12:00:00 a. m.</v>
      </c>
      <c r="AT75" t="str">
        <f t="shared" si="62"/>
        <v>1</v>
      </c>
      <c r="AU75" t="str">
        <f>""</f>
        <v/>
      </c>
      <c r="AV75" t="str">
        <f>"3"</f>
        <v>3</v>
      </c>
      <c r="AW75" t="str">
        <f>"16/04/2007 12:00:00 a. m."</f>
        <v>16/04/2007 12:00:00 a. m.</v>
      </c>
      <c r="AX75" t="str">
        <f>""</f>
        <v/>
      </c>
      <c r="AY75" t="str">
        <f t="shared" si="82"/>
        <v>30/04/2021 12:00:00 a. m.</v>
      </c>
      <c r="AZ75" t="str">
        <f>"18/09/2020 12:00:00 a. m."</f>
        <v>18/09/2020 12:00:00 a. m.</v>
      </c>
      <c r="BA75" t="str">
        <f>""</f>
        <v/>
      </c>
      <c r="BB75" t="str">
        <f>""</f>
        <v/>
      </c>
      <c r="BC75" t="str">
        <f>""</f>
        <v/>
      </c>
      <c r="BD75" t="str">
        <f t="shared" si="72"/>
        <v>1</v>
      </c>
      <c r="BE75" t="str">
        <f t="shared" si="72"/>
        <v>1</v>
      </c>
      <c r="BF75" t="str">
        <f t="shared" si="83"/>
        <v xml:space="preserve">3         </v>
      </c>
      <c r="BG75" t="str">
        <f t="shared" si="84"/>
        <v>Confirmado por laboratorio</v>
      </c>
      <c r="BH75" t="str">
        <f>"CLINICA INFANTIL COLSUBSIDIO"</f>
        <v>CLINICA INFANTIL COLSUBSIDIO</v>
      </c>
      <c r="BI75" t="str">
        <f t="shared" si="85"/>
        <v>COLOMBIA</v>
      </c>
      <c r="BJ75" t="str">
        <f t="shared" si="86"/>
        <v>CANCER INFANTIL</v>
      </c>
      <c r="BK75" t="str">
        <f t="shared" si="93"/>
        <v>BOGOTA</v>
      </c>
      <c r="BL75" t="str">
        <f t="shared" si="93"/>
        <v>BOGOTA</v>
      </c>
      <c r="BM75" t="str">
        <f t="shared" si="87"/>
        <v>COLOMBIA</v>
      </c>
      <c r="BN75" t="str">
        <f t="shared" si="94"/>
        <v>BOGOTA</v>
      </c>
      <c r="BO75" t="str">
        <f t="shared" si="94"/>
        <v>BOGOTA</v>
      </c>
      <c r="BP75" t="str">
        <f t="shared" si="94"/>
        <v>BOGOTA</v>
      </c>
      <c r="BQ75" t="str">
        <f t="shared" si="94"/>
        <v>BOGOTA</v>
      </c>
    </row>
    <row r="76" spans="1:69" x14ac:dyDescent="0.25">
      <c r="A76" t="str">
        <f>"7285341"</f>
        <v>7285341</v>
      </c>
      <c r="B76" t="str">
        <f t="shared" si="74"/>
        <v>459</v>
      </c>
      <c r="C76" t="str">
        <f>"13/02/2020 12:00:00 a. m."</f>
        <v>13/02/2020 12:00:00 a. m.</v>
      </c>
      <c r="D76" t="str">
        <f>"05"</f>
        <v>05</v>
      </c>
      <c r="E76" t="str">
        <f t="shared" si="75"/>
        <v>2020</v>
      </c>
      <c r="F76" t="str">
        <f>"1100108171"</f>
        <v>1100108171</v>
      </c>
      <c r="G76" t="str">
        <f>"02"</f>
        <v>02</v>
      </c>
      <c r="H76" t="str">
        <f>"17"</f>
        <v>17</v>
      </c>
      <c r="I76" t="str">
        <f t="shared" si="90"/>
        <v>1</v>
      </c>
      <c r="J76" t="str">
        <f>"M"</f>
        <v>M</v>
      </c>
      <c r="K76" t="str">
        <f t="shared" si="76"/>
        <v>170</v>
      </c>
      <c r="L76" t="str">
        <f>"11"</f>
        <v>11</v>
      </c>
      <c r="M76" t="str">
        <f>"001"</f>
        <v>001</v>
      </c>
      <c r="N76" t="str">
        <f t="shared" si="73"/>
        <v>1</v>
      </c>
      <c r="O76" t="str">
        <f>"9997"</f>
        <v>9997</v>
      </c>
      <c r="P76" t="str">
        <f>"C"</f>
        <v>C</v>
      </c>
      <c r="Q76" t="str">
        <f>"EPS017"</f>
        <v>EPS017</v>
      </c>
      <c r="R76" t="str">
        <f t="shared" si="69"/>
        <v>6</v>
      </c>
      <c r="S76" t="str">
        <f>""</f>
        <v/>
      </c>
      <c r="T76" t="str">
        <f t="shared" si="77"/>
        <v xml:space="preserve">                                                                                                    </v>
      </c>
      <c r="U76" t="str">
        <f>"1         "</f>
        <v xml:space="preserve">1         </v>
      </c>
      <c r="V76" t="str">
        <f t="shared" si="65"/>
        <v>2</v>
      </c>
      <c r="W76" t="str">
        <f t="shared" si="65"/>
        <v>2</v>
      </c>
      <c r="X76" t="str">
        <f t="shared" si="78"/>
        <v>2</v>
      </c>
      <c r="Y76" t="str">
        <f t="shared" si="66"/>
        <v>2</v>
      </c>
      <c r="Z76" t="str">
        <f t="shared" si="66"/>
        <v>2</v>
      </c>
      <c r="AA76" t="str">
        <f t="shared" si="79"/>
        <v xml:space="preserve">          </v>
      </c>
      <c r="AB76" t="str">
        <f t="shared" si="67"/>
        <v>2</v>
      </c>
      <c r="AC76" t="str">
        <f t="shared" si="70"/>
        <v>2</v>
      </c>
      <c r="AD76" t="str">
        <f t="shared" si="68"/>
        <v>2</v>
      </c>
      <c r="AE76" t="str">
        <f t="shared" si="68"/>
        <v>2</v>
      </c>
      <c r="AF76" t="str">
        <f t="shared" si="68"/>
        <v>2</v>
      </c>
      <c r="AG76" t="str">
        <f t="shared" si="68"/>
        <v>2</v>
      </c>
      <c r="AH76" t="str">
        <f t="shared" si="80"/>
        <v>1</v>
      </c>
      <c r="AI76" t="str">
        <f>"1         "</f>
        <v xml:space="preserve">1         </v>
      </c>
      <c r="AJ76" t="str">
        <f t="shared" si="81"/>
        <v>170</v>
      </c>
      <c r="AK76" t="str">
        <f>"11"</f>
        <v>11</v>
      </c>
      <c r="AL76" t="str">
        <f>"001"</f>
        <v>001</v>
      </c>
      <c r="AM76" t="str">
        <f t="shared" si="91"/>
        <v>11</v>
      </c>
      <c r="AN76" t="str">
        <f t="shared" si="92"/>
        <v>11001</v>
      </c>
      <c r="AO76" t="str">
        <f>"30/01/2020 12:00:00 a. m."</f>
        <v>30/01/2020 12:00:00 a. m.</v>
      </c>
      <c r="AP76" t="str">
        <f>"27/01/2020 12:00:00 a. m."</f>
        <v>27/01/2020 12:00:00 a. m.</v>
      </c>
      <c r="AQ76" t="str">
        <f>"2"</f>
        <v>2</v>
      </c>
      <c r="AR76" t="str">
        <f t="shared" si="95"/>
        <v>1</v>
      </c>
      <c r="AS76" t="str">
        <f>"30/01/2020 12:00:00 a. m."</f>
        <v>30/01/2020 12:00:00 a. m.</v>
      </c>
      <c r="AT76" t="str">
        <f>"2"</f>
        <v>2</v>
      </c>
      <c r="AU76" t="str">
        <f>"3/09/2020 12:00:00 a. m."</f>
        <v>3/09/2020 12:00:00 a. m.</v>
      </c>
      <c r="AV76" t="str">
        <f>"3"</f>
        <v>3</v>
      </c>
      <c r="AW76" t="str">
        <f>"6/04/2002 12:00:00 a. m."</f>
        <v>6/04/2002 12:00:00 a. m.</v>
      </c>
      <c r="AX76" t="str">
        <f>"C923"</f>
        <v>C923</v>
      </c>
      <c r="AY76" t="str">
        <f t="shared" si="82"/>
        <v>30/04/2021 12:00:00 a. m.</v>
      </c>
      <c r="AZ76" t="str">
        <f>"11/03/2020 12:00:00 a. m."</f>
        <v>11/03/2020 12:00:00 a. m.</v>
      </c>
      <c r="BA76" t="str">
        <f>""</f>
        <v/>
      </c>
      <c r="BB76" t="str">
        <f>""</f>
        <v/>
      </c>
      <c r="BC76" t="str">
        <f>""</f>
        <v/>
      </c>
      <c r="BD76" t="str">
        <f t="shared" si="72"/>
        <v>1</v>
      </c>
      <c r="BE76" t="str">
        <f t="shared" si="72"/>
        <v>1</v>
      </c>
      <c r="BF76" t="str">
        <f t="shared" si="83"/>
        <v xml:space="preserve">3         </v>
      </c>
      <c r="BG76" t="str">
        <f t="shared" si="84"/>
        <v>Confirmado por laboratorio</v>
      </c>
      <c r="BH76" t="str">
        <f>"CLINICA INFANTIL COLSUBSIDIO"</f>
        <v>CLINICA INFANTIL COLSUBSIDIO</v>
      </c>
      <c r="BI76" t="str">
        <f t="shared" si="85"/>
        <v>COLOMBIA</v>
      </c>
      <c r="BJ76" t="str">
        <f t="shared" si="86"/>
        <v>CANCER INFANTIL</v>
      </c>
      <c r="BK76" t="str">
        <f t="shared" si="93"/>
        <v>BOGOTA</v>
      </c>
      <c r="BL76" t="str">
        <f t="shared" si="93"/>
        <v>BOGOTA</v>
      </c>
      <c r="BM76" t="str">
        <f t="shared" si="87"/>
        <v>COLOMBIA</v>
      </c>
      <c r="BN76" t="str">
        <f t="shared" si="94"/>
        <v>BOGOTA</v>
      </c>
      <c r="BO76" t="str">
        <f t="shared" si="94"/>
        <v>BOGOTA</v>
      </c>
      <c r="BP76" t="str">
        <f t="shared" si="94"/>
        <v>BOGOTA</v>
      </c>
      <c r="BQ76" t="str">
        <f t="shared" si="94"/>
        <v>BOGOTA</v>
      </c>
    </row>
    <row r="77" spans="1:69" x14ac:dyDescent="0.25">
      <c r="A77" t="str">
        <f>"7285897"</f>
        <v>7285897</v>
      </c>
      <c r="B77" t="str">
        <f t="shared" si="74"/>
        <v>459</v>
      </c>
      <c r="C77" t="str">
        <f>"27/01/2021 12:00:00 a. m."</f>
        <v>27/01/2021 12:00:00 a. m.</v>
      </c>
      <c r="D77" t="str">
        <f>"49"</f>
        <v>49</v>
      </c>
      <c r="E77" t="str">
        <f t="shared" si="75"/>
        <v>2020</v>
      </c>
      <c r="F77" t="str">
        <f>"1100105681"</f>
        <v>1100105681</v>
      </c>
      <c r="G77" t="str">
        <f>"01"</f>
        <v>01</v>
      </c>
      <c r="H77" t="str">
        <f>"12"</f>
        <v>12</v>
      </c>
      <c r="I77" t="str">
        <f t="shared" si="90"/>
        <v>1</v>
      </c>
      <c r="J77" t="str">
        <f>"F"</f>
        <v>F</v>
      </c>
      <c r="K77" t="str">
        <f t="shared" si="76"/>
        <v>170</v>
      </c>
      <c r="L77" t="str">
        <f>"15"</f>
        <v>15</v>
      </c>
      <c r="M77" t="str">
        <f>"632"</f>
        <v>632</v>
      </c>
      <c r="N77" t="str">
        <f t="shared" si="73"/>
        <v>1</v>
      </c>
      <c r="O77" t="str">
        <f>"9997"</f>
        <v>9997</v>
      </c>
      <c r="P77" t="str">
        <f>"S"</f>
        <v>S</v>
      </c>
      <c r="Q77" t="str">
        <f>"ESS133"</f>
        <v>ESS133</v>
      </c>
      <c r="R77" t="str">
        <f t="shared" si="69"/>
        <v>6</v>
      </c>
      <c r="S77" t="str">
        <f>""</f>
        <v/>
      </c>
      <c r="T77" t="str">
        <f t="shared" si="77"/>
        <v xml:space="preserve">                                                                                                    </v>
      </c>
      <c r="U77" t="str">
        <f>"2         "</f>
        <v xml:space="preserve">2         </v>
      </c>
      <c r="V77" t="str">
        <f t="shared" si="65"/>
        <v>2</v>
      </c>
      <c r="W77" t="str">
        <f t="shared" si="65"/>
        <v>2</v>
      </c>
      <c r="X77" t="str">
        <f t="shared" si="78"/>
        <v>2</v>
      </c>
      <c r="Y77" t="str">
        <f t="shared" si="66"/>
        <v>2</v>
      </c>
      <c r="Z77" t="str">
        <f t="shared" si="66"/>
        <v>2</v>
      </c>
      <c r="AA77" t="str">
        <f t="shared" si="79"/>
        <v xml:space="preserve">          </v>
      </c>
      <c r="AB77" t="str">
        <f t="shared" si="67"/>
        <v>2</v>
      </c>
      <c r="AC77" t="str">
        <f t="shared" si="70"/>
        <v>2</v>
      </c>
      <c r="AD77" t="str">
        <f t="shared" si="68"/>
        <v>2</v>
      </c>
      <c r="AE77" t="str">
        <f t="shared" si="68"/>
        <v>2</v>
      </c>
      <c r="AF77" t="str">
        <f t="shared" si="68"/>
        <v>2</v>
      </c>
      <c r="AG77" t="str">
        <f t="shared" si="68"/>
        <v>2</v>
      </c>
      <c r="AH77" t="str">
        <f t="shared" si="80"/>
        <v>1</v>
      </c>
      <c r="AI77" t="str">
        <f>"2         "</f>
        <v xml:space="preserve">2         </v>
      </c>
      <c r="AJ77" t="str">
        <f t="shared" si="81"/>
        <v>170</v>
      </c>
      <c r="AK77" t="str">
        <f>"15"</f>
        <v>15</v>
      </c>
      <c r="AL77" t="str">
        <f>"632"</f>
        <v>632</v>
      </c>
      <c r="AM77" t="str">
        <f t="shared" si="91"/>
        <v>11</v>
      </c>
      <c r="AN77" t="str">
        <f t="shared" si="92"/>
        <v>11001</v>
      </c>
      <c r="AO77" t="str">
        <f>"30/11/2020 12:00:00 a. m."</f>
        <v>30/11/2020 12:00:00 a. m.</v>
      </c>
      <c r="AP77" t="str">
        <f>"1/09/2020 12:00:00 a. m."</f>
        <v>1/09/2020 12:00:00 a. m.</v>
      </c>
      <c r="AQ77" t="str">
        <f>"3"</f>
        <v>3</v>
      </c>
      <c r="AR77" t="str">
        <f t="shared" si="95"/>
        <v>1</v>
      </c>
      <c r="AS77" t="str">
        <f>"30/11/2020 12:00:00 a. m."</f>
        <v>30/11/2020 12:00:00 a. m.</v>
      </c>
      <c r="AT77" t="str">
        <f>"1"</f>
        <v>1</v>
      </c>
      <c r="AU77" t="str">
        <f>""</f>
        <v/>
      </c>
      <c r="AV77" t="str">
        <f>"0"</f>
        <v>0</v>
      </c>
      <c r="AW77" t="str">
        <f>"18/03/2008 12:00:00 a. m."</f>
        <v>18/03/2008 12:00:00 a. m.</v>
      </c>
      <c r="AX77" t="str">
        <f>""</f>
        <v/>
      </c>
      <c r="AY77" t="str">
        <f t="shared" si="82"/>
        <v>30/04/2021 12:00:00 a. m.</v>
      </c>
      <c r="AZ77" t="str">
        <f>"27/01/2021 12:00:00 a. m."</f>
        <v>27/01/2021 12:00:00 a. m.</v>
      </c>
      <c r="BA77" t="str">
        <f>""</f>
        <v/>
      </c>
      <c r="BB77" t="str">
        <f>""</f>
        <v/>
      </c>
      <c r="BC77" t="str">
        <f>""</f>
        <v/>
      </c>
      <c r="BD77" t="str">
        <f t="shared" si="72"/>
        <v>1</v>
      </c>
      <c r="BE77" t="str">
        <f t="shared" si="72"/>
        <v>1</v>
      </c>
      <c r="BF77" t="str">
        <f t="shared" si="83"/>
        <v xml:space="preserve">3         </v>
      </c>
      <c r="BG77" t="str">
        <f t="shared" si="84"/>
        <v>Confirmado por laboratorio</v>
      </c>
      <c r="BH77" t="str">
        <f>"FUNDACION HOSPITAL DE LA MISERICORDIA"</f>
        <v>FUNDACION HOSPITAL DE LA MISERICORDIA</v>
      </c>
      <c r="BI77" t="str">
        <f t="shared" si="85"/>
        <v>COLOMBIA</v>
      </c>
      <c r="BJ77" t="str">
        <f t="shared" si="86"/>
        <v>CANCER INFANTIL</v>
      </c>
      <c r="BK77" t="str">
        <f>"BOYACA"</f>
        <v>BOYACA</v>
      </c>
      <c r="BL77" t="str">
        <f>"SABOYA"</f>
        <v>SABOYA</v>
      </c>
      <c r="BM77" t="str">
        <f t="shared" si="87"/>
        <v>COLOMBIA</v>
      </c>
      <c r="BN77" t="str">
        <f>"BOYACA"</f>
        <v>BOYACA</v>
      </c>
      <c r="BO77" t="str">
        <f>"SABOYA"</f>
        <v>SABOYA</v>
      </c>
      <c r="BP77" t="str">
        <f t="shared" ref="BP77:BQ80" si="96">"BOGOTA"</f>
        <v>BOGOTA</v>
      </c>
      <c r="BQ77" t="str">
        <f t="shared" si="96"/>
        <v>BOGOTA</v>
      </c>
    </row>
    <row r="78" spans="1:69" x14ac:dyDescent="0.25">
      <c r="A78" t="str">
        <f>"7285901"</f>
        <v>7285901</v>
      </c>
      <c r="B78" t="str">
        <f t="shared" si="74"/>
        <v>459</v>
      </c>
      <c r="C78" t="str">
        <f>"21/05/2020 12:00:00 a. m."</f>
        <v>21/05/2020 12:00:00 a. m.</v>
      </c>
      <c r="D78" t="str">
        <f>"20"</f>
        <v>20</v>
      </c>
      <c r="E78" t="str">
        <f t="shared" si="75"/>
        <v>2020</v>
      </c>
      <c r="F78" t="str">
        <f>"1100105681"</f>
        <v>1100105681</v>
      </c>
      <c r="G78" t="str">
        <f>"01"</f>
        <v>01</v>
      </c>
      <c r="H78" t="str">
        <f>"13"</f>
        <v>13</v>
      </c>
      <c r="I78" t="str">
        <f t="shared" si="90"/>
        <v>1</v>
      </c>
      <c r="J78" t="str">
        <f>"M"</f>
        <v>M</v>
      </c>
      <c r="K78" t="str">
        <f t="shared" si="76"/>
        <v>170</v>
      </c>
      <c r="L78" t="str">
        <f>"15"</f>
        <v>15</v>
      </c>
      <c r="M78" t="str">
        <f>"491"</f>
        <v>491</v>
      </c>
      <c r="N78" t="str">
        <f t="shared" si="73"/>
        <v>1</v>
      </c>
      <c r="O78" t="str">
        <f>"9997"</f>
        <v>9997</v>
      </c>
      <c r="P78" t="str">
        <f>"C"</f>
        <v>C</v>
      </c>
      <c r="Q78" t="str">
        <f>"EPS037"</f>
        <v>EPS037</v>
      </c>
      <c r="R78" t="str">
        <f t="shared" si="69"/>
        <v>6</v>
      </c>
      <c r="S78" t="str">
        <f>""</f>
        <v/>
      </c>
      <c r="T78" t="str">
        <f t="shared" si="77"/>
        <v xml:space="preserve">                                                                                                    </v>
      </c>
      <c r="U78" t="str">
        <f>"2         "</f>
        <v xml:space="preserve">2         </v>
      </c>
      <c r="V78" t="str">
        <f t="shared" si="65"/>
        <v>2</v>
      </c>
      <c r="W78" t="str">
        <f t="shared" si="65"/>
        <v>2</v>
      </c>
      <c r="X78" t="str">
        <f t="shared" si="78"/>
        <v>2</v>
      </c>
      <c r="Y78" t="str">
        <f t="shared" si="66"/>
        <v>2</v>
      </c>
      <c r="Z78" t="str">
        <f t="shared" si="66"/>
        <v>2</v>
      </c>
      <c r="AA78" t="str">
        <f t="shared" si="79"/>
        <v xml:space="preserve">          </v>
      </c>
      <c r="AB78" t="str">
        <f t="shared" si="67"/>
        <v>2</v>
      </c>
      <c r="AC78" t="str">
        <f t="shared" si="70"/>
        <v>2</v>
      </c>
      <c r="AD78" t="str">
        <f t="shared" si="68"/>
        <v>2</v>
      </c>
      <c r="AE78" t="str">
        <f t="shared" si="68"/>
        <v>2</v>
      </c>
      <c r="AF78" t="str">
        <f t="shared" si="68"/>
        <v>2</v>
      </c>
      <c r="AG78" t="str">
        <f t="shared" si="68"/>
        <v>2</v>
      </c>
      <c r="AH78" t="str">
        <f t="shared" si="80"/>
        <v>1</v>
      </c>
      <c r="AI78" t="str">
        <f>"2         "</f>
        <v xml:space="preserve">2         </v>
      </c>
      <c r="AJ78" t="str">
        <f t="shared" si="81"/>
        <v>170</v>
      </c>
      <c r="AK78" t="str">
        <f>"15"</f>
        <v>15</v>
      </c>
      <c r="AL78" t="str">
        <f>"491"</f>
        <v>491</v>
      </c>
      <c r="AM78" t="str">
        <f t="shared" si="91"/>
        <v>11</v>
      </c>
      <c r="AN78" t="str">
        <f t="shared" si="92"/>
        <v>11001</v>
      </c>
      <c r="AO78" t="str">
        <f>"13/05/2020 12:00:00 a. m."</f>
        <v>13/05/2020 12:00:00 a. m.</v>
      </c>
      <c r="AP78" t="str">
        <f>"12/05/2020 12:00:00 a. m."</f>
        <v>12/05/2020 12:00:00 a. m.</v>
      </c>
      <c r="AQ78" t="str">
        <f>"3"</f>
        <v>3</v>
      </c>
      <c r="AR78" t="str">
        <f t="shared" si="95"/>
        <v>1</v>
      </c>
      <c r="AS78" t="str">
        <f>"13/05/2020 12:00:00 a. m."</f>
        <v>13/05/2020 12:00:00 a. m.</v>
      </c>
      <c r="AT78" t="str">
        <f>"1"</f>
        <v>1</v>
      </c>
      <c r="AU78" t="str">
        <f>""</f>
        <v/>
      </c>
      <c r="AV78" t="str">
        <f>"0"</f>
        <v>0</v>
      </c>
      <c r="AW78" t="str">
        <f>"17/04/2007 12:00:00 a. m."</f>
        <v>17/04/2007 12:00:00 a. m.</v>
      </c>
      <c r="AX78" t="str">
        <f>""</f>
        <v/>
      </c>
      <c r="AY78" t="str">
        <f t="shared" si="82"/>
        <v>30/04/2021 12:00:00 a. m.</v>
      </c>
      <c r="AZ78" t="str">
        <f>"11/08/2020 12:00:00 a. m."</f>
        <v>11/08/2020 12:00:00 a. m.</v>
      </c>
      <c r="BA78" t="str">
        <f>""</f>
        <v/>
      </c>
      <c r="BB78" t="str">
        <f>""</f>
        <v/>
      </c>
      <c r="BC78" t="str">
        <f>""</f>
        <v/>
      </c>
      <c r="BD78" t="str">
        <f t="shared" si="72"/>
        <v>1</v>
      </c>
      <c r="BE78" t="str">
        <f t="shared" si="72"/>
        <v>1</v>
      </c>
      <c r="BF78" t="str">
        <f t="shared" si="83"/>
        <v xml:space="preserve">3         </v>
      </c>
      <c r="BG78" t="str">
        <f t="shared" si="84"/>
        <v>Confirmado por laboratorio</v>
      </c>
      <c r="BH78" t="str">
        <f>"FUNDACION HOSPITAL DE LA MISERICORDIA"</f>
        <v>FUNDACION HOSPITAL DE LA MISERICORDIA</v>
      </c>
      <c r="BI78" t="str">
        <f t="shared" si="85"/>
        <v>COLOMBIA</v>
      </c>
      <c r="BJ78" t="str">
        <f t="shared" si="86"/>
        <v>CANCER INFANTIL</v>
      </c>
      <c r="BK78" t="str">
        <f>"BOYACA"</f>
        <v>BOYACA</v>
      </c>
      <c r="BL78" t="str">
        <f>"NOBSA"</f>
        <v>NOBSA</v>
      </c>
      <c r="BM78" t="str">
        <f t="shared" si="87"/>
        <v>COLOMBIA</v>
      </c>
      <c r="BN78" t="str">
        <f>"BOYACA"</f>
        <v>BOYACA</v>
      </c>
      <c r="BO78" t="str">
        <f>"NOBSA"</f>
        <v>NOBSA</v>
      </c>
      <c r="BP78" t="str">
        <f t="shared" si="96"/>
        <v>BOGOTA</v>
      </c>
      <c r="BQ78" t="str">
        <f t="shared" si="96"/>
        <v>BOGOTA</v>
      </c>
    </row>
    <row r="79" spans="1:69" x14ac:dyDescent="0.25">
      <c r="A79" t="str">
        <f>"7285771"</f>
        <v>7285771</v>
      </c>
      <c r="B79" t="str">
        <f t="shared" si="74"/>
        <v>459</v>
      </c>
      <c r="C79" t="str">
        <f>"18/09/2020 12:00:00 a. m."</f>
        <v>18/09/2020 12:00:00 a. m.</v>
      </c>
      <c r="D79" t="str">
        <f>"24"</f>
        <v>24</v>
      </c>
      <c r="E79" t="str">
        <f t="shared" si="75"/>
        <v>2020</v>
      </c>
      <c r="F79" t="str">
        <f>"1100105681"</f>
        <v>1100105681</v>
      </c>
      <c r="G79" t="str">
        <f>"01"</f>
        <v>01</v>
      </c>
      <c r="H79" t="str">
        <f>"5"</f>
        <v>5</v>
      </c>
      <c r="I79" t="str">
        <f t="shared" si="90"/>
        <v>1</v>
      </c>
      <c r="J79" t="str">
        <f>"M"</f>
        <v>M</v>
      </c>
      <c r="K79" t="str">
        <f t="shared" si="76"/>
        <v>170</v>
      </c>
      <c r="L79" t="str">
        <f>"11"</f>
        <v>11</v>
      </c>
      <c r="M79" t="str">
        <f>"001"</f>
        <v>001</v>
      </c>
      <c r="N79" t="str">
        <f t="shared" si="73"/>
        <v>1</v>
      </c>
      <c r="O79" t="str">
        <f>"9999"</f>
        <v>9999</v>
      </c>
      <c r="P79" t="str">
        <f>"S"</f>
        <v>S</v>
      </c>
      <c r="Q79" t="str">
        <f>"EPSS34"</f>
        <v>EPSS34</v>
      </c>
      <c r="R79" t="str">
        <f t="shared" si="69"/>
        <v>6</v>
      </c>
      <c r="S79" t="str">
        <f>""</f>
        <v/>
      </c>
      <c r="T79" t="str">
        <f t="shared" si="77"/>
        <v xml:space="preserve">                                                                                                    </v>
      </c>
      <c r="U79" t="str">
        <f>"2         "</f>
        <v xml:space="preserve">2         </v>
      </c>
      <c r="V79" t="str">
        <f t="shared" ref="V79:W98" si="97">"2"</f>
        <v>2</v>
      </c>
      <c r="W79" t="str">
        <f t="shared" si="97"/>
        <v>2</v>
      </c>
      <c r="X79" t="str">
        <f>"1"</f>
        <v>1</v>
      </c>
      <c r="Y79" t="str">
        <f t="shared" ref="Y79:Z98" si="98">"2"</f>
        <v>2</v>
      </c>
      <c r="Z79" t="str">
        <f t="shared" si="98"/>
        <v>2</v>
      </c>
      <c r="AA79" t="str">
        <f t="shared" si="79"/>
        <v xml:space="preserve">          </v>
      </c>
      <c r="AB79" t="str">
        <f t="shared" si="67"/>
        <v>2</v>
      </c>
      <c r="AC79" t="str">
        <f t="shared" si="70"/>
        <v>2</v>
      </c>
      <c r="AD79" t="str">
        <f t="shared" si="68"/>
        <v>2</v>
      </c>
      <c r="AE79" t="str">
        <f t="shared" si="68"/>
        <v>2</v>
      </c>
      <c r="AF79" t="str">
        <f t="shared" si="68"/>
        <v>2</v>
      </c>
      <c r="AG79" t="str">
        <f t="shared" si="68"/>
        <v>2</v>
      </c>
      <c r="AH79" t="str">
        <f>"2"</f>
        <v>2</v>
      </c>
      <c r="AI79" t="str">
        <f>"1         "</f>
        <v xml:space="preserve">1         </v>
      </c>
      <c r="AJ79" t="str">
        <f t="shared" si="81"/>
        <v>170</v>
      </c>
      <c r="AK79" t="str">
        <f>"11"</f>
        <v>11</v>
      </c>
      <c r="AL79" t="str">
        <f>"001"</f>
        <v>001</v>
      </c>
      <c r="AM79" t="str">
        <f t="shared" si="91"/>
        <v>11</v>
      </c>
      <c r="AN79" t="str">
        <f t="shared" si="92"/>
        <v>11001</v>
      </c>
      <c r="AO79" t="str">
        <f>"11/06/2020 12:00:00 a. m."</f>
        <v>11/06/2020 12:00:00 a. m.</v>
      </c>
      <c r="AP79" t="str">
        <f>"8/06/2020 12:00:00 a. m."</f>
        <v>8/06/2020 12:00:00 a. m.</v>
      </c>
      <c r="AQ79" t="str">
        <f>"3"</f>
        <v>3</v>
      </c>
      <c r="AR79" t="str">
        <f t="shared" si="95"/>
        <v>1</v>
      </c>
      <c r="AS79" t="str">
        <f>"11/06/2020 12:00:00 a. m."</f>
        <v>11/06/2020 12:00:00 a. m.</v>
      </c>
      <c r="AT79" t="str">
        <f>"1"</f>
        <v>1</v>
      </c>
      <c r="AU79" t="str">
        <f>""</f>
        <v/>
      </c>
      <c r="AV79" t="str">
        <f>"0"</f>
        <v>0</v>
      </c>
      <c r="AW79" t="str">
        <f>"2/07/2015 12:00:00 a. m."</f>
        <v>2/07/2015 12:00:00 a. m.</v>
      </c>
      <c r="AX79" t="str">
        <f>""</f>
        <v/>
      </c>
      <c r="AY79" t="str">
        <f t="shared" si="82"/>
        <v>30/04/2021 12:00:00 a. m.</v>
      </c>
      <c r="AZ79" t="str">
        <f>"27/09/2020 12:00:00 a. m."</f>
        <v>27/09/2020 12:00:00 a. m.</v>
      </c>
      <c r="BA79" t="str">
        <f>""</f>
        <v/>
      </c>
      <c r="BB79" t="str">
        <f>""</f>
        <v/>
      </c>
      <c r="BC79" t="str">
        <f>""</f>
        <v/>
      </c>
      <c r="BD79" t="str">
        <f t="shared" si="72"/>
        <v>1</v>
      </c>
      <c r="BE79" t="str">
        <f t="shared" si="72"/>
        <v>1</v>
      </c>
      <c r="BF79" t="str">
        <f t="shared" si="83"/>
        <v xml:space="preserve">3         </v>
      </c>
      <c r="BG79" t="str">
        <f t="shared" si="84"/>
        <v>Confirmado por laboratorio</v>
      </c>
      <c r="BH79" t="str">
        <f>"FUNDACION HOSPITAL DE LA MISERICORDIA"</f>
        <v>FUNDACION HOSPITAL DE LA MISERICORDIA</v>
      </c>
      <c r="BI79" t="str">
        <f t="shared" si="85"/>
        <v>COLOMBIA</v>
      </c>
      <c r="BJ79" t="str">
        <f t="shared" si="86"/>
        <v>CANCER INFANTIL</v>
      </c>
      <c r="BK79" t="str">
        <f>"BOGOTA"</f>
        <v>BOGOTA</v>
      </c>
      <c r="BL79" t="str">
        <f>"BOGOTA"</f>
        <v>BOGOTA</v>
      </c>
      <c r="BM79" t="str">
        <f t="shared" si="87"/>
        <v>COLOMBIA</v>
      </c>
      <c r="BN79" t="str">
        <f>"BOGOTA"</f>
        <v>BOGOTA</v>
      </c>
      <c r="BO79" t="str">
        <f>"BOGOTA"</f>
        <v>BOGOTA</v>
      </c>
      <c r="BP79" t="str">
        <f t="shared" si="96"/>
        <v>BOGOTA</v>
      </c>
      <c r="BQ79" t="str">
        <f t="shared" si="96"/>
        <v>BOGOTA</v>
      </c>
    </row>
    <row r="80" spans="1:69" x14ac:dyDescent="0.25">
      <c r="A80" t="str">
        <f>"7285923"</f>
        <v>7285923</v>
      </c>
      <c r="B80" t="str">
        <f t="shared" si="74"/>
        <v>459</v>
      </c>
      <c r="C80" t="str">
        <f>"21/08/2020 12:00:00 a. m."</f>
        <v>21/08/2020 12:00:00 a. m.</v>
      </c>
      <c r="D80" t="str">
        <f>"34"</f>
        <v>34</v>
      </c>
      <c r="E80" t="str">
        <f t="shared" si="75"/>
        <v>2020</v>
      </c>
      <c r="F80" t="str">
        <f>"1100109186"</f>
        <v>1100109186</v>
      </c>
      <c r="G80" t="str">
        <f>"68"</f>
        <v>68</v>
      </c>
      <c r="H80" t="str">
        <f>"5"</f>
        <v>5</v>
      </c>
      <c r="I80" t="str">
        <f t="shared" si="90"/>
        <v>1</v>
      </c>
      <c r="J80" t="str">
        <f>"F"</f>
        <v>F</v>
      </c>
      <c r="K80" t="str">
        <f t="shared" si="76"/>
        <v>170</v>
      </c>
      <c r="L80" t="str">
        <f>"15"</f>
        <v>15</v>
      </c>
      <c r="M80" t="str">
        <f>"690"</f>
        <v>690</v>
      </c>
      <c r="N80" t="str">
        <f t="shared" si="73"/>
        <v>1</v>
      </c>
      <c r="O80" t="str">
        <f>"9999"</f>
        <v>9999</v>
      </c>
      <c r="P80" t="str">
        <f>"C"</f>
        <v>C</v>
      </c>
      <c r="Q80" t="str">
        <f>"EPS005"</f>
        <v>EPS005</v>
      </c>
      <c r="R80" t="str">
        <f t="shared" si="69"/>
        <v>6</v>
      </c>
      <c r="S80" t="str">
        <f>""</f>
        <v/>
      </c>
      <c r="T80" t="str">
        <f t="shared" si="77"/>
        <v xml:space="preserve">                                                                                                    </v>
      </c>
      <c r="U80" t="str">
        <f>"1         "</f>
        <v xml:space="preserve">1         </v>
      </c>
      <c r="V80" t="str">
        <f t="shared" si="97"/>
        <v>2</v>
      </c>
      <c r="W80" t="str">
        <f t="shared" si="97"/>
        <v>2</v>
      </c>
      <c r="X80" t="str">
        <f t="shared" ref="X80:X100" si="99">"2"</f>
        <v>2</v>
      </c>
      <c r="Y80" t="str">
        <f t="shared" si="98"/>
        <v>2</v>
      </c>
      <c r="Z80" t="str">
        <f t="shared" si="98"/>
        <v>2</v>
      </c>
      <c r="AA80" t="str">
        <f t="shared" si="79"/>
        <v xml:space="preserve">          </v>
      </c>
      <c r="AB80" t="str">
        <f t="shared" si="67"/>
        <v>2</v>
      </c>
      <c r="AC80" t="str">
        <f t="shared" si="70"/>
        <v>2</v>
      </c>
      <c r="AD80" t="str">
        <f t="shared" ref="AD80:AG99" si="100">"2"</f>
        <v>2</v>
      </c>
      <c r="AE80" t="str">
        <f t="shared" si="100"/>
        <v>2</v>
      </c>
      <c r="AF80" t="str">
        <f t="shared" si="100"/>
        <v>2</v>
      </c>
      <c r="AG80" t="str">
        <f t="shared" si="100"/>
        <v>2</v>
      </c>
      <c r="AH80" t="str">
        <f t="shared" ref="AH80:AH100" si="101">"1"</f>
        <v>1</v>
      </c>
      <c r="AI80" t="str">
        <f>"1         "</f>
        <v xml:space="preserve">1         </v>
      </c>
      <c r="AJ80" t="str">
        <f t="shared" si="81"/>
        <v>170</v>
      </c>
      <c r="AK80" t="str">
        <f>"15"</f>
        <v>15</v>
      </c>
      <c r="AL80" t="str">
        <f>"690"</f>
        <v>690</v>
      </c>
      <c r="AM80" t="str">
        <f t="shared" si="91"/>
        <v>11</v>
      </c>
      <c r="AN80" t="str">
        <f t="shared" si="92"/>
        <v>11001</v>
      </c>
      <c r="AO80" t="str">
        <f>"21/08/2020 12:00:00 a. m."</f>
        <v>21/08/2020 12:00:00 a. m.</v>
      </c>
      <c r="AP80" t="str">
        <f>"14/08/2020 12:00:00 a. m."</f>
        <v>14/08/2020 12:00:00 a. m.</v>
      </c>
      <c r="AQ80" t="str">
        <f>"2"</f>
        <v>2</v>
      </c>
      <c r="AR80" t="str">
        <f t="shared" si="95"/>
        <v>1</v>
      </c>
      <c r="AS80" t="str">
        <f>"21/08/2020 12:00:00 a. m."</f>
        <v>21/08/2020 12:00:00 a. m.</v>
      </c>
      <c r="AT80" t="str">
        <f>"1"</f>
        <v>1</v>
      </c>
      <c r="AU80" t="str">
        <f>""</f>
        <v/>
      </c>
      <c r="AV80" t="str">
        <f>"3"</f>
        <v>3</v>
      </c>
      <c r="AW80" t="str">
        <f>"4/10/2014 12:00:00 a. m."</f>
        <v>4/10/2014 12:00:00 a. m.</v>
      </c>
      <c r="AX80" t="str">
        <f>""</f>
        <v/>
      </c>
      <c r="AY80" t="str">
        <f t="shared" si="82"/>
        <v>30/04/2021 12:00:00 a. m.</v>
      </c>
      <c r="AZ80" t="str">
        <f>"22/09/2020 12:00:00 a. m."</f>
        <v>22/09/2020 12:00:00 a. m.</v>
      </c>
      <c r="BA80" t="str">
        <f>""</f>
        <v/>
      </c>
      <c r="BB80" t="str">
        <f>""</f>
        <v/>
      </c>
      <c r="BC80" t="str">
        <f>""</f>
        <v/>
      </c>
      <c r="BD80" t="str">
        <f t="shared" si="72"/>
        <v>1</v>
      </c>
      <c r="BE80" t="str">
        <f t="shared" si="72"/>
        <v>1</v>
      </c>
      <c r="BF80" t="str">
        <f t="shared" si="83"/>
        <v xml:space="preserve">3         </v>
      </c>
      <c r="BG80" t="str">
        <f t="shared" si="84"/>
        <v>Confirmado por laboratorio</v>
      </c>
      <c r="BH80" t="str">
        <f>"CLINICA INFANTIL SANTA MARIA DEL LAGO"</f>
        <v>CLINICA INFANTIL SANTA MARIA DEL LAGO</v>
      </c>
      <c r="BI80" t="str">
        <f t="shared" si="85"/>
        <v>COLOMBIA</v>
      </c>
      <c r="BJ80" t="str">
        <f t="shared" si="86"/>
        <v>CANCER INFANTIL</v>
      </c>
      <c r="BK80" t="str">
        <f>"BOYACA"</f>
        <v>BOYACA</v>
      </c>
      <c r="BL80" t="str">
        <f>"SANTA MARIA"</f>
        <v>SANTA MARIA</v>
      </c>
      <c r="BM80" t="str">
        <f t="shared" si="87"/>
        <v>COLOMBIA</v>
      </c>
      <c r="BN80" t="str">
        <f>"BOYACA"</f>
        <v>BOYACA</v>
      </c>
      <c r="BO80" t="str">
        <f>"SANTA MARIA"</f>
        <v>SANTA MARIA</v>
      </c>
      <c r="BP80" t="str">
        <f t="shared" si="96"/>
        <v>BOGOTA</v>
      </c>
      <c r="BQ80" t="str">
        <f t="shared" si="96"/>
        <v>BOGOTA</v>
      </c>
    </row>
    <row r="81" spans="1:69" x14ac:dyDescent="0.25">
      <c r="A81" t="str">
        <f>"7285938"</f>
        <v>7285938</v>
      </c>
      <c r="B81" t="str">
        <f t="shared" si="74"/>
        <v>459</v>
      </c>
      <c r="C81" t="str">
        <f>"28/11/2020 12:00:00 a. m."</f>
        <v>28/11/2020 12:00:00 a. m.</v>
      </c>
      <c r="D81" t="str">
        <f>"43"</f>
        <v>43</v>
      </c>
      <c r="E81" t="str">
        <f t="shared" si="75"/>
        <v>2020</v>
      </c>
      <c r="F81" t="str">
        <f>"6854704947"</f>
        <v>6854704947</v>
      </c>
      <c r="G81" t="str">
        <f>"01"</f>
        <v>01</v>
      </c>
      <c r="H81" t="str">
        <f>"2"</f>
        <v>2</v>
      </c>
      <c r="I81" t="str">
        <f>"2"</f>
        <v>2</v>
      </c>
      <c r="J81" t="str">
        <f>"F"</f>
        <v>F</v>
      </c>
      <c r="K81" t="str">
        <f t="shared" si="76"/>
        <v>170</v>
      </c>
      <c r="L81" t="str">
        <f>"68"</f>
        <v>68</v>
      </c>
      <c r="M81" t="str">
        <f>"745"</f>
        <v>745</v>
      </c>
      <c r="N81" t="str">
        <f t="shared" si="73"/>
        <v>1</v>
      </c>
      <c r="O81" t="str">
        <f>"9999"</f>
        <v>9999</v>
      </c>
      <c r="P81" t="str">
        <f>"S"</f>
        <v>S</v>
      </c>
      <c r="Q81" t="str">
        <f>"ESS024"</f>
        <v>ESS024</v>
      </c>
      <c r="R81" t="str">
        <f t="shared" si="69"/>
        <v>6</v>
      </c>
      <c r="S81" t="str">
        <f>""</f>
        <v/>
      </c>
      <c r="T81" t="str">
        <f t="shared" si="77"/>
        <v xml:space="preserve">                                                                                                    </v>
      </c>
      <c r="U81" t="str">
        <f>"1         "</f>
        <v xml:space="preserve">1         </v>
      </c>
      <c r="V81" t="str">
        <f t="shared" si="97"/>
        <v>2</v>
      </c>
      <c r="W81" t="str">
        <f t="shared" si="97"/>
        <v>2</v>
      </c>
      <c r="X81" t="str">
        <f t="shared" si="99"/>
        <v>2</v>
      </c>
      <c r="Y81" t="str">
        <f t="shared" si="98"/>
        <v>2</v>
      </c>
      <c r="Z81" t="str">
        <f t="shared" si="98"/>
        <v>2</v>
      </c>
      <c r="AA81" t="str">
        <f t="shared" si="79"/>
        <v xml:space="preserve">          </v>
      </c>
      <c r="AB81" t="str">
        <f t="shared" si="67"/>
        <v>2</v>
      </c>
      <c r="AC81" t="str">
        <f t="shared" si="70"/>
        <v>2</v>
      </c>
      <c r="AD81" t="str">
        <f t="shared" si="100"/>
        <v>2</v>
      </c>
      <c r="AE81" t="str">
        <f t="shared" si="100"/>
        <v>2</v>
      </c>
      <c r="AF81" t="str">
        <f t="shared" si="100"/>
        <v>2</v>
      </c>
      <c r="AG81" t="str">
        <f t="shared" si="100"/>
        <v>2</v>
      </c>
      <c r="AH81" t="str">
        <f t="shared" si="101"/>
        <v>1</v>
      </c>
      <c r="AI81" t="str">
        <f>"1         "</f>
        <v xml:space="preserve">1         </v>
      </c>
      <c r="AJ81" t="str">
        <f t="shared" si="81"/>
        <v>170</v>
      </c>
      <c r="AK81" t="str">
        <f>"68"</f>
        <v>68</v>
      </c>
      <c r="AL81" t="str">
        <f>"745"</f>
        <v>745</v>
      </c>
      <c r="AM81" t="str">
        <f>"68"</f>
        <v>68</v>
      </c>
      <c r="AN81" t="str">
        <f>"68547"</f>
        <v>68547</v>
      </c>
      <c r="AO81" t="str">
        <f>"24/10/2020 12:00:00 a. m."</f>
        <v>24/10/2020 12:00:00 a. m.</v>
      </c>
      <c r="AP81" t="str">
        <f>"28/09/2020 12:00:00 a. m."</f>
        <v>28/09/2020 12:00:00 a. m.</v>
      </c>
      <c r="AQ81" t="str">
        <f>"3"</f>
        <v>3</v>
      </c>
      <c r="AR81" t="str">
        <f t="shared" si="95"/>
        <v>1</v>
      </c>
      <c r="AS81" t="str">
        <f>"24/10/2020 12:00:00 a. m."</f>
        <v>24/10/2020 12:00:00 a. m.</v>
      </c>
      <c r="AT81" t="str">
        <f>"1"</f>
        <v>1</v>
      </c>
      <c r="AU81" t="str">
        <f>""</f>
        <v/>
      </c>
      <c r="AV81" t="str">
        <f>"0"</f>
        <v>0</v>
      </c>
      <c r="AW81" t="str">
        <f>"28/09/2020 12:00:00 a. m."</f>
        <v>28/09/2020 12:00:00 a. m.</v>
      </c>
      <c r="AX81" t="str">
        <f>""</f>
        <v/>
      </c>
      <c r="AY81" t="str">
        <f t="shared" si="82"/>
        <v>30/04/2021 12:00:00 a. m.</v>
      </c>
      <c r="AZ81" t="str">
        <f>"28/11/2020 12:00:00 a. m."</f>
        <v>28/11/2020 12:00:00 a. m.</v>
      </c>
      <c r="BA81" t="str">
        <f>""</f>
        <v/>
      </c>
      <c r="BB81" t="str">
        <f>""</f>
        <v/>
      </c>
      <c r="BC81" t="str">
        <f>""</f>
        <v/>
      </c>
      <c r="BD81" t="str">
        <f t="shared" si="72"/>
        <v>1</v>
      </c>
      <c r="BE81" t="str">
        <f t="shared" si="72"/>
        <v>1</v>
      </c>
      <c r="BF81" t="str">
        <f t="shared" si="83"/>
        <v xml:space="preserve">3         </v>
      </c>
      <c r="BG81" t="str">
        <f t="shared" si="84"/>
        <v>Confirmado por laboratorio</v>
      </c>
      <c r="BH81" t="str">
        <f>"HOSPITAL INTERNACIONAL DE COLOMBIA"</f>
        <v>HOSPITAL INTERNACIONAL DE COLOMBIA</v>
      </c>
      <c r="BI81" t="str">
        <f t="shared" si="85"/>
        <v>COLOMBIA</v>
      </c>
      <c r="BJ81" t="str">
        <f t="shared" si="86"/>
        <v>CANCER INFANTIL</v>
      </c>
      <c r="BK81" t="str">
        <f>"SANTANDER"</f>
        <v>SANTANDER</v>
      </c>
      <c r="BL81" t="str">
        <f>"SIMACOTA"</f>
        <v>SIMACOTA</v>
      </c>
      <c r="BM81" t="str">
        <f t="shared" si="87"/>
        <v>COLOMBIA</v>
      </c>
      <c r="BN81" t="str">
        <f>"SANTANDER"</f>
        <v>SANTANDER</v>
      </c>
      <c r="BO81" t="str">
        <f>"SIMACOTA"</f>
        <v>SIMACOTA</v>
      </c>
      <c r="BP81" t="str">
        <f>"SANTANDER"</f>
        <v>SANTANDER</v>
      </c>
      <c r="BQ81" t="str">
        <f>"PIEDECUESTA"</f>
        <v>PIEDECUESTA</v>
      </c>
    </row>
    <row r="82" spans="1:69" x14ac:dyDescent="0.25">
      <c r="A82" t="str">
        <f>"7285944"</f>
        <v>7285944</v>
      </c>
      <c r="B82" t="str">
        <f t="shared" si="74"/>
        <v>459</v>
      </c>
      <c r="C82" t="str">
        <f>"28/01/2020 12:00:00 a. m."</f>
        <v>28/01/2020 12:00:00 a. m.</v>
      </c>
      <c r="D82" t="str">
        <f>"03"</f>
        <v>03</v>
      </c>
      <c r="E82" t="str">
        <f t="shared" si="75"/>
        <v>2020</v>
      </c>
      <c r="F82" t="str">
        <f>"1100108171"</f>
        <v>1100108171</v>
      </c>
      <c r="G82" t="str">
        <f>"02"</f>
        <v>02</v>
      </c>
      <c r="H82" t="str">
        <f>"17"</f>
        <v>17</v>
      </c>
      <c r="I82" t="str">
        <f>"1"</f>
        <v>1</v>
      </c>
      <c r="J82" t="str">
        <f>"F"</f>
        <v>F</v>
      </c>
      <c r="K82" t="str">
        <f t="shared" si="76"/>
        <v>170</v>
      </c>
      <c r="L82" t="str">
        <f>"25"</f>
        <v>25</v>
      </c>
      <c r="M82" t="str">
        <f>"286"</f>
        <v>286</v>
      </c>
      <c r="N82" t="str">
        <f t="shared" si="73"/>
        <v>1</v>
      </c>
      <c r="O82" t="str">
        <f>"9997"</f>
        <v>9997</v>
      </c>
      <c r="P82" t="str">
        <f>"C"</f>
        <v>C</v>
      </c>
      <c r="Q82" t="str">
        <f>"EPS017"</f>
        <v>EPS017</v>
      </c>
      <c r="R82" t="str">
        <f t="shared" si="69"/>
        <v>6</v>
      </c>
      <c r="S82" t="str">
        <f>""</f>
        <v/>
      </c>
      <c r="T82" t="str">
        <f t="shared" si="77"/>
        <v xml:space="preserve">                                                                                                    </v>
      </c>
      <c r="U82" t="str">
        <f>"1         "</f>
        <v xml:space="preserve">1         </v>
      </c>
      <c r="V82" t="str">
        <f t="shared" si="97"/>
        <v>2</v>
      </c>
      <c r="W82" t="str">
        <f t="shared" si="97"/>
        <v>2</v>
      </c>
      <c r="X82" t="str">
        <f t="shared" si="99"/>
        <v>2</v>
      </c>
      <c r="Y82" t="str">
        <f t="shared" si="98"/>
        <v>2</v>
      </c>
      <c r="Z82" t="str">
        <f t="shared" si="98"/>
        <v>2</v>
      </c>
      <c r="AA82" t="str">
        <f t="shared" si="79"/>
        <v xml:space="preserve">          </v>
      </c>
      <c r="AB82" t="str">
        <f t="shared" si="67"/>
        <v>2</v>
      </c>
      <c r="AC82" t="str">
        <f t="shared" si="70"/>
        <v>2</v>
      </c>
      <c r="AD82" t="str">
        <f t="shared" si="100"/>
        <v>2</v>
      </c>
      <c r="AE82" t="str">
        <f t="shared" si="100"/>
        <v>2</v>
      </c>
      <c r="AF82" t="str">
        <f t="shared" si="100"/>
        <v>2</v>
      </c>
      <c r="AG82" t="str">
        <f t="shared" si="100"/>
        <v>2</v>
      </c>
      <c r="AH82" t="str">
        <f t="shared" si="101"/>
        <v>1</v>
      </c>
      <c r="AI82" t="str">
        <f>"2         "</f>
        <v xml:space="preserve">2         </v>
      </c>
      <c r="AJ82" t="str">
        <f t="shared" si="81"/>
        <v>170</v>
      </c>
      <c r="AK82" t="str">
        <f>"25"</f>
        <v>25</v>
      </c>
      <c r="AL82" t="str">
        <f>"286"</f>
        <v>286</v>
      </c>
      <c r="AM82" t="str">
        <f>"11"</f>
        <v>11</v>
      </c>
      <c r="AN82" t="str">
        <f>"11001"</f>
        <v>11001</v>
      </c>
      <c r="AO82" t="str">
        <f>"14/01/2020 12:00:00 a. m."</f>
        <v>14/01/2020 12:00:00 a. m.</v>
      </c>
      <c r="AP82" t="str">
        <f>"13/01/2020 12:00:00 a. m."</f>
        <v>13/01/2020 12:00:00 a. m.</v>
      </c>
      <c r="AQ82" t="str">
        <f>"2"</f>
        <v>2</v>
      </c>
      <c r="AR82" t="str">
        <f t="shared" si="95"/>
        <v>1</v>
      </c>
      <c r="AS82" t="str">
        <f>"14/01/2020 12:00:00 a. m."</f>
        <v>14/01/2020 12:00:00 a. m.</v>
      </c>
      <c r="AT82" t="str">
        <f>"2"</f>
        <v>2</v>
      </c>
      <c r="AU82" t="str">
        <f>"25/01/2020 12:00:00 a. m."</f>
        <v>25/01/2020 12:00:00 a. m.</v>
      </c>
      <c r="AV82" t="str">
        <f>"3"</f>
        <v>3</v>
      </c>
      <c r="AW82" t="str">
        <f>"21/06/2003 12:00:00 a. m."</f>
        <v>21/06/2003 12:00:00 a. m.</v>
      </c>
      <c r="AX82" t="str">
        <f>"C229"</f>
        <v>C229</v>
      </c>
      <c r="AY82" t="str">
        <f t="shared" si="82"/>
        <v>30/04/2021 12:00:00 a. m.</v>
      </c>
      <c r="AZ82" t="str">
        <f>"8/02/2020 12:00:00 a. m."</f>
        <v>8/02/2020 12:00:00 a. m.</v>
      </c>
      <c r="BA82" t="str">
        <f>""</f>
        <v/>
      </c>
      <c r="BB82" t="str">
        <f>""</f>
        <v/>
      </c>
      <c r="BC82" t="str">
        <f>""</f>
        <v/>
      </c>
      <c r="BD82" t="str">
        <f t="shared" ref="BD82:BE101" si="102">"1"</f>
        <v>1</v>
      </c>
      <c r="BE82" t="str">
        <f t="shared" si="102"/>
        <v>1</v>
      </c>
      <c r="BF82" t="str">
        <f t="shared" si="83"/>
        <v xml:space="preserve">3         </v>
      </c>
      <c r="BG82" t="str">
        <f t="shared" si="84"/>
        <v>Confirmado por laboratorio</v>
      </c>
      <c r="BH82" t="str">
        <f>"CLINICA INFANTIL COLSUBSIDIO"</f>
        <v>CLINICA INFANTIL COLSUBSIDIO</v>
      </c>
      <c r="BI82" t="str">
        <f t="shared" si="85"/>
        <v>COLOMBIA</v>
      </c>
      <c r="BJ82" t="str">
        <f t="shared" si="86"/>
        <v>CANCER INFANTIL</v>
      </c>
      <c r="BK82" t="str">
        <f>"CUNDINAMARCA"</f>
        <v>CUNDINAMARCA</v>
      </c>
      <c r="BL82" t="str">
        <f>"FUNZA"</f>
        <v>FUNZA</v>
      </c>
      <c r="BM82" t="str">
        <f t="shared" si="87"/>
        <v>COLOMBIA</v>
      </c>
      <c r="BN82" t="str">
        <f>"CUNDINAMARCA"</f>
        <v>CUNDINAMARCA</v>
      </c>
      <c r="BO82" t="str">
        <f>"FUNZA"</f>
        <v>FUNZA</v>
      </c>
      <c r="BP82" t="str">
        <f>"BOGOTA"</f>
        <v>BOGOTA</v>
      </c>
      <c r="BQ82" t="str">
        <f>"BOGOTA"</f>
        <v>BOGOTA</v>
      </c>
    </row>
    <row r="83" spans="1:69" x14ac:dyDescent="0.25">
      <c r="A83" t="str">
        <f>"7285569"</f>
        <v>7285569</v>
      </c>
      <c r="B83" t="str">
        <f t="shared" si="74"/>
        <v>459</v>
      </c>
      <c r="C83" t="str">
        <f>"7/02/2020 12:00:00 a. m."</f>
        <v>7/02/2020 12:00:00 a. m.</v>
      </c>
      <c r="D83" t="str">
        <f>"02"</f>
        <v>02</v>
      </c>
      <c r="E83" t="str">
        <f t="shared" si="75"/>
        <v>2020</v>
      </c>
      <c r="F83" t="str">
        <f>"1100105681"</f>
        <v>1100105681</v>
      </c>
      <c r="G83" t="str">
        <f>"01"</f>
        <v>01</v>
      </c>
      <c r="H83" t="str">
        <f>"16"</f>
        <v>16</v>
      </c>
      <c r="I83" t="str">
        <f>"1"</f>
        <v>1</v>
      </c>
      <c r="J83" t="str">
        <f>"F"</f>
        <v>F</v>
      </c>
      <c r="K83" t="str">
        <f t="shared" si="76"/>
        <v>170</v>
      </c>
      <c r="L83" t="str">
        <f>"25"</f>
        <v>25</v>
      </c>
      <c r="M83" t="str">
        <f>"269"</f>
        <v>269</v>
      </c>
      <c r="N83" t="str">
        <f t="shared" si="73"/>
        <v>1</v>
      </c>
      <c r="O83" t="str">
        <f>"9997"</f>
        <v>9997</v>
      </c>
      <c r="P83" t="str">
        <f>"C"</f>
        <v>C</v>
      </c>
      <c r="Q83" t="str">
        <f>"EPS017"</f>
        <v>EPS017</v>
      </c>
      <c r="R83" t="str">
        <f t="shared" si="69"/>
        <v>6</v>
      </c>
      <c r="S83" t="str">
        <f>""</f>
        <v/>
      </c>
      <c r="T83" t="str">
        <f t="shared" si="77"/>
        <v xml:space="preserve">                                                                                                    </v>
      </c>
      <c r="U83" t="str">
        <f>"2         "</f>
        <v xml:space="preserve">2         </v>
      </c>
      <c r="V83" t="str">
        <f t="shared" si="97"/>
        <v>2</v>
      </c>
      <c r="W83" t="str">
        <f t="shared" si="97"/>
        <v>2</v>
      </c>
      <c r="X83" t="str">
        <f t="shared" si="99"/>
        <v>2</v>
      </c>
      <c r="Y83" t="str">
        <f t="shared" si="98"/>
        <v>2</v>
      </c>
      <c r="Z83" t="str">
        <f t="shared" si="98"/>
        <v>2</v>
      </c>
      <c r="AA83" t="str">
        <f t="shared" si="79"/>
        <v xml:space="preserve">          </v>
      </c>
      <c r="AB83" t="str">
        <f t="shared" si="67"/>
        <v>2</v>
      </c>
      <c r="AC83" t="str">
        <f t="shared" si="70"/>
        <v>2</v>
      </c>
      <c r="AD83" t="str">
        <f t="shared" si="100"/>
        <v>2</v>
      </c>
      <c r="AE83" t="str">
        <f t="shared" si="100"/>
        <v>2</v>
      </c>
      <c r="AF83" t="str">
        <f t="shared" si="100"/>
        <v>2</v>
      </c>
      <c r="AG83" t="str">
        <f t="shared" si="100"/>
        <v>2</v>
      </c>
      <c r="AH83" t="str">
        <f t="shared" si="101"/>
        <v>1</v>
      </c>
      <c r="AI83" t="str">
        <f>"1         "</f>
        <v xml:space="preserve">1         </v>
      </c>
      <c r="AJ83" t="str">
        <f t="shared" si="81"/>
        <v>170</v>
      </c>
      <c r="AK83" t="str">
        <f>"25"</f>
        <v>25</v>
      </c>
      <c r="AL83" t="str">
        <f>"269"</f>
        <v>269</v>
      </c>
      <c r="AM83" t="str">
        <f>"11"</f>
        <v>11</v>
      </c>
      <c r="AN83" t="str">
        <f>"11001"</f>
        <v>11001</v>
      </c>
      <c r="AO83" t="str">
        <f>"9/01/2020 12:00:00 a. m."</f>
        <v>9/01/2020 12:00:00 a. m.</v>
      </c>
      <c r="AP83" t="str">
        <f>"15/10/2019 12:00:00 a. m."</f>
        <v>15/10/2019 12:00:00 a. m.</v>
      </c>
      <c r="AQ83" t="str">
        <f>"3"</f>
        <v>3</v>
      </c>
      <c r="AR83" t="str">
        <f t="shared" si="95"/>
        <v>1</v>
      </c>
      <c r="AS83" t="str">
        <f>"9/01/2020 12:00:00 a. m."</f>
        <v>9/01/2020 12:00:00 a. m.</v>
      </c>
      <c r="AT83" t="str">
        <f t="shared" ref="AT83:AT106" si="103">"1"</f>
        <v>1</v>
      </c>
      <c r="AU83" t="str">
        <f>""</f>
        <v/>
      </c>
      <c r="AV83" t="str">
        <f>"7"</f>
        <v>7</v>
      </c>
      <c r="AW83" t="str">
        <f>"5/03/2003 12:00:00 a. m."</f>
        <v>5/03/2003 12:00:00 a. m.</v>
      </c>
      <c r="AX83" t="str">
        <f>""</f>
        <v/>
      </c>
      <c r="AY83" t="str">
        <f t="shared" si="82"/>
        <v>30/04/2021 12:00:00 a. m.</v>
      </c>
      <c r="AZ83" t="str">
        <f>"31/03/2020 12:00:00 a. m."</f>
        <v>31/03/2020 12:00:00 a. m.</v>
      </c>
      <c r="BA83" t="str">
        <f>""</f>
        <v/>
      </c>
      <c r="BB83" t="str">
        <f>""</f>
        <v/>
      </c>
      <c r="BC83" t="str">
        <f>""</f>
        <v/>
      </c>
      <c r="BD83" t="str">
        <f t="shared" si="102"/>
        <v>1</v>
      </c>
      <c r="BE83" t="str">
        <f t="shared" si="102"/>
        <v>1</v>
      </c>
      <c r="BF83" t="str">
        <f t="shared" si="83"/>
        <v xml:space="preserve">3         </v>
      </c>
      <c r="BG83" t="str">
        <f t="shared" si="84"/>
        <v>Confirmado por laboratorio</v>
      </c>
      <c r="BH83" t="str">
        <f>"FUNDACION HOSPITAL DE LA MISERICORDIA"</f>
        <v>FUNDACION HOSPITAL DE LA MISERICORDIA</v>
      </c>
      <c r="BI83" t="str">
        <f t="shared" si="85"/>
        <v>COLOMBIA</v>
      </c>
      <c r="BJ83" t="str">
        <f t="shared" si="86"/>
        <v>CANCER INFANTIL</v>
      </c>
      <c r="BK83" t="str">
        <f>"CUNDINAMARCA"</f>
        <v>CUNDINAMARCA</v>
      </c>
      <c r="BL83" t="str">
        <f>"FACATATIVA"</f>
        <v>FACATATIVA</v>
      </c>
      <c r="BM83" t="str">
        <f t="shared" si="87"/>
        <v>COLOMBIA</v>
      </c>
      <c r="BN83" t="str">
        <f>"CUNDINAMARCA"</f>
        <v>CUNDINAMARCA</v>
      </c>
      <c r="BO83" t="str">
        <f>"FACATATIVA"</f>
        <v>FACATATIVA</v>
      </c>
      <c r="BP83" t="str">
        <f>"BOGOTA"</f>
        <v>BOGOTA</v>
      </c>
      <c r="BQ83" t="str">
        <f>"BOGOTA"</f>
        <v>BOGOTA</v>
      </c>
    </row>
    <row r="84" spans="1:69" x14ac:dyDescent="0.25">
      <c r="A84" t="str">
        <f>"7285511"</f>
        <v>7285511</v>
      </c>
      <c r="B84" t="str">
        <f t="shared" si="74"/>
        <v>459</v>
      </c>
      <c r="C84" t="str">
        <f>"1/09/2020 12:00:00 a. m."</f>
        <v>1/09/2020 12:00:00 a. m.</v>
      </c>
      <c r="D84" t="str">
        <f>"25"</f>
        <v>25</v>
      </c>
      <c r="E84" t="str">
        <f t="shared" si="75"/>
        <v>2020</v>
      </c>
      <c r="F84" t="str">
        <f>"6854704947"</f>
        <v>6854704947</v>
      </c>
      <c r="G84" t="str">
        <f>"01"</f>
        <v>01</v>
      </c>
      <c r="H84" t="str">
        <f>"13"</f>
        <v>13</v>
      </c>
      <c r="I84" t="str">
        <f>"1"</f>
        <v>1</v>
      </c>
      <c r="J84" t="str">
        <f>"F"</f>
        <v>F</v>
      </c>
      <c r="K84" t="str">
        <f t="shared" si="76"/>
        <v>170</v>
      </c>
      <c r="L84" t="str">
        <f>"68"</f>
        <v>68</v>
      </c>
      <c r="M84" t="str">
        <f>"001"</f>
        <v>001</v>
      </c>
      <c r="N84" t="str">
        <f t="shared" si="73"/>
        <v>1</v>
      </c>
      <c r="O84" t="str">
        <f>"9997"</f>
        <v>9997</v>
      </c>
      <c r="P84" t="str">
        <f>"S"</f>
        <v>S</v>
      </c>
      <c r="Q84" t="str">
        <f>"ESS024"</f>
        <v>ESS024</v>
      </c>
      <c r="R84" t="str">
        <f t="shared" si="69"/>
        <v>6</v>
      </c>
      <c r="S84" t="str">
        <f>""</f>
        <v/>
      </c>
      <c r="T84" t="str">
        <f t="shared" si="77"/>
        <v xml:space="preserve">                                                                                                    </v>
      </c>
      <c r="U84" t="str">
        <f>"2         "</f>
        <v xml:space="preserve">2         </v>
      </c>
      <c r="V84" t="str">
        <f t="shared" si="97"/>
        <v>2</v>
      </c>
      <c r="W84" t="str">
        <f t="shared" si="97"/>
        <v>2</v>
      </c>
      <c r="X84" t="str">
        <f t="shared" si="99"/>
        <v>2</v>
      </c>
      <c r="Y84" t="str">
        <f t="shared" si="98"/>
        <v>2</v>
      </c>
      <c r="Z84" t="str">
        <f t="shared" si="98"/>
        <v>2</v>
      </c>
      <c r="AA84" t="str">
        <f t="shared" si="79"/>
        <v xml:space="preserve">          </v>
      </c>
      <c r="AB84" t="str">
        <f t="shared" si="67"/>
        <v>2</v>
      </c>
      <c r="AC84" t="str">
        <f t="shared" si="70"/>
        <v>2</v>
      </c>
      <c r="AD84" t="str">
        <f t="shared" si="100"/>
        <v>2</v>
      </c>
      <c r="AE84" t="str">
        <f t="shared" si="100"/>
        <v>2</v>
      </c>
      <c r="AF84" t="str">
        <f t="shared" si="100"/>
        <v>2</v>
      </c>
      <c r="AG84" t="str">
        <f t="shared" si="100"/>
        <v>2</v>
      </c>
      <c r="AH84" t="str">
        <f t="shared" si="101"/>
        <v>1</v>
      </c>
      <c r="AI84" t="str">
        <f>"1         "</f>
        <v xml:space="preserve">1         </v>
      </c>
      <c r="AJ84" t="str">
        <f t="shared" si="81"/>
        <v>170</v>
      </c>
      <c r="AK84" t="str">
        <f>"68"</f>
        <v>68</v>
      </c>
      <c r="AL84" t="str">
        <f>"001"</f>
        <v>001</v>
      </c>
      <c r="AM84" t="str">
        <f>"68"</f>
        <v>68</v>
      </c>
      <c r="AN84" t="str">
        <f>"68547"</f>
        <v>68547</v>
      </c>
      <c r="AO84" t="str">
        <f>"16/06/2020 12:00:00 a. m."</f>
        <v>16/06/2020 12:00:00 a. m.</v>
      </c>
      <c r="AP84" t="str">
        <f>"10/01/2020 12:00:00 a. m."</f>
        <v>10/01/2020 12:00:00 a. m.</v>
      </c>
      <c r="AQ84" t="str">
        <f>"3"</f>
        <v>3</v>
      </c>
      <c r="AR84" t="str">
        <f t="shared" si="95"/>
        <v>1</v>
      </c>
      <c r="AS84" t="str">
        <f>"28/08/2020 12:00:00 a. m."</f>
        <v>28/08/2020 12:00:00 a. m.</v>
      </c>
      <c r="AT84" t="str">
        <f t="shared" si="103"/>
        <v>1</v>
      </c>
      <c r="AU84" t="str">
        <f>""</f>
        <v/>
      </c>
      <c r="AV84" t="str">
        <f>"0"</f>
        <v>0</v>
      </c>
      <c r="AW84" t="str">
        <f>"1/01/2007 12:00:00 a. m."</f>
        <v>1/01/2007 12:00:00 a. m.</v>
      </c>
      <c r="AX84" t="str">
        <f>""</f>
        <v/>
      </c>
      <c r="AY84" t="str">
        <f t="shared" si="82"/>
        <v>30/04/2021 12:00:00 a. m.</v>
      </c>
      <c r="AZ84" t="str">
        <f>"1/09/2020 12:00:00 a. m."</f>
        <v>1/09/2020 12:00:00 a. m.</v>
      </c>
      <c r="BA84" t="str">
        <f>""</f>
        <v/>
      </c>
      <c r="BB84" t="str">
        <f>""</f>
        <v/>
      </c>
      <c r="BC84" t="str">
        <f>""</f>
        <v/>
      </c>
      <c r="BD84" t="str">
        <f t="shared" si="102"/>
        <v>1</v>
      </c>
      <c r="BE84" t="str">
        <f t="shared" si="102"/>
        <v>1</v>
      </c>
      <c r="BF84" t="str">
        <f t="shared" si="83"/>
        <v xml:space="preserve">3         </v>
      </c>
      <c r="BG84" t="str">
        <f t="shared" si="84"/>
        <v>Confirmado por laboratorio</v>
      </c>
      <c r="BH84" t="str">
        <f>"HOSPITAL INTERNACIONAL DE COLOMBIA"</f>
        <v>HOSPITAL INTERNACIONAL DE COLOMBIA</v>
      </c>
      <c r="BI84" t="str">
        <f t="shared" si="85"/>
        <v>COLOMBIA</v>
      </c>
      <c r="BJ84" t="str">
        <f t="shared" si="86"/>
        <v>CANCER INFANTIL</v>
      </c>
      <c r="BK84" t="str">
        <f>"SANTANDER"</f>
        <v>SANTANDER</v>
      </c>
      <c r="BL84" t="str">
        <f>"BUCARAMANGA"</f>
        <v>BUCARAMANGA</v>
      </c>
      <c r="BM84" t="str">
        <f t="shared" si="87"/>
        <v>COLOMBIA</v>
      </c>
      <c r="BN84" t="str">
        <f>"SANTANDER"</f>
        <v>SANTANDER</v>
      </c>
      <c r="BO84" t="str">
        <f>"BUCARAMANGA"</f>
        <v>BUCARAMANGA</v>
      </c>
      <c r="BP84" t="str">
        <f>"SANTANDER"</f>
        <v>SANTANDER</v>
      </c>
      <c r="BQ84" t="str">
        <f>"PIEDECUESTA"</f>
        <v>PIEDECUESTA</v>
      </c>
    </row>
    <row r="85" spans="1:69" x14ac:dyDescent="0.25">
      <c r="A85" t="str">
        <f>"7285515"</f>
        <v>7285515</v>
      </c>
      <c r="B85" t="str">
        <f t="shared" si="74"/>
        <v>459</v>
      </c>
      <c r="C85" t="str">
        <f>"27/07/2020 12:00:00 a. m."</f>
        <v>27/07/2020 12:00:00 a. m.</v>
      </c>
      <c r="D85" t="str">
        <f>"29"</f>
        <v>29</v>
      </c>
      <c r="E85" t="str">
        <f t="shared" si="75"/>
        <v>2020</v>
      </c>
      <c r="F85" t="str">
        <f>"6854704947"</f>
        <v>6854704947</v>
      </c>
      <c r="G85" t="str">
        <f>"01"</f>
        <v>01</v>
      </c>
      <c r="H85" t="str">
        <f>"6"</f>
        <v>6</v>
      </c>
      <c r="I85" t="str">
        <f>"2"</f>
        <v>2</v>
      </c>
      <c r="J85" t="str">
        <f>"M"</f>
        <v>M</v>
      </c>
      <c r="K85" t="str">
        <f t="shared" si="76"/>
        <v>170</v>
      </c>
      <c r="L85" t="str">
        <f>"68"</f>
        <v>68</v>
      </c>
      <c r="M85" t="str">
        <f>"001"</f>
        <v>001</v>
      </c>
      <c r="N85" t="str">
        <f t="shared" si="73"/>
        <v>1</v>
      </c>
      <c r="O85" t="str">
        <f>"9999"</f>
        <v>9999</v>
      </c>
      <c r="P85" t="str">
        <f>"S"</f>
        <v>S</v>
      </c>
      <c r="Q85" t="str">
        <f>"ESS062"</f>
        <v>ESS062</v>
      </c>
      <c r="R85" t="str">
        <f t="shared" si="69"/>
        <v>6</v>
      </c>
      <c r="S85" t="str">
        <f>""</f>
        <v/>
      </c>
      <c r="T85" t="str">
        <f t="shared" si="77"/>
        <v xml:space="preserve">                                                                                                    </v>
      </c>
      <c r="U85" t="str">
        <f>"2         "</f>
        <v xml:space="preserve">2         </v>
      </c>
      <c r="V85" t="str">
        <f t="shared" si="97"/>
        <v>2</v>
      </c>
      <c r="W85" t="str">
        <f t="shared" si="97"/>
        <v>2</v>
      </c>
      <c r="X85" t="str">
        <f t="shared" si="99"/>
        <v>2</v>
      </c>
      <c r="Y85" t="str">
        <f t="shared" si="98"/>
        <v>2</v>
      </c>
      <c r="Z85" t="str">
        <f t="shared" si="98"/>
        <v>2</v>
      </c>
      <c r="AA85" t="str">
        <f t="shared" si="79"/>
        <v xml:space="preserve">          </v>
      </c>
      <c r="AB85" t="str">
        <f t="shared" si="67"/>
        <v>2</v>
      </c>
      <c r="AC85" t="str">
        <f t="shared" si="70"/>
        <v>2</v>
      </c>
      <c r="AD85" t="str">
        <f t="shared" si="100"/>
        <v>2</v>
      </c>
      <c r="AE85" t="str">
        <f t="shared" si="100"/>
        <v>2</v>
      </c>
      <c r="AF85" t="str">
        <f t="shared" si="100"/>
        <v>2</v>
      </c>
      <c r="AG85" t="str">
        <f t="shared" si="100"/>
        <v>2</v>
      </c>
      <c r="AH85" t="str">
        <f t="shared" si="101"/>
        <v>1</v>
      </c>
      <c r="AI85" t="str">
        <f>"1         "</f>
        <v xml:space="preserve">1         </v>
      </c>
      <c r="AJ85" t="str">
        <f t="shared" si="81"/>
        <v>170</v>
      </c>
      <c r="AK85" t="str">
        <f>"68"</f>
        <v>68</v>
      </c>
      <c r="AL85" t="str">
        <f>"001"</f>
        <v>001</v>
      </c>
      <c r="AM85" t="str">
        <f>"68"</f>
        <v>68</v>
      </c>
      <c r="AN85" t="str">
        <f>"68547"</f>
        <v>68547</v>
      </c>
      <c r="AO85" t="str">
        <f>"14/07/2020 12:00:00 a. m."</f>
        <v>14/07/2020 12:00:00 a. m.</v>
      </c>
      <c r="AP85" t="str">
        <f>"12/07/2020 12:00:00 a. m."</f>
        <v>12/07/2020 12:00:00 a. m.</v>
      </c>
      <c r="AQ85" t="str">
        <f>"3"</f>
        <v>3</v>
      </c>
      <c r="AR85" t="str">
        <f t="shared" si="95"/>
        <v>1</v>
      </c>
      <c r="AS85" t="str">
        <f>"16/07/2020 12:00:00 a. m."</f>
        <v>16/07/2020 12:00:00 a. m.</v>
      </c>
      <c r="AT85" t="str">
        <f t="shared" si="103"/>
        <v>1</v>
      </c>
      <c r="AU85" t="str">
        <f>""</f>
        <v/>
      </c>
      <c r="AV85" t="str">
        <f>"0"</f>
        <v>0</v>
      </c>
      <c r="AW85" t="str">
        <f>"29/12/2019 12:00:00 a. m."</f>
        <v>29/12/2019 12:00:00 a. m.</v>
      </c>
      <c r="AX85" t="str">
        <f>""</f>
        <v/>
      </c>
      <c r="AY85" t="str">
        <f t="shared" si="82"/>
        <v>30/04/2021 12:00:00 a. m.</v>
      </c>
      <c r="AZ85" t="str">
        <f>"27/07/2020 12:00:00 a. m."</f>
        <v>27/07/2020 12:00:00 a. m.</v>
      </c>
      <c r="BA85" t="str">
        <f>""</f>
        <v/>
      </c>
      <c r="BB85" t="str">
        <f>""</f>
        <v/>
      </c>
      <c r="BC85" t="str">
        <f>""</f>
        <v/>
      </c>
      <c r="BD85" t="str">
        <f t="shared" si="102"/>
        <v>1</v>
      </c>
      <c r="BE85" t="str">
        <f t="shared" si="102"/>
        <v>1</v>
      </c>
      <c r="BF85" t="str">
        <f t="shared" si="83"/>
        <v xml:space="preserve">3         </v>
      </c>
      <c r="BG85" t="str">
        <f t="shared" si="84"/>
        <v>Confirmado por laboratorio</v>
      </c>
      <c r="BH85" t="str">
        <f>"HOSPITAL INTERNACIONAL DE COLOMBIA"</f>
        <v>HOSPITAL INTERNACIONAL DE COLOMBIA</v>
      </c>
      <c r="BI85" t="str">
        <f t="shared" si="85"/>
        <v>COLOMBIA</v>
      </c>
      <c r="BJ85" t="str">
        <f t="shared" si="86"/>
        <v>CANCER INFANTIL</v>
      </c>
      <c r="BK85" t="str">
        <f>"SANTANDER"</f>
        <v>SANTANDER</v>
      </c>
      <c r="BL85" t="str">
        <f>"BUCARAMANGA"</f>
        <v>BUCARAMANGA</v>
      </c>
      <c r="BM85" t="str">
        <f t="shared" si="87"/>
        <v>COLOMBIA</v>
      </c>
      <c r="BN85" t="str">
        <f>"SANTANDER"</f>
        <v>SANTANDER</v>
      </c>
      <c r="BO85" t="str">
        <f>"BUCARAMANGA"</f>
        <v>BUCARAMANGA</v>
      </c>
      <c r="BP85" t="str">
        <f>"SANTANDER"</f>
        <v>SANTANDER</v>
      </c>
      <c r="BQ85" t="str">
        <f>"PIEDECUESTA"</f>
        <v>PIEDECUESTA</v>
      </c>
    </row>
    <row r="86" spans="1:69" x14ac:dyDescent="0.25">
      <c r="A86" t="str">
        <f>"7285930"</f>
        <v>7285930</v>
      </c>
      <c r="B86" t="str">
        <f t="shared" si="74"/>
        <v>459</v>
      </c>
      <c r="C86" t="str">
        <f>"23/12/2020 12:00:00 a. m."</f>
        <v>23/12/2020 12:00:00 a. m.</v>
      </c>
      <c r="D86" t="str">
        <f>"30"</f>
        <v>30</v>
      </c>
      <c r="E86" t="str">
        <f t="shared" si="75"/>
        <v>2020</v>
      </c>
      <c r="F86" t="str">
        <f>"6800100792"</f>
        <v>6800100792</v>
      </c>
      <c r="G86" t="str">
        <f>"02"</f>
        <v>02</v>
      </c>
      <c r="H86" t="str">
        <f>"13"</f>
        <v>13</v>
      </c>
      <c r="I86" t="str">
        <f>"1"</f>
        <v>1</v>
      </c>
      <c r="J86" t="str">
        <f>"M"</f>
        <v>M</v>
      </c>
      <c r="K86" t="str">
        <f t="shared" si="76"/>
        <v>170</v>
      </c>
      <c r="L86" t="str">
        <f>"68"</f>
        <v>68</v>
      </c>
      <c r="M86" t="str">
        <f>"001"</f>
        <v>001</v>
      </c>
      <c r="N86" t="str">
        <f t="shared" si="73"/>
        <v>1</v>
      </c>
      <c r="O86" t="str">
        <f>"9999"</f>
        <v>9999</v>
      </c>
      <c r="P86" t="str">
        <f>"S"</f>
        <v>S</v>
      </c>
      <c r="Q86" t="str">
        <f>"EPSS37"</f>
        <v>EPSS37</v>
      </c>
      <c r="R86" t="str">
        <f t="shared" si="69"/>
        <v>6</v>
      </c>
      <c r="S86" t="str">
        <f>""</f>
        <v/>
      </c>
      <c r="T86" t="str">
        <f t="shared" si="77"/>
        <v xml:space="preserve">                                                                                                    </v>
      </c>
      <c r="U86" t="str">
        <f>"1         "</f>
        <v xml:space="preserve">1         </v>
      </c>
      <c r="V86" t="str">
        <f t="shared" si="97"/>
        <v>2</v>
      </c>
      <c r="W86" t="str">
        <f t="shared" si="97"/>
        <v>2</v>
      </c>
      <c r="X86" t="str">
        <f t="shared" si="99"/>
        <v>2</v>
      </c>
      <c r="Y86" t="str">
        <f t="shared" si="98"/>
        <v>2</v>
      </c>
      <c r="Z86" t="str">
        <f t="shared" si="98"/>
        <v>2</v>
      </c>
      <c r="AA86" t="str">
        <f t="shared" si="79"/>
        <v xml:space="preserve">          </v>
      </c>
      <c r="AB86" t="str">
        <f t="shared" si="67"/>
        <v>2</v>
      </c>
      <c r="AC86" t="str">
        <f t="shared" si="70"/>
        <v>2</v>
      </c>
      <c r="AD86" t="str">
        <f t="shared" si="100"/>
        <v>2</v>
      </c>
      <c r="AE86" t="str">
        <f t="shared" si="100"/>
        <v>2</v>
      </c>
      <c r="AF86" t="str">
        <f t="shared" si="100"/>
        <v>2</v>
      </c>
      <c r="AG86" t="str">
        <f t="shared" si="100"/>
        <v>2</v>
      </c>
      <c r="AH86" t="str">
        <f t="shared" si="101"/>
        <v>1</v>
      </c>
      <c r="AI86" t="str">
        <f>"1         "</f>
        <v xml:space="preserve">1         </v>
      </c>
      <c r="AJ86" t="str">
        <f t="shared" si="81"/>
        <v>170</v>
      </c>
      <c r="AK86" t="str">
        <f>"68"</f>
        <v>68</v>
      </c>
      <c r="AL86" t="str">
        <f>"001"</f>
        <v>001</v>
      </c>
      <c r="AM86" t="str">
        <f>"68"</f>
        <v>68</v>
      </c>
      <c r="AN86" t="str">
        <f>"68001"</f>
        <v>68001</v>
      </c>
      <c r="AO86" t="str">
        <f>"22/07/2020 12:00:00 a. m."</f>
        <v>22/07/2020 12:00:00 a. m.</v>
      </c>
      <c r="AP86" t="str">
        <f>"13/07/2020 12:00:00 a. m."</f>
        <v>13/07/2020 12:00:00 a. m.</v>
      </c>
      <c r="AQ86" t="str">
        <f>"3"</f>
        <v>3</v>
      </c>
      <c r="AR86" t="str">
        <f t="shared" si="95"/>
        <v>1</v>
      </c>
      <c r="AS86" t="str">
        <f>"22/07/2020 12:00:00 a. m."</f>
        <v>22/07/2020 12:00:00 a. m.</v>
      </c>
      <c r="AT86" t="str">
        <f t="shared" si="103"/>
        <v>1</v>
      </c>
      <c r="AU86" t="str">
        <f>""</f>
        <v/>
      </c>
      <c r="AV86" t="str">
        <f>"3"</f>
        <v>3</v>
      </c>
      <c r="AW86" t="str">
        <f>"21/10/2007 12:00:00 a. m."</f>
        <v>21/10/2007 12:00:00 a. m.</v>
      </c>
      <c r="AX86" t="str">
        <f>""</f>
        <v/>
      </c>
      <c r="AY86" t="str">
        <f t="shared" si="82"/>
        <v>30/04/2021 12:00:00 a. m.</v>
      </c>
      <c r="AZ86" t="str">
        <f>"10/02/2021 12:00:00 a. m."</f>
        <v>10/02/2021 12:00:00 a. m.</v>
      </c>
      <c r="BA86" t="str">
        <f>""</f>
        <v/>
      </c>
      <c r="BB86" t="str">
        <f>""</f>
        <v/>
      </c>
      <c r="BC86" t="str">
        <f>""</f>
        <v/>
      </c>
      <c r="BD86" t="str">
        <f t="shared" si="102"/>
        <v>1</v>
      </c>
      <c r="BE86" t="str">
        <f t="shared" si="102"/>
        <v>1</v>
      </c>
      <c r="BF86" t="str">
        <f t="shared" si="83"/>
        <v xml:space="preserve">3         </v>
      </c>
      <c r="BG86" t="str">
        <f t="shared" si="84"/>
        <v>Confirmado por laboratorio</v>
      </c>
      <c r="BH86" t="str">
        <f>"EMPRESA SOCIAL DEL ESTADO HOSPITAL UNIVERSITARIO D"</f>
        <v>EMPRESA SOCIAL DEL ESTADO HOSPITAL UNIVERSITARIO D</v>
      </c>
      <c r="BI86" t="str">
        <f t="shared" si="85"/>
        <v>COLOMBIA</v>
      </c>
      <c r="BJ86" t="str">
        <f t="shared" si="86"/>
        <v>CANCER INFANTIL</v>
      </c>
      <c r="BK86" t="str">
        <f>"SANTANDER"</f>
        <v>SANTANDER</v>
      </c>
      <c r="BL86" t="str">
        <f>"BUCARAMANGA"</f>
        <v>BUCARAMANGA</v>
      </c>
      <c r="BM86" t="str">
        <f t="shared" si="87"/>
        <v>COLOMBIA</v>
      </c>
      <c r="BN86" t="str">
        <f>"SANTANDER"</f>
        <v>SANTANDER</v>
      </c>
      <c r="BO86" t="str">
        <f>"BUCARAMANGA"</f>
        <v>BUCARAMANGA</v>
      </c>
      <c r="BP86" t="str">
        <f>"SANTANDER"</f>
        <v>SANTANDER</v>
      </c>
      <c r="BQ86" t="str">
        <f>"BUCARAMANGA"</f>
        <v>BUCARAMANGA</v>
      </c>
    </row>
    <row r="87" spans="1:69" x14ac:dyDescent="0.25">
      <c r="A87" t="str">
        <f>"7285929"</f>
        <v>7285929</v>
      </c>
      <c r="B87" t="str">
        <f t="shared" si="74"/>
        <v>459</v>
      </c>
      <c r="C87" t="str">
        <f>"18/12/2020 12:00:00 a. m."</f>
        <v>18/12/2020 12:00:00 a. m.</v>
      </c>
      <c r="D87" t="str">
        <f>"51"</f>
        <v>51</v>
      </c>
      <c r="E87" t="str">
        <f t="shared" si="75"/>
        <v>2020</v>
      </c>
      <c r="F87" t="str">
        <f>"1100116338"</f>
        <v>1100116338</v>
      </c>
      <c r="G87" t="str">
        <f>"83"</f>
        <v>83</v>
      </c>
      <c r="H87" t="str">
        <f>"16"</f>
        <v>16</v>
      </c>
      <c r="I87" t="str">
        <f>"1"</f>
        <v>1</v>
      </c>
      <c r="J87" t="str">
        <f>"M"</f>
        <v>M</v>
      </c>
      <c r="K87" t="str">
        <f t="shared" si="76"/>
        <v>170</v>
      </c>
      <c r="L87" t="str">
        <f>"68"</f>
        <v>68</v>
      </c>
      <c r="M87" t="str">
        <f>"001"</f>
        <v>001</v>
      </c>
      <c r="N87" t="str">
        <f t="shared" si="73"/>
        <v>1</v>
      </c>
      <c r="O87" t="str">
        <f>"9997"</f>
        <v>9997</v>
      </c>
      <c r="P87" t="str">
        <f>"P"</f>
        <v>P</v>
      </c>
      <c r="Q87" t="str">
        <f>"RES003"</f>
        <v>RES003</v>
      </c>
      <c r="R87" t="str">
        <f t="shared" si="69"/>
        <v>6</v>
      </c>
      <c r="S87" t="str">
        <f>""</f>
        <v/>
      </c>
      <c r="T87" t="str">
        <f t="shared" si="77"/>
        <v xml:space="preserve">                                                                                                    </v>
      </c>
      <c r="U87" t="str">
        <f>"3         "</f>
        <v xml:space="preserve">3         </v>
      </c>
      <c r="V87" t="str">
        <f t="shared" si="97"/>
        <v>2</v>
      </c>
      <c r="W87" t="str">
        <f t="shared" si="97"/>
        <v>2</v>
      </c>
      <c r="X87" t="str">
        <f t="shared" si="99"/>
        <v>2</v>
      </c>
      <c r="Y87" t="str">
        <f t="shared" si="98"/>
        <v>2</v>
      </c>
      <c r="Z87" t="str">
        <f t="shared" si="98"/>
        <v>2</v>
      </c>
      <c r="AA87" t="str">
        <f t="shared" si="79"/>
        <v xml:space="preserve">          </v>
      </c>
      <c r="AB87" t="str">
        <f t="shared" si="67"/>
        <v>2</v>
      </c>
      <c r="AC87" t="str">
        <f t="shared" si="70"/>
        <v>2</v>
      </c>
      <c r="AD87" t="str">
        <f t="shared" si="100"/>
        <v>2</v>
      </c>
      <c r="AE87" t="str">
        <f t="shared" si="100"/>
        <v>2</v>
      </c>
      <c r="AF87" t="str">
        <f t="shared" si="100"/>
        <v>2</v>
      </c>
      <c r="AG87" t="str">
        <f t="shared" si="100"/>
        <v>2</v>
      </c>
      <c r="AH87" t="str">
        <f t="shared" si="101"/>
        <v>1</v>
      </c>
      <c r="AI87" t="str">
        <f>"1         "</f>
        <v xml:space="preserve">1         </v>
      </c>
      <c r="AJ87" t="str">
        <f t="shared" si="81"/>
        <v>170</v>
      </c>
      <c r="AK87" t="str">
        <f>"68"</f>
        <v>68</v>
      </c>
      <c r="AL87" t="str">
        <f>"001"</f>
        <v>001</v>
      </c>
      <c r="AM87" t="str">
        <f>"11"</f>
        <v>11</v>
      </c>
      <c r="AN87" t="str">
        <f>"11001"</f>
        <v>11001</v>
      </c>
      <c r="AO87" t="str">
        <f>"16/12/2020 12:00:00 a. m."</f>
        <v>16/12/2020 12:00:00 a. m.</v>
      </c>
      <c r="AP87" t="str">
        <f>"1/07/2020 12:00:00 a. m."</f>
        <v>1/07/2020 12:00:00 a. m.</v>
      </c>
      <c r="AQ87" t="str">
        <f>"2"</f>
        <v>2</v>
      </c>
      <c r="AR87" t="str">
        <f t="shared" si="95"/>
        <v>1</v>
      </c>
      <c r="AS87" t="str">
        <f>"16/12/2020 12:00:00 a. m."</f>
        <v>16/12/2020 12:00:00 a. m.</v>
      </c>
      <c r="AT87" t="str">
        <f t="shared" si="103"/>
        <v>1</v>
      </c>
      <c r="AU87" t="str">
        <f>""</f>
        <v/>
      </c>
      <c r="AV87" t="str">
        <f>"3"</f>
        <v>3</v>
      </c>
      <c r="AW87" t="str">
        <f>"13/09/2004 12:00:00 a. m."</f>
        <v>13/09/2004 12:00:00 a. m.</v>
      </c>
      <c r="AX87" t="str">
        <f>""</f>
        <v/>
      </c>
      <c r="AY87" t="str">
        <f t="shared" si="82"/>
        <v>30/04/2021 12:00:00 a. m.</v>
      </c>
      <c r="AZ87" t="str">
        <f>"25/01/2021 12:00:00 a. m."</f>
        <v>25/01/2021 12:00:00 a. m.</v>
      </c>
      <c r="BA87" t="str">
        <f>""</f>
        <v/>
      </c>
      <c r="BB87" t="str">
        <f>""</f>
        <v/>
      </c>
      <c r="BC87" t="str">
        <f>""</f>
        <v/>
      </c>
      <c r="BD87" t="str">
        <f t="shared" si="102"/>
        <v>1</v>
      </c>
      <c r="BE87" t="str">
        <f t="shared" si="102"/>
        <v>1</v>
      </c>
      <c r="BF87" t="str">
        <f t="shared" si="83"/>
        <v xml:space="preserve">3         </v>
      </c>
      <c r="BG87" t="str">
        <f t="shared" si="84"/>
        <v>Confirmado por laboratorio</v>
      </c>
      <c r="BH87" t="str">
        <f>"HOSPITAL MILITAR CENTRAL CHAPINERO"</f>
        <v>HOSPITAL MILITAR CENTRAL CHAPINERO</v>
      </c>
      <c r="BI87" t="str">
        <f t="shared" si="85"/>
        <v>COLOMBIA</v>
      </c>
      <c r="BJ87" t="str">
        <f t="shared" si="86"/>
        <v>CANCER INFANTIL</v>
      </c>
      <c r="BK87" t="str">
        <f>"SANTANDER"</f>
        <v>SANTANDER</v>
      </c>
      <c r="BL87" t="str">
        <f>"BUCARAMANGA"</f>
        <v>BUCARAMANGA</v>
      </c>
      <c r="BM87" t="str">
        <f t="shared" si="87"/>
        <v>COLOMBIA</v>
      </c>
      <c r="BN87" t="str">
        <f>"SANTANDER"</f>
        <v>SANTANDER</v>
      </c>
      <c r="BO87" t="str">
        <f>"BUCARAMANGA"</f>
        <v>BUCARAMANGA</v>
      </c>
      <c r="BP87" t="str">
        <f>"BOGOTA"</f>
        <v>BOGOTA</v>
      </c>
      <c r="BQ87" t="str">
        <f>"BOGOTA"</f>
        <v>BOGOTA</v>
      </c>
    </row>
    <row r="88" spans="1:69" x14ac:dyDescent="0.25">
      <c r="A88" t="str">
        <f>"7285885"</f>
        <v>7285885</v>
      </c>
      <c r="B88" t="str">
        <f t="shared" si="74"/>
        <v>459</v>
      </c>
      <c r="C88" t="str">
        <f>"22/01/2021 12:00:00 a. m."</f>
        <v>22/01/2021 12:00:00 a. m.</v>
      </c>
      <c r="D88" t="str">
        <f>"44"</f>
        <v>44</v>
      </c>
      <c r="E88" t="str">
        <f t="shared" si="75"/>
        <v>2020</v>
      </c>
      <c r="F88" t="str">
        <f>"1100105681"</f>
        <v>1100105681</v>
      </c>
      <c r="G88" t="str">
        <f t="shared" ref="G88:G109" si="104">"01"</f>
        <v>01</v>
      </c>
      <c r="H88" t="str">
        <f>"13"</f>
        <v>13</v>
      </c>
      <c r="I88" t="str">
        <f>"1"</f>
        <v>1</v>
      </c>
      <c r="J88" t="str">
        <f>"M"</f>
        <v>M</v>
      </c>
      <c r="K88" t="str">
        <f t="shared" si="76"/>
        <v>170</v>
      </c>
      <c r="L88" t="str">
        <f>"15"</f>
        <v>15</v>
      </c>
      <c r="M88" t="str">
        <f>"276"</f>
        <v>276</v>
      </c>
      <c r="N88" t="str">
        <f>"3"</f>
        <v>3</v>
      </c>
      <c r="O88" t="str">
        <f>"9997"</f>
        <v>9997</v>
      </c>
      <c r="P88" t="str">
        <f>"S"</f>
        <v>S</v>
      </c>
      <c r="Q88" t="str">
        <f>"ESS133"</f>
        <v>ESS133</v>
      </c>
      <c r="R88" t="str">
        <f t="shared" si="69"/>
        <v>6</v>
      </c>
      <c r="S88" t="str">
        <f>""</f>
        <v/>
      </c>
      <c r="T88" t="str">
        <f t="shared" si="77"/>
        <v xml:space="preserve">                                                                                                    </v>
      </c>
      <c r="U88" t="str">
        <f t="shared" ref="U88:U93" si="105">"2         "</f>
        <v xml:space="preserve">2         </v>
      </c>
      <c r="V88" t="str">
        <f t="shared" si="97"/>
        <v>2</v>
      </c>
      <c r="W88" t="str">
        <f t="shared" si="97"/>
        <v>2</v>
      </c>
      <c r="X88" t="str">
        <f t="shared" si="99"/>
        <v>2</v>
      </c>
      <c r="Y88" t="str">
        <f t="shared" si="98"/>
        <v>2</v>
      </c>
      <c r="Z88" t="str">
        <f t="shared" si="98"/>
        <v>2</v>
      </c>
      <c r="AA88" t="str">
        <f t="shared" si="79"/>
        <v xml:space="preserve">          </v>
      </c>
      <c r="AB88" t="str">
        <f t="shared" si="67"/>
        <v>2</v>
      </c>
      <c r="AC88" t="str">
        <f t="shared" si="70"/>
        <v>2</v>
      </c>
      <c r="AD88" t="str">
        <f t="shared" si="100"/>
        <v>2</v>
      </c>
      <c r="AE88" t="str">
        <f t="shared" si="100"/>
        <v>2</v>
      </c>
      <c r="AF88" t="str">
        <f t="shared" si="100"/>
        <v>2</v>
      </c>
      <c r="AG88" t="str">
        <f t="shared" si="100"/>
        <v>2</v>
      </c>
      <c r="AH88" t="str">
        <f t="shared" si="101"/>
        <v>1</v>
      </c>
      <c r="AI88" t="str">
        <f>"2         "</f>
        <v xml:space="preserve">2         </v>
      </c>
      <c r="AJ88" t="str">
        <f t="shared" si="81"/>
        <v>170</v>
      </c>
      <c r="AK88" t="str">
        <f>"15"</f>
        <v>15</v>
      </c>
      <c r="AL88" t="str">
        <f>"276"</f>
        <v>276</v>
      </c>
      <c r="AM88" t="str">
        <f>"11"</f>
        <v>11</v>
      </c>
      <c r="AN88" t="str">
        <f>"11001"</f>
        <v>11001</v>
      </c>
      <c r="AO88" t="str">
        <f>"30/10/2020 12:00:00 a. m."</f>
        <v>30/10/2020 12:00:00 a. m.</v>
      </c>
      <c r="AP88" t="str">
        <f>"26/10/2020 12:00:00 a. m."</f>
        <v>26/10/2020 12:00:00 a. m.</v>
      </c>
      <c r="AQ88" t="str">
        <f t="shared" ref="AQ88:AQ94" si="106">"3"</f>
        <v>3</v>
      </c>
      <c r="AR88" t="str">
        <f t="shared" si="95"/>
        <v>1</v>
      </c>
      <c r="AS88" t="str">
        <f>"30/10/2020 12:00:00 a. m."</f>
        <v>30/10/2020 12:00:00 a. m.</v>
      </c>
      <c r="AT88" t="str">
        <f t="shared" si="103"/>
        <v>1</v>
      </c>
      <c r="AU88" t="str">
        <f>""</f>
        <v/>
      </c>
      <c r="AV88" t="str">
        <f>"0"</f>
        <v>0</v>
      </c>
      <c r="AW88" t="str">
        <f>"29/08/2007 12:00:00 a. m."</f>
        <v>29/08/2007 12:00:00 a. m.</v>
      </c>
      <c r="AX88" t="str">
        <f>""</f>
        <v/>
      </c>
      <c r="AY88" t="str">
        <f t="shared" si="82"/>
        <v>30/04/2021 12:00:00 a. m.</v>
      </c>
      <c r="AZ88" t="str">
        <f>"22/01/2021 12:00:00 a. m."</f>
        <v>22/01/2021 12:00:00 a. m.</v>
      </c>
      <c r="BA88" t="str">
        <f>""</f>
        <v/>
      </c>
      <c r="BB88" t="str">
        <f>""</f>
        <v/>
      </c>
      <c r="BC88" t="str">
        <f>""</f>
        <v/>
      </c>
      <c r="BD88" t="str">
        <f t="shared" si="102"/>
        <v>1</v>
      </c>
      <c r="BE88" t="str">
        <f t="shared" si="102"/>
        <v>1</v>
      </c>
      <c r="BF88" t="str">
        <f t="shared" si="83"/>
        <v xml:space="preserve">3         </v>
      </c>
      <c r="BG88" t="str">
        <f t="shared" si="84"/>
        <v>Confirmado por laboratorio</v>
      </c>
      <c r="BH88" t="str">
        <f>"FUNDACION HOSPITAL DE LA MISERICORDIA"</f>
        <v>FUNDACION HOSPITAL DE LA MISERICORDIA</v>
      </c>
      <c r="BI88" t="str">
        <f t="shared" si="85"/>
        <v>COLOMBIA</v>
      </c>
      <c r="BJ88" t="str">
        <f t="shared" si="86"/>
        <v>CANCER INFANTIL</v>
      </c>
      <c r="BK88" t="str">
        <f>"BOYACA"</f>
        <v>BOYACA</v>
      </c>
      <c r="BL88" t="str">
        <f>"FLORESTA"</f>
        <v>FLORESTA</v>
      </c>
      <c r="BM88" t="str">
        <f t="shared" si="87"/>
        <v>COLOMBIA</v>
      </c>
      <c r="BN88" t="str">
        <f>"BOYACA"</f>
        <v>BOYACA</v>
      </c>
      <c r="BO88" t="str">
        <f>"FLORESTA"</f>
        <v>FLORESTA</v>
      </c>
      <c r="BP88" t="str">
        <f>"BOGOTA"</f>
        <v>BOGOTA</v>
      </c>
      <c r="BQ88" t="str">
        <f>"BOGOTA"</f>
        <v>BOGOTA</v>
      </c>
    </row>
    <row r="89" spans="1:69" x14ac:dyDescent="0.25">
      <c r="A89" t="str">
        <f>"7285359"</f>
        <v>7285359</v>
      </c>
      <c r="B89" t="str">
        <f t="shared" si="74"/>
        <v>459</v>
      </c>
      <c r="C89" t="str">
        <f>"27/01/2020 12:00:00 a. m."</f>
        <v>27/01/2020 12:00:00 a. m.</v>
      </c>
      <c r="D89" t="str">
        <f>"01"</f>
        <v>01</v>
      </c>
      <c r="E89" t="str">
        <f t="shared" si="75"/>
        <v>2020</v>
      </c>
      <c r="F89" t="str">
        <f>"0500102175"</f>
        <v>0500102175</v>
      </c>
      <c r="G89" t="str">
        <f t="shared" si="104"/>
        <v>01</v>
      </c>
      <c r="H89" t="str">
        <f>"2"</f>
        <v>2</v>
      </c>
      <c r="I89" t="str">
        <f>"1"</f>
        <v>1</v>
      </c>
      <c r="J89" t="str">
        <f>"F"</f>
        <v>F</v>
      </c>
      <c r="K89" t="str">
        <f t="shared" si="76"/>
        <v>170</v>
      </c>
      <c r="L89" t="str">
        <f>"05"</f>
        <v>05</v>
      </c>
      <c r="M89" t="str">
        <f>"088"</f>
        <v>088</v>
      </c>
      <c r="N89" t="str">
        <f>"1"</f>
        <v>1</v>
      </c>
      <c r="O89" t="str">
        <f>"9999"</f>
        <v>9999</v>
      </c>
      <c r="P89" t="str">
        <f>"C"</f>
        <v>C</v>
      </c>
      <c r="Q89" t="str">
        <f>"EPS010"</f>
        <v>EPS010</v>
      </c>
      <c r="R89" t="str">
        <f t="shared" si="69"/>
        <v>6</v>
      </c>
      <c r="S89" t="str">
        <f>""</f>
        <v/>
      </c>
      <c r="T89" t="str">
        <f t="shared" si="77"/>
        <v xml:space="preserve">                                                                                                    </v>
      </c>
      <c r="U89" t="str">
        <f t="shared" si="105"/>
        <v xml:space="preserve">2         </v>
      </c>
      <c r="V89" t="str">
        <f t="shared" si="97"/>
        <v>2</v>
      </c>
      <c r="W89" t="str">
        <f t="shared" si="97"/>
        <v>2</v>
      </c>
      <c r="X89" t="str">
        <f t="shared" si="99"/>
        <v>2</v>
      </c>
      <c r="Y89" t="str">
        <f t="shared" si="98"/>
        <v>2</v>
      </c>
      <c r="Z89" t="str">
        <f t="shared" si="98"/>
        <v>2</v>
      </c>
      <c r="AA89" t="str">
        <f t="shared" si="79"/>
        <v xml:space="preserve">          </v>
      </c>
      <c r="AB89" t="str">
        <f t="shared" si="67"/>
        <v>2</v>
      </c>
      <c r="AC89" t="str">
        <f t="shared" si="70"/>
        <v>2</v>
      </c>
      <c r="AD89" t="str">
        <f t="shared" si="100"/>
        <v>2</v>
      </c>
      <c r="AE89" t="str">
        <f t="shared" si="100"/>
        <v>2</v>
      </c>
      <c r="AF89" t="str">
        <f t="shared" si="100"/>
        <v>2</v>
      </c>
      <c r="AG89" t="str">
        <f t="shared" si="100"/>
        <v>2</v>
      </c>
      <c r="AH89" t="str">
        <f t="shared" si="101"/>
        <v>1</v>
      </c>
      <c r="AI89" t="str">
        <f t="shared" ref="AI89:AI94" si="107">"1         "</f>
        <v xml:space="preserve">1         </v>
      </c>
      <c r="AJ89" t="str">
        <f t="shared" si="81"/>
        <v>170</v>
      </c>
      <c r="AK89" t="str">
        <f>"05"</f>
        <v>05</v>
      </c>
      <c r="AL89" t="str">
        <f>"088"</f>
        <v>088</v>
      </c>
      <c r="AM89" t="str">
        <f>"05"</f>
        <v>05</v>
      </c>
      <c r="AN89" t="str">
        <f>"05001"</f>
        <v>05001</v>
      </c>
      <c r="AO89" t="str">
        <f>"3/01/2020 12:00:00 a. m."</f>
        <v>3/01/2020 12:00:00 a. m.</v>
      </c>
      <c r="AP89" t="str">
        <f>"10/07/2019 12:00:00 a. m."</f>
        <v>10/07/2019 12:00:00 a. m.</v>
      </c>
      <c r="AQ89" t="str">
        <f t="shared" si="106"/>
        <v>3</v>
      </c>
      <c r="AR89" t="str">
        <f t="shared" si="95"/>
        <v>1</v>
      </c>
      <c r="AS89" t="str">
        <f>"10/01/2020 12:00:00 a. m."</f>
        <v>10/01/2020 12:00:00 a. m.</v>
      </c>
      <c r="AT89" t="str">
        <f t="shared" si="103"/>
        <v>1</v>
      </c>
      <c r="AU89" t="str">
        <f>""</f>
        <v/>
      </c>
      <c r="AV89" t="str">
        <f>"0"</f>
        <v>0</v>
      </c>
      <c r="AW89" t="str">
        <f>"9/03/2017 12:00:00 a. m."</f>
        <v>9/03/2017 12:00:00 a. m.</v>
      </c>
      <c r="AX89" t="str">
        <f>""</f>
        <v/>
      </c>
      <c r="AY89" t="str">
        <f t="shared" si="82"/>
        <v>30/04/2021 12:00:00 a. m.</v>
      </c>
      <c r="AZ89" t="str">
        <f>"27/01/2020 12:00:00 a. m."</f>
        <v>27/01/2020 12:00:00 a. m.</v>
      </c>
      <c r="BA89" t="str">
        <f>""</f>
        <v/>
      </c>
      <c r="BB89" t="str">
        <f>""</f>
        <v/>
      </c>
      <c r="BC89" t="str">
        <f>""</f>
        <v/>
      </c>
      <c r="BD89" t="str">
        <f t="shared" si="102"/>
        <v>1</v>
      </c>
      <c r="BE89" t="str">
        <f t="shared" si="102"/>
        <v>1</v>
      </c>
      <c r="BF89" t="str">
        <f t="shared" si="83"/>
        <v xml:space="preserve">3         </v>
      </c>
      <c r="BG89" t="str">
        <f t="shared" si="84"/>
        <v>Confirmado por laboratorio</v>
      </c>
      <c r="BH89" t="str">
        <f>"FUNDACION HOSPITALARIA SAN VICENTE DE PAUL"</f>
        <v>FUNDACION HOSPITALARIA SAN VICENTE DE PAUL</v>
      </c>
      <c r="BI89" t="str">
        <f t="shared" si="85"/>
        <v>COLOMBIA</v>
      </c>
      <c r="BJ89" t="str">
        <f t="shared" si="86"/>
        <v>CANCER INFANTIL</v>
      </c>
      <c r="BK89" t="str">
        <f>"ANTIOQUIA"</f>
        <v>ANTIOQUIA</v>
      </c>
      <c r="BL89" t="str">
        <f>"BELLO"</f>
        <v>BELLO</v>
      </c>
      <c r="BM89" t="str">
        <f t="shared" si="87"/>
        <v>COLOMBIA</v>
      </c>
      <c r="BN89" t="str">
        <f>"ANTIOQUIA"</f>
        <v>ANTIOQUIA</v>
      </c>
      <c r="BO89" t="str">
        <f>"BELLO"</f>
        <v>BELLO</v>
      </c>
      <c r="BP89" t="str">
        <f>"ANTIOQUIA"</f>
        <v>ANTIOQUIA</v>
      </c>
      <c r="BQ89" t="str">
        <f>"MEDELLIN"</f>
        <v>MEDELLIN</v>
      </c>
    </row>
    <row r="90" spans="1:69" x14ac:dyDescent="0.25">
      <c r="A90" t="str">
        <f>"7285333"</f>
        <v>7285333</v>
      </c>
      <c r="B90" t="str">
        <f t="shared" si="74"/>
        <v>459</v>
      </c>
      <c r="C90" t="str">
        <f>"14/01/2021 12:00:00 a. m."</f>
        <v>14/01/2021 12:00:00 a. m.</v>
      </c>
      <c r="D90" t="str">
        <f>"28"</f>
        <v>28</v>
      </c>
      <c r="E90" t="str">
        <f t="shared" si="75"/>
        <v>2020</v>
      </c>
      <c r="F90" t="str">
        <f>"0500104789"</f>
        <v>0500104789</v>
      </c>
      <c r="G90" t="str">
        <f t="shared" si="104"/>
        <v>01</v>
      </c>
      <c r="H90" t="str">
        <f>"16"</f>
        <v>16</v>
      </c>
      <c r="I90" t="str">
        <f>"1"</f>
        <v>1</v>
      </c>
      <c r="J90" t="str">
        <f>"M"</f>
        <v>M</v>
      </c>
      <c r="K90" t="str">
        <f t="shared" si="76"/>
        <v>170</v>
      </c>
      <c r="L90" t="str">
        <f>"05"</f>
        <v>05</v>
      </c>
      <c r="M90" t="str">
        <f>"034"</f>
        <v>034</v>
      </c>
      <c r="N90" t="str">
        <f>"3"</f>
        <v>3</v>
      </c>
      <c r="O90" t="str">
        <f>"9998"</f>
        <v>9998</v>
      </c>
      <c r="P90" t="str">
        <f>"S"</f>
        <v>S</v>
      </c>
      <c r="Q90" t="str">
        <f>"EPSS40"</f>
        <v>EPSS40</v>
      </c>
      <c r="R90" t="str">
        <f t="shared" si="69"/>
        <v>6</v>
      </c>
      <c r="S90" t="str">
        <f>""</f>
        <v/>
      </c>
      <c r="T90" t="str">
        <f t="shared" si="77"/>
        <v xml:space="preserve">                                                                                                    </v>
      </c>
      <c r="U90" t="str">
        <f t="shared" si="105"/>
        <v xml:space="preserve">2         </v>
      </c>
      <c r="V90" t="str">
        <f t="shared" si="97"/>
        <v>2</v>
      </c>
      <c r="W90" t="str">
        <f t="shared" si="97"/>
        <v>2</v>
      </c>
      <c r="X90" t="str">
        <f t="shared" si="99"/>
        <v>2</v>
      </c>
      <c r="Y90" t="str">
        <f t="shared" si="98"/>
        <v>2</v>
      </c>
      <c r="Z90" t="str">
        <f t="shared" si="98"/>
        <v>2</v>
      </c>
      <c r="AA90" t="str">
        <f t="shared" si="79"/>
        <v xml:space="preserve">          </v>
      </c>
      <c r="AB90" t="str">
        <f t="shared" si="67"/>
        <v>2</v>
      </c>
      <c r="AC90" t="str">
        <f t="shared" si="70"/>
        <v>2</v>
      </c>
      <c r="AD90" t="str">
        <f t="shared" si="100"/>
        <v>2</v>
      </c>
      <c r="AE90" t="str">
        <f t="shared" si="100"/>
        <v>2</v>
      </c>
      <c r="AF90" t="str">
        <f t="shared" si="100"/>
        <v>2</v>
      </c>
      <c r="AG90" t="str">
        <f t="shared" si="100"/>
        <v>2</v>
      </c>
      <c r="AH90" t="str">
        <f t="shared" si="101"/>
        <v>1</v>
      </c>
      <c r="AI90" t="str">
        <f t="shared" si="107"/>
        <v xml:space="preserve">1         </v>
      </c>
      <c r="AJ90" t="str">
        <f t="shared" si="81"/>
        <v>170</v>
      </c>
      <c r="AK90" t="str">
        <f>"05"</f>
        <v>05</v>
      </c>
      <c r="AL90" t="str">
        <f>"034"</f>
        <v>034</v>
      </c>
      <c r="AM90" t="str">
        <f>"05"</f>
        <v>05</v>
      </c>
      <c r="AN90" t="str">
        <f>"05001"</f>
        <v>05001</v>
      </c>
      <c r="AO90" t="str">
        <f>"9/07/2020 12:00:00 a. m."</f>
        <v>9/07/2020 12:00:00 a. m.</v>
      </c>
      <c r="AP90" t="str">
        <f>"1/06/2020 12:00:00 a. m."</f>
        <v>1/06/2020 12:00:00 a. m.</v>
      </c>
      <c r="AQ90" t="str">
        <f t="shared" si="106"/>
        <v>3</v>
      </c>
      <c r="AR90" t="str">
        <f>"2"</f>
        <v>2</v>
      </c>
      <c r="AS90" t="str">
        <f>""</f>
        <v/>
      </c>
      <c r="AT90" t="str">
        <f t="shared" si="103"/>
        <v>1</v>
      </c>
      <c r="AU90" t="str">
        <f>""</f>
        <v/>
      </c>
      <c r="AV90" t="str">
        <f>"0"</f>
        <v>0</v>
      </c>
      <c r="AW90" t="str">
        <f>"20/10/2004 12:00:00 a. m."</f>
        <v>20/10/2004 12:00:00 a. m.</v>
      </c>
      <c r="AX90" t="str">
        <f>""</f>
        <v/>
      </c>
      <c r="AY90" t="str">
        <f t="shared" si="82"/>
        <v>30/04/2021 12:00:00 a. m.</v>
      </c>
      <c r="AZ90" t="str">
        <f>"14/01/2021 12:00:00 a. m."</f>
        <v>14/01/2021 12:00:00 a. m.</v>
      </c>
      <c r="BA90" t="str">
        <f>""</f>
        <v/>
      </c>
      <c r="BB90" t="str">
        <f>""</f>
        <v/>
      </c>
      <c r="BC90" t="str">
        <f>""</f>
        <v/>
      </c>
      <c r="BD90" t="str">
        <f t="shared" si="102"/>
        <v>1</v>
      </c>
      <c r="BE90" t="str">
        <f t="shared" si="102"/>
        <v>1</v>
      </c>
      <c r="BF90" t="str">
        <f t="shared" si="83"/>
        <v xml:space="preserve">3         </v>
      </c>
      <c r="BG90" t="str">
        <f t="shared" si="84"/>
        <v>Confirmado por laboratorio</v>
      </c>
      <c r="BH90" t="str">
        <f>"ASOCIACIÓN MEDELLIN DE LUCHA CONTRA EL CANCER"</f>
        <v>ASOCIACIÓN MEDELLIN DE LUCHA CONTRA EL CANCER</v>
      </c>
      <c r="BI90" t="str">
        <f t="shared" si="85"/>
        <v>COLOMBIA</v>
      </c>
      <c r="BJ90" t="str">
        <f t="shared" si="86"/>
        <v>CANCER INFANTIL</v>
      </c>
      <c r="BK90" t="str">
        <f>"ANTIOQUIA"</f>
        <v>ANTIOQUIA</v>
      </c>
      <c r="BL90" t="str">
        <f>"ANDES"</f>
        <v>ANDES</v>
      </c>
      <c r="BM90" t="str">
        <f t="shared" si="87"/>
        <v>COLOMBIA</v>
      </c>
      <c r="BN90" t="str">
        <f>"ANTIOQUIA"</f>
        <v>ANTIOQUIA</v>
      </c>
      <c r="BO90" t="str">
        <f>"ANDES"</f>
        <v>ANDES</v>
      </c>
      <c r="BP90" t="str">
        <f>"ANTIOQUIA"</f>
        <v>ANTIOQUIA</v>
      </c>
      <c r="BQ90" t="str">
        <f>"MEDELLIN"</f>
        <v>MEDELLIN</v>
      </c>
    </row>
    <row r="91" spans="1:69" x14ac:dyDescent="0.25">
      <c r="A91" t="str">
        <f>"7285753"</f>
        <v>7285753</v>
      </c>
      <c r="B91" t="str">
        <f t="shared" si="74"/>
        <v>459</v>
      </c>
      <c r="C91" t="str">
        <f>"16/03/2020 12:00:00 a. m."</f>
        <v>16/03/2020 12:00:00 a. m.</v>
      </c>
      <c r="D91" t="str">
        <f>"12"</f>
        <v>12</v>
      </c>
      <c r="E91" t="str">
        <f t="shared" si="75"/>
        <v>2020</v>
      </c>
      <c r="F91" t="str">
        <f>"0500102104"</f>
        <v>0500102104</v>
      </c>
      <c r="G91" t="str">
        <f t="shared" si="104"/>
        <v>01</v>
      </c>
      <c r="H91" t="str">
        <f>"5"</f>
        <v>5</v>
      </c>
      <c r="I91" t="str">
        <f>"2"</f>
        <v>2</v>
      </c>
      <c r="J91" t="str">
        <f>"F"</f>
        <v>F</v>
      </c>
      <c r="K91" t="str">
        <f t="shared" si="76"/>
        <v>170</v>
      </c>
      <c r="L91" t="str">
        <f>"05"</f>
        <v>05</v>
      </c>
      <c r="M91" t="str">
        <f>"001"</f>
        <v>001</v>
      </c>
      <c r="N91" t="str">
        <f>"1"</f>
        <v>1</v>
      </c>
      <c r="O91" t="str">
        <f>"9999"</f>
        <v>9999</v>
      </c>
      <c r="P91" t="str">
        <f>"I"</f>
        <v>I</v>
      </c>
      <c r="Q91" t="str">
        <f>""</f>
        <v/>
      </c>
      <c r="R91" t="str">
        <f t="shared" si="69"/>
        <v>6</v>
      </c>
      <c r="S91" t="str">
        <f>""</f>
        <v/>
      </c>
      <c r="T91" t="str">
        <f t="shared" si="77"/>
        <v xml:space="preserve">                                                                                                    </v>
      </c>
      <c r="U91" t="str">
        <f t="shared" si="105"/>
        <v xml:space="preserve">2         </v>
      </c>
      <c r="V91" t="str">
        <f t="shared" si="97"/>
        <v>2</v>
      </c>
      <c r="W91" t="str">
        <f t="shared" si="97"/>
        <v>2</v>
      </c>
      <c r="X91" t="str">
        <f t="shared" si="99"/>
        <v>2</v>
      </c>
      <c r="Y91" t="str">
        <f t="shared" si="98"/>
        <v>2</v>
      </c>
      <c r="Z91" t="str">
        <f t="shared" si="98"/>
        <v>2</v>
      </c>
      <c r="AA91" t="str">
        <f t="shared" si="79"/>
        <v xml:space="preserve">          </v>
      </c>
      <c r="AB91" t="str">
        <f t="shared" si="67"/>
        <v>2</v>
      </c>
      <c r="AC91" t="str">
        <f t="shared" si="70"/>
        <v>2</v>
      </c>
      <c r="AD91" t="str">
        <f t="shared" si="100"/>
        <v>2</v>
      </c>
      <c r="AE91" t="str">
        <f t="shared" si="100"/>
        <v>2</v>
      </c>
      <c r="AF91" t="str">
        <f t="shared" si="100"/>
        <v>2</v>
      </c>
      <c r="AG91" t="str">
        <f t="shared" si="100"/>
        <v>2</v>
      </c>
      <c r="AH91" t="str">
        <f t="shared" si="101"/>
        <v>1</v>
      </c>
      <c r="AI91" t="str">
        <f t="shared" si="107"/>
        <v xml:space="preserve">1         </v>
      </c>
      <c r="AJ91" t="str">
        <f t="shared" si="81"/>
        <v>170</v>
      </c>
      <c r="AK91" t="str">
        <f>"05"</f>
        <v>05</v>
      </c>
      <c r="AL91" t="str">
        <f>"001"</f>
        <v>001</v>
      </c>
      <c r="AM91" t="str">
        <f>"05"</f>
        <v>05</v>
      </c>
      <c r="AN91" t="str">
        <f>"05001"</f>
        <v>05001</v>
      </c>
      <c r="AO91" t="str">
        <f>"16/03/2020 12:00:00 a. m."</f>
        <v>16/03/2020 12:00:00 a. m.</v>
      </c>
      <c r="AP91" t="str">
        <f>"1/03/2020 12:00:00 a. m."</f>
        <v>1/03/2020 12:00:00 a. m.</v>
      </c>
      <c r="AQ91" t="str">
        <f t="shared" si="106"/>
        <v>3</v>
      </c>
      <c r="AR91" t="str">
        <f>"2"</f>
        <v>2</v>
      </c>
      <c r="AS91" t="str">
        <f>""</f>
        <v/>
      </c>
      <c r="AT91" t="str">
        <f t="shared" si="103"/>
        <v>1</v>
      </c>
      <c r="AU91" t="str">
        <f>""</f>
        <v/>
      </c>
      <c r="AV91" t="str">
        <f>"7"</f>
        <v>7</v>
      </c>
      <c r="AW91" t="str">
        <f>"5/10/2019 12:00:00 a. m."</f>
        <v>5/10/2019 12:00:00 a. m.</v>
      </c>
      <c r="AX91" t="str">
        <f>""</f>
        <v/>
      </c>
      <c r="AY91" t="str">
        <f t="shared" si="82"/>
        <v>30/04/2021 12:00:00 a. m.</v>
      </c>
      <c r="AZ91" t="str">
        <f>"14/04/2020 12:00:00 a. m."</f>
        <v>14/04/2020 12:00:00 a. m.</v>
      </c>
      <c r="BA91" t="str">
        <f>""</f>
        <v/>
      </c>
      <c r="BB91" t="str">
        <f>""</f>
        <v/>
      </c>
      <c r="BC91" t="str">
        <f>""</f>
        <v/>
      </c>
      <c r="BD91" t="str">
        <f t="shared" si="102"/>
        <v>1</v>
      </c>
      <c r="BE91" t="str">
        <f t="shared" si="102"/>
        <v>1</v>
      </c>
      <c r="BF91" t="str">
        <f t="shared" si="83"/>
        <v xml:space="preserve">3         </v>
      </c>
      <c r="BG91" t="str">
        <f t="shared" si="84"/>
        <v>Confirmado por laboratorio</v>
      </c>
      <c r="BH91" t="str">
        <f>"HOSPITAL PABLO TOBON URIBE"</f>
        <v>HOSPITAL PABLO TOBON URIBE</v>
      </c>
      <c r="BI91" t="str">
        <f t="shared" si="85"/>
        <v>COLOMBIA</v>
      </c>
      <c r="BJ91" t="str">
        <f t="shared" si="86"/>
        <v>CANCER INFANTIL</v>
      </c>
      <c r="BK91" t="str">
        <f>"ANTIOQUIA"</f>
        <v>ANTIOQUIA</v>
      </c>
      <c r="BL91" t="str">
        <f>"MEDELLIN"</f>
        <v>MEDELLIN</v>
      </c>
      <c r="BM91" t="str">
        <f t="shared" si="87"/>
        <v>COLOMBIA</v>
      </c>
      <c r="BN91" t="str">
        <f>"ANTIOQUIA"</f>
        <v>ANTIOQUIA</v>
      </c>
      <c r="BO91" t="str">
        <f>"MEDELLIN"</f>
        <v>MEDELLIN</v>
      </c>
      <c r="BP91" t="str">
        <f>"ANTIOQUIA"</f>
        <v>ANTIOQUIA</v>
      </c>
      <c r="BQ91" t="str">
        <f>"MEDELLIN"</f>
        <v>MEDELLIN</v>
      </c>
    </row>
    <row r="92" spans="1:69" x14ac:dyDescent="0.25">
      <c r="A92" t="str">
        <f>"7279177"</f>
        <v>7279177</v>
      </c>
      <c r="B92" t="str">
        <f t="shared" si="74"/>
        <v>459</v>
      </c>
      <c r="C92" t="str">
        <f>"16/08/2020 12:00:00 a. m."</f>
        <v>16/08/2020 12:00:00 a. m.</v>
      </c>
      <c r="D92" t="str">
        <f>"31"</f>
        <v>31</v>
      </c>
      <c r="E92" t="str">
        <f t="shared" si="75"/>
        <v>2020</v>
      </c>
      <c r="F92" t="str">
        <f>"1100105681"</f>
        <v>1100105681</v>
      </c>
      <c r="G92" t="str">
        <f t="shared" si="104"/>
        <v>01</v>
      </c>
      <c r="H92" t="str">
        <f>"1"</f>
        <v>1</v>
      </c>
      <c r="I92" t="str">
        <f>"1"</f>
        <v>1</v>
      </c>
      <c r="J92" t="str">
        <f>"F"</f>
        <v>F</v>
      </c>
      <c r="K92" t="str">
        <f t="shared" si="76"/>
        <v>170</v>
      </c>
      <c r="L92" t="str">
        <f>"73"</f>
        <v>73</v>
      </c>
      <c r="M92" t="str">
        <f>"678"</f>
        <v>678</v>
      </c>
      <c r="N92" t="str">
        <f>"3"</f>
        <v>3</v>
      </c>
      <c r="O92" t="str">
        <f>"9999"</f>
        <v>9999</v>
      </c>
      <c r="P92" t="str">
        <f>"S"</f>
        <v>S</v>
      </c>
      <c r="Q92" t="str">
        <f>"EPSS41"</f>
        <v>EPSS41</v>
      </c>
      <c r="R92" t="str">
        <f t="shared" si="69"/>
        <v>6</v>
      </c>
      <c r="S92" t="str">
        <f>""</f>
        <v/>
      </c>
      <c r="T92" t="str">
        <f t="shared" si="77"/>
        <v xml:space="preserve">                                                                                                    </v>
      </c>
      <c r="U92" t="str">
        <f t="shared" si="105"/>
        <v xml:space="preserve">2         </v>
      </c>
      <c r="V92" t="str">
        <f t="shared" si="97"/>
        <v>2</v>
      </c>
      <c r="W92" t="str">
        <f t="shared" si="97"/>
        <v>2</v>
      </c>
      <c r="X92" t="str">
        <f t="shared" si="99"/>
        <v>2</v>
      </c>
      <c r="Y92" t="str">
        <f t="shared" si="98"/>
        <v>2</v>
      </c>
      <c r="Z92" t="str">
        <f t="shared" si="98"/>
        <v>2</v>
      </c>
      <c r="AA92" t="str">
        <f t="shared" si="79"/>
        <v xml:space="preserve">          </v>
      </c>
      <c r="AB92" t="str">
        <f t="shared" si="67"/>
        <v>2</v>
      </c>
      <c r="AC92" t="str">
        <f t="shared" si="70"/>
        <v>2</v>
      </c>
      <c r="AD92" t="str">
        <f t="shared" si="100"/>
        <v>2</v>
      </c>
      <c r="AE92" t="str">
        <f t="shared" si="100"/>
        <v>2</v>
      </c>
      <c r="AF92" t="str">
        <f t="shared" si="100"/>
        <v>2</v>
      </c>
      <c r="AG92" t="str">
        <f t="shared" si="100"/>
        <v>2</v>
      </c>
      <c r="AH92" t="str">
        <f t="shared" si="101"/>
        <v>1</v>
      </c>
      <c r="AI92" t="str">
        <f t="shared" si="107"/>
        <v xml:space="preserve">1         </v>
      </c>
      <c r="AJ92" t="str">
        <f t="shared" si="81"/>
        <v>170</v>
      </c>
      <c r="AK92" t="str">
        <f>"73"</f>
        <v>73</v>
      </c>
      <c r="AL92" t="str">
        <f>"678"</f>
        <v>678</v>
      </c>
      <c r="AM92" t="str">
        <f>"11"</f>
        <v>11</v>
      </c>
      <c r="AN92" t="str">
        <f>"11001"</f>
        <v>11001</v>
      </c>
      <c r="AO92" t="str">
        <f>"1/08/2020 12:00:00 a. m."</f>
        <v>1/08/2020 12:00:00 a. m.</v>
      </c>
      <c r="AP92" t="str">
        <f>"11/08/2019 12:00:00 a. m."</f>
        <v>11/08/2019 12:00:00 a. m.</v>
      </c>
      <c r="AQ92" t="str">
        <f t="shared" si="106"/>
        <v>3</v>
      </c>
      <c r="AR92" t="str">
        <f t="shared" ref="AR92:AR97" si="108">"1"</f>
        <v>1</v>
      </c>
      <c r="AS92" t="str">
        <f>"1/08/2020 12:00:00 a. m."</f>
        <v>1/08/2020 12:00:00 a. m.</v>
      </c>
      <c r="AT92" t="str">
        <f t="shared" si="103"/>
        <v>1</v>
      </c>
      <c r="AU92" t="str">
        <f>""</f>
        <v/>
      </c>
      <c r="AV92" t="str">
        <f>"0"</f>
        <v>0</v>
      </c>
      <c r="AW92" t="str">
        <f>"11/08/2019 12:00:00 a. m."</f>
        <v>11/08/2019 12:00:00 a. m.</v>
      </c>
      <c r="AX92" t="str">
        <f>""</f>
        <v/>
      </c>
      <c r="AY92" t="str">
        <f t="shared" si="82"/>
        <v>30/04/2021 12:00:00 a. m.</v>
      </c>
      <c r="AZ92" t="str">
        <f>"18/09/2020 12:00:00 a. m."</f>
        <v>18/09/2020 12:00:00 a. m.</v>
      </c>
      <c r="BA92" t="str">
        <f>""</f>
        <v/>
      </c>
      <c r="BB92" t="str">
        <f>""</f>
        <v/>
      </c>
      <c r="BC92" t="str">
        <f>""</f>
        <v/>
      </c>
      <c r="BD92" t="str">
        <f t="shared" si="102"/>
        <v>1</v>
      </c>
      <c r="BE92" t="str">
        <f t="shared" si="102"/>
        <v>1</v>
      </c>
      <c r="BF92" t="str">
        <f t="shared" si="83"/>
        <v xml:space="preserve">3         </v>
      </c>
      <c r="BG92" t="str">
        <f t="shared" si="84"/>
        <v>Confirmado por laboratorio</v>
      </c>
      <c r="BH92" t="str">
        <f>"FUNDACION HOSPITAL DE LA MISERICORDIA"</f>
        <v>FUNDACION HOSPITAL DE LA MISERICORDIA</v>
      </c>
      <c r="BI92" t="str">
        <f t="shared" si="85"/>
        <v>COLOMBIA</v>
      </c>
      <c r="BJ92" t="str">
        <f t="shared" si="86"/>
        <v>CANCER INFANTIL</v>
      </c>
      <c r="BK92" t="str">
        <f>"TOLIMA"</f>
        <v>TOLIMA</v>
      </c>
      <c r="BL92" t="str">
        <f>"SAN LUIS"</f>
        <v>SAN LUIS</v>
      </c>
      <c r="BM92" t="str">
        <f t="shared" si="87"/>
        <v>COLOMBIA</v>
      </c>
      <c r="BN92" t="str">
        <f>"TOLIMA"</f>
        <v>TOLIMA</v>
      </c>
      <c r="BO92" t="str">
        <f>"SAN LUIS"</f>
        <v>SAN LUIS</v>
      </c>
      <c r="BP92" t="str">
        <f>"BOGOTA"</f>
        <v>BOGOTA</v>
      </c>
      <c r="BQ92" t="str">
        <f>"BOGOTA"</f>
        <v>BOGOTA</v>
      </c>
    </row>
    <row r="93" spans="1:69" x14ac:dyDescent="0.25">
      <c r="A93" t="str">
        <f>"7279237"</f>
        <v>7279237</v>
      </c>
      <c r="B93" t="str">
        <f t="shared" si="74"/>
        <v>459</v>
      </c>
      <c r="C93" t="str">
        <f>"1/07/2020 12:00:00 a. m."</f>
        <v>1/07/2020 12:00:00 a. m.</v>
      </c>
      <c r="D93" t="str">
        <f>"27"</f>
        <v>27</v>
      </c>
      <c r="E93" t="str">
        <f t="shared" si="75"/>
        <v>2020</v>
      </c>
      <c r="F93" t="str">
        <f>"7300101047"</f>
        <v>7300101047</v>
      </c>
      <c r="G93" t="str">
        <f t="shared" si="104"/>
        <v>01</v>
      </c>
      <c r="H93" t="str">
        <f>"1"</f>
        <v>1</v>
      </c>
      <c r="I93" t="str">
        <f>"1"</f>
        <v>1</v>
      </c>
      <c r="J93" t="str">
        <f>"M"</f>
        <v>M</v>
      </c>
      <c r="K93" t="str">
        <f t="shared" si="76"/>
        <v>170</v>
      </c>
      <c r="L93" t="str">
        <f>"18"</f>
        <v>18</v>
      </c>
      <c r="M93" t="str">
        <f>"256"</f>
        <v>256</v>
      </c>
      <c r="N93" t="str">
        <f t="shared" ref="N93:N98" si="109">"1"</f>
        <v>1</v>
      </c>
      <c r="O93" t="str">
        <f>"9999"</f>
        <v>9999</v>
      </c>
      <c r="P93" t="str">
        <f>"S"</f>
        <v>S</v>
      </c>
      <c r="Q93" t="str">
        <f>"ESS062"</f>
        <v>ESS062</v>
      </c>
      <c r="R93" t="str">
        <f t="shared" ref="R93:R124" si="110">"6"</f>
        <v>6</v>
      </c>
      <c r="S93" t="str">
        <f>""</f>
        <v/>
      </c>
      <c r="T93" t="str">
        <f t="shared" si="77"/>
        <v xml:space="preserve">                                                                                                    </v>
      </c>
      <c r="U93" t="str">
        <f t="shared" si="105"/>
        <v xml:space="preserve">2         </v>
      </c>
      <c r="V93" t="str">
        <f t="shared" si="97"/>
        <v>2</v>
      </c>
      <c r="W93" t="str">
        <f t="shared" si="97"/>
        <v>2</v>
      </c>
      <c r="X93" t="str">
        <f t="shared" si="99"/>
        <v>2</v>
      </c>
      <c r="Y93" t="str">
        <f t="shared" si="98"/>
        <v>2</v>
      </c>
      <c r="Z93" t="str">
        <f t="shared" si="98"/>
        <v>2</v>
      </c>
      <c r="AA93" t="str">
        <f t="shared" si="79"/>
        <v xml:space="preserve">          </v>
      </c>
      <c r="AB93" t="str">
        <f t="shared" si="67"/>
        <v>2</v>
      </c>
      <c r="AC93" t="str">
        <f t="shared" si="70"/>
        <v>2</v>
      </c>
      <c r="AD93" t="str">
        <f t="shared" si="100"/>
        <v>2</v>
      </c>
      <c r="AE93" t="str">
        <f t="shared" si="100"/>
        <v>2</v>
      </c>
      <c r="AF93" t="str">
        <f t="shared" si="100"/>
        <v>2</v>
      </c>
      <c r="AG93" t="str">
        <f t="shared" si="100"/>
        <v>2</v>
      </c>
      <c r="AH93" t="str">
        <f t="shared" si="101"/>
        <v>1</v>
      </c>
      <c r="AI93" t="str">
        <f t="shared" si="107"/>
        <v xml:space="preserve">1         </v>
      </c>
      <c r="AJ93" t="str">
        <f t="shared" si="81"/>
        <v>170</v>
      </c>
      <c r="AK93" t="str">
        <f>"73"</f>
        <v>73</v>
      </c>
      <c r="AL93" t="str">
        <f>"001"</f>
        <v>001</v>
      </c>
      <c r="AM93" t="str">
        <f>"73"</f>
        <v>73</v>
      </c>
      <c r="AN93" t="str">
        <f>"73001"</f>
        <v>73001</v>
      </c>
      <c r="AO93" t="str">
        <f>"1/07/2020 12:00:00 a. m."</f>
        <v>1/07/2020 12:00:00 a. m.</v>
      </c>
      <c r="AP93" t="str">
        <f>"10/06/2020 12:00:00 a. m."</f>
        <v>10/06/2020 12:00:00 a. m.</v>
      </c>
      <c r="AQ93" t="str">
        <f t="shared" si="106"/>
        <v>3</v>
      </c>
      <c r="AR93" t="str">
        <f t="shared" si="108"/>
        <v>1</v>
      </c>
      <c r="AS93" t="str">
        <f>"5/10/2020 12:00:00 a. m."</f>
        <v>5/10/2020 12:00:00 a. m.</v>
      </c>
      <c r="AT93" t="str">
        <f t="shared" si="103"/>
        <v>1</v>
      </c>
      <c r="AU93" t="str">
        <f>""</f>
        <v/>
      </c>
      <c r="AV93" t="str">
        <f>"0"</f>
        <v>0</v>
      </c>
      <c r="AW93" t="str">
        <f>"8/05/2019 12:00:00 a. m."</f>
        <v>8/05/2019 12:00:00 a. m.</v>
      </c>
      <c r="AX93" t="str">
        <f>""</f>
        <v/>
      </c>
      <c r="AY93" t="str">
        <f t="shared" si="82"/>
        <v>30/04/2021 12:00:00 a. m.</v>
      </c>
      <c r="AZ93" t="str">
        <f>"8/11/2020 12:00:00 a. m."</f>
        <v>8/11/2020 12:00:00 a. m.</v>
      </c>
      <c r="BA93" t="str">
        <f>""</f>
        <v/>
      </c>
      <c r="BB93" t="str">
        <f>""</f>
        <v/>
      </c>
      <c r="BC93" t="str">
        <f>""</f>
        <v/>
      </c>
      <c r="BD93" t="str">
        <f t="shared" si="102"/>
        <v>1</v>
      </c>
      <c r="BE93" t="str">
        <f t="shared" si="102"/>
        <v>1</v>
      </c>
      <c r="BF93" t="str">
        <f t="shared" si="83"/>
        <v xml:space="preserve">3         </v>
      </c>
      <c r="BG93" t="str">
        <f t="shared" si="84"/>
        <v>Confirmado por laboratorio</v>
      </c>
      <c r="BH93" t="str">
        <f>"HOSPITAL FEDERICO LLERAS ACOSTA ESE SEDE LA FRANC"</f>
        <v>HOSPITAL FEDERICO LLERAS ACOSTA ESE SEDE LA FRANC</v>
      </c>
      <c r="BI93" t="str">
        <f t="shared" si="85"/>
        <v>COLOMBIA</v>
      </c>
      <c r="BJ93" t="str">
        <f t="shared" si="86"/>
        <v>CANCER INFANTIL</v>
      </c>
      <c r="BK93" t="str">
        <f>"CAQUETA"</f>
        <v>CAQUETA</v>
      </c>
      <c r="BL93" t="str">
        <f>"EL PAUJIL"</f>
        <v>EL PAUJIL</v>
      </c>
      <c r="BM93" t="str">
        <f t="shared" si="87"/>
        <v>COLOMBIA</v>
      </c>
      <c r="BN93" t="str">
        <f>"TOLIMA"</f>
        <v>TOLIMA</v>
      </c>
      <c r="BO93" t="str">
        <f>"IBAGUE"</f>
        <v>IBAGUE</v>
      </c>
      <c r="BP93" t="str">
        <f>"TOLIMA"</f>
        <v>TOLIMA</v>
      </c>
      <c r="BQ93" t="str">
        <f>"IBAGUE"</f>
        <v>IBAGUE</v>
      </c>
    </row>
    <row r="94" spans="1:69" x14ac:dyDescent="0.25">
      <c r="A94" t="str">
        <f>"7279259"</f>
        <v>7279259</v>
      </c>
      <c r="B94" t="str">
        <f t="shared" si="74"/>
        <v>459</v>
      </c>
      <c r="C94" t="str">
        <f>"22/05/2020 12:00:00 a. m."</f>
        <v>22/05/2020 12:00:00 a. m.</v>
      </c>
      <c r="D94" t="str">
        <f>"19"</f>
        <v>19</v>
      </c>
      <c r="E94" t="str">
        <f t="shared" si="75"/>
        <v>2020</v>
      </c>
      <c r="F94" t="str">
        <f>"7600102870"</f>
        <v>7600102870</v>
      </c>
      <c r="G94" t="str">
        <f t="shared" si="104"/>
        <v>01</v>
      </c>
      <c r="H94" t="str">
        <f>"1"</f>
        <v>1</v>
      </c>
      <c r="I94" t="str">
        <f>"2"</f>
        <v>2</v>
      </c>
      <c r="J94" t="str">
        <f>"F"</f>
        <v>F</v>
      </c>
      <c r="K94" t="str">
        <f t="shared" si="76"/>
        <v>170</v>
      </c>
      <c r="L94" t="str">
        <f>"76"</f>
        <v>76</v>
      </c>
      <c r="M94" t="str">
        <f>"892"</f>
        <v>892</v>
      </c>
      <c r="N94" t="str">
        <f t="shared" si="109"/>
        <v>1</v>
      </c>
      <c r="O94" t="str">
        <f>"9999"</f>
        <v>9999</v>
      </c>
      <c r="P94" t="str">
        <f>"C"</f>
        <v>C</v>
      </c>
      <c r="Q94" t="str">
        <f>"ESSC62"</f>
        <v>ESSC62</v>
      </c>
      <c r="R94" t="str">
        <f t="shared" si="110"/>
        <v>6</v>
      </c>
      <c r="S94" t="str">
        <f>""</f>
        <v/>
      </c>
      <c r="T94" t="str">
        <f t="shared" si="77"/>
        <v xml:space="preserve">                                                                                                    </v>
      </c>
      <c r="U94" t="str">
        <f>"          "</f>
        <v xml:space="preserve">          </v>
      </c>
      <c r="V94" t="str">
        <f t="shared" si="97"/>
        <v>2</v>
      </c>
      <c r="W94" t="str">
        <f t="shared" si="97"/>
        <v>2</v>
      </c>
      <c r="X94" t="str">
        <f t="shared" si="99"/>
        <v>2</v>
      </c>
      <c r="Y94" t="str">
        <f t="shared" si="98"/>
        <v>2</v>
      </c>
      <c r="Z94" t="str">
        <f t="shared" si="98"/>
        <v>2</v>
      </c>
      <c r="AA94" t="str">
        <f t="shared" si="79"/>
        <v xml:space="preserve">          </v>
      </c>
      <c r="AB94" t="str">
        <f t="shared" si="67"/>
        <v>2</v>
      </c>
      <c r="AC94" t="str">
        <f t="shared" si="70"/>
        <v>2</v>
      </c>
      <c r="AD94" t="str">
        <f t="shared" si="100"/>
        <v>2</v>
      </c>
      <c r="AE94" t="str">
        <f t="shared" si="100"/>
        <v>2</v>
      </c>
      <c r="AF94" t="str">
        <f t="shared" si="100"/>
        <v>2</v>
      </c>
      <c r="AG94" t="str">
        <f t="shared" si="100"/>
        <v>2</v>
      </c>
      <c r="AH94" t="str">
        <f t="shared" si="101"/>
        <v>1</v>
      </c>
      <c r="AI94" t="str">
        <f t="shared" si="107"/>
        <v xml:space="preserve">1         </v>
      </c>
      <c r="AJ94" t="str">
        <f t="shared" si="81"/>
        <v>170</v>
      </c>
      <c r="AK94" t="str">
        <f>"76"</f>
        <v>76</v>
      </c>
      <c r="AL94" t="str">
        <f>"892"</f>
        <v>892</v>
      </c>
      <c r="AM94" t="str">
        <f>"76"</f>
        <v>76</v>
      </c>
      <c r="AN94" t="str">
        <f>"76001"</f>
        <v>76001</v>
      </c>
      <c r="AO94" t="str">
        <f>"7/05/2020 12:00:00 a. m."</f>
        <v>7/05/2020 12:00:00 a. m.</v>
      </c>
      <c r="AP94" t="str">
        <f>"31/03/2020 12:00:00 a. m."</f>
        <v>31/03/2020 12:00:00 a. m.</v>
      </c>
      <c r="AQ94" t="str">
        <f t="shared" si="106"/>
        <v>3</v>
      </c>
      <c r="AR94" t="str">
        <f t="shared" si="108"/>
        <v>1</v>
      </c>
      <c r="AS94" t="str">
        <f>"7/05/2020 12:00:00 a. m."</f>
        <v>7/05/2020 12:00:00 a. m.</v>
      </c>
      <c r="AT94" t="str">
        <f t="shared" si="103"/>
        <v>1</v>
      </c>
      <c r="AU94" t="str">
        <f>""</f>
        <v/>
      </c>
      <c r="AV94" t="str">
        <f>"0"</f>
        <v>0</v>
      </c>
      <c r="AW94" t="str">
        <f>"31/03/2020 12:00:00 a. m."</f>
        <v>31/03/2020 12:00:00 a. m.</v>
      </c>
      <c r="AX94" t="str">
        <f>""</f>
        <v/>
      </c>
      <c r="AY94" t="str">
        <f t="shared" si="82"/>
        <v>30/04/2021 12:00:00 a. m.</v>
      </c>
      <c r="AZ94" t="str">
        <f>"22/05/2020 12:00:00 a. m."</f>
        <v>22/05/2020 12:00:00 a. m.</v>
      </c>
      <c r="BA94" t="str">
        <f>""</f>
        <v/>
      </c>
      <c r="BB94" t="str">
        <f>""</f>
        <v/>
      </c>
      <c r="BC94" t="str">
        <f>""</f>
        <v/>
      </c>
      <c r="BD94" t="str">
        <f t="shared" si="102"/>
        <v>1</v>
      </c>
      <c r="BE94" t="str">
        <f t="shared" si="102"/>
        <v>1</v>
      </c>
      <c r="BF94" t="str">
        <f t="shared" si="83"/>
        <v xml:space="preserve">3         </v>
      </c>
      <c r="BG94" t="str">
        <f t="shared" si="84"/>
        <v>Confirmado por laboratorio</v>
      </c>
      <c r="BH94" t="str">
        <f>"FUNDACION VALLE DEL LILI"</f>
        <v>FUNDACION VALLE DEL LILI</v>
      </c>
      <c r="BI94" t="str">
        <f t="shared" si="85"/>
        <v>COLOMBIA</v>
      </c>
      <c r="BJ94" t="str">
        <f t="shared" si="86"/>
        <v>CANCER INFANTIL</v>
      </c>
      <c r="BK94" t="str">
        <f>"VALLE"</f>
        <v>VALLE</v>
      </c>
      <c r="BL94" t="str">
        <f>"YUMBO"</f>
        <v>YUMBO</v>
      </c>
      <c r="BM94" t="str">
        <f t="shared" si="87"/>
        <v>COLOMBIA</v>
      </c>
      <c r="BN94" t="str">
        <f>"VALLE"</f>
        <v>VALLE</v>
      </c>
      <c r="BO94" t="str">
        <f>"YUMBO"</f>
        <v>YUMBO</v>
      </c>
      <c r="BP94" t="str">
        <f>"VALLE"</f>
        <v>VALLE</v>
      </c>
      <c r="BQ94" t="str">
        <f>"CALI"</f>
        <v>CALI</v>
      </c>
    </row>
    <row r="95" spans="1:69" x14ac:dyDescent="0.25">
      <c r="A95" t="str">
        <f>"7285452"</f>
        <v>7285452</v>
      </c>
      <c r="B95" t="str">
        <f t="shared" si="74"/>
        <v>459</v>
      </c>
      <c r="C95" t="str">
        <f>"22/12/2020 12:00:00 a. m."</f>
        <v>22/12/2020 12:00:00 a. m.</v>
      </c>
      <c r="D95" t="str">
        <f>"41"</f>
        <v>41</v>
      </c>
      <c r="E95" t="str">
        <f t="shared" si="75"/>
        <v>2020</v>
      </c>
      <c r="F95" t="str">
        <f>"6600100762"</f>
        <v>6600100762</v>
      </c>
      <c r="G95" t="str">
        <f t="shared" si="104"/>
        <v>01</v>
      </c>
      <c r="H95" t="str">
        <f>"2"</f>
        <v>2</v>
      </c>
      <c r="I95" t="str">
        <f t="shared" ref="I95:I101" si="111">"1"</f>
        <v>1</v>
      </c>
      <c r="J95" t="str">
        <f>"M"</f>
        <v>M</v>
      </c>
      <c r="K95" t="str">
        <f t="shared" si="76"/>
        <v>170</v>
      </c>
      <c r="L95" t="str">
        <f>"66"</f>
        <v>66</v>
      </c>
      <c r="M95" t="str">
        <f>"170"</f>
        <v>170</v>
      </c>
      <c r="N95" t="str">
        <f t="shared" si="109"/>
        <v>1</v>
      </c>
      <c r="O95" t="str">
        <f>"9999"</f>
        <v>9999</v>
      </c>
      <c r="P95" t="str">
        <f>"S"</f>
        <v>S</v>
      </c>
      <c r="Q95" t="str">
        <f>"EPSS45"</f>
        <v>EPSS45</v>
      </c>
      <c r="R95" t="str">
        <f t="shared" si="110"/>
        <v>6</v>
      </c>
      <c r="S95" t="str">
        <f>""</f>
        <v/>
      </c>
      <c r="T95" t="str">
        <f t="shared" si="77"/>
        <v xml:space="preserve">                                                                                                    </v>
      </c>
      <c r="U95" t="str">
        <f>"1         "</f>
        <v xml:space="preserve">1         </v>
      </c>
      <c r="V95" t="str">
        <f t="shared" si="97"/>
        <v>2</v>
      </c>
      <c r="W95" t="str">
        <f t="shared" si="97"/>
        <v>2</v>
      </c>
      <c r="X95" t="str">
        <f t="shared" si="99"/>
        <v>2</v>
      </c>
      <c r="Y95" t="str">
        <f t="shared" si="98"/>
        <v>2</v>
      </c>
      <c r="Z95" t="str">
        <f t="shared" si="98"/>
        <v>2</v>
      </c>
      <c r="AA95" t="str">
        <f t="shared" si="79"/>
        <v xml:space="preserve">          </v>
      </c>
      <c r="AB95" t="str">
        <f t="shared" si="67"/>
        <v>2</v>
      </c>
      <c r="AC95" t="str">
        <f t="shared" si="70"/>
        <v>2</v>
      </c>
      <c r="AD95" t="str">
        <f t="shared" si="100"/>
        <v>2</v>
      </c>
      <c r="AE95" t="str">
        <f t="shared" si="100"/>
        <v>2</v>
      </c>
      <c r="AF95" t="str">
        <f t="shared" si="100"/>
        <v>2</v>
      </c>
      <c r="AG95" t="str">
        <f t="shared" si="100"/>
        <v>2</v>
      </c>
      <c r="AH95" t="str">
        <f t="shared" si="101"/>
        <v>1</v>
      </c>
      <c r="AI95" t="str">
        <f>"2         "</f>
        <v xml:space="preserve">2         </v>
      </c>
      <c r="AJ95" t="str">
        <f t="shared" si="81"/>
        <v>170</v>
      </c>
      <c r="AK95" t="str">
        <f>"66"</f>
        <v>66</v>
      </c>
      <c r="AL95" t="str">
        <f>"170"</f>
        <v>170</v>
      </c>
      <c r="AM95" t="str">
        <f>"66"</f>
        <v>66</v>
      </c>
      <c r="AN95" t="str">
        <f>"66001"</f>
        <v>66001</v>
      </c>
      <c r="AO95" t="str">
        <f>"5/10/2020 12:00:00 a. m."</f>
        <v>5/10/2020 12:00:00 a. m.</v>
      </c>
      <c r="AP95" t="str">
        <f>"5/10/2020 12:00:00 a. m."</f>
        <v>5/10/2020 12:00:00 a. m.</v>
      </c>
      <c r="AQ95" t="str">
        <f>"2"</f>
        <v>2</v>
      </c>
      <c r="AR95" t="str">
        <f t="shared" si="108"/>
        <v>1</v>
      </c>
      <c r="AS95" t="str">
        <f>"5/10/2020 12:00:00 a. m."</f>
        <v>5/10/2020 12:00:00 a. m.</v>
      </c>
      <c r="AT95" t="str">
        <f t="shared" si="103"/>
        <v>1</v>
      </c>
      <c r="AU95" t="str">
        <f>""</f>
        <v/>
      </c>
      <c r="AV95" t="str">
        <f>"3"</f>
        <v>3</v>
      </c>
      <c r="AW95" t="str">
        <f>"4/12/2018 12:00:00 a. m."</f>
        <v>4/12/2018 12:00:00 a. m.</v>
      </c>
      <c r="AX95" t="str">
        <f>""</f>
        <v/>
      </c>
      <c r="AY95" t="str">
        <f t="shared" si="82"/>
        <v>30/04/2021 12:00:00 a. m.</v>
      </c>
      <c r="AZ95" t="str">
        <f>"18/02/2021 12:00:00 a. m."</f>
        <v>18/02/2021 12:00:00 a. m.</v>
      </c>
      <c r="BA95" t="str">
        <f>""</f>
        <v/>
      </c>
      <c r="BB95" t="str">
        <f>""</f>
        <v/>
      </c>
      <c r="BC95" t="str">
        <f>""</f>
        <v/>
      </c>
      <c r="BD95" t="str">
        <f t="shared" si="102"/>
        <v>1</v>
      </c>
      <c r="BE95" t="str">
        <f t="shared" si="102"/>
        <v>1</v>
      </c>
      <c r="BF95" t="str">
        <f t="shared" si="83"/>
        <v xml:space="preserve">3         </v>
      </c>
      <c r="BG95" t="str">
        <f t="shared" si="84"/>
        <v>Confirmado por laboratorio</v>
      </c>
      <c r="BH95" t="str">
        <f>"HOSPITAL UNIVERSITARIO SAN JORGE DE PEREIRA"</f>
        <v>HOSPITAL UNIVERSITARIO SAN JORGE DE PEREIRA</v>
      </c>
      <c r="BI95" t="str">
        <f t="shared" si="85"/>
        <v>COLOMBIA</v>
      </c>
      <c r="BJ95" t="str">
        <f t="shared" si="86"/>
        <v>CANCER INFANTIL</v>
      </c>
      <c r="BK95" t="str">
        <f>"RISARALDA"</f>
        <v>RISARALDA</v>
      </c>
      <c r="BL95" t="str">
        <f>"DOSQUEBRADAS"</f>
        <v>DOSQUEBRADAS</v>
      </c>
      <c r="BM95" t="str">
        <f t="shared" si="87"/>
        <v>COLOMBIA</v>
      </c>
      <c r="BN95" t="str">
        <f>"RISARALDA"</f>
        <v>RISARALDA</v>
      </c>
      <c r="BO95" t="str">
        <f>"DOSQUEBRADAS"</f>
        <v>DOSQUEBRADAS</v>
      </c>
      <c r="BP95" t="str">
        <f>"RISARALDA"</f>
        <v>RISARALDA</v>
      </c>
      <c r="BQ95" t="str">
        <f>"PEREIRA"</f>
        <v>PEREIRA</v>
      </c>
    </row>
    <row r="96" spans="1:69" x14ac:dyDescent="0.25">
      <c r="A96" t="str">
        <f>"7285933"</f>
        <v>7285933</v>
      </c>
      <c r="B96" t="str">
        <f t="shared" si="74"/>
        <v>459</v>
      </c>
      <c r="C96" t="str">
        <f>"11/08/2020 12:00:00 a. m."</f>
        <v>11/08/2020 12:00:00 a. m.</v>
      </c>
      <c r="D96" t="str">
        <f>"29"</f>
        <v>29</v>
      </c>
      <c r="E96" t="str">
        <f t="shared" si="75"/>
        <v>2020</v>
      </c>
      <c r="F96" t="str">
        <f>"1100105681"</f>
        <v>1100105681</v>
      </c>
      <c r="G96" t="str">
        <f t="shared" si="104"/>
        <v>01</v>
      </c>
      <c r="H96" t="str">
        <f>"11"</f>
        <v>11</v>
      </c>
      <c r="I96" t="str">
        <f t="shared" si="111"/>
        <v>1</v>
      </c>
      <c r="J96" t="str">
        <f>"M"</f>
        <v>M</v>
      </c>
      <c r="K96" t="str">
        <f t="shared" si="76"/>
        <v>170</v>
      </c>
      <c r="L96" t="str">
        <f>"68"</f>
        <v>68</v>
      </c>
      <c r="M96" t="str">
        <f>"001"</f>
        <v>001</v>
      </c>
      <c r="N96" t="str">
        <f t="shared" si="109"/>
        <v>1</v>
      </c>
      <c r="O96" t="str">
        <f>"9997"</f>
        <v>9997</v>
      </c>
      <c r="P96" t="str">
        <f>"C"</f>
        <v>C</v>
      </c>
      <c r="Q96" t="str">
        <f>"EPS044"</f>
        <v>EPS044</v>
      </c>
      <c r="R96" t="str">
        <f t="shared" si="110"/>
        <v>6</v>
      </c>
      <c r="S96" t="str">
        <f>""</f>
        <v/>
      </c>
      <c r="T96" t="str">
        <f t="shared" si="77"/>
        <v xml:space="preserve">                                                                                                    </v>
      </c>
      <c r="U96" t="str">
        <f>"2         "</f>
        <v xml:space="preserve">2         </v>
      </c>
      <c r="V96" t="str">
        <f t="shared" si="97"/>
        <v>2</v>
      </c>
      <c r="W96" t="str">
        <f t="shared" si="97"/>
        <v>2</v>
      </c>
      <c r="X96" t="str">
        <f t="shared" si="99"/>
        <v>2</v>
      </c>
      <c r="Y96" t="str">
        <f t="shared" si="98"/>
        <v>2</v>
      </c>
      <c r="Z96" t="str">
        <f t="shared" si="98"/>
        <v>2</v>
      </c>
      <c r="AA96" t="str">
        <f t="shared" si="79"/>
        <v xml:space="preserve">          </v>
      </c>
      <c r="AB96" t="str">
        <f t="shared" si="67"/>
        <v>2</v>
      </c>
      <c r="AC96" t="str">
        <f t="shared" si="70"/>
        <v>2</v>
      </c>
      <c r="AD96" t="str">
        <f t="shared" si="100"/>
        <v>2</v>
      </c>
      <c r="AE96" t="str">
        <f t="shared" si="100"/>
        <v>2</v>
      </c>
      <c r="AF96" t="str">
        <f t="shared" si="100"/>
        <v>2</v>
      </c>
      <c r="AG96" t="str">
        <f t="shared" si="100"/>
        <v>2</v>
      </c>
      <c r="AH96" t="str">
        <f t="shared" si="101"/>
        <v>1</v>
      </c>
      <c r="AI96" t="str">
        <f>"1         "</f>
        <v xml:space="preserve">1         </v>
      </c>
      <c r="AJ96" t="str">
        <f t="shared" si="81"/>
        <v>170</v>
      </c>
      <c r="AK96" t="str">
        <f>"68"</f>
        <v>68</v>
      </c>
      <c r="AL96" t="str">
        <f>"679"</f>
        <v>679</v>
      </c>
      <c r="AM96" t="str">
        <f>"11"</f>
        <v>11</v>
      </c>
      <c r="AN96" t="str">
        <f>"11001"</f>
        <v>11001</v>
      </c>
      <c r="AO96" t="str">
        <f>"12/07/2020 12:00:00 a. m."</f>
        <v>12/07/2020 12:00:00 a. m.</v>
      </c>
      <c r="AP96" t="str">
        <f>"12/01/2020 12:00:00 a. m."</f>
        <v>12/01/2020 12:00:00 a. m.</v>
      </c>
      <c r="AQ96" t="str">
        <f>"3"</f>
        <v>3</v>
      </c>
      <c r="AR96" t="str">
        <f t="shared" si="108"/>
        <v>1</v>
      </c>
      <c r="AS96" t="str">
        <f>"12/07/2020 12:00:00 a. m."</f>
        <v>12/07/2020 12:00:00 a. m.</v>
      </c>
      <c r="AT96" t="str">
        <f t="shared" si="103"/>
        <v>1</v>
      </c>
      <c r="AU96" t="str">
        <f>""</f>
        <v/>
      </c>
      <c r="AV96" t="str">
        <f>"7"</f>
        <v>7</v>
      </c>
      <c r="AW96" t="str">
        <f>"13/05/2009 12:00:00 a. m."</f>
        <v>13/05/2009 12:00:00 a. m.</v>
      </c>
      <c r="AX96" t="str">
        <f>""</f>
        <v/>
      </c>
      <c r="AY96" t="str">
        <f t="shared" si="82"/>
        <v>30/04/2021 12:00:00 a. m.</v>
      </c>
      <c r="AZ96" t="str">
        <f>"6/04/2021 12:00:00 a. m."</f>
        <v>6/04/2021 12:00:00 a. m.</v>
      </c>
      <c r="BA96" t="str">
        <f>""</f>
        <v/>
      </c>
      <c r="BB96" t="str">
        <f>""</f>
        <v/>
      </c>
      <c r="BC96" t="str">
        <f>""</f>
        <v/>
      </c>
      <c r="BD96" t="str">
        <f t="shared" si="102"/>
        <v>1</v>
      </c>
      <c r="BE96" t="str">
        <f t="shared" si="102"/>
        <v>1</v>
      </c>
      <c r="BF96" t="str">
        <f t="shared" si="83"/>
        <v xml:space="preserve">3         </v>
      </c>
      <c r="BG96" t="str">
        <f t="shared" si="84"/>
        <v>Confirmado por laboratorio</v>
      </c>
      <c r="BH96" t="str">
        <f>"FUNDACION HOSPITAL DE LA MISERICORDIA"</f>
        <v>FUNDACION HOSPITAL DE LA MISERICORDIA</v>
      </c>
      <c r="BI96" t="str">
        <f t="shared" si="85"/>
        <v>COLOMBIA</v>
      </c>
      <c r="BJ96" t="str">
        <f t="shared" si="86"/>
        <v>CANCER INFANTIL</v>
      </c>
      <c r="BK96" t="str">
        <f>"SANTANDER"</f>
        <v>SANTANDER</v>
      </c>
      <c r="BL96" t="str">
        <f>"BUCARAMANGA"</f>
        <v>BUCARAMANGA</v>
      </c>
      <c r="BM96" t="str">
        <f t="shared" si="87"/>
        <v>COLOMBIA</v>
      </c>
      <c r="BN96" t="str">
        <f>"SANTANDER"</f>
        <v>SANTANDER</v>
      </c>
      <c r="BO96" t="str">
        <f>"SAN GIL"</f>
        <v>SAN GIL</v>
      </c>
      <c r="BP96" t="str">
        <f>"BOGOTA"</f>
        <v>BOGOTA</v>
      </c>
      <c r="BQ96" t="str">
        <f>"BOGOTA"</f>
        <v>BOGOTA</v>
      </c>
    </row>
    <row r="97" spans="1:69" x14ac:dyDescent="0.25">
      <c r="A97" t="str">
        <f>"7285890"</f>
        <v>7285890</v>
      </c>
      <c r="B97" t="str">
        <f t="shared" si="74"/>
        <v>459</v>
      </c>
      <c r="C97" t="str">
        <f>"9/03/2020 12:00:00 a. m."</f>
        <v>9/03/2020 12:00:00 a. m.</v>
      </c>
      <c r="D97" t="str">
        <f>"11"</f>
        <v>11</v>
      </c>
      <c r="E97" t="str">
        <f t="shared" si="75"/>
        <v>2020</v>
      </c>
      <c r="F97" t="str">
        <f>"1100109456"</f>
        <v>1100109456</v>
      </c>
      <c r="G97" t="str">
        <f t="shared" si="104"/>
        <v>01</v>
      </c>
      <c r="H97" t="str">
        <f>"12"</f>
        <v>12</v>
      </c>
      <c r="I97" t="str">
        <f t="shared" si="111"/>
        <v>1</v>
      </c>
      <c r="J97" t="str">
        <f>"F"</f>
        <v>F</v>
      </c>
      <c r="K97" t="str">
        <f t="shared" si="76"/>
        <v>170</v>
      </c>
      <c r="L97" t="str">
        <f>"15"</f>
        <v>15</v>
      </c>
      <c r="M97" t="str">
        <f>"238"</f>
        <v>238</v>
      </c>
      <c r="N97" t="str">
        <f t="shared" si="109"/>
        <v>1</v>
      </c>
      <c r="O97" t="str">
        <f>"9997"</f>
        <v>9997</v>
      </c>
      <c r="P97" t="str">
        <f>"S"</f>
        <v>S</v>
      </c>
      <c r="Q97" t="str">
        <f>"EPSS41"</f>
        <v>EPSS41</v>
      </c>
      <c r="R97" t="str">
        <f t="shared" si="110"/>
        <v>6</v>
      </c>
      <c r="S97" t="str">
        <f>""</f>
        <v/>
      </c>
      <c r="T97" t="str">
        <f t="shared" si="77"/>
        <v xml:space="preserve">                                                                                                    </v>
      </c>
      <c r="U97" t="str">
        <f>"1         "</f>
        <v xml:space="preserve">1         </v>
      </c>
      <c r="V97" t="str">
        <f t="shared" si="97"/>
        <v>2</v>
      </c>
      <c r="W97" t="str">
        <f t="shared" si="97"/>
        <v>2</v>
      </c>
      <c r="X97" t="str">
        <f t="shared" si="99"/>
        <v>2</v>
      </c>
      <c r="Y97" t="str">
        <f t="shared" si="98"/>
        <v>2</v>
      </c>
      <c r="Z97" t="str">
        <f t="shared" si="98"/>
        <v>2</v>
      </c>
      <c r="AA97" t="str">
        <f t="shared" si="79"/>
        <v xml:space="preserve">          </v>
      </c>
      <c r="AB97" t="str">
        <f t="shared" si="67"/>
        <v>2</v>
      </c>
      <c r="AC97" t="str">
        <f t="shared" si="70"/>
        <v>2</v>
      </c>
      <c r="AD97" t="str">
        <f t="shared" si="100"/>
        <v>2</v>
      </c>
      <c r="AE97" t="str">
        <f t="shared" si="100"/>
        <v>2</v>
      </c>
      <c r="AF97" t="str">
        <f t="shared" si="100"/>
        <v>2</v>
      </c>
      <c r="AG97" t="str">
        <f t="shared" si="100"/>
        <v>2</v>
      </c>
      <c r="AH97" t="str">
        <f t="shared" si="101"/>
        <v>1</v>
      </c>
      <c r="AI97" t="str">
        <f>"1         "</f>
        <v xml:space="preserve">1         </v>
      </c>
      <c r="AJ97" t="str">
        <f t="shared" si="81"/>
        <v>170</v>
      </c>
      <c r="AK97" t="str">
        <f>"15"</f>
        <v>15</v>
      </c>
      <c r="AL97" t="str">
        <f>"238"</f>
        <v>238</v>
      </c>
      <c r="AM97" t="str">
        <f>"11"</f>
        <v>11</v>
      </c>
      <c r="AN97" t="str">
        <f>"11001"</f>
        <v>11001</v>
      </c>
      <c r="AO97" t="str">
        <f>"9/03/2020 12:00:00 a. m."</f>
        <v>9/03/2020 12:00:00 a. m.</v>
      </c>
      <c r="AP97" t="str">
        <f>"1/01/2018 12:00:00 a. m."</f>
        <v>1/01/2018 12:00:00 a. m.</v>
      </c>
      <c r="AQ97" t="str">
        <f>"2"</f>
        <v>2</v>
      </c>
      <c r="AR97" t="str">
        <f t="shared" si="108"/>
        <v>1</v>
      </c>
      <c r="AS97" t="str">
        <f>"9/03/2020 12:00:00 a. m."</f>
        <v>9/03/2020 12:00:00 a. m.</v>
      </c>
      <c r="AT97" t="str">
        <f t="shared" si="103"/>
        <v>1</v>
      </c>
      <c r="AU97" t="str">
        <f>""</f>
        <v/>
      </c>
      <c r="AV97" t="str">
        <f>"3"</f>
        <v>3</v>
      </c>
      <c r="AW97" t="str">
        <f>"24/04/2007 12:00:00 a. m."</f>
        <v>24/04/2007 12:00:00 a. m.</v>
      </c>
      <c r="AX97" t="str">
        <f>""</f>
        <v/>
      </c>
      <c r="AY97" t="str">
        <f t="shared" si="82"/>
        <v>30/04/2021 12:00:00 a. m.</v>
      </c>
      <c r="AZ97" t="str">
        <f>"16/04/2020 12:00:00 a. m."</f>
        <v>16/04/2020 12:00:00 a. m.</v>
      </c>
      <c r="BA97" t="str">
        <f>""</f>
        <v/>
      </c>
      <c r="BB97" t="str">
        <f>""</f>
        <v/>
      </c>
      <c r="BC97" t="str">
        <f>""</f>
        <v/>
      </c>
      <c r="BD97" t="str">
        <f t="shared" si="102"/>
        <v>1</v>
      </c>
      <c r="BE97" t="str">
        <f t="shared" si="102"/>
        <v>1</v>
      </c>
      <c r="BF97" t="str">
        <f t="shared" si="83"/>
        <v xml:space="preserve">3         </v>
      </c>
      <c r="BG97" t="str">
        <f t="shared" si="84"/>
        <v>Confirmado por laboratorio</v>
      </c>
      <c r="BH97" t="str">
        <f>"HOSPITAL UNIVERSITARIO SAN IGNACIO"</f>
        <v>HOSPITAL UNIVERSITARIO SAN IGNACIO</v>
      </c>
      <c r="BI97" t="str">
        <f t="shared" si="85"/>
        <v>COLOMBIA</v>
      </c>
      <c r="BJ97" t="str">
        <f t="shared" si="86"/>
        <v>CANCER INFANTIL</v>
      </c>
      <c r="BK97" t="str">
        <f>"BOYACA"</f>
        <v>BOYACA</v>
      </c>
      <c r="BL97" t="str">
        <f>"DUITAMA"</f>
        <v>DUITAMA</v>
      </c>
      <c r="BM97" t="str">
        <f t="shared" si="87"/>
        <v>COLOMBIA</v>
      </c>
      <c r="BN97" t="str">
        <f>"BOYACA"</f>
        <v>BOYACA</v>
      </c>
      <c r="BO97" t="str">
        <f>"DUITAMA"</f>
        <v>DUITAMA</v>
      </c>
      <c r="BP97" t="str">
        <f>"BOGOTA"</f>
        <v>BOGOTA</v>
      </c>
      <c r="BQ97" t="str">
        <f>"BOGOTA"</f>
        <v>BOGOTA</v>
      </c>
    </row>
    <row r="98" spans="1:69" x14ac:dyDescent="0.25">
      <c r="A98" t="str">
        <f>"7285507"</f>
        <v>7285507</v>
      </c>
      <c r="B98" t="str">
        <f t="shared" si="74"/>
        <v>459</v>
      </c>
      <c r="C98" t="str">
        <f>"6/05/2020 12:00:00 a. m."</f>
        <v>6/05/2020 12:00:00 a. m.</v>
      </c>
      <c r="D98" t="str">
        <f>"07"</f>
        <v>07</v>
      </c>
      <c r="E98" t="str">
        <f t="shared" si="75"/>
        <v>2020</v>
      </c>
      <c r="F98" t="str">
        <f>"6800103418"</f>
        <v>6800103418</v>
      </c>
      <c r="G98" t="str">
        <f t="shared" si="104"/>
        <v>01</v>
      </c>
      <c r="H98" t="str">
        <f>"17"</f>
        <v>17</v>
      </c>
      <c r="I98" t="str">
        <f t="shared" si="111"/>
        <v>1</v>
      </c>
      <c r="J98" t="str">
        <f>"F"</f>
        <v>F</v>
      </c>
      <c r="K98" t="str">
        <f t="shared" si="76"/>
        <v>170</v>
      </c>
      <c r="L98" t="str">
        <f>"68"</f>
        <v>68</v>
      </c>
      <c r="M98" t="str">
        <f>"276"</f>
        <v>276</v>
      </c>
      <c r="N98" t="str">
        <f t="shared" si="109"/>
        <v>1</v>
      </c>
      <c r="O98" t="str">
        <f>"9997"</f>
        <v>9997</v>
      </c>
      <c r="P98" t="str">
        <f>"S"</f>
        <v>S</v>
      </c>
      <c r="Q98" t="str">
        <f>"EPSS37"</f>
        <v>EPSS37</v>
      </c>
      <c r="R98" t="str">
        <f t="shared" si="110"/>
        <v>6</v>
      </c>
      <c r="S98" t="str">
        <f>""</f>
        <v/>
      </c>
      <c r="T98" t="str">
        <f t="shared" ref="T98:T129" si="112">"                                                                                                    "</f>
        <v xml:space="preserve">                                                                                                    </v>
      </c>
      <c r="U98" t="str">
        <f>"3         "</f>
        <v xml:space="preserve">3         </v>
      </c>
      <c r="V98" t="str">
        <f t="shared" si="97"/>
        <v>2</v>
      </c>
      <c r="W98" t="str">
        <f t="shared" si="97"/>
        <v>2</v>
      </c>
      <c r="X98" t="str">
        <f t="shared" si="99"/>
        <v>2</v>
      </c>
      <c r="Y98" t="str">
        <f t="shared" si="98"/>
        <v>2</v>
      </c>
      <c r="Z98" t="str">
        <f t="shared" si="98"/>
        <v>2</v>
      </c>
      <c r="AA98" t="str">
        <f t="shared" si="79"/>
        <v xml:space="preserve">          </v>
      </c>
      <c r="AB98" t="str">
        <f t="shared" si="67"/>
        <v>2</v>
      </c>
      <c r="AC98" t="str">
        <f t="shared" si="70"/>
        <v>2</v>
      </c>
      <c r="AD98" t="str">
        <f t="shared" si="100"/>
        <v>2</v>
      </c>
      <c r="AE98" t="str">
        <f t="shared" si="100"/>
        <v>2</v>
      </c>
      <c r="AF98" t="str">
        <f t="shared" si="100"/>
        <v>2</v>
      </c>
      <c r="AG98" t="str">
        <f t="shared" si="100"/>
        <v>2</v>
      </c>
      <c r="AH98" t="str">
        <f t="shared" si="101"/>
        <v>1</v>
      </c>
      <c r="AI98" t="str">
        <f>"1         "</f>
        <v xml:space="preserve">1         </v>
      </c>
      <c r="AJ98" t="str">
        <f t="shared" si="81"/>
        <v>170</v>
      </c>
      <c r="AK98" t="str">
        <f>"68"</f>
        <v>68</v>
      </c>
      <c r="AL98" t="str">
        <f>"001"</f>
        <v>001</v>
      </c>
      <c r="AM98" t="str">
        <f>"68"</f>
        <v>68</v>
      </c>
      <c r="AN98" t="str">
        <f>"68001"</f>
        <v>68001</v>
      </c>
      <c r="AO98" t="str">
        <f>"12/02/2020 12:00:00 a. m."</f>
        <v>12/02/2020 12:00:00 a. m.</v>
      </c>
      <c r="AP98" t="str">
        <f>"1/07/2019 12:00:00 a. m."</f>
        <v>1/07/2019 12:00:00 a. m.</v>
      </c>
      <c r="AQ98" t="str">
        <f>"2"</f>
        <v>2</v>
      </c>
      <c r="AR98" t="str">
        <f>"2"</f>
        <v>2</v>
      </c>
      <c r="AS98" t="str">
        <f>""</f>
        <v/>
      </c>
      <c r="AT98" t="str">
        <f t="shared" si="103"/>
        <v>1</v>
      </c>
      <c r="AU98" t="str">
        <f>""</f>
        <v/>
      </c>
      <c r="AV98" t="str">
        <f>"3"</f>
        <v>3</v>
      </c>
      <c r="AW98" t="str">
        <f>"7/10/2002 12:00:00 a. m."</f>
        <v>7/10/2002 12:00:00 a. m.</v>
      </c>
      <c r="AX98" t="str">
        <f>""</f>
        <v/>
      </c>
      <c r="AY98" t="str">
        <f t="shared" si="82"/>
        <v>30/04/2021 12:00:00 a. m.</v>
      </c>
      <c r="AZ98" t="str">
        <f>"22/07/2020 12:00:00 a. m."</f>
        <v>22/07/2020 12:00:00 a. m.</v>
      </c>
      <c r="BA98" t="str">
        <f>""</f>
        <v/>
      </c>
      <c r="BB98" t="str">
        <f>""</f>
        <v/>
      </c>
      <c r="BC98" t="str">
        <f>""</f>
        <v/>
      </c>
      <c r="BD98" t="str">
        <f t="shared" si="102"/>
        <v>1</v>
      </c>
      <c r="BE98" t="str">
        <f t="shared" si="102"/>
        <v>1</v>
      </c>
      <c r="BF98" t="str">
        <f t="shared" si="83"/>
        <v xml:space="preserve">3         </v>
      </c>
      <c r="BG98" t="str">
        <f t="shared" si="84"/>
        <v>Confirmado por laboratorio</v>
      </c>
      <c r="BH98" t="str">
        <f>"LOS COMUNEROS HOSPITAL UNIVERSITARIO DE BUCARAMANG"</f>
        <v>LOS COMUNEROS HOSPITAL UNIVERSITARIO DE BUCARAMANG</v>
      </c>
      <c r="BI98" t="str">
        <f t="shared" si="85"/>
        <v>COLOMBIA</v>
      </c>
      <c r="BJ98" t="str">
        <f t="shared" si="86"/>
        <v>CANCER INFANTIL</v>
      </c>
      <c r="BK98" t="str">
        <f>"SANTANDER"</f>
        <v>SANTANDER</v>
      </c>
      <c r="BL98" t="str">
        <f>"FLORIDABLANCA"</f>
        <v>FLORIDABLANCA</v>
      </c>
      <c r="BM98" t="str">
        <f t="shared" si="87"/>
        <v>COLOMBIA</v>
      </c>
      <c r="BN98" t="str">
        <f>"SANTANDER"</f>
        <v>SANTANDER</v>
      </c>
      <c r="BO98" t="str">
        <f>"BUCARAMANGA"</f>
        <v>BUCARAMANGA</v>
      </c>
      <c r="BP98" t="str">
        <f>"SANTANDER"</f>
        <v>SANTANDER</v>
      </c>
      <c r="BQ98" t="str">
        <f>"BUCARAMANGA"</f>
        <v>BUCARAMANGA</v>
      </c>
    </row>
    <row r="99" spans="1:69" x14ac:dyDescent="0.25">
      <c r="A99" t="str">
        <f>"7285337"</f>
        <v>7285337</v>
      </c>
      <c r="B99" t="str">
        <f t="shared" si="74"/>
        <v>459</v>
      </c>
      <c r="C99" t="str">
        <f>"29/01/2020 12:00:00 a. m."</f>
        <v>29/01/2020 12:00:00 a. m.</v>
      </c>
      <c r="D99" t="str">
        <f>"01"</f>
        <v>01</v>
      </c>
      <c r="E99" t="str">
        <f t="shared" si="75"/>
        <v>2020</v>
      </c>
      <c r="F99" t="str">
        <f>"0500102175"</f>
        <v>0500102175</v>
      </c>
      <c r="G99" t="str">
        <f t="shared" si="104"/>
        <v>01</v>
      </c>
      <c r="H99" t="str">
        <f>"13"</f>
        <v>13</v>
      </c>
      <c r="I99" t="str">
        <f t="shared" si="111"/>
        <v>1</v>
      </c>
      <c r="J99" t="str">
        <f>"M"</f>
        <v>M</v>
      </c>
      <c r="K99" t="str">
        <f t="shared" si="76"/>
        <v>170</v>
      </c>
      <c r="L99" t="str">
        <f>"05"</f>
        <v>05</v>
      </c>
      <c r="M99" t="str">
        <f>"001"</f>
        <v>001</v>
      </c>
      <c r="N99" t="str">
        <f>"3"</f>
        <v>3</v>
      </c>
      <c r="O99" t="str">
        <f>"9997"</f>
        <v>9997</v>
      </c>
      <c r="P99" t="str">
        <f>"S"</f>
        <v>S</v>
      </c>
      <c r="Q99" t="str">
        <f>"EPSS40"</f>
        <v>EPSS40</v>
      </c>
      <c r="R99" t="str">
        <f t="shared" si="110"/>
        <v>6</v>
      </c>
      <c r="S99" t="str">
        <f>""</f>
        <v/>
      </c>
      <c r="T99" t="str">
        <f t="shared" si="112"/>
        <v xml:space="preserve">                                                                                                    </v>
      </c>
      <c r="U99" t="str">
        <f>"1         "</f>
        <v xml:space="preserve">1         </v>
      </c>
      <c r="V99" t="str">
        <f t="shared" ref="V99:W118" si="113">"2"</f>
        <v>2</v>
      </c>
      <c r="W99" t="str">
        <f t="shared" si="113"/>
        <v>2</v>
      </c>
      <c r="X99" t="str">
        <f t="shared" si="99"/>
        <v>2</v>
      </c>
      <c r="Y99" t="str">
        <f t="shared" ref="Y99:Z118" si="114">"2"</f>
        <v>2</v>
      </c>
      <c r="Z99" t="str">
        <f t="shared" si="114"/>
        <v>2</v>
      </c>
      <c r="AA99" t="str">
        <f t="shared" si="79"/>
        <v xml:space="preserve">          </v>
      </c>
      <c r="AB99" t="str">
        <f t="shared" si="67"/>
        <v>2</v>
      </c>
      <c r="AC99" t="str">
        <f t="shared" si="70"/>
        <v>2</v>
      </c>
      <c r="AD99" t="str">
        <f t="shared" si="100"/>
        <v>2</v>
      </c>
      <c r="AE99" t="str">
        <f t="shared" si="100"/>
        <v>2</v>
      </c>
      <c r="AF99" t="str">
        <f t="shared" si="100"/>
        <v>2</v>
      </c>
      <c r="AG99" t="str">
        <f t="shared" si="100"/>
        <v>2</v>
      </c>
      <c r="AH99" t="str">
        <f t="shared" si="101"/>
        <v>1</v>
      </c>
      <c r="AI99" t="str">
        <f>"1         "</f>
        <v xml:space="preserve">1         </v>
      </c>
      <c r="AJ99" t="str">
        <f t="shared" si="81"/>
        <v>170</v>
      </c>
      <c r="AK99" t="str">
        <f>"05"</f>
        <v>05</v>
      </c>
      <c r="AL99" t="str">
        <f>"425"</f>
        <v>425</v>
      </c>
      <c r="AM99" t="str">
        <f>"05"</f>
        <v>05</v>
      </c>
      <c r="AN99" t="str">
        <f>"05001"</f>
        <v>05001</v>
      </c>
      <c r="AO99" t="str">
        <f>"31/12/2019 12:00:00 a. m."</f>
        <v>31/12/2019 12:00:00 a. m.</v>
      </c>
      <c r="AP99" t="str">
        <f>"29/12/2019 12:00:00 a. m."</f>
        <v>29/12/2019 12:00:00 a. m.</v>
      </c>
      <c r="AQ99" t="str">
        <f>"3"</f>
        <v>3</v>
      </c>
      <c r="AR99" t="str">
        <f>"1"</f>
        <v>1</v>
      </c>
      <c r="AS99" t="str">
        <f>"31/12/2019 12:00:00 a. m."</f>
        <v>31/12/2019 12:00:00 a. m.</v>
      </c>
      <c r="AT99" t="str">
        <f t="shared" si="103"/>
        <v>1</v>
      </c>
      <c r="AU99" t="str">
        <f>""</f>
        <v/>
      </c>
      <c r="AV99" t="str">
        <f>"7"</f>
        <v>7</v>
      </c>
      <c r="AW99" t="str">
        <f>"20/11/2006 12:00:00 a. m."</f>
        <v>20/11/2006 12:00:00 a. m.</v>
      </c>
      <c r="AX99" t="str">
        <f>""</f>
        <v/>
      </c>
      <c r="AY99" t="str">
        <f t="shared" si="82"/>
        <v>30/04/2021 12:00:00 a. m.</v>
      </c>
      <c r="AZ99" t="str">
        <f>"7/04/2020 12:00:00 a. m."</f>
        <v>7/04/2020 12:00:00 a. m.</v>
      </c>
      <c r="BA99" t="str">
        <f>""</f>
        <v/>
      </c>
      <c r="BB99" t="str">
        <f>""</f>
        <v/>
      </c>
      <c r="BC99" t="str">
        <f>""</f>
        <v/>
      </c>
      <c r="BD99" t="str">
        <f t="shared" si="102"/>
        <v>1</v>
      </c>
      <c r="BE99" t="str">
        <f t="shared" si="102"/>
        <v>1</v>
      </c>
      <c r="BF99" t="str">
        <f t="shared" si="83"/>
        <v xml:space="preserve">3         </v>
      </c>
      <c r="BG99" t="str">
        <f t="shared" si="84"/>
        <v>Confirmado por laboratorio</v>
      </c>
      <c r="BH99" t="str">
        <f>"FUNDACION HOSPITALARIA SAN VICENTE DE PAUL"</f>
        <v>FUNDACION HOSPITALARIA SAN VICENTE DE PAUL</v>
      </c>
      <c r="BI99" t="str">
        <f t="shared" si="85"/>
        <v>COLOMBIA</v>
      </c>
      <c r="BJ99" t="str">
        <f t="shared" si="86"/>
        <v>CANCER INFANTIL</v>
      </c>
      <c r="BK99" t="str">
        <f>"ANTIOQUIA"</f>
        <v>ANTIOQUIA</v>
      </c>
      <c r="BL99" t="str">
        <f>"MEDELLIN"</f>
        <v>MEDELLIN</v>
      </c>
      <c r="BM99" t="str">
        <f t="shared" si="87"/>
        <v>COLOMBIA</v>
      </c>
      <c r="BN99" t="str">
        <f>"ANTIOQUIA"</f>
        <v>ANTIOQUIA</v>
      </c>
      <c r="BO99" t="str">
        <f>"MACEO"</f>
        <v>MACEO</v>
      </c>
      <c r="BP99" t="str">
        <f>"ANTIOQUIA"</f>
        <v>ANTIOQUIA</v>
      </c>
      <c r="BQ99" t="str">
        <f>"MEDELLIN"</f>
        <v>MEDELLIN</v>
      </c>
    </row>
    <row r="100" spans="1:69" x14ac:dyDescent="0.25">
      <c r="A100" t="str">
        <f>"7285350"</f>
        <v>7285350</v>
      </c>
      <c r="B100" t="str">
        <f t="shared" si="74"/>
        <v>459</v>
      </c>
      <c r="C100" t="str">
        <f>"27/04/2020 12:00:00 a. m."</f>
        <v>27/04/2020 12:00:00 a. m.</v>
      </c>
      <c r="D100" t="str">
        <f>"17"</f>
        <v>17</v>
      </c>
      <c r="E100" t="str">
        <f t="shared" si="75"/>
        <v>2020</v>
      </c>
      <c r="F100" t="str">
        <f>"0500102175"</f>
        <v>0500102175</v>
      </c>
      <c r="G100" t="str">
        <f t="shared" si="104"/>
        <v>01</v>
      </c>
      <c r="H100" t="str">
        <f>"13"</f>
        <v>13</v>
      </c>
      <c r="I100" t="str">
        <f t="shared" si="111"/>
        <v>1</v>
      </c>
      <c r="J100" t="str">
        <f>"M"</f>
        <v>M</v>
      </c>
      <c r="K100" t="str">
        <f t="shared" si="76"/>
        <v>170</v>
      </c>
      <c r="L100" t="str">
        <f>"05"</f>
        <v>05</v>
      </c>
      <c r="M100" t="str">
        <f>"001"</f>
        <v>001</v>
      </c>
      <c r="N100" t="str">
        <f t="shared" ref="N100:N108" si="115">"1"</f>
        <v>1</v>
      </c>
      <c r="O100" t="str">
        <f>"9997"</f>
        <v>9997</v>
      </c>
      <c r="P100" t="str">
        <f>"S"</f>
        <v>S</v>
      </c>
      <c r="Q100" t="str">
        <f>"EPSS10"</f>
        <v>EPSS10</v>
      </c>
      <c r="R100" t="str">
        <f t="shared" si="110"/>
        <v>6</v>
      </c>
      <c r="S100" t="str">
        <f>""</f>
        <v/>
      </c>
      <c r="T100" t="str">
        <f t="shared" si="112"/>
        <v xml:space="preserve">                                                                                                    </v>
      </c>
      <c r="U100" t="str">
        <f t="shared" ref="U100:U108" si="116">"2         "</f>
        <v xml:space="preserve">2         </v>
      </c>
      <c r="V100" t="str">
        <f t="shared" si="113"/>
        <v>2</v>
      </c>
      <c r="W100" t="str">
        <f t="shared" si="113"/>
        <v>2</v>
      </c>
      <c r="X100" t="str">
        <f t="shared" si="99"/>
        <v>2</v>
      </c>
      <c r="Y100" t="str">
        <f t="shared" si="114"/>
        <v>2</v>
      </c>
      <c r="Z100" t="str">
        <f t="shared" si="114"/>
        <v>2</v>
      </c>
      <c r="AA100" t="str">
        <f t="shared" si="79"/>
        <v xml:space="preserve">          </v>
      </c>
      <c r="AB100" t="str">
        <f t="shared" si="67"/>
        <v>2</v>
      </c>
      <c r="AC100" t="str">
        <f t="shared" si="70"/>
        <v>2</v>
      </c>
      <c r="AD100" t="str">
        <f t="shared" ref="AD100:AG119" si="117">"2"</f>
        <v>2</v>
      </c>
      <c r="AE100" t="str">
        <f t="shared" si="117"/>
        <v>2</v>
      </c>
      <c r="AF100" t="str">
        <f t="shared" si="117"/>
        <v>2</v>
      </c>
      <c r="AG100" t="str">
        <f t="shared" si="117"/>
        <v>2</v>
      </c>
      <c r="AH100" t="str">
        <f t="shared" si="101"/>
        <v>1</v>
      </c>
      <c r="AI100" t="str">
        <f>"1         "</f>
        <v xml:space="preserve">1         </v>
      </c>
      <c r="AJ100" t="str">
        <f t="shared" si="81"/>
        <v>170</v>
      </c>
      <c r="AK100" t="str">
        <f>"05"</f>
        <v>05</v>
      </c>
      <c r="AL100" t="str">
        <f>"001"</f>
        <v>001</v>
      </c>
      <c r="AM100" t="str">
        <f>"05"</f>
        <v>05</v>
      </c>
      <c r="AN100" t="str">
        <f>"05001"</f>
        <v>05001</v>
      </c>
      <c r="AO100" t="str">
        <f>"20/04/2020 12:00:00 a. m."</f>
        <v>20/04/2020 12:00:00 a. m.</v>
      </c>
      <c r="AP100" t="str">
        <f>"20/01/2020 12:00:00 a. m."</f>
        <v>20/01/2020 12:00:00 a. m.</v>
      </c>
      <c r="AQ100" t="str">
        <f>"2"</f>
        <v>2</v>
      </c>
      <c r="AR100" t="str">
        <f>"1"</f>
        <v>1</v>
      </c>
      <c r="AS100" t="str">
        <f>"20/04/2020 12:00:00 a. m."</f>
        <v>20/04/2020 12:00:00 a. m.</v>
      </c>
      <c r="AT100" t="str">
        <f t="shared" si="103"/>
        <v>1</v>
      </c>
      <c r="AU100" t="str">
        <f>""</f>
        <v/>
      </c>
      <c r="AV100" t="str">
        <f>"3"</f>
        <v>3</v>
      </c>
      <c r="AW100" t="str">
        <f>"21/09/2006 12:00:00 a. m."</f>
        <v>21/09/2006 12:00:00 a. m.</v>
      </c>
      <c r="AX100" t="str">
        <f>""</f>
        <v/>
      </c>
      <c r="AY100" t="str">
        <f t="shared" si="82"/>
        <v>30/04/2021 12:00:00 a. m.</v>
      </c>
      <c r="AZ100" t="str">
        <f>"12/05/2020 12:00:00 a. m."</f>
        <v>12/05/2020 12:00:00 a. m.</v>
      </c>
      <c r="BA100" t="str">
        <f>""</f>
        <v/>
      </c>
      <c r="BB100" t="str">
        <f>""</f>
        <v/>
      </c>
      <c r="BC100" t="str">
        <f>""</f>
        <v/>
      </c>
      <c r="BD100" t="str">
        <f t="shared" si="102"/>
        <v>1</v>
      </c>
      <c r="BE100" t="str">
        <f t="shared" si="102"/>
        <v>1</v>
      </c>
      <c r="BF100" t="str">
        <f t="shared" si="83"/>
        <v xml:space="preserve">3         </v>
      </c>
      <c r="BG100" t="str">
        <f t="shared" si="84"/>
        <v>Confirmado por laboratorio</v>
      </c>
      <c r="BH100" t="str">
        <f>"FUNDACION HOSPITALARIA SAN VICENTE DE PAUL"</f>
        <v>FUNDACION HOSPITALARIA SAN VICENTE DE PAUL</v>
      </c>
      <c r="BI100" t="str">
        <f t="shared" si="85"/>
        <v>COLOMBIA</v>
      </c>
      <c r="BJ100" t="str">
        <f t="shared" si="86"/>
        <v>CANCER INFANTIL</v>
      </c>
      <c r="BK100" t="str">
        <f>"ANTIOQUIA"</f>
        <v>ANTIOQUIA</v>
      </c>
      <c r="BL100" t="str">
        <f>"MEDELLIN"</f>
        <v>MEDELLIN</v>
      </c>
      <c r="BM100" t="str">
        <f t="shared" si="87"/>
        <v>COLOMBIA</v>
      </c>
      <c r="BN100" t="str">
        <f>"ANTIOQUIA"</f>
        <v>ANTIOQUIA</v>
      </c>
      <c r="BO100" t="str">
        <f>"MEDELLIN"</f>
        <v>MEDELLIN</v>
      </c>
      <c r="BP100" t="str">
        <f>"ANTIOQUIA"</f>
        <v>ANTIOQUIA</v>
      </c>
      <c r="BQ100" t="str">
        <f>"MEDELLIN"</f>
        <v>MEDELLIN</v>
      </c>
    </row>
    <row r="101" spans="1:69" x14ac:dyDescent="0.25">
      <c r="A101" t="str">
        <f>"7285795"</f>
        <v>7285795</v>
      </c>
      <c r="B101" t="str">
        <f t="shared" si="74"/>
        <v>459</v>
      </c>
      <c r="C101" t="str">
        <f>"10/09/2020 12:00:00 a. m."</f>
        <v>10/09/2020 12:00:00 a. m.</v>
      </c>
      <c r="D101" t="str">
        <f>"31"</f>
        <v>31</v>
      </c>
      <c r="E101" t="str">
        <f t="shared" si="75"/>
        <v>2020</v>
      </c>
      <c r="F101" t="str">
        <f>"5400100371"</f>
        <v>5400100371</v>
      </c>
      <c r="G101" t="str">
        <f t="shared" si="104"/>
        <v>01</v>
      </c>
      <c r="H101" t="str">
        <f>"2"</f>
        <v>2</v>
      </c>
      <c r="I101" t="str">
        <f t="shared" si="111"/>
        <v>1</v>
      </c>
      <c r="J101" t="str">
        <f>"M"</f>
        <v>M</v>
      </c>
      <c r="K101" t="str">
        <f>"862"</f>
        <v>862</v>
      </c>
      <c r="L101" t="str">
        <f>"01"</f>
        <v>01</v>
      </c>
      <c r="M101" t="str">
        <f>"862"</f>
        <v>862</v>
      </c>
      <c r="N101" t="str">
        <f t="shared" si="115"/>
        <v>1</v>
      </c>
      <c r="O101" t="str">
        <f>"9999"</f>
        <v>9999</v>
      </c>
      <c r="P101" t="str">
        <f>"N"</f>
        <v>N</v>
      </c>
      <c r="Q101" t="str">
        <f>""</f>
        <v/>
      </c>
      <c r="R101" t="str">
        <f t="shared" si="110"/>
        <v>6</v>
      </c>
      <c r="S101" t="str">
        <f>""</f>
        <v/>
      </c>
      <c r="T101" t="str">
        <f t="shared" si="112"/>
        <v xml:space="preserve">                                                                                                    </v>
      </c>
      <c r="U101" t="str">
        <f t="shared" si="116"/>
        <v xml:space="preserve">2         </v>
      </c>
      <c r="V101" t="str">
        <f t="shared" si="113"/>
        <v>2</v>
      </c>
      <c r="W101" t="str">
        <f t="shared" si="113"/>
        <v>2</v>
      </c>
      <c r="X101" t="str">
        <f>"1"</f>
        <v>1</v>
      </c>
      <c r="Y101" t="str">
        <f t="shared" si="114"/>
        <v>2</v>
      </c>
      <c r="Z101" t="str">
        <f t="shared" si="114"/>
        <v>2</v>
      </c>
      <c r="AA101" t="str">
        <f t="shared" si="79"/>
        <v xml:space="preserve">          </v>
      </c>
      <c r="AB101" t="str">
        <f t="shared" si="67"/>
        <v>2</v>
      </c>
      <c r="AC101" t="str">
        <f t="shared" si="70"/>
        <v>2</v>
      </c>
      <c r="AD101" t="str">
        <f t="shared" si="117"/>
        <v>2</v>
      </c>
      <c r="AE101" t="str">
        <f t="shared" si="117"/>
        <v>2</v>
      </c>
      <c r="AF101" t="str">
        <f t="shared" si="117"/>
        <v>2</v>
      </c>
      <c r="AG101" t="str">
        <f t="shared" si="117"/>
        <v>2</v>
      </c>
      <c r="AH101" t="str">
        <f>"2"</f>
        <v>2</v>
      </c>
      <c r="AI101" t="str">
        <f>"2         "</f>
        <v xml:space="preserve">2         </v>
      </c>
      <c r="AJ101" t="str">
        <f>"862"</f>
        <v>862</v>
      </c>
      <c r="AK101" t="str">
        <f>"01"</f>
        <v>01</v>
      </c>
      <c r="AL101" t="str">
        <f>"862"</f>
        <v>862</v>
      </c>
      <c r="AM101" t="str">
        <f>"54"</f>
        <v>54</v>
      </c>
      <c r="AN101" t="str">
        <f>"54001"</f>
        <v>54001</v>
      </c>
      <c r="AO101" t="str">
        <f>"1/08/2020 12:00:00 a. m."</f>
        <v>1/08/2020 12:00:00 a. m.</v>
      </c>
      <c r="AP101" t="str">
        <f>"15/07/2020 12:00:00 a. m."</f>
        <v>15/07/2020 12:00:00 a. m.</v>
      </c>
      <c r="AQ101" t="str">
        <f t="shared" ref="AQ101:AQ107" si="118">"3"</f>
        <v>3</v>
      </c>
      <c r="AR101" t="str">
        <f>"2"</f>
        <v>2</v>
      </c>
      <c r="AS101" t="str">
        <f>""</f>
        <v/>
      </c>
      <c r="AT101" t="str">
        <f t="shared" si="103"/>
        <v>1</v>
      </c>
      <c r="AU101" t="str">
        <f>""</f>
        <v/>
      </c>
      <c r="AV101" t="str">
        <f t="shared" ref="AV101:AV107" si="119">"0"</f>
        <v>0</v>
      </c>
      <c r="AW101" t="str">
        <f>"16/06/2018 12:00:00 a. m."</f>
        <v>16/06/2018 12:00:00 a. m.</v>
      </c>
      <c r="AX101" t="str">
        <f>""</f>
        <v/>
      </c>
      <c r="AY101" t="str">
        <f t="shared" si="82"/>
        <v>30/04/2021 12:00:00 a. m.</v>
      </c>
      <c r="AZ101" t="str">
        <f>"11/09/2020 12:00:00 a. m."</f>
        <v>11/09/2020 12:00:00 a. m.</v>
      </c>
      <c r="BA101" t="str">
        <f>""</f>
        <v/>
      </c>
      <c r="BB101" t="str">
        <f>""</f>
        <v/>
      </c>
      <c r="BC101" t="str">
        <f>""</f>
        <v/>
      </c>
      <c r="BD101" t="str">
        <f t="shared" si="102"/>
        <v>1</v>
      </c>
      <c r="BE101" t="str">
        <f t="shared" si="102"/>
        <v>1</v>
      </c>
      <c r="BF101" t="str">
        <f t="shared" si="83"/>
        <v xml:space="preserve">3         </v>
      </c>
      <c r="BG101" t="str">
        <f t="shared" si="84"/>
        <v>Confirmado por laboratorio</v>
      </c>
      <c r="BH101" t="str">
        <f>"EMPRESA SOCIAL DEL ESTADO HOSPITAL UNIVERSITARIO E"</f>
        <v>EMPRESA SOCIAL DEL ESTADO HOSPITAL UNIVERSITARIO E</v>
      </c>
      <c r="BI101" t="str">
        <f>"VENEZUELA"</f>
        <v>VENEZUELA</v>
      </c>
      <c r="BJ101" t="str">
        <f t="shared" si="86"/>
        <v>CANCER INFANTIL</v>
      </c>
      <c r="BK101" t="str">
        <f>"EXTERIOR"</f>
        <v>EXTERIOR</v>
      </c>
      <c r="BL101" t="str">
        <f>"EXTERIOR_VENEZUELA"</f>
        <v>EXTERIOR_VENEZUELA</v>
      </c>
      <c r="BM101" t="str">
        <f>"VENEZUELA"</f>
        <v>VENEZUELA</v>
      </c>
      <c r="BN101" t="str">
        <f>"EXTERIOR"</f>
        <v>EXTERIOR</v>
      </c>
      <c r="BO101" t="str">
        <f>"EXTERIOR_VENEZUELA"</f>
        <v>EXTERIOR_VENEZUELA</v>
      </c>
      <c r="BP101" t="str">
        <f>"NORTE SANTANDER"</f>
        <v>NORTE SANTANDER</v>
      </c>
      <c r="BQ101" t="str">
        <f>"CUCUTA"</f>
        <v>CUCUTA</v>
      </c>
    </row>
    <row r="102" spans="1:69" x14ac:dyDescent="0.25">
      <c r="A102" t="str">
        <f>"7285328"</f>
        <v>7285328</v>
      </c>
      <c r="B102" t="str">
        <f t="shared" si="74"/>
        <v>459</v>
      </c>
      <c r="C102" t="str">
        <f>"10/03/2020 12:00:00 a. m."</f>
        <v>10/03/2020 12:00:00 a. m.</v>
      </c>
      <c r="D102" t="str">
        <f>"09"</f>
        <v>09</v>
      </c>
      <c r="E102" t="str">
        <f t="shared" si="75"/>
        <v>2020</v>
      </c>
      <c r="F102" t="str">
        <f>"0500102175"</f>
        <v>0500102175</v>
      </c>
      <c r="G102" t="str">
        <f t="shared" si="104"/>
        <v>01</v>
      </c>
      <c r="H102" t="str">
        <f>"3"</f>
        <v>3</v>
      </c>
      <c r="I102" t="str">
        <f>"2"</f>
        <v>2</v>
      </c>
      <c r="J102" t="str">
        <f>"F"</f>
        <v>F</v>
      </c>
      <c r="K102" t="str">
        <f t="shared" ref="K102:K133" si="120">"170"</f>
        <v>170</v>
      </c>
      <c r="L102" t="str">
        <f>"05"</f>
        <v>05</v>
      </c>
      <c r="M102" t="str">
        <f>"308"</f>
        <v>308</v>
      </c>
      <c r="N102" t="str">
        <f t="shared" si="115"/>
        <v>1</v>
      </c>
      <c r="O102" t="str">
        <f>"9999"</f>
        <v>9999</v>
      </c>
      <c r="P102" t="str">
        <f>"S"</f>
        <v>S</v>
      </c>
      <c r="Q102" t="str">
        <f>"EPSS40"</f>
        <v>EPSS40</v>
      </c>
      <c r="R102" t="str">
        <f t="shared" si="110"/>
        <v>6</v>
      </c>
      <c r="S102" t="str">
        <f>""</f>
        <v/>
      </c>
      <c r="T102" t="str">
        <f t="shared" si="112"/>
        <v xml:space="preserve">                                                                                                    </v>
      </c>
      <c r="U102" t="str">
        <f t="shared" si="116"/>
        <v xml:space="preserve">2         </v>
      </c>
      <c r="V102" t="str">
        <f t="shared" si="113"/>
        <v>2</v>
      </c>
      <c r="W102" t="str">
        <f t="shared" si="113"/>
        <v>2</v>
      </c>
      <c r="X102" t="str">
        <f t="shared" ref="X102:X133" si="121">"2"</f>
        <v>2</v>
      </c>
      <c r="Y102" t="str">
        <f t="shared" si="114"/>
        <v>2</v>
      </c>
      <c r="Z102" t="str">
        <f t="shared" si="114"/>
        <v>2</v>
      </c>
      <c r="AA102" t="str">
        <f t="shared" si="79"/>
        <v xml:space="preserve">          </v>
      </c>
      <c r="AB102" t="str">
        <f t="shared" si="67"/>
        <v>2</v>
      </c>
      <c r="AC102" t="str">
        <f t="shared" si="70"/>
        <v>2</v>
      </c>
      <c r="AD102" t="str">
        <f t="shared" si="117"/>
        <v>2</v>
      </c>
      <c r="AE102" t="str">
        <f t="shared" si="117"/>
        <v>2</v>
      </c>
      <c r="AF102" t="str">
        <f t="shared" si="117"/>
        <v>2</v>
      </c>
      <c r="AG102" t="str">
        <f t="shared" si="117"/>
        <v>2</v>
      </c>
      <c r="AH102" t="str">
        <f t="shared" ref="AH102:AH133" si="122">"1"</f>
        <v>1</v>
      </c>
      <c r="AI102" t="str">
        <f>"1         "</f>
        <v xml:space="preserve">1         </v>
      </c>
      <c r="AJ102" t="str">
        <f t="shared" ref="AJ102:AJ133" si="123">"170"</f>
        <v>170</v>
      </c>
      <c r="AK102" t="str">
        <f>"05"</f>
        <v>05</v>
      </c>
      <c r="AL102" t="str">
        <f>"308"</f>
        <v>308</v>
      </c>
      <c r="AM102" t="str">
        <f>"05"</f>
        <v>05</v>
      </c>
      <c r="AN102" t="str">
        <f>"05001"</f>
        <v>05001</v>
      </c>
      <c r="AO102" t="str">
        <f>"28/02/2020 12:00:00 a. m."</f>
        <v>28/02/2020 12:00:00 a. m.</v>
      </c>
      <c r="AP102" t="str">
        <f>"18/02/2020 12:00:00 a. m."</f>
        <v>18/02/2020 12:00:00 a. m.</v>
      </c>
      <c r="AQ102" t="str">
        <f t="shared" si="118"/>
        <v>3</v>
      </c>
      <c r="AR102" t="str">
        <f>"1"</f>
        <v>1</v>
      </c>
      <c r="AS102" t="str">
        <f>"2/03/2020 12:00:00 a. m."</f>
        <v>2/03/2020 12:00:00 a. m.</v>
      </c>
      <c r="AT102" t="str">
        <f t="shared" si="103"/>
        <v>1</v>
      </c>
      <c r="AU102" t="str">
        <f>""</f>
        <v/>
      </c>
      <c r="AV102" t="str">
        <f t="shared" si="119"/>
        <v>0</v>
      </c>
      <c r="AW102" t="str">
        <f>"16/11/2019 12:00:00 a. m."</f>
        <v>16/11/2019 12:00:00 a. m.</v>
      </c>
      <c r="AX102" t="str">
        <f>""</f>
        <v/>
      </c>
      <c r="AY102" t="str">
        <f t="shared" si="82"/>
        <v>30/04/2021 12:00:00 a. m.</v>
      </c>
      <c r="AZ102" t="str">
        <f>"10/03/2020 12:00:00 a. m."</f>
        <v>10/03/2020 12:00:00 a. m.</v>
      </c>
      <c r="BA102" t="str">
        <f>""</f>
        <v/>
      </c>
      <c r="BB102" t="str">
        <f>""</f>
        <v/>
      </c>
      <c r="BC102" t="str">
        <f>""</f>
        <v/>
      </c>
      <c r="BD102" t="str">
        <f t="shared" ref="BD102:BE121" si="124">"1"</f>
        <v>1</v>
      </c>
      <c r="BE102" t="str">
        <f t="shared" si="124"/>
        <v>1</v>
      </c>
      <c r="BF102" t="str">
        <f t="shared" si="83"/>
        <v xml:space="preserve">3         </v>
      </c>
      <c r="BG102" t="str">
        <f t="shared" si="84"/>
        <v>Confirmado por laboratorio</v>
      </c>
      <c r="BH102" t="str">
        <f>"FUNDACION HOSPITALARIA SAN VICENTE DE PAUL"</f>
        <v>FUNDACION HOSPITALARIA SAN VICENTE DE PAUL</v>
      </c>
      <c r="BI102" t="str">
        <f t="shared" ref="BI102:BI133" si="125">"COLOMBIA"</f>
        <v>COLOMBIA</v>
      </c>
      <c r="BJ102" t="str">
        <f t="shared" si="86"/>
        <v>CANCER INFANTIL</v>
      </c>
      <c r="BK102" t="str">
        <f>"ANTIOQUIA"</f>
        <v>ANTIOQUIA</v>
      </c>
      <c r="BL102" t="str">
        <f>"GIRARDOTA"</f>
        <v>GIRARDOTA</v>
      </c>
      <c r="BM102" t="str">
        <f t="shared" ref="BM102:BM133" si="126">"COLOMBIA"</f>
        <v>COLOMBIA</v>
      </c>
      <c r="BN102" t="str">
        <f>"ANTIOQUIA"</f>
        <v>ANTIOQUIA</v>
      </c>
      <c r="BO102" t="str">
        <f>"GIRARDOTA"</f>
        <v>GIRARDOTA</v>
      </c>
      <c r="BP102" t="str">
        <f>"ANTIOQUIA"</f>
        <v>ANTIOQUIA</v>
      </c>
      <c r="BQ102" t="str">
        <f>"MEDELLIN"</f>
        <v>MEDELLIN</v>
      </c>
    </row>
    <row r="103" spans="1:69" x14ac:dyDescent="0.25">
      <c r="A103" t="str">
        <f>"7285331"</f>
        <v>7285331</v>
      </c>
      <c r="B103" t="str">
        <f t="shared" si="74"/>
        <v>459</v>
      </c>
      <c r="C103" t="str">
        <f>"2/06/2020 12:00:00 a. m."</f>
        <v>2/06/2020 12:00:00 a. m.</v>
      </c>
      <c r="D103" t="str">
        <f>"12"</f>
        <v>12</v>
      </c>
      <c r="E103" t="str">
        <f t="shared" si="75"/>
        <v>2020</v>
      </c>
      <c r="F103" t="str">
        <f>"0500102175"</f>
        <v>0500102175</v>
      </c>
      <c r="G103" t="str">
        <f t="shared" si="104"/>
        <v>01</v>
      </c>
      <c r="H103" t="str">
        <f>"11"</f>
        <v>11</v>
      </c>
      <c r="I103" t="str">
        <f t="shared" ref="I103:I109" si="127">"1"</f>
        <v>1</v>
      </c>
      <c r="J103" t="str">
        <f>"M"</f>
        <v>M</v>
      </c>
      <c r="K103" t="str">
        <f t="shared" si="120"/>
        <v>170</v>
      </c>
      <c r="L103" t="str">
        <f>"05"</f>
        <v>05</v>
      </c>
      <c r="M103" t="str">
        <f>"001"</f>
        <v>001</v>
      </c>
      <c r="N103" t="str">
        <f t="shared" si="115"/>
        <v>1</v>
      </c>
      <c r="O103" t="str">
        <f>"9997"</f>
        <v>9997</v>
      </c>
      <c r="P103" t="str">
        <f>"S"</f>
        <v>S</v>
      </c>
      <c r="Q103" t="str">
        <f>"EPSS02"</f>
        <v>EPSS02</v>
      </c>
      <c r="R103" t="str">
        <f t="shared" si="110"/>
        <v>6</v>
      </c>
      <c r="S103" t="str">
        <f>""</f>
        <v/>
      </c>
      <c r="T103" t="str">
        <f t="shared" si="112"/>
        <v xml:space="preserve">                                                                                                    </v>
      </c>
      <c r="U103" t="str">
        <f t="shared" si="116"/>
        <v xml:space="preserve">2         </v>
      </c>
      <c r="V103" t="str">
        <f t="shared" si="113"/>
        <v>2</v>
      </c>
      <c r="W103" t="str">
        <f t="shared" si="113"/>
        <v>2</v>
      </c>
      <c r="X103" t="str">
        <f t="shared" si="121"/>
        <v>2</v>
      </c>
      <c r="Y103" t="str">
        <f t="shared" si="114"/>
        <v>2</v>
      </c>
      <c r="Z103" t="str">
        <f t="shared" si="114"/>
        <v>2</v>
      </c>
      <c r="AA103" t="str">
        <f t="shared" si="79"/>
        <v xml:space="preserve">          </v>
      </c>
      <c r="AB103" t="str">
        <f t="shared" si="67"/>
        <v>2</v>
      </c>
      <c r="AC103" t="str">
        <f t="shared" si="70"/>
        <v>2</v>
      </c>
      <c r="AD103" t="str">
        <f t="shared" si="117"/>
        <v>2</v>
      </c>
      <c r="AE103" t="str">
        <f t="shared" si="117"/>
        <v>2</v>
      </c>
      <c r="AF103" t="str">
        <f t="shared" si="117"/>
        <v>2</v>
      </c>
      <c r="AG103" t="str">
        <f t="shared" si="117"/>
        <v>2</v>
      </c>
      <c r="AH103" t="str">
        <f t="shared" si="122"/>
        <v>1</v>
      </c>
      <c r="AI103" t="str">
        <f>"1         "</f>
        <v xml:space="preserve">1         </v>
      </c>
      <c r="AJ103" t="str">
        <f t="shared" si="123"/>
        <v>170</v>
      </c>
      <c r="AK103" t="str">
        <f>"05"</f>
        <v>05</v>
      </c>
      <c r="AL103" t="str">
        <f>"001"</f>
        <v>001</v>
      </c>
      <c r="AM103" t="str">
        <f>"05"</f>
        <v>05</v>
      </c>
      <c r="AN103" t="str">
        <f>"05001"</f>
        <v>05001</v>
      </c>
      <c r="AO103" t="str">
        <f>"19/03/2020 12:00:00 a. m."</f>
        <v>19/03/2020 12:00:00 a. m.</v>
      </c>
      <c r="AP103" t="str">
        <f>"19/01/2020 12:00:00 a. m."</f>
        <v>19/01/2020 12:00:00 a. m.</v>
      </c>
      <c r="AQ103" t="str">
        <f t="shared" si="118"/>
        <v>3</v>
      </c>
      <c r="AR103" t="str">
        <f>"1"</f>
        <v>1</v>
      </c>
      <c r="AS103" t="str">
        <f>"19/03/2020 12:00:00 a. m."</f>
        <v>19/03/2020 12:00:00 a. m.</v>
      </c>
      <c r="AT103" t="str">
        <f t="shared" si="103"/>
        <v>1</v>
      </c>
      <c r="AU103" t="str">
        <f>""</f>
        <v/>
      </c>
      <c r="AV103" t="str">
        <f t="shared" si="119"/>
        <v>0</v>
      </c>
      <c r="AW103" t="str">
        <f>"13/03/2009 12:00:00 a. m."</f>
        <v>13/03/2009 12:00:00 a. m.</v>
      </c>
      <c r="AX103" t="str">
        <f>""</f>
        <v/>
      </c>
      <c r="AY103" t="str">
        <f t="shared" si="82"/>
        <v>30/04/2021 12:00:00 a. m.</v>
      </c>
      <c r="AZ103" t="str">
        <f>"2/06/2020 12:00:00 a. m."</f>
        <v>2/06/2020 12:00:00 a. m.</v>
      </c>
      <c r="BA103" t="str">
        <f>""</f>
        <v/>
      </c>
      <c r="BB103" t="str">
        <f>""</f>
        <v/>
      </c>
      <c r="BC103" t="str">
        <f>""</f>
        <v/>
      </c>
      <c r="BD103" t="str">
        <f t="shared" si="124"/>
        <v>1</v>
      </c>
      <c r="BE103" t="str">
        <f t="shared" si="124"/>
        <v>1</v>
      </c>
      <c r="BF103" t="str">
        <f t="shared" si="83"/>
        <v xml:space="preserve">3         </v>
      </c>
      <c r="BG103" t="str">
        <f t="shared" si="84"/>
        <v>Confirmado por laboratorio</v>
      </c>
      <c r="BH103" t="str">
        <f>"FUNDACION HOSPITALARIA SAN VICENTE DE PAUL"</f>
        <v>FUNDACION HOSPITALARIA SAN VICENTE DE PAUL</v>
      </c>
      <c r="BI103" t="str">
        <f t="shared" si="125"/>
        <v>COLOMBIA</v>
      </c>
      <c r="BJ103" t="str">
        <f t="shared" si="86"/>
        <v>CANCER INFANTIL</v>
      </c>
      <c r="BK103" t="str">
        <f>"ANTIOQUIA"</f>
        <v>ANTIOQUIA</v>
      </c>
      <c r="BL103" t="str">
        <f>"MEDELLIN"</f>
        <v>MEDELLIN</v>
      </c>
      <c r="BM103" t="str">
        <f t="shared" si="126"/>
        <v>COLOMBIA</v>
      </c>
      <c r="BN103" t="str">
        <f>"ANTIOQUIA"</f>
        <v>ANTIOQUIA</v>
      </c>
      <c r="BO103" t="str">
        <f>"MEDELLIN"</f>
        <v>MEDELLIN</v>
      </c>
      <c r="BP103" t="str">
        <f>"ANTIOQUIA"</f>
        <v>ANTIOQUIA</v>
      </c>
      <c r="BQ103" t="str">
        <f>"MEDELLIN"</f>
        <v>MEDELLIN</v>
      </c>
    </row>
    <row r="104" spans="1:69" x14ac:dyDescent="0.25">
      <c r="A104" t="str">
        <f>"7285605"</f>
        <v>7285605</v>
      </c>
      <c r="B104" t="str">
        <f t="shared" si="74"/>
        <v>459</v>
      </c>
      <c r="C104" t="str">
        <f>"1/08/2020 12:00:00 a. m."</f>
        <v>1/08/2020 12:00:00 a. m.</v>
      </c>
      <c r="D104" t="str">
        <f>"29"</f>
        <v>29</v>
      </c>
      <c r="E104" t="str">
        <f t="shared" si="75"/>
        <v>2020</v>
      </c>
      <c r="F104" t="str">
        <f>"1100105681"</f>
        <v>1100105681</v>
      </c>
      <c r="G104" t="str">
        <f t="shared" si="104"/>
        <v>01</v>
      </c>
      <c r="H104" t="str">
        <f>"16"</f>
        <v>16</v>
      </c>
      <c r="I104" t="str">
        <f t="shared" si="127"/>
        <v>1</v>
      </c>
      <c r="J104" t="str">
        <f>"M"</f>
        <v>M</v>
      </c>
      <c r="K104" t="str">
        <f t="shared" si="120"/>
        <v>170</v>
      </c>
      <c r="L104" t="str">
        <f>"54"</f>
        <v>54</v>
      </c>
      <c r="M104" t="str">
        <f>"001"</f>
        <v>001</v>
      </c>
      <c r="N104" t="str">
        <f t="shared" si="115"/>
        <v>1</v>
      </c>
      <c r="O104" t="str">
        <f>"9997"</f>
        <v>9997</v>
      </c>
      <c r="P104" t="str">
        <f>"S"</f>
        <v>S</v>
      </c>
      <c r="Q104" t="str">
        <f>"ESS133"</f>
        <v>ESS133</v>
      </c>
      <c r="R104" t="str">
        <f t="shared" si="110"/>
        <v>6</v>
      </c>
      <c r="S104" t="str">
        <f>""</f>
        <v/>
      </c>
      <c r="T104" t="str">
        <f t="shared" si="112"/>
        <v xml:space="preserve">                                                                                                    </v>
      </c>
      <c r="U104" t="str">
        <f t="shared" si="116"/>
        <v xml:space="preserve">2         </v>
      </c>
      <c r="V104" t="str">
        <f t="shared" si="113"/>
        <v>2</v>
      </c>
      <c r="W104" t="str">
        <f t="shared" si="113"/>
        <v>2</v>
      </c>
      <c r="X104" t="str">
        <f t="shared" si="121"/>
        <v>2</v>
      </c>
      <c r="Y104" t="str">
        <f t="shared" si="114"/>
        <v>2</v>
      </c>
      <c r="Z104" t="str">
        <f t="shared" si="114"/>
        <v>2</v>
      </c>
      <c r="AA104" t="str">
        <f t="shared" si="79"/>
        <v xml:space="preserve">          </v>
      </c>
      <c r="AB104" t="str">
        <f t="shared" si="67"/>
        <v>2</v>
      </c>
      <c r="AC104" t="str">
        <f t="shared" si="70"/>
        <v>2</v>
      </c>
      <c r="AD104" t="str">
        <f t="shared" si="117"/>
        <v>2</v>
      </c>
      <c r="AE104" t="str">
        <f t="shared" si="117"/>
        <v>2</v>
      </c>
      <c r="AF104" t="str">
        <f t="shared" si="117"/>
        <v>2</v>
      </c>
      <c r="AG104" t="str">
        <f t="shared" si="117"/>
        <v>2</v>
      </c>
      <c r="AH104" t="str">
        <f t="shared" si="122"/>
        <v>1</v>
      </c>
      <c r="AI104" t="str">
        <f>"2         "</f>
        <v xml:space="preserve">2         </v>
      </c>
      <c r="AJ104" t="str">
        <f t="shared" si="123"/>
        <v>170</v>
      </c>
      <c r="AK104" t="str">
        <f>"54"</f>
        <v>54</v>
      </c>
      <c r="AL104" t="str">
        <f>"001"</f>
        <v>001</v>
      </c>
      <c r="AM104" t="str">
        <f>"11"</f>
        <v>11</v>
      </c>
      <c r="AN104" t="str">
        <f>"11001"</f>
        <v>11001</v>
      </c>
      <c r="AO104" t="str">
        <f>"13/07/2020 12:00:00 a. m."</f>
        <v>13/07/2020 12:00:00 a. m.</v>
      </c>
      <c r="AP104" t="str">
        <f>"13/04/2020 12:00:00 a. m."</f>
        <v>13/04/2020 12:00:00 a. m.</v>
      </c>
      <c r="AQ104" t="str">
        <f t="shared" si="118"/>
        <v>3</v>
      </c>
      <c r="AR104" t="str">
        <f>"1"</f>
        <v>1</v>
      </c>
      <c r="AS104" t="str">
        <f>"13/07/2020 12:00:00 a. m."</f>
        <v>13/07/2020 12:00:00 a. m.</v>
      </c>
      <c r="AT104" t="str">
        <f t="shared" si="103"/>
        <v>1</v>
      </c>
      <c r="AU104" t="str">
        <f>""</f>
        <v/>
      </c>
      <c r="AV104" t="str">
        <f t="shared" si="119"/>
        <v>0</v>
      </c>
      <c r="AW104" t="str">
        <f>"19/10/2003 12:00:00 a. m."</f>
        <v>19/10/2003 12:00:00 a. m.</v>
      </c>
      <c r="AX104" t="str">
        <f>""</f>
        <v/>
      </c>
      <c r="AY104" t="str">
        <f t="shared" si="82"/>
        <v>30/04/2021 12:00:00 a. m.</v>
      </c>
      <c r="AZ104" t="str">
        <f>"24/09/2020 12:00:00 a. m."</f>
        <v>24/09/2020 12:00:00 a. m.</v>
      </c>
      <c r="BA104" t="str">
        <f>""</f>
        <v/>
      </c>
      <c r="BB104" t="str">
        <f>""</f>
        <v/>
      </c>
      <c r="BC104" t="str">
        <f>""</f>
        <v/>
      </c>
      <c r="BD104" t="str">
        <f t="shared" si="124"/>
        <v>1</v>
      </c>
      <c r="BE104" t="str">
        <f t="shared" si="124"/>
        <v>1</v>
      </c>
      <c r="BF104" t="str">
        <f t="shared" si="83"/>
        <v xml:space="preserve">3         </v>
      </c>
      <c r="BG104" t="str">
        <f t="shared" si="84"/>
        <v>Confirmado por laboratorio</v>
      </c>
      <c r="BH104" t="str">
        <f>"FUNDACION HOSPITAL DE LA MISERICORDIA"</f>
        <v>FUNDACION HOSPITAL DE LA MISERICORDIA</v>
      </c>
      <c r="BI104" t="str">
        <f t="shared" si="125"/>
        <v>COLOMBIA</v>
      </c>
      <c r="BJ104" t="str">
        <f t="shared" si="86"/>
        <v>CANCER INFANTIL</v>
      </c>
      <c r="BK104" t="str">
        <f>"NORTE SANTANDER"</f>
        <v>NORTE SANTANDER</v>
      </c>
      <c r="BL104" t="str">
        <f>"CUCUTA"</f>
        <v>CUCUTA</v>
      </c>
      <c r="BM104" t="str">
        <f t="shared" si="126"/>
        <v>COLOMBIA</v>
      </c>
      <c r="BN104" t="str">
        <f>"NORTE SANTANDER"</f>
        <v>NORTE SANTANDER</v>
      </c>
      <c r="BO104" t="str">
        <f>"CUCUTA"</f>
        <v>CUCUTA</v>
      </c>
      <c r="BP104" t="str">
        <f t="shared" ref="BP104:BQ106" si="128">"BOGOTA"</f>
        <v>BOGOTA</v>
      </c>
      <c r="BQ104" t="str">
        <f t="shared" si="128"/>
        <v>BOGOTA</v>
      </c>
    </row>
    <row r="105" spans="1:69" x14ac:dyDescent="0.25">
      <c r="A105" t="str">
        <f>"7285586"</f>
        <v>7285586</v>
      </c>
      <c r="B105" t="str">
        <f t="shared" si="74"/>
        <v>459</v>
      </c>
      <c r="C105" t="str">
        <f>"22/09/2020 12:00:00 a. m."</f>
        <v>22/09/2020 12:00:00 a. m.</v>
      </c>
      <c r="D105" t="str">
        <f>"26"</f>
        <v>26</v>
      </c>
      <c r="E105" t="str">
        <f t="shared" si="75"/>
        <v>2020</v>
      </c>
      <c r="F105" t="str">
        <f>"1100116133"</f>
        <v>1100116133</v>
      </c>
      <c r="G105" t="str">
        <f t="shared" si="104"/>
        <v>01</v>
      </c>
      <c r="H105" t="str">
        <f>"17"</f>
        <v>17</v>
      </c>
      <c r="I105" t="str">
        <f t="shared" si="127"/>
        <v>1</v>
      </c>
      <c r="J105" t="str">
        <f>"M"</f>
        <v>M</v>
      </c>
      <c r="K105" t="str">
        <f t="shared" si="120"/>
        <v>170</v>
      </c>
      <c r="L105" t="str">
        <f>"25"</f>
        <v>25</v>
      </c>
      <c r="M105" t="str">
        <f>"899"</f>
        <v>899</v>
      </c>
      <c r="N105" t="str">
        <f t="shared" si="115"/>
        <v>1</v>
      </c>
      <c r="O105" t="str">
        <f>"9997"</f>
        <v>9997</v>
      </c>
      <c r="P105" t="str">
        <f>"C"</f>
        <v>C</v>
      </c>
      <c r="Q105" t="str">
        <f>"EPS044"</f>
        <v>EPS044</v>
      </c>
      <c r="R105" t="str">
        <f t="shared" si="110"/>
        <v>6</v>
      </c>
      <c r="S105" t="str">
        <f>""</f>
        <v/>
      </c>
      <c r="T105" t="str">
        <f t="shared" si="112"/>
        <v xml:space="preserve">                                                                                                    </v>
      </c>
      <c r="U105" t="str">
        <f t="shared" si="116"/>
        <v xml:space="preserve">2         </v>
      </c>
      <c r="V105" t="str">
        <f t="shared" si="113"/>
        <v>2</v>
      </c>
      <c r="W105" t="str">
        <f t="shared" si="113"/>
        <v>2</v>
      </c>
      <c r="X105" t="str">
        <f t="shared" si="121"/>
        <v>2</v>
      </c>
      <c r="Y105" t="str">
        <f t="shared" si="114"/>
        <v>2</v>
      </c>
      <c r="Z105" t="str">
        <f t="shared" si="114"/>
        <v>2</v>
      </c>
      <c r="AA105" t="str">
        <f t="shared" si="79"/>
        <v xml:space="preserve">          </v>
      </c>
      <c r="AB105" t="str">
        <f t="shared" si="67"/>
        <v>2</v>
      </c>
      <c r="AC105" t="str">
        <f t="shared" si="70"/>
        <v>2</v>
      </c>
      <c r="AD105" t="str">
        <f t="shared" si="117"/>
        <v>2</v>
      </c>
      <c r="AE105" t="str">
        <f t="shared" si="117"/>
        <v>2</v>
      </c>
      <c r="AF105" t="str">
        <f t="shared" si="117"/>
        <v>2</v>
      </c>
      <c r="AG105" t="str">
        <f t="shared" si="117"/>
        <v>2</v>
      </c>
      <c r="AH105" t="str">
        <f t="shared" si="122"/>
        <v>1</v>
      </c>
      <c r="AI105" t="str">
        <f>"2         "</f>
        <v xml:space="preserve">2         </v>
      </c>
      <c r="AJ105" t="str">
        <f t="shared" si="123"/>
        <v>170</v>
      </c>
      <c r="AK105" t="str">
        <f>"25"</f>
        <v>25</v>
      </c>
      <c r="AL105" t="str">
        <f>"899"</f>
        <v>899</v>
      </c>
      <c r="AM105" t="str">
        <f>"11"</f>
        <v>11</v>
      </c>
      <c r="AN105" t="str">
        <f>"11001"</f>
        <v>11001</v>
      </c>
      <c r="AO105" t="str">
        <f>"25/06/2020 12:00:00 a. m."</f>
        <v>25/06/2020 12:00:00 a. m.</v>
      </c>
      <c r="AP105" t="str">
        <f>"25/04/2020 12:00:00 a. m."</f>
        <v>25/04/2020 12:00:00 a. m.</v>
      </c>
      <c r="AQ105" t="str">
        <f t="shared" si="118"/>
        <v>3</v>
      </c>
      <c r="AR105" t="str">
        <f>"2"</f>
        <v>2</v>
      </c>
      <c r="AS105" t="str">
        <f>""</f>
        <v/>
      </c>
      <c r="AT105" t="str">
        <f t="shared" si="103"/>
        <v>1</v>
      </c>
      <c r="AU105" t="str">
        <f>""</f>
        <v/>
      </c>
      <c r="AV105" t="str">
        <f t="shared" si="119"/>
        <v>0</v>
      </c>
      <c r="AW105" t="str">
        <f>"18/10/2002 12:00:00 a. m."</f>
        <v>18/10/2002 12:00:00 a. m.</v>
      </c>
      <c r="AX105" t="str">
        <f>""</f>
        <v/>
      </c>
      <c r="AY105" t="str">
        <f t="shared" si="82"/>
        <v>30/04/2021 12:00:00 a. m.</v>
      </c>
      <c r="AZ105" t="str">
        <f>"22/09/2020 12:00:00 a. m."</f>
        <v>22/09/2020 12:00:00 a. m.</v>
      </c>
      <c r="BA105" t="str">
        <f>""</f>
        <v/>
      </c>
      <c r="BB105" t="str">
        <f>""</f>
        <v/>
      </c>
      <c r="BC105" t="str">
        <f>""</f>
        <v/>
      </c>
      <c r="BD105" t="str">
        <f t="shared" si="124"/>
        <v>1</v>
      </c>
      <c r="BE105" t="str">
        <f t="shared" si="124"/>
        <v>1</v>
      </c>
      <c r="BF105" t="str">
        <f t="shared" si="83"/>
        <v xml:space="preserve">3         </v>
      </c>
      <c r="BG105" t="str">
        <f t="shared" si="84"/>
        <v>Confirmado por laboratorio</v>
      </c>
      <c r="BH105" t="str">
        <f>"FUNDACION HOSPITAL INFANTIL UNIVERSITARIO DE SAN"</f>
        <v>FUNDACION HOSPITAL INFANTIL UNIVERSITARIO DE SAN</v>
      </c>
      <c r="BI105" t="str">
        <f t="shared" si="125"/>
        <v>COLOMBIA</v>
      </c>
      <c r="BJ105" t="str">
        <f t="shared" si="86"/>
        <v>CANCER INFANTIL</v>
      </c>
      <c r="BK105" t="str">
        <f>"CUNDINAMARCA"</f>
        <v>CUNDINAMARCA</v>
      </c>
      <c r="BL105" t="str">
        <f>"ZIPAQUIRA"</f>
        <v>ZIPAQUIRA</v>
      </c>
      <c r="BM105" t="str">
        <f t="shared" si="126"/>
        <v>COLOMBIA</v>
      </c>
      <c r="BN105" t="str">
        <f>"CUNDINAMARCA"</f>
        <v>CUNDINAMARCA</v>
      </c>
      <c r="BO105" t="str">
        <f>"ZIPAQUIRA"</f>
        <v>ZIPAQUIRA</v>
      </c>
      <c r="BP105" t="str">
        <f t="shared" si="128"/>
        <v>BOGOTA</v>
      </c>
      <c r="BQ105" t="str">
        <f t="shared" si="128"/>
        <v>BOGOTA</v>
      </c>
    </row>
    <row r="106" spans="1:69" x14ac:dyDescent="0.25">
      <c r="A106" t="str">
        <f>"7285339"</f>
        <v>7285339</v>
      </c>
      <c r="B106" t="str">
        <f t="shared" si="74"/>
        <v>459</v>
      </c>
      <c r="C106" t="str">
        <f>"25/08/2020 12:00:00 a. m."</f>
        <v>25/08/2020 12:00:00 a. m.</v>
      </c>
      <c r="D106" t="str">
        <f>"28"</f>
        <v>28</v>
      </c>
      <c r="E106" t="str">
        <f t="shared" si="75"/>
        <v>2020</v>
      </c>
      <c r="F106" t="str">
        <f>"1100105681"</f>
        <v>1100105681</v>
      </c>
      <c r="G106" t="str">
        <f t="shared" si="104"/>
        <v>01</v>
      </c>
      <c r="H106" t="str">
        <f>"15"</f>
        <v>15</v>
      </c>
      <c r="I106" t="str">
        <f t="shared" si="127"/>
        <v>1</v>
      </c>
      <c r="J106" t="str">
        <f>"F"</f>
        <v>F</v>
      </c>
      <c r="K106" t="str">
        <f t="shared" si="120"/>
        <v>170</v>
      </c>
      <c r="L106" t="str">
        <f>"25"</f>
        <v>25</v>
      </c>
      <c r="M106" t="str">
        <f>"754"</f>
        <v>754</v>
      </c>
      <c r="N106" t="str">
        <f t="shared" si="115"/>
        <v>1</v>
      </c>
      <c r="O106" t="str">
        <f>"9997"</f>
        <v>9997</v>
      </c>
      <c r="P106" t="str">
        <f>"C"</f>
        <v>C</v>
      </c>
      <c r="Q106" t="str">
        <f>"EPS002"</f>
        <v>EPS002</v>
      </c>
      <c r="R106" t="str">
        <f t="shared" si="110"/>
        <v>6</v>
      </c>
      <c r="S106" t="str">
        <f>""</f>
        <v/>
      </c>
      <c r="T106" t="str">
        <f t="shared" si="112"/>
        <v xml:space="preserve">                                                                                                    </v>
      </c>
      <c r="U106" t="str">
        <f t="shared" si="116"/>
        <v xml:space="preserve">2         </v>
      </c>
      <c r="V106" t="str">
        <f t="shared" si="113"/>
        <v>2</v>
      </c>
      <c r="W106" t="str">
        <f t="shared" si="113"/>
        <v>2</v>
      </c>
      <c r="X106" t="str">
        <f t="shared" si="121"/>
        <v>2</v>
      </c>
      <c r="Y106" t="str">
        <f t="shared" si="114"/>
        <v>2</v>
      </c>
      <c r="Z106" t="str">
        <f t="shared" si="114"/>
        <v>2</v>
      </c>
      <c r="AA106" t="str">
        <f t="shared" si="79"/>
        <v xml:space="preserve">          </v>
      </c>
      <c r="AB106" t="str">
        <f t="shared" si="67"/>
        <v>2</v>
      </c>
      <c r="AC106" t="str">
        <f t="shared" si="70"/>
        <v>2</v>
      </c>
      <c r="AD106" t="str">
        <f t="shared" si="117"/>
        <v>2</v>
      </c>
      <c r="AE106" t="str">
        <f t="shared" si="117"/>
        <v>2</v>
      </c>
      <c r="AF106" t="str">
        <f t="shared" si="117"/>
        <v>2</v>
      </c>
      <c r="AG106" t="str">
        <f t="shared" si="117"/>
        <v>2</v>
      </c>
      <c r="AH106" t="str">
        <f t="shared" si="122"/>
        <v>1</v>
      </c>
      <c r="AI106" t="str">
        <f t="shared" ref="AI106:AI119" si="129">"1         "</f>
        <v xml:space="preserve">1         </v>
      </c>
      <c r="AJ106" t="str">
        <f t="shared" si="123"/>
        <v>170</v>
      </c>
      <c r="AK106" t="str">
        <f>"25"</f>
        <v>25</v>
      </c>
      <c r="AL106" t="str">
        <f>"754"</f>
        <v>754</v>
      </c>
      <c r="AM106" t="str">
        <f>"11"</f>
        <v>11</v>
      </c>
      <c r="AN106" t="str">
        <f>"11001"</f>
        <v>11001</v>
      </c>
      <c r="AO106" t="str">
        <f>"9/07/2020 12:00:00 a. m."</f>
        <v>9/07/2020 12:00:00 a. m.</v>
      </c>
      <c r="AP106" t="str">
        <f>"9/07/2020 12:00:00 a. m."</f>
        <v>9/07/2020 12:00:00 a. m.</v>
      </c>
      <c r="AQ106" t="str">
        <f t="shared" si="118"/>
        <v>3</v>
      </c>
      <c r="AR106" t="str">
        <f t="shared" ref="AR106:AR121" si="130">"1"</f>
        <v>1</v>
      </c>
      <c r="AS106" t="str">
        <f>"9/07/2020 12:00:00 a. m."</f>
        <v>9/07/2020 12:00:00 a. m.</v>
      </c>
      <c r="AT106" t="str">
        <f t="shared" si="103"/>
        <v>1</v>
      </c>
      <c r="AU106" t="str">
        <f>""</f>
        <v/>
      </c>
      <c r="AV106" t="str">
        <f t="shared" si="119"/>
        <v>0</v>
      </c>
      <c r="AW106" t="str">
        <f>"16/03/2005 12:00:00 a. m."</f>
        <v>16/03/2005 12:00:00 a. m.</v>
      </c>
      <c r="AX106" t="str">
        <f>""</f>
        <v/>
      </c>
      <c r="AY106" t="str">
        <f t="shared" si="82"/>
        <v>30/04/2021 12:00:00 a. m.</v>
      </c>
      <c r="AZ106" t="str">
        <f>"2/09/2020 12:00:00 a. m."</f>
        <v>2/09/2020 12:00:00 a. m.</v>
      </c>
      <c r="BA106" t="str">
        <f>""</f>
        <v/>
      </c>
      <c r="BB106" t="str">
        <f>""</f>
        <v/>
      </c>
      <c r="BC106" t="str">
        <f>""</f>
        <v/>
      </c>
      <c r="BD106" t="str">
        <f t="shared" si="124"/>
        <v>1</v>
      </c>
      <c r="BE106" t="str">
        <f t="shared" si="124"/>
        <v>1</v>
      </c>
      <c r="BF106" t="str">
        <f t="shared" si="83"/>
        <v xml:space="preserve">3         </v>
      </c>
      <c r="BG106" t="str">
        <f t="shared" si="84"/>
        <v>Confirmado por laboratorio</v>
      </c>
      <c r="BH106" t="str">
        <f>"FUNDACION HOSPITAL DE LA MISERICORDIA"</f>
        <v>FUNDACION HOSPITAL DE LA MISERICORDIA</v>
      </c>
      <c r="BI106" t="str">
        <f t="shared" si="125"/>
        <v>COLOMBIA</v>
      </c>
      <c r="BJ106" t="str">
        <f t="shared" si="86"/>
        <v>CANCER INFANTIL</v>
      </c>
      <c r="BK106" t="str">
        <f>"CUNDINAMARCA"</f>
        <v>CUNDINAMARCA</v>
      </c>
      <c r="BL106" t="str">
        <f>"SOACHA"</f>
        <v>SOACHA</v>
      </c>
      <c r="BM106" t="str">
        <f t="shared" si="126"/>
        <v>COLOMBIA</v>
      </c>
      <c r="BN106" t="str">
        <f>"CUNDINAMARCA"</f>
        <v>CUNDINAMARCA</v>
      </c>
      <c r="BO106" t="str">
        <f>"SOACHA"</f>
        <v>SOACHA</v>
      </c>
      <c r="BP106" t="str">
        <f t="shared" si="128"/>
        <v>BOGOTA</v>
      </c>
      <c r="BQ106" t="str">
        <f t="shared" si="128"/>
        <v>BOGOTA</v>
      </c>
    </row>
    <row r="107" spans="1:69" x14ac:dyDescent="0.25">
      <c r="A107" t="str">
        <f>"7285629"</f>
        <v>7285629</v>
      </c>
      <c r="B107" t="str">
        <f t="shared" si="74"/>
        <v>459</v>
      </c>
      <c r="C107" t="str">
        <f>"11/11/2020 12:00:00 a. m."</f>
        <v>11/11/2020 12:00:00 a. m.</v>
      </c>
      <c r="D107" t="str">
        <f>"45"</f>
        <v>45</v>
      </c>
      <c r="E107" t="str">
        <f t="shared" si="75"/>
        <v>2020</v>
      </c>
      <c r="F107" t="str">
        <f>"4100100562"</f>
        <v>4100100562</v>
      </c>
      <c r="G107" t="str">
        <f t="shared" si="104"/>
        <v>01</v>
      </c>
      <c r="H107" t="str">
        <f>"17"</f>
        <v>17</v>
      </c>
      <c r="I107" t="str">
        <f t="shared" si="127"/>
        <v>1</v>
      </c>
      <c r="J107" t="str">
        <f>"F"</f>
        <v>F</v>
      </c>
      <c r="K107" t="str">
        <f t="shared" si="120"/>
        <v>170</v>
      </c>
      <c r="L107" t="str">
        <f>"18"</f>
        <v>18</v>
      </c>
      <c r="M107" t="str">
        <f>"001"</f>
        <v>001</v>
      </c>
      <c r="N107" t="str">
        <f t="shared" si="115"/>
        <v>1</v>
      </c>
      <c r="O107" t="str">
        <f>"9999"</f>
        <v>9999</v>
      </c>
      <c r="P107" t="str">
        <f>"S"</f>
        <v>S</v>
      </c>
      <c r="Q107" t="str">
        <f>"ESS062"</f>
        <v>ESS062</v>
      </c>
      <c r="R107" t="str">
        <f t="shared" si="110"/>
        <v>6</v>
      </c>
      <c r="S107" t="str">
        <f>""</f>
        <v/>
      </c>
      <c r="T107" t="str">
        <f t="shared" si="112"/>
        <v xml:space="preserve">                                                                                                    </v>
      </c>
      <c r="U107" t="str">
        <f t="shared" si="116"/>
        <v xml:space="preserve">2         </v>
      </c>
      <c r="V107" t="str">
        <f t="shared" si="113"/>
        <v>2</v>
      </c>
      <c r="W107" t="str">
        <f t="shared" si="113"/>
        <v>2</v>
      </c>
      <c r="X107" t="str">
        <f t="shared" si="121"/>
        <v>2</v>
      </c>
      <c r="Y107" t="str">
        <f t="shared" si="114"/>
        <v>2</v>
      </c>
      <c r="Z107" t="str">
        <f t="shared" si="114"/>
        <v>2</v>
      </c>
      <c r="AA107" t="str">
        <f t="shared" si="79"/>
        <v xml:space="preserve">          </v>
      </c>
      <c r="AB107" t="str">
        <f t="shared" si="67"/>
        <v>2</v>
      </c>
      <c r="AC107" t="str">
        <f t="shared" si="70"/>
        <v>2</v>
      </c>
      <c r="AD107" t="str">
        <f t="shared" si="117"/>
        <v>2</v>
      </c>
      <c r="AE107" t="str">
        <f t="shared" si="117"/>
        <v>2</v>
      </c>
      <c r="AF107" t="str">
        <f t="shared" si="117"/>
        <v>2</v>
      </c>
      <c r="AG107" t="str">
        <f t="shared" si="117"/>
        <v>2</v>
      </c>
      <c r="AH107" t="str">
        <f t="shared" si="122"/>
        <v>1</v>
      </c>
      <c r="AI107" t="str">
        <f t="shared" si="129"/>
        <v xml:space="preserve">1         </v>
      </c>
      <c r="AJ107" t="str">
        <f t="shared" si="123"/>
        <v>170</v>
      </c>
      <c r="AK107" t="str">
        <f>"18"</f>
        <v>18</v>
      </c>
      <c r="AL107" t="str">
        <f>"001"</f>
        <v>001</v>
      </c>
      <c r="AM107" t="str">
        <f>"41"</f>
        <v>41</v>
      </c>
      <c r="AN107" t="str">
        <f>"41001"</f>
        <v>41001</v>
      </c>
      <c r="AO107" t="str">
        <f>"6/11/2020 12:00:00 a. m."</f>
        <v>6/11/2020 12:00:00 a. m.</v>
      </c>
      <c r="AP107" t="str">
        <f>"27/10/2020 12:00:00 a. m."</f>
        <v>27/10/2020 12:00:00 a. m.</v>
      </c>
      <c r="AQ107" t="str">
        <f t="shared" si="118"/>
        <v>3</v>
      </c>
      <c r="AR107" t="str">
        <f t="shared" si="130"/>
        <v>1</v>
      </c>
      <c r="AS107" t="str">
        <f>"6/11/2020 12:00:00 a. m."</f>
        <v>6/11/2020 12:00:00 a. m.</v>
      </c>
      <c r="AT107" t="str">
        <f>"2"</f>
        <v>2</v>
      </c>
      <c r="AU107" t="str">
        <f>"10/11/2020 12:00:00 a. m."</f>
        <v>10/11/2020 12:00:00 a. m.</v>
      </c>
      <c r="AV107" t="str">
        <f t="shared" si="119"/>
        <v>0</v>
      </c>
      <c r="AW107" t="str">
        <f>"17/04/2003 12:00:00 a. m."</f>
        <v>17/04/2003 12:00:00 a. m.</v>
      </c>
      <c r="AX107" t="str">
        <f>"C924"</f>
        <v>C924</v>
      </c>
      <c r="AY107" t="str">
        <f t="shared" si="82"/>
        <v>30/04/2021 12:00:00 a. m.</v>
      </c>
      <c r="AZ107" t="str">
        <f>"12/11/2020 12:00:00 a. m."</f>
        <v>12/11/2020 12:00:00 a. m.</v>
      </c>
      <c r="BA107" t="str">
        <f>""</f>
        <v/>
      </c>
      <c r="BB107" t="str">
        <f>""</f>
        <v/>
      </c>
      <c r="BC107" t="str">
        <f>""</f>
        <v/>
      </c>
      <c r="BD107" t="str">
        <f t="shared" si="124"/>
        <v>1</v>
      </c>
      <c r="BE107" t="str">
        <f t="shared" si="124"/>
        <v>1</v>
      </c>
      <c r="BF107" t="str">
        <f t="shared" si="83"/>
        <v xml:space="preserve">3         </v>
      </c>
      <c r="BG107" t="str">
        <f t="shared" si="84"/>
        <v>Confirmado por laboratorio</v>
      </c>
      <c r="BH107" t="str">
        <f>"HOSPITAL UNIVERSITARIO HERNANDO MONCALEANO PERDOMO"</f>
        <v>HOSPITAL UNIVERSITARIO HERNANDO MONCALEANO PERDOMO</v>
      </c>
      <c r="BI107" t="str">
        <f t="shared" si="125"/>
        <v>COLOMBIA</v>
      </c>
      <c r="BJ107" t="str">
        <f t="shared" si="86"/>
        <v>CANCER INFANTIL</v>
      </c>
      <c r="BK107" t="str">
        <f>"CAQUETA"</f>
        <v>CAQUETA</v>
      </c>
      <c r="BL107" t="str">
        <f>"FLORENCIA"</f>
        <v>FLORENCIA</v>
      </c>
      <c r="BM107" t="str">
        <f t="shared" si="126"/>
        <v>COLOMBIA</v>
      </c>
      <c r="BN107" t="str">
        <f>"CAQUETA"</f>
        <v>CAQUETA</v>
      </c>
      <c r="BO107" t="str">
        <f>"FLORENCIA"</f>
        <v>FLORENCIA</v>
      </c>
      <c r="BP107" t="str">
        <f>"HUILA"</f>
        <v>HUILA</v>
      </c>
      <c r="BQ107" t="str">
        <f>"NEIVA"</f>
        <v>NEIVA</v>
      </c>
    </row>
    <row r="108" spans="1:69" x14ac:dyDescent="0.25">
      <c r="A108" t="str">
        <f>"7285623"</f>
        <v>7285623</v>
      </c>
      <c r="B108" t="str">
        <f t="shared" si="74"/>
        <v>459</v>
      </c>
      <c r="C108" t="str">
        <f>"26/11/2020 12:00:00 a. m."</f>
        <v>26/11/2020 12:00:00 a. m.</v>
      </c>
      <c r="D108" t="str">
        <f>"47"</f>
        <v>47</v>
      </c>
      <c r="E108" t="str">
        <f t="shared" si="75"/>
        <v>2020</v>
      </c>
      <c r="F108" t="str">
        <f>"7600103799"</f>
        <v>7600103799</v>
      </c>
      <c r="G108" t="str">
        <f t="shared" si="104"/>
        <v>01</v>
      </c>
      <c r="H108" t="str">
        <f>"17"</f>
        <v>17</v>
      </c>
      <c r="I108" t="str">
        <f t="shared" si="127"/>
        <v>1</v>
      </c>
      <c r="J108" t="str">
        <f>"M"</f>
        <v>M</v>
      </c>
      <c r="K108" t="str">
        <f t="shared" si="120"/>
        <v>170</v>
      </c>
      <c r="L108" t="str">
        <f>"76"</f>
        <v>76</v>
      </c>
      <c r="M108" t="str">
        <f>"834"</f>
        <v>834</v>
      </c>
      <c r="N108" t="str">
        <f t="shared" si="115"/>
        <v>1</v>
      </c>
      <c r="O108" t="str">
        <f>"9997"</f>
        <v>9997</v>
      </c>
      <c r="P108" t="str">
        <f>"C"</f>
        <v>C</v>
      </c>
      <c r="Q108" t="str">
        <f>"EPS044"</f>
        <v>EPS044</v>
      </c>
      <c r="R108" t="str">
        <f t="shared" si="110"/>
        <v>6</v>
      </c>
      <c r="S108" t="str">
        <f>""</f>
        <v/>
      </c>
      <c r="T108" t="str">
        <f t="shared" si="112"/>
        <v xml:space="preserve">                                                                                                    </v>
      </c>
      <c r="U108" t="str">
        <f t="shared" si="116"/>
        <v xml:space="preserve">2         </v>
      </c>
      <c r="V108" t="str">
        <f t="shared" si="113"/>
        <v>2</v>
      </c>
      <c r="W108" t="str">
        <f t="shared" si="113"/>
        <v>2</v>
      </c>
      <c r="X108" t="str">
        <f t="shared" si="121"/>
        <v>2</v>
      </c>
      <c r="Y108" t="str">
        <f t="shared" si="114"/>
        <v>2</v>
      </c>
      <c r="Z108" t="str">
        <f t="shared" si="114"/>
        <v>2</v>
      </c>
      <c r="AA108" t="str">
        <f t="shared" si="79"/>
        <v xml:space="preserve">          </v>
      </c>
      <c r="AB108" t="str">
        <f t="shared" si="67"/>
        <v>2</v>
      </c>
      <c r="AC108" t="str">
        <f t="shared" si="70"/>
        <v>2</v>
      </c>
      <c r="AD108" t="str">
        <f t="shared" si="117"/>
        <v>2</v>
      </c>
      <c r="AE108" t="str">
        <f t="shared" si="117"/>
        <v>2</v>
      </c>
      <c r="AF108" t="str">
        <f t="shared" si="117"/>
        <v>2</v>
      </c>
      <c r="AG108" t="str">
        <f t="shared" si="117"/>
        <v>2</v>
      </c>
      <c r="AH108" t="str">
        <f t="shared" si="122"/>
        <v>1</v>
      </c>
      <c r="AI108" t="str">
        <f t="shared" si="129"/>
        <v xml:space="preserve">1         </v>
      </c>
      <c r="AJ108" t="str">
        <f t="shared" si="123"/>
        <v>170</v>
      </c>
      <c r="AK108" t="str">
        <f>"76"</f>
        <v>76</v>
      </c>
      <c r="AL108" t="str">
        <f>"834"</f>
        <v>834</v>
      </c>
      <c r="AM108" t="str">
        <f>"76"</f>
        <v>76</v>
      </c>
      <c r="AN108" t="str">
        <f>"76001"</f>
        <v>76001</v>
      </c>
      <c r="AO108" t="str">
        <f>"20/11/2020 12:00:00 a. m."</f>
        <v>20/11/2020 12:00:00 a. m.</v>
      </c>
      <c r="AP108" t="str">
        <f>"21/09/2020 12:00:00 a. m."</f>
        <v>21/09/2020 12:00:00 a. m.</v>
      </c>
      <c r="AQ108" t="str">
        <f>"2"</f>
        <v>2</v>
      </c>
      <c r="AR108" t="str">
        <f t="shared" si="130"/>
        <v>1</v>
      </c>
      <c r="AS108" t="str">
        <f>"20/11/2020 12:00:00 a. m."</f>
        <v>20/11/2020 12:00:00 a. m.</v>
      </c>
      <c r="AT108" t="str">
        <f>"1"</f>
        <v>1</v>
      </c>
      <c r="AU108" t="str">
        <f>""</f>
        <v/>
      </c>
      <c r="AV108" t="str">
        <f>"3"</f>
        <v>3</v>
      </c>
      <c r="AW108" t="str">
        <f>"27/06/2003 12:00:00 a. m."</f>
        <v>27/06/2003 12:00:00 a. m.</v>
      </c>
      <c r="AX108" t="str">
        <f>""</f>
        <v/>
      </c>
      <c r="AY108" t="str">
        <f t="shared" si="82"/>
        <v>30/04/2021 12:00:00 a. m.</v>
      </c>
      <c r="AZ108" t="str">
        <f>"5/02/2021 12:00:00 a. m."</f>
        <v>5/02/2021 12:00:00 a. m.</v>
      </c>
      <c r="BA108" t="str">
        <f>""</f>
        <v/>
      </c>
      <c r="BB108" t="str">
        <f>""</f>
        <v/>
      </c>
      <c r="BC108" t="str">
        <f>""</f>
        <v/>
      </c>
      <c r="BD108" t="str">
        <f t="shared" si="124"/>
        <v>1</v>
      </c>
      <c r="BE108" t="str">
        <f t="shared" si="124"/>
        <v>1</v>
      </c>
      <c r="BF108" t="str">
        <f t="shared" si="83"/>
        <v xml:space="preserve">3         </v>
      </c>
      <c r="BG108" t="str">
        <f t="shared" si="84"/>
        <v>Confirmado por laboratorio</v>
      </c>
      <c r="BH108" t="str">
        <f>"HOSPITAL UNIVERSITARIO DEL VALLE EVARISTO GARCIA"</f>
        <v>HOSPITAL UNIVERSITARIO DEL VALLE EVARISTO GARCIA</v>
      </c>
      <c r="BI108" t="str">
        <f t="shared" si="125"/>
        <v>COLOMBIA</v>
      </c>
      <c r="BJ108" t="str">
        <f t="shared" si="86"/>
        <v>CANCER INFANTIL</v>
      </c>
      <c r="BK108" t="str">
        <f>"VALLE"</f>
        <v>VALLE</v>
      </c>
      <c r="BL108" t="str">
        <f>"TULUA"</f>
        <v>TULUA</v>
      </c>
      <c r="BM108" t="str">
        <f t="shared" si="126"/>
        <v>COLOMBIA</v>
      </c>
      <c r="BN108" t="str">
        <f>"VALLE"</f>
        <v>VALLE</v>
      </c>
      <c r="BO108" t="str">
        <f>"TULUA"</f>
        <v>TULUA</v>
      </c>
      <c r="BP108" t="str">
        <f>"VALLE"</f>
        <v>VALLE</v>
      </c>
      <c r="BQ108" t="str">
        <f>"CALI"</f>
        <v>CALI</v>
      </c>
    </row>
    <row r="109" spans="1:69" x14ac:dyDescent="0.25">
      <c r="A109" t="str">
        <f>"7285413"</f>
        <v>7285413</v>
      </c>
      <c r="B109" t="str">
        <f t="shared" si="74"/>
        <v>459</v>
      </c>
      <c r="C109" t="str">
        <f>"19/03/2020 12:00:00 a. m."</f>
        <v>19/03/2020 12:00:00 a. m.</v>
      </c>
      <c r="D109" t="str">
        <f>"10"</f>
        <v>10</v>
      </c>
      <c r="E109" t="str">
        <f t="shared" si="75"/>
        <v>2020</v>
      </c>
      <c r="F109" t="str">
        <f>"0500102144"</f>
        <v>0500102144</v>
      </c>
      <c r="G109" t="str">
        <f t="shared" si="104"/>
        <v>01</v>
      </c>
      <c r="H109" t="str">
        <f>"9"</f>
        <v>9</v>
      </c>
      <c r="I109" t="str">
        <f t="shared" si="127"/>
        <v>1</v>
      </c>
      <c r="J109" t="str">
        <f>"F"</f>
        <v>F</v>
      </c>
      <c r="K109" t="str">
        <f t="shared" si="120"/>
        <v>170</v>
      </c>
      <c r="L109" t="str">
        <f>"05"</f>
        <v>05</v>
      </c>
      <c r="M109" t="str">
        <f>"266"</f>
        <v>266</v>
      </c>
      <c r="N109" t="str">
        <f>"3"</f>
        <v>3</v>
      </c>
      <c r="O109" t="str">
        <f>"9997"</f>
        <v>9997</v>
      </c>
      <c r="P109" t="str">
        <f>"S"</f>
        <v>S</v>
      </c>
      <c r="Q109" t="str">
        <f>"EPSS40"</f>
        <v>EPSS40</v>
      </c>
      <c r="R109" t="str">
        <f t="shared" si="110"/>
        <v>6</v>
      </c>
      <c r="S109" t="str">
        <f>""</f>
        <v/>
      </c>
      <c r="T109" t="str">
        <f t="shared" si="112"/>
        <v xml:space="preserve">                                                                                                    </v>
      </c>
      <c r="U109" t="str">
        <f>"          "</f>
        <v xml:space="preserve">          </v>
      </c>
      <c r="V109" t="str">
        <f t="shared" si="113"/>
        <v>2</v>
      </c>
      <c r="W109" t="str">
        <f t="shared" si="113"/>
        <v>2</v>
      </c>
      <c r="X109" t="str">
        <f t="shared" si="121"/>
        <v>2</v>
      </c>
      <c r="Y109" t="str">
        <f t="shared" si="114"/>
        <v>2</v>
      </c>
      <c r="Z109" t="str">
        <f t="shared" si="114"/>
        <v>2</v>
      </c>
      <c r="AA109" t="str">
        <f t="shared" si="79"/>
        <v xml:space="preserve">          </v>
      </c>
      <c r="AB109" t="str">
        <f t="shared" si="67"/>
        <v>2</v>
      </c>
      <c r="AC109" t="str">
        <f t="shared" si="70"/>
        <v>2</v>
      </c>
      <c r="AD109" t="str">
        <f t="shared" si="117"/>
        <v>2</v>
      </c>
      <c r="AE109" t="str">
        <f t="shared" si="117"/>
        <v>2</v>
      </c>
      <c r="AF109" t="str">
        <f t="shared" si="117"/>
        <v>2</v>
      </c>
      <c r="AG109" t="str">
        <f t="shared" si="117"/>
        <v>2</v>
      </c>
      <c r="AH109" t="str">
        <f t="shared" si="122"/>
        <v>1</v>
      </c>
      <c r="AI109" t="str">
        <f t="shared" si="129"/>
        <v xml:space="preserve">1         </v>
      </c>
      <c r="AJ109" t="str">
        <f t="shared" si="123"/>
        <v>170</v>
      </c>
      <c r="AK109" t="str">
        <f>"05"</f>
        <v>05</v>
      </c>
      <c r="AL109" t="str">
        <f>"266"</f>
        <v>266</v>
      </c>
      <c r="AM109" t="str">
        <f>"05"</f>
        <v>05</v>
      </c>
      <c r="AN109" t="str">
        <f>"05001"</f>
        <v>05001</v>
      </c>
      <c r="AO109" t="str">
        <f>"7/03/2020 12:00:00 a. m."</f>
        <v>7/03/2020 12:00:00 a. m.</v>
      </c>
      <c r="AP109" t="str">
        <f>"22/02/2020 12:00:00 a. m."</f>
        <v>22/02/2020 12:00:00 a. m.</v>
      </c>
      <c r="AQ109" t="str">
        <f>"3"</f>
        <v>3</v>
      </c>
      <c r="AR109" t="str">
        <f t="shared" si="130"/>
        <v>1</v>
      </c>
      <c r="AS109" t="str">
        <f>"7/03/2020 12:00:00 a. m."</f>
        <v>7/03/2020 12:00:00 a. m.</v>
      </c>
      <c r="AT109" t="str">
        <f>"1"</f>
        <v>1</v>
      </c>
      <c r="AU109" t="str">
        <f>""</f>
        <v/>
      </c>
      <c r="AV109" t="str">
        <f>"0"</f>
        <v>0</v>
      </c>
      <c r="AW109" t="str">
        <f>"23/11/2010 12:00:00 a. m."</f>
        <v>23/11/2010 12:00:00 a. m.</v>
      </c>
      <c r="AX109" t="str">
        <f>""</f>
        <v/>
      </c>
      <c r="AY109" t="str">
        <f t="shared" si="82"/>
        <v>30/04/2021 12:00:00 a. m.</v>
      </c>
      <c r="AZ109" t="str">
        <f>"19/03/2020 12:00:00 a. m."</f>
        <v>19/03/2020 12:00:00 a. m.</v>
      </c>
      <c r="BA109" t="str">
        <f>""</f>
        <v/>
      </c>
      <c r="BB109" t="str">
        <f>""</f>
        <v/>
      </c>
      <c r="BC109" t="str">
        <f>""</f>
        <v/>
      </c>
      <c r="BD109" t="str">
        <f t="shared" si="124"/>
        <v>1</v>
      </c>
      <c r="BE109" t="str">
        <f t="shared" si="124"/>
        <v>1</v>
      </c>
      <c r="BF109" t="str">
        <f t="shared" si="83"/>
        <v xml:space="preserve">3         </v>
      </c>
      <c r="BG109" t="str">
        <f t="shared" si="84"/>
        <v>Confirmado por laboratorio</v>
      </c>
      <c r="BH109" t="str">
        <f>"HOSPITAL GENERAL DE MEDELLIN - LUZ CASTRO DE GUTIE"</f>
        <v>HOSPITAL GENERAL DE MEDELLIN - LUZ CASTRO DE GUTIE</v>
      </c>
      <c r="BI109" t="str">
        <f t="shared" si="125"/>
        <v>COLOMBIA</v>
      </c>
      <c r="BJ109" t="str">
        <f t="shared" si="86"/>
        <v>CANCER INFANTIL</v>
      </c>
      <c r="BK109" t="str">
        <f>"ANTIOQUIA"</f>
        <v>ANTIOQUIA</v>
      </c>
      <c r="BL109" t="str">
        <f>"ENVIGADO"</f>
        <v>ENVIGADO</v>
      </c>
      <c r="BM109" t="str">
        <f t="shared" si="126"/>
        <v>COLOMBIA</v>
      </c>
      <c r="BN109" t="str">
        <f>"ANTIOQUIA"</f>
        <v>ANTIOQUIA</v>
      </c>
      <c r="BO109" t="str">
        <f>"ENVIGADO"</f>
        <v>ENVIGADO</v>
      </c>
      <c r="BP109" t="str">
        <f>"ANTIOQUIA"</f>
        <v>ANTIOQUIA</v>
      </c>
      <c r="BQ109" t="str">
        <f>"MEDELLIN"</f>
        <v>MEDELLIN</v>
      </c>
    </row>
    <row r="110" spans="1:69" x14ac:dyDescent="0.25">
      <c r="A110" t="str">
        <f>"7285741"</f>
        <v>7285741</v>
      </c>
      <c r="B110" t="str">
        <f t="shared" si="74"/>
        <v>459</v>
      </c>
      <c r="C110" t="str">
        <f>"9/11/2020 12:00:00 a. m."</f>
        <v>9/11/2020 12:00:00 a. m.</v>
      </c>
      <c r="D110" t="str">
        <f>"46"</f>
        <v>46</v>
      </c>
      <c r="E110" t="str">
        <f t="shared" si="75"/>
        <v>2020</v>
      </c>
      <c r="F110" t="str">
        <f>"1100108171"</f>
        <v>1100108171</v>
      </c>
      <c r="G110" t="str">
        <f>"02"</f>
        <v>02</v>
      </c>
      <c r="H110" t="str">
        <f>"10"</f>
        <v>10</v>
      </c>
      <c r="I110" t="str">
        <f>"2"</f>
        <v>2</v>
      </c>
      <c r="J110" t="str">
        <f>"M"</f>
        <v>M</v>
      </c>
      <c r="K110" t="str">
        <f t="shared" si="120"/>
        <v>170</v>
      </c>
      <c r="L110" t="str">
        <f>"25"</f>
        <v>25</v>
      </c>
      <c r="M110" t="str">
        <f>"754"</f>
        <v>754</v>
      </c>
      <c r="N110" t="str">
        <f t="shared" ref="N110:N116" si="131">"1"</f>
        <v>1</v>
      </c>
      <c r="O110" t="str">
        <f>"9999"</f>
        <v>9999</v>
      </c>
      <c r="P110" t="str">
        <f>"C"</f>
        <v>C</v>
      </c>
      <c r="Q110" t="str">
        <f>"EPS017"</f>
        <v>EPS017</v>
      </c>
      <c r="R110" t="str">
        <f t="shared" si="110"/>
        <v>6</v>
      </c>
      <c r="S110" t="str">
        <f>""</f>
        <v/>
      </c>
      <c r="T110" t="str">
        <f t="shared" si="112"/>
        <v xml:space="preserve">                                                                                                    </v>
      </c>
      <c r="U110" t="str">
        <f>"1         "</f>
        <v xml:space="preserve">1         </v>
      </c>
      <c r="V110" t="str">
        <f t="shared" si="113"/>
        <v>2</v>
      </c>
      <c r="W110" t="str">
        <f t="shared" si="113"/>
        <v>2</v>
      </c>
      <c r="X110" t="str">
        <f t="shared" si="121"/>
        <v>2</v>
      </c>
      <c r="Y110" t="str">
        <f t="shared" si="114"/>
        <v>2</v>
      </c>
      <c r="Z110" t="str">
        <f t="shared" si="114"/>
        <v>2</v>
      </c>
      <c r="AA110" t="str">
        <f t="shared" si="79"/>
        <v xml:space="preserve">          </v>
      </c>
      <c r="AB110" t="str">
        <f t="shared" si="67"/>
        <v>2</v>
      </c>
      <c r="AC110" t="str">
        <f t="shared" si="70"/>
        <v>2</v>
      </c>
      <c r="AD110" t="str">
        <f t="shared" si="117"/>
        <v>2</v>
      </c>
      <c r="AE110" t="str">
        <f t="shared" si="117"/>
        <v>2</v>
      </c>
      <c r="AF110" t="str">
        <f t="shared" si="117"/>
        <v>2</v>
      </c>
      <c r="AG110" t="str">
        <f t="shared" si="117"/>
        <v>2</v>
      </c>
      <c r="AH110" t="str">
        <f t="shared" si="122"/>
        <v>1</v>
      </c>
      <c r="AI110" t="str">
        <f t="shared" si="129"/>
        <v xml:space="preserve">1         </v>
      </c>
      <c r="AJ110" t="str">
        <f t="shared" si="123"/>
        <v>170</v>
      </c>
      <c r="AK110" t="str">
        <f>"25"</f>
        <v>25</v>
      </c>
      <c r="AL110" t="str">
        <f>"754"</f>
        <v>754</v>
      </c>
      <c r="AM110" t="str">
        <f>"11"</f>
        <v>11</v>
      </c>
      <c r="AN110" t="str">
        <f>"11001"</f>
        <v>11001</v>
      </c>
      <c r="AO110" t="str">
        <f>"9/11/2020 12:00:00 a. m."</f>
        <v>9/11/2020 12:00:00 a. m.</v>
      </c>
      <c r="AP110" t="str">
        <f>"27/09/2020 12:00:00 a. m."</f>
        <v>27/09/2020 12:00:00 a. m.</v>
      </c>
      <c r="AQ110" t="str">
        <f>"2"</f>
        <v>2</v>
      </c>
      <c r="AR110" t="str">
        <f t="shared" si="130"/>
        <v>1</v>
      </c>
      <c r="AS110" t="str">
        <f>"9/11/2020 12:00:00 a. m."</f>
        <v>9/11/2020 12:00:00 a. m.</v>
      </c>
      <c r="AT110" t="str">
        <f>"2"</f>
        <v>2</v>
      </c>
      <c r="AU110" t="str">
        <f>"12/11/2020 12:00:00 a. m."</f>
        <v>12/11/2020 12:00:00 a. m.</v>
      </c>
      <c r="AV110" t="str">
        <f>"3"</f>
        <v>3</v>
      </c>
      <c r="AW110" t="str">
        <f>"13/12/2019 12:00:00 a. m."</f>
        <v>13/12/2019 12:00:00 a. m.</v>
      </c>
      <c r="AX110" t="str">
        <f>"C950"</f>
        <v>C950</v>
      </c>
      <c r="AY110" t="str">
        <f t="shared" si="82"/>
        <v>30/04/2021 12:00:00 a. m.</v>
      </c>
      <c r="AZ110" t="str">
        <f>"17/11/2020 12:00:00 a. m."</f>
        <v>17/11/2020 12:00:00 a. m.</v>
      </c>
      <c r="BA110" t="str">
        <f>""</f>
        <v/>
      </c>
      <c r="BB110" t="str">
        <f>""</f>
        <v/>
      </c>
      <c r="BC110" t="str">
        <f>""</f>
        <v/>
      </c>
      <c r="BD110" t="str">
        <f t="shared" si="124"/>
        <v>1</v>
      </c>
      <c r="BE110" t="str">
        <f t="shared" si="124"/>
        <v>1</v>
      </c>
      <c r="BF110" t="str">
        <f t="shared" si="83"/>
        <v xml:space="preserve">3         </v>
      </c>
      <c r="BG110" t="str">
        <f t="shared" si="84"/>
        <v>Confirmado por laboratorio</v>
      </c>
      <c r="BH110" t="str">
        <f>"CLINICA INFANTIL COLSUBSIDIO"</f>
        <v>CLINICA INFANTIL COLSUBSIDIO</v>
      </c>
      <c r="BI110" t="str">
        <f t="shared" si="125"/>
        <v>COLOMBIA</v>
      </c>
      <c r="BJ110" t="str">
        <f t="shared" si="86"/>
        <v>CANCER INFANTIL</v>
      </c>
      <c r="BK110" t="str">
        <f>"CUNDINAMARCA"</f>
        <v>CUNDINAMARCA</v>
      </c>
      <c r="BL110" t="str">
        <f>"SOACHA"</f>
        <v>SOACHA</v>
      </c>
      <c r="BM110" t="str">
        <f t="shared" si="126"/>
        <v>COLOMBIA</v>
      </c>
      <c r="BN110" t="str">
        <f>"CUNDINAMARCA"</f>
        <v>CUNDINAMARCA</v>
      </c>
      <c r="BO110" t="str">
        <f>"SOACHA"</f>
        <v>SOACHA</v>
      </c>
      <c r="BP110" t="str">
        <f t="shared" ref="BP110:BQ112" si="132">"BOGOTA"</f>
        <v>BOGOTA</v>
      </c>
      <c r="BQ110" t="str">
        <f t="shared" si="132"/>
        <v>BOGOTA</v>
      </c>
    </row>
    <row r="111" spans="1:69" x14ac:dyDescent="0.25">
      <c r="A111" t="str">
        <f>"7285652"</f>
        <v>7285652</v>
      </c>
      <c r="B111" t="str">
        <f t="shared" si="74"/>
        <v>459</v>
      </c>
      <c r="C111" t="str">
        <f>"26/05/2020 12:00:00 a. m."</f>
        <v>26/05/2020 12:00:00 a. m.</v>
      </c>
      <c r="D111" t="str">
        <f>"22"</f>
        <v>22</v>
      </c>
      <c r="E111" t="str">
        <f t="shared" si="75"/>
        <v>2020</v>
      </c>
      <c r="F111" t="str">
        <f>"1100108171"</f>
        <v>1100108171</v>
      </c>
      <c r="G111" t="str">
        <f>"02"</f>
        <v>02</v>
      </c>
      <c r="H111" t="str">
        <f>"13"</f>
        <v>13</v>
      </c>
      <c r="I111" t="str">
        <f t="shared" ref="I111:I126" si="133">"1"</f>
        <v>1</v>
      </c>
      <c r="J111" t="str">
        <f>"M"</f>
        <v>M</v>
      </c>
      <c r="K111" t="str">
        <f t="shared" si="120"/>
        <v>170</v>
      </c>
      <c r="L111" t="str">
        <f>"25"</f>
        <v>25</v>
      </c>
      <c r="M111" t="str">
        <f>"754"</f>
        <v>754</v>
      </c>
      <c r="N111" t="str">
        <f t="shared" si="131"/>
        <v>1</v>
      </c>
      <c r="O111" t="str">
        <f>"9997"</f>
        <v>9997</v>
      </c>
      <c r="P111" t="str">
        <f>"C"</f>
        <v>C</v>
      </c>
      <c r="Q111" t="str">
        <f>"EPS017"</f>
        <v>EPS017</v>
      </c>
      <c r="R111" t="str">
        <f t="shared" si="110"/>
        <v>6</v>
      </c>
      <c r="S111" t="str">
        <f>""</f>
        <v/>
      </c>
      <c r="T111" t="str">
        <f t="shared" si="112"/>
        <v xml:space="preserve">                                                                                                    </v>
      </c>
      <c r="U111" t="str">
        <f>"2         "</f>
        <v xml:space="preserve">2         </v>
      </c>
      <c r="V111" t="str">
        <f t="shared" si="113"/>
        <v>2</v>
      </c>
      <c r="W111" t="str">
        <f t="shared" si="113"/>
        <v>2</v>
      </c>
      <c r="X111" t="str">
        <f t="shared" si="121"/>
        <v>2</v>
      </c>
      <c r="Y111" t="str">
        <f t="shared" si="114"/>
        <v>2</v>
      </c>
      <c r="Z111" t="str">
        <f t="shared" si="114"/>
        <v>2</v>
      </c>
      <c r="AA111" t="str">
        <f t="shared" si="79"/>
        <v xml:space="preserve">          </v>
      </c>
      <c r="AB111" t="str">
        <f t="shared" si="67"/>
        <v>2</v>
      </c>
      <c r="AC111" t="str">
        <f t="shared" si="70"/>
        <v>2</v>
      </c>
      <c r="AD111" t="str">
        <f t="shared" si="117"/>
        <v>2</v>
      </c>
      <c r="AE111" t="str">
        <f t="shared" si="117"/>
        <v>2</v>
      </c>
      <c r="AF111" t="str">
        <f t="shared" si="117"/>
        <v>2</v>
      </c>
      <c r="AG111" t="str">
        <f t="shared" si="117"/>
        <v>2</v>
      </c>
      <c r="AH111" t="str">
        <f t="shared" si="122"/>
        <v>1</v>
      </c>
      <c r="AI111" t="str">
        <f t="shared" si="129"/>
        <v xml:space="preserve">1         </v>
      </c>
      <c r="AJ111" t="str">
        <f t="shared" si="123"/>
        <v>170</v>
      </c>
      <c r="AK111" t="str">
        <f>"25"</f>
        <v>25</v>
      </c>
      <c r="AL111" t="str">
        <f>"754"</f>
        <v>754</v>
      </c>
      <c r="AM111" t="str">
        <f>"11"</f>
        <v>11</v>
      </c>
      <c r="AN111" t="str">
        <f>"11001"</f>
        <v>11001</v>
      </c>
      <c r="AO111" t="str">
        <f>"26/05/2020 12:00:00 a. m."</f>
        <v>26/05/2020 12:00:00 a. m.</v>
      </c>
      <c r="AP111" t="str">
        <f>"13/03/2020 12:00:00 a. m."</f>
        <v>13/03/2020 12:00:00 a. m.</v>
      </c>
      <c r="AQ111" t="str">
        <f>"2"</f>
        <v>2</v>
      </c>
      <c r="AR111" t="str">
        <f t="shared" si="130"/>
        <v>1</v>
      </c>
      <c r="AS111" t="str">
        <f>"26/05/2020 12:00:00 a. m."</f>
        <v>26/05/2020 12:00:00 a. m.</v>
      </c>
      <c r="AT111" t="str">
        <f>"1"</f>
        <v>1</v>
      </c>
      <c r="AU111" t="str">
        <f>""</f>
        <v/>
      </c>
      <c r="AV111" t="str">
        <f>"3"</f>
        <v>3</v>
      </c>
      <c r="AW111" t="str">
        <f>"3/12/2006 12:00:00 a. m."</f>
        <v>3/12/2006 12:00:00 a. m.</v>
      </c>
      <c r="AX111" t="str">
        <f>""</f>
        <v/>
      </c>
      <c r="AY111" t="str">
        <f t="shared" si="82"/>
        <v>30/04/2021 12:00:00 a. m.</v>
      </c>
      <c r="AZ111" t="str">
        <f>"9/06/2020 12:00:00 a. m."</f>
        <v>9/06/2020 12:00:00 a. m.</v>
      </c>
      <c r="BA111" t="str">
        <f>""</f>
        <v/>
      </c>
      <c r="BB111" t="str">
        <f>""</f>
        <v/>
      </c>
      <c r="BC111" t="str">
        <f>""</f>
        <v/>
      </c>
      <c r="BD111" t="str">
        <f t="shared" si="124"/>
        <v>1</v>
      </c>
      <c r="BE111" t="str">
        <f t="shared" si="124"/>
        <v>1</v>
      </c>
      <c r="BF111" t="str">
        <f t="shared" si="83"/>
        <v xml:space="preserve">3         </v>
      </c>
      <c r="BG111" t="str">
        <f t="shared" si="84"/>
        <v>Confirmado por laboratorio</v>
      </c>
      <c r="BH111" t="str">
        <f>"CLINICA INFANTIL COLSUBSIDIO"</f>
        <v>CLINICA INFANTIL COLSUBSIDIO</v>
      </c>
      <c r="BI111" t="str">
        <f t="shared" si="125"/>
        <v>COLOMBIA</v>
      </c>
      <c r="BJ111" t="str">
        <f t="shared" si="86"/>
        <v>CANCER INFANTIL</v>
      </c>
      <c r="BK111" t="str">
        <f>"CUNDINAMARCA"</f>
        <v>CUNDINAMARCA</v>
      </c>
      <c r="BL111" t="str">
        <f>"SOACHA"</f>
        <v>SOACHA</v>
      </c>
      <c r="BM111" t="str">
        <f t="shared" si="126"/>
        <v>COLOMBIA</v>
      </c>
      <c r="BN111" t="str">
        <f>"CUNDINAMARCA"</f>
        <v>CUNDINAMARCA</v>
      </c>
      <c r="BO111" t="str">
        <f>"SOACHA"</f>
        <v>SOACHA</v>
      </c>
      <c r="BP111" t="str">
        <f t="shared" si="132"/>
        <v>BOGOTA</v>
      </c>
      <c r="BQ111" t="str">
        <f t="shared" si="132"/>
        <v>BOGOTA</v>
      </c>
    </row>
    <row r="112" spans="1:69" x14ac:dyDescent="0.25">
      <c r="A112" t="str">
        <f>"7285646"</f>
        <v>7285646</v>
      </c>
      <c r="B112" t="str">
        <f t="shared" si="74"/>
        <v>459</v>
      </c>
      <c r="C112" t="str">
        <f>"9/10/2020 12:00:00 a. m."</f>
        <v>9/10/2020 12:00:00 a. m.</v>
      </c>
      <c r="D112" t="str">
        <f>"41"</f>
        <v>41</v>
      </c>
      <c r="E112" t="str">
        <f t="shared" si="75"/>
        <v>2020</v>
      </c>
      <c r="F112" t="str">
        <f>"1100109456"</f>
        <v>1100109456</v>
      </c>
      <c r="G112" t="str">
        <f t="shared" ref="G112:G121" si="134">"01"</f>
        <v>01</v>
      </c>
      <c r="H112" t="str">
        <f>"12"</f>
        <v>12</v>
      </c>
      <c r="I112" t="str">
        <f t="shared" si="133"/>
        <v>1</v>
      </c>
      <c r="J112" t="str">
        <f>"M"</f>
        <v>M</v>
      </c>
      <c r="K112" t="str">
        <f t="shared" si="120"/>
        <v>170</v>
      </c>
      <c r="L112" t="str">
        <f>"25"</f>
        <v>25</v>
      </c>
      <c r="M112" t="str">
        <f>"754"</f>
        <v>754</v>
      </c>
      <c r="N112" t="str">
        <f t="shared" si="131"/>
        <v>1</v>
      </c>
      <c r="O112" t="str">
        <f>"9997"</f>
        <v>9997</v>
      </c>
      <c r="P112" t="str">
        <f>"C"</f>
        <v>C</v>
      </c>
      <c r="Q112" t="str">
        <f>"EPS037"</f>
        <v>EPS037</v>
      </c>
      <c r="R112" t="str">
        <f t="shared" si="110"/>
        <v>6</v>
      </c>
      <c r="S112" t="str">
        <f>""</f>
        <v/>
      </c>
      <c r="T112" t="str">
        <f t="shared" si="112"/>
        <v xml:space="preserve">                                                                                                    </v>
      </c>
      <c r="U112" t="str">
        <f>"2         "</f>
        <v xml:space="preserve">2         </v>
      </c>
      <c r="V112" t="str">
        <f t="shared" si="113"/>
        <v>2</v>
      </c>
      <c r="W112" t="str">
        <f t="shared" si="113"/>
        <v>2</v>
      </c>
      <c r="X112" t="str">
        <f t="shared" si="121"/>
        <v>2</v>
      </c>
      <c r="Y112" t="str">
        <f t="shared" si="114"/>
        <v>2</v>
      </c>
      <c r="Z112" t="str">
        <f t="shared" si="114"/>
        <v>2</v>
      </c>
      <c r="AA112" t="str">
        <f t="shared" si="79"/>
        <v xml:space="preserve">          </v>
      </c>
      <c r="AB112" t="str">
        <f t="shared" si="67"/>
        <v>2</v>
      </c>
      <c r="AC112" t="str">
        <f t="shared" si="70"/>
        <v>2</v>
      </c>
      <c r="AD112" t="str">
        <f t="shared" si="117"/>
        <v>2</v>
      </c>
      <c r="AE112" t="str">
        <f t="shared" si="117"/>
        <v>2</v>
      </c>
      <c r="AF112" t="str">
        <f t="shared" si="117"/>
        <v>2</v>
      </c>
      <c r="AG112" t="str">
        <f t="shared" si="117"/>
        <v>2</v>
      </c>
      <c r="AH112" t="str">
        <f t="shared" si="122"/>
        <v>1</v>
      </c>
      <c r="AI112" t="str">
        <f t="shared" si="129"/>
        <v xml:space="preserve">1         </v>
      </c>
      <c r="AJ112" t="str">
        <f t="shared" si="123"/>
        <v>170</v>
      </c>
      <c r="AK112" t="str">
        <f>"25"</f>
        <v>25</v>
      </c>
      <c r="AL112" t="str">
        <f>"754"</f>
        <v>754</v>
      </c>
      <c r="AM112" t="str">
        <f>"11"</f>
        <v>11</v>
      </c>
      <c r="AN112" t="str">
        <f>"11001"</f>
        <v>11001</v>
      </c>
      <c r="AO112" t="str">
        <f>"8/10/2020 12:00:00 a. m."</f>
        <v>8/10/2020 12:00:00 a. m.</v>
      </c>
      <c r="AP112" t="str">
        <f>"20/03/2020 12:00:00 a. m."</f>
        <v>20/03/2020 12:00:00 a. m.</v>
      </c>
      <c r="AQ112" t="str">
        <f>"2"</f>
        <v>2</v>
      </c>
      <c r="AR112" t="str">
        <f t="shared" si="130"/>
        <v>1</v>
      </c>
      <c r="AS112" t="str">
        <f>"8/10/2020 12:00:00 a. m."</f>
        <v>8/10/2020 12:00:00 a. m.</v>
      </c>
      <c r="AT112" t="str">
        <f>"1"</f>
        <v>1</v>
      </c>
      <c r="AU112" t="str">
        <f>""</f>
        <v/>
      </c>
      <c r="AV112" t="str">
        <f>"3"</f>
        <v>3</v>
      </c>
      <c r="AW112" t="str">
        <f>"5/08/2008 12:00:00 a. m."</f>
        <v>5/08/2008 12:00:00 a. m.</v>
      </c>
      <c r="AX112" t="str">
        <f>""</f>
        <v/>
      </c>
      <c r="AY112" t="str">
        <f t="shared" si="82"/>
        <v>30/04/2021 12:00:00 a. m.</v>
      </c>
      <c r="AZ112" t="str">
        <f>"20/12/2020 12:00:00 a. m."</f>
        <v>20/12/2020 12:00:00 a. m.</v>
      </c>
      <c r="BA112" t="str">
        <f>""</f>
        <v/>
      </c>
      <c r="BB112" t="str">
        <f>""</f>
        <v/>
      </c>
      <c r="BC112" t="str">
        <f>""</f>
        <v/>
      </c>
      <c r="BD112" t="str">
        <f t="shared" si="124"/>
        <v>1</v>
      </c>
      <c r="BE112" t="str">
        <f t="shared" si="124"/>
        <v>1</v>
      </c>
      <c r="BF112" t="str">
        <f t="shared" si="83"/>
        <v xml:space="preserve">3         </v>
      </c>
      <c r="BG112" t="str">
        <f t="shared" si="84"/>
        <v>Confirmado por laboratorio</v>
      </c>
      <c r="BH112" t="str">
        <f>"HOSPITAL UNIVERSITARIO SAN IGNACIO"</f>
        <v>HOSPITAL UNIVERSITARIO SAN IGNACIO</v>
      </c>
      <c r="BI112" t="str">
        <f t="shared" si="125"/>
        <v>COLOMBIA</v>
      </c>
      <c r="BJ112" t="str">
        <f t="shared" si="86"/>
        <v>CANCER INFANTIL</v>
      </c>
      <c r="BK112" t="str">
        <f>"CUNDINAMARCA"</f>
        <v>CUNDINAMARCA</v>
      </c>
      <c r="BL112" t="str">
        <f>"SOACHA"</f>
        <v>SOACHA</v>
      </c>
      <c r="BM112" t="str">
        <f t="shared" si="126"/>
        <v>COLOMBIA</v>
      </c>
      <c r="BN112" t="str">
        <f>"CUNDINAMARCA"</f>
        <v>CUNDINAMARCA</v>
      </c>
      <c r="BO112" t="str">
        <f>"SOACHA"</f>
        <v>SOACHA</v>
      </c>
      <c r="BP112" t="str">
        <f t="shared" si="132"/>
        <v>BOGOTA</v>
      </c>
      <c r="BQ112" t="str">
        <f t="shared" si="132"/>
        <v>BOGOTA</v>
      </c>
    </row>
    <row r="113" spans="1:69" x14ac:dyDescent="0.25">
      <c r="A113" t="str">
        <f>"7285521"</f>
        <v>7285521</v>
      </c>
      <c r="B113" t="str">
        <f t="shared" si="74"/>
        <v>459</v>
      </c>
      <c r="C113" t="str">
        <f>"14/09/2020 12:00:00 a. m."</f>
        <v>14/09/2020 12:00:00 a. m.</v>
      </c>
      <c r="D113" t="str">
        <f>"32"</f>
        <v>32</v>
      </c>
      <c r="E113" t="str">
        <f t="shared" si="75"/>
        <v>2020</v>
      </c>
      <c r="F113" t="str">
        <f>"6854704947"</f>
        <v>6854704947</v>
      </c>
      <c r="G113" t="str">
        <f t="shared" si="134"/>
        <v>01</v>
      </c>
      <c r="H113" t="str">
        <f>"16"</f>
        <v>16</v>
      </c>
      <c r="I113" t="str">
        <f t="shared" si="133"/>
        <v>1</v>
      </c>
      <c r="J113" t="str">
        <f>"F"</f>
        <v>F</v>
      </c>
      <c r="K113" t="str">
        <f t="shared" si="120"/>
        <v>170</v>
      </c>
      <c r="L113" t="str">
        <f>"68"</f>
        <v>68</v>
      </c>
      <c r="M113" t="str">
        <f>"001"</f>
        <v>001</v>
      </c>
      <c r="N113" t="str">
        <f t="shared" si="131"/>
        <v>1</v>
      </c>
      <c r="O113" t="str">
        <f>"9997"</f>
        <v>9997</v>
      </c>
      <c r="P113" t="str">
        <f>"S"</f>
        <v>S</v>
      </c>
      <c r="Q113" t="str">
        <f>"ESS062"</f>
        <v>ESS062</v>
      </c>
      <c r="R113" t="str">
        <f t="shared" si="110"/>
        <v>6</v>
      </c>
      <c r="S113" t="str">
        <f>""</f>
        <v/>
      </c>
      <c r="T113" t="str">
        <f t="shared" si="112"/>
        <v xml:space="preserve">                                                                                                    </v>
      </c>
      <c r="U113" t="str">
        <f>"2         "</f>
        <v xml:space="preserve">2         </v>
      </c>
      <c r="V113" t="str">
        <f t="shared" si="113"/>
        <v>2</v>
      </c>
      <c r="W113" t="str">
        <f t="shared" si="113"/>
        <v>2</v>
      </c>
      <c r="X113" t="str">
        <f t="shared" si="121"/>
        <v>2</v>
      </c>
      <c r="Y113" t="str">
        <f t="shared" si="114"/>
        <v>2</v>
      </c>
      <c r="Z113" t="str">
        <f t="shared" si="114"/>
        <v>2</v>
      </c>
      <c r="AA113" t="str">
        <f t="shared" si="79"/>
        <v xml:space="preserve">          </v>
      </c>
      <c r="AB113" t="str">
        <f t="shared" si="67"/>
        <v>2</v>
      </c>
      <c r="AC113" t="str">
        <f t="shared" si="70"/>
        <v>2</v>
      </c>
      <c r="AD113" t="str">
        <f t="shared" si="117"/>
        <v>2</v>
      </c>
      <c r="AE113" t="str">
        <f t="shared" si="117"/>
        <v>2</v>
      </c>
      <c r="AF113" t="str">
        <f t="shared" si="117"/>
        <v>2</v>
      </c>
      <c r="AG113" t="str">
        <f t="shared" si="117"/>
        <v>2</v>
      </c>
      <c r="AH113" t="str">
        <f t="shared" si="122"/>
        <v>1</v>
      </c>
      <c r="AI113" t="str">
        <f t="shared" si="129"/>
        <v xml:space="preserve">1         </v>
      </c>
      <c r="AJ113" t="str">
        <f t="shared" si="123"/>
        <v>170</v>
      </c>
      <c r="AK113" t="str">
        <f>"68"</f>
        <v>68</v>
      </c>
      <c r="AL113" t="str">
        <f>"001"</f>
        <v>001</v>
      </c>
      <c r="AM113" t="str">
        <f>"68"</f>
        <v>68</v>
      </c>
      <c r="AN113" t="str">
        <f>"68547"</f>
        <v>68547</v>
      </c>
      <c r="AO113" t="str">
        <f>"4/08/2020 12:00:00 a. m."</f>
        <v>4/08/2020 12:00:00 a. m.</v>
      </c>
      <c r="AP113" t="str">
        <f>"4/07/2020 12:00:00 a. m."</f>
        <v>4/07/2020 12:00:00 a. m.</v>
      </c>
      <c r="AQ113" t="str">
        <f t="shared" ref="AQ113:AQ121" si="135">"3"</f>
        <v>3</v>
      </c>
      <c r="AR113" t="str">
        <f t="shared" si="130"/>
        <v>1</v>
      </c>
      <c r="AS113" t="str">
        <f>"4/08/2020 12:00:00 a. m."</f>
        <v>4/08/2020 12:00:00 a. m.</v>
      </c>
      <c r="AT113" t="str">
        <f>"2"</f>
        <v>2</v>
      </c>
      <c r="AU113" t="str">
        <f>"10/09/2020 12:00:00 a. m."</f>
        <v>10/09/2020 12:00:00 a. m.</v>
      </c>
      <c r="AV113" t="str">
        <f>"0"</f>
        <v>0</v>
      </c>
      <c r="AW113" t="str">
        <f>"28/12/2003 12:00:00 a. m."</f>
        <v>28/12/2003 12:00:00 a. m.</v>
      </c>
      <c r="AX113" t="str">
        <f>"R579"</f>
        <v>R579</v>
      </c>
      <c r="AY113" t="str">
        <f t="shared" si="82"/>
        <v>30/04/2021 12:00:00 a. m.</v>
      </c>
      <c r="AZ113" t="str">
        <f>"14/09/2020 12:00:00 a. m."</f>
        <v>14/09/2020 12:00:00 a. m.</v>
      </c>
      <c r="BA113" t="str">
        <f>""</f>
        <v/>
      </c>
      <c r="BB113" t="str">
        <f>""</f>
        <v/>
      </c>
      <c r="BC113" t="str">
        <f>""</f>
        <v/>
      </c>
      <c r="BD113" t="str">
        <f t="shared" si="124"/>
        <v>1</v>
      </c>
      <c r="BE113" t="str">
        <f t="shared" si="124"/>
        <v>1</v>
      </c>
      <c r="BF113" t="str">
        <f t="shared" si="83"/>
        <v xml:space="preserve">3         </v>
      </c>
      <c r="BG113" t="str">
        <f t="shared" si="84"/>
        <v>Confirmado por laboratorio</v>
      </c>
      <c r="BH113" t="str">
        <f>"HOSPITAL INTERNACIONAL DE COLOMBIA"</f>
        <v>HOSPITAL INTERNACIONAL DE COLOMBIA</v>
      </c>
      <c r="BI113" t="str">
        <f t="shared" si="125"/>
        <v>COLOMBIA</v>
      </c>
      <c r="BJ113" t="str">
        <f t="shared" si="86"/>
        <v>CANCER INFANTIL</v>
      </c>
      <c r="BK113" t="str">
        <f>"SANTANDER"</f>
        <v>SANTANDER</v>
      </c>
      <c r="BL113" t="str">
        <f>"BUCARAMANGA"</f>
        <v>BUCARAMANGA</v>
      </c>
      <c r="BM113" t="str">
        <f t="shared" si="126"/>
        <v>COLOMBIA</v>
      </c>
      <c r="BN113" t="str">
        <f>"SANTANDER"</f>
        <v>SANTANDER</v>
      </c>
      <c r="BO113" t="str">
        <f>"BUCARAMANGA"</f>
        <v>BUCARAMANGA</v>
      </c>
      <c r="BP113" t="str">
        <f>"SANTANDER"</f>
        <v>SANTANDER</v>
      </c>
      <c r="BQ113" t="str">
        <f>"PIEDECUESTA"</f>
        <v>PIEDECUESTA</v>
      </c>
    </row>
    <row r="114" spans="1:69" x14ac:dyDescent="0.25">
      <c r="A114" t="str">
        <f>"7285673"</f>
        <v>7285673</v>
      </c>
      <c r="B114" t="str">
        <f t="shared" si="74"/>
        <v>459</v>
      </c>
      <c r="C114" t="str">
        <f>"25/09/2020 12:00:00 a. m."</f>
        <v>25/09/2020 12:00:00 a. m.</v>
      </c>
      <c r="D114" t="str">
        <f>"38"</f>
        <v>38</v>
      </c>
      <c r="E114" t="str">
        <f t="shared" si="75"/>
        <v>2020</v>
      </c>
      <c r="F114" t="str">
        <f>"0500102175"</f>
        <v>0500102175</v>
      </c>
      <c r="G114" t="str">
        <f t="shared" si="134"/>
        <v>01</v>
      </c>
      <c r="H114" t="str">
        <f>"6"</f>
        <v>6</v>
      </c>
      <c r="I114" t="str">
        <f t="shared" si="133"/>
        <v>1</v>
      </c>
      <c r="J114" t="str">
        <f>"M"</f>
        <v>M</v>
      </c>
      <c r="K114" t="str">
        <f t="shared" si="120"/>
        <v>170</v>
      </c>
      <c r="L114" t="str">
        <f>"05"</f>
        <v>05</v>
      </c>
      <c r="M114" t="str">
        <f>"045"</f>
        <v>045</v>
      </c>
      <c r="N114" t="str">
        <f t="shared" si="131"/>
        <v>1</v>
      </c>
      <c r="O114" t="str">
        <f>"9997"</f>
        <v>9997</v>
      </c>
      <c r="P114" t="str">
        <f>"S"</f>
        <v>S</v>
      </c>
      <c r="Q114" t="str">
        <f>"EPSS37"</f>
        <v>EPSS37</v>
      </c>
      <c r="R114" t="str">
        <f t="shared" si="110"/>
        <v>6</v>
      </c>
      <c r="S114" t="str">
        <f>""</f>
        <v/>
      </c>
      <c r="T114" t="str">
        <f t="shared" si="112"/>
        <v xml:space="preserve">                                                                                                    </v>
      </c>
      <c r="U114" t="str">
        <f>"2         "</f>
        <v xml:space="preserve">2         </v>
      </c>
      <c r="V114" t="str">
        <f t="shared" si="113"/>
        <v>2</v>
      </c>
      <c r="W114" t="str">
        <f t="shared" si="113"/>
        <v>2</v>
      </c>
      <c r="X114" t="str">
        <f t="shared" si="121"/>
        <v>2</v>
      </c>
      <c r="Y114" t="str">
        <f t="shared" si="114"/>
        <v>2</v>
      </c>
      <c r="Z114" t="str">
        <f t="shared" si="114"/>
        <v>2</v>
      </c>
      <c r="AA114" t="str">
        <f t="shared" si="79"/>
        <v xml:space="preserve">          </v>
      </c>
      <c r="AB114" t="str">
        <f t="shared" si="67"/>
        <v>2</v>
      </c>
      <c r="AC114" t="str">
        <f t="shared" si="70"/>
        <v>2</v>
      </c>
      <c r="AD114" t="str">
        <f t="shared" si="117"/>
        <v>2</v>
      </c>
      <c r="AE114" t="str">
        <f t="shared" si="117"/>
        <v>2</v>
      </c>
      <c r="AF114" t="str">
        <f t="shared" si="117"/>
        <v>2</v>
      </c>
      <c r="AG114" t="str">
        <f t="shared" si="117"/>
        <v>2</v>
      </c>
      <c r="AH114" t="str">
        <f t="shared" si="122"/>
        <v>1</v>
      </c>
      <c r="AI114" t="str">
        <f t="shared" si="129"/>
        <v xml:space="preserve">1         </v>
      </c>
      <c r="AJ114" t="str">
        <f t="shared" si="123"/>
        <v>170</v>
      </c>
      <c r="AK114" t="str">
        <f>"05"</f>
        <v>05</v>
      </c>
      <c r="AL114" t="str">
        <f>"045"</f>
        <v>045</v>
      </c>
      <c r="AM114" t="str">
        <f>"05"</f>
        <v>05</v>
      </c>
      <c r="AN114" t="str">
        <f>"05001"</f>
        <v>05001</v>
      </c>
      <c r="AO114" t="str">
        <f>"15/09/2020 12:00:00 a. m."</f>
        <v>15/09/2020 12:00:00 a. m.</v>
      </c>
      <c r="AP114" t="str">
        <f>"13/09/2020 12:00:00 a. m."</f>
        <v>13/09/2020 12:00:00 a. m.</v>
      </c>
      <c r="AQ114" t="str">
        <f t="shared" si="135"/>
        <v>3</v>
      </c>
      <c r="AR114" t="str">
        <f t="shared" si="130"/>
        <v>1</v>
      </c>
      <c r="AS114" t="str">
        <f>"15/09/2020 12:00:00 a. m."</f>
        <v>15/09/2020 12:00:00 a. m.</v>
      </c>
      <c r="AT114" t="str">
        <f t="shared" ref="AT114:AT132" si="136">"1"</f>
        <v>1</v>
      </c>
      <c r="AU114" t="str">
        <f>""</f>
        <v/>
      </c>
      <c r="AV114" t="str">
        <f>"0"</f>
        <v>0</v>
      </c>
      <c r="AW114" t="str">
        <f>"30/06/2014 12:00:00 a. m."</f>
        <v>30/06/2014 12:00:00 a. m.</v>
      </c>
      <c r="AX114" t="str">
        <f>""</f>
        <v/>
      </c>
      <c r="AY114" t="str">
        <f t="shared" si="82"/>
        <v>30/04/2021 12:00:00 a. m.</v>
      </c>
      <c r="AZ114" t="str">
        <f>"25/09/2020 12:00:00 a. m."</f>
        <v>25/09/2020 12:00:00 a. m.</v>
      </c>
      <c r="BA114" t="str">
        <f>""</f>
        <v/>
      </c>
      <c r="BB114" t="str">
        <f>""</f>
        <v/>
      </c>
      <c r="BC114" t="str">
        <f>""</f>
        <v/>
      </c>
      <c r="BD114" t="str">
        <f t="shared" si="124"/>
        <v>1</v>
      </c>
      <c r="BE114" t="str">
        <f t="shared" si="124"/>
        <v>1</v>
      </c>
      <c r="BF114" t="str">
        <f t="shared" si="83"/>
        <v xml:space="preserve">3         </v>
      </c>
      <c r="BG114" t="str">
        <f t="shared" si="84"/>
        <v>Confirmado por laboratorio</v>
      </c>
      <c r="BH114" t="str">
        <f>"FUNDACION HOSPITALARIA SAN VICENTE DE PAUL"</f>
        <v>FUNDACION HOSPITALARIA SAN VICENTE DE PAUL</v>
      </c>
      <c r="BI114" t="str">
        <f t="shared" si="125"/>
        <v>COLOMBIA</v>
      </c>
      <c r="BJ114" t="str">
        <f t="shared" si="86"/>
        <v>CANCER INFANTIL</v>
      </c>
      <c r="BK114" t="str">
        <f>"ANTIOQUIA"</f>
        <v>ANTIOQUIA</v>
      </c>
      <c r="BL114" t="str">
        <f>"APARTADO"</f>
        <v>APARTADO</v>
      </c>
      <c r="BM114" t="str">
        <f t="shared" si="126"/>
        <v>COLOMBIA</v>
      </c>
      <c r="BN114" t="str">
        <f>"ANTIOQUIA"</f>
        <v>ANTIOQUIA</v>
      </c>
      <c r="BO114" t="str">
        <f>"APARTADO"</f>
        <v>APARTADO</v>
      </c>
      <c r="BP114" t="str">
        <f>"ANTIOQUIA"</f>
        <v>ANTIOQUIA</v>
      </c>
      <c r="BQ114" t="str">
        <f>"MEDELLIN"</f>
        <v>MEDELLIN</v>
      </c>
    </row>
    <row r="115" spans="1:69" x14ac:dyDescent="0.25">
      <c r="A115" t="str">
        <f>"7285505"</f>
        <v>7285505</v>
      </c>
      <c r="B115" t="str">
        <f t="shared" si="74"/>
        <v>459</v>
      </c>
      <c r="C115" t="str">
        <f>"23/01/2020 12:00:00 a. m."</f>
        <v>23/01/2020 12:00:00 a. m.</v>
      </c>
      <c r="D115" t="str">
        <f>"02"</f>
        <v>02</v>
      </c>
      <c r="E115" t="str">
        <f t="shared" si="75"/>
        <v>2020</v>
      </c>
      <c r="F115" t="str">
        <f>"6800100431"</f>
        <v>6800100431</v>
      </c>
      <c r="G115" t="str">
        <f t="shared" si="134"/>
        <v>01</v>
      </c>
      <c r="H115" t="str">
        <f>"1"</f>
        <v>1</v>
      </c>
      <c r="I115" t="str">
        <f t="shared" si="133"/>
        <v>1</v>
      </c>
      <c r="J115" t="str">
        <f>"F"</f>
        <v>F</v>
      </c>
      <c r="K115" t="str">
        <f t="shared" si="120"/>
        <v>170</v>
      </c>
      <c r="L115" t="str">
        <f>"68"</f>
        <v>68</v>
      </c>
      <c r="M115" t="str">
        <f>"001"</f>
        <v>001</v>
      </c>
      <c r="N115" t="str">
        <f t="shared" si="131"/>
        <v>1</v>
      </c>
      <c r="O115" t="str">
        <f>"9999"</f>
        <v>9999</v>
      </c>
      <c r="P115" t="str">
        <f>"C"</f>
        <v>C</v>
      </c>
      <c r="Q115" t="str">
        <f>"EPS016"</f>
        <v>EPS016</v>
      </c>
      <c r="R115" t="str">
        <f t="shared" si="110"/>
        <v>6</v>
      </c>
      <c r="S115" t="str">
        <f>""</f>
        <v/>
      </c>
      <c r="T115" t="str">
        <f t="shared" si="112"/>
        <v xml:space="preserve">                                                                                                    </v>
      </c>
      <c r="U115" t="str">
        <f>"2         "</f>
        <v xml:space="preserve">2         </v>
      </c>
      <c r="V115" t="str">
        <f t="shared" si="113"/>
        <v>2</v>
      </c>
      <c r="W115" t="str">
        <f t="shared" si="113"/>
        <v>2</v>
      </c>
      <c r="X115" t="str">
        <f t="shared" si="121"/>
        <v>2</v>
      </c>
      <c r="Y115" t="str">
        <f t="shared" si="114"/>
        <v>2</v>
      </c>
      <c r="Z115" t="str">
        <f t="shared" si="114"/>
        <v>2</v>
      </c>
      <c r="AA115" t="str">
        <f t="shared" si="79"/>
        <v xml:space="preserve">          </v>
      </c>
      <c r="AB115" t="str">
        <f t="shared" si="67"/>
        <v>2</v>
      </c>
      <c r="AC115" t="str">
        <f t="shared" si="70"/>
        <v>2</v>
      </c>
      <c r="AD115" t="str">
        <f t="shared" si="117"/>
        <v>2</v>
      </c>
      <c r="AE115" t="str">
        <f t="shared" si="117"/>
        <v>2</v>
      </c>
      <c r="AF115" t="str">
        <f t="shared" si="117"/>
        <v>2</v>
      </c>
      <c r="AG115" t="str">
        <f t="shared" si="117"/>
        <v>2</v>
      </c>
      <c r="AH115" t="str">
        <f t="shared" si="122"/>
        <v>1</v>
      </c>
      <c r="AI115" t="str">
        <f t="shared" si="129"/>
        <v xml:space="preserve">1         </v>
      </c>
      <c r="AJ115" t="str">
        <f t="shared" si="123"/>
        <v>170</v>
      </c>
      <c r="AK115" t="str">
        <f>"68"</f>
        <v>68</v>
      </c>
      <c r="AL115" t="str">
        <f>"001"</f>
        <v>001</v>
      </c>
      <c r="AM115" t="str">
        <f>"68"</f>
        <v>68</v>
      </c>
      <c r="AN115" t="str">
        <f>"68001"</f>
        <v>68001</v>
      </c>
      <c r="AO115" t="str">
        <f>"9/01/2020 12:00:00 a. m."</f>
        <v>9/01/2020 12:00:00 a. m.</v>
      </c>
      <c r="AP115" t="str">
        <f>"9/01/2020 12:00:00 a. m."</f>
        <v>9/01/2020 12:00:00 a. m.</v>
      </c>
      <c r="AQ115" t="str">
        <f t="shared" si="135"/>
        <v>3</v>
      </c>
      <c r="AR115" t="str">
        <f t="shared" si="130"/>
        <v>1</v>
      </c>
      <c r="AS115" t="str">
        <f>"9/01/2020 12:00:00 a. m."</f>
        <v>9/01/2020 12:00:00 a. m.</v>
      </c>
      <c r="AT115" t="str">
        <f t="shared" si="136"/>
        <v>1</v>
      </c>
      <c r="AU115" t="str">
        <f>""</f>
        <v/>
      </c>
      <c r="AV115" t="str">
        <f>"0"</f>
        <v>0</v>
      </c>
      <c r="AW115" t="str">
        <f>"29/11/2018 12:00:00 a. m."</f>
        <v>29/11/2018 12:00:00 a. m.</v>
      </c>
      <c r="AX115" t="str">
        <f>""</f>
        <v/>
      </c>
      <c r="AY115" t="str">
        <f t="shared" si="82"/>
        <v>30/04/2021 12:00:00 a. m.</v>
      </c>
      <c r="AZ115" t="str">
        <f>"17/02/2020 12:00:00 a. m."</f>
        <v>17/02/2020 12:00:00 a. m.</v>
      </c>
      <c r="BA115" t="str">
        <f>""</f>
        <v/>
      </c>
      <c r="BB115" t="str">
        <f>""</f>
        <v/>
      </c>
      <c r="BC115" t="str">
        <f>""</f>
        <v/>
      </c>
      <c r="BD115" t="str">
        <f t="shared" si="124"/>
        <v>1</v>
      </c>
      <c r="BE115" t="str">
        <f t="shared" si="124"/>
        <v>1</v>
      </c>
      <c r="BF115" t="str">
        <f t="shared" si="83"/>
        <v xml:space="preserve">3         </v>
      </c>
      <c r="BG115" t="str">
        <f t="shared" si="84"/>
        <v>Confirmado por laboratorio</v>
      </c>
      <c r="BH115" t="str">
        <f>"CLINICA MATERNO INFANTEL SAN LUIS SA"</f>
        <v>CLINICA MATERNO INFANTEL SAN LUIS SA</v>
      </c>
      <c r="BI115" t="str">
        <f t="shared" si="125"/>
        <v>COLOMBIA</v>
      </c>
      <c r="BJ115" t="str">
        <f t="shared" si="86"/>
        <v>CANCER INFANTIL</v>
      </c>
      <c r="BK115" t="str">
        <f>"SANTANDER"</f>
        <v>SANTANDER</v>
      </c>
      <c r="BL115" t="str">
        <f>"BUCARAMANGA"</f>
        <v>BUCARAMANGA</v>
      </c>
      <c r="BM115" t="str">
        <f t="shared" si="126"/>
        <v>COLOMBIA</v>
      </c>
      <c r="BN115" t="str">
        <f>"SANTANDER"</f>
        <v>SANTANDER</v>
      </c>
      <c r="BO115" t="str">
        <f>"BUCARAMANGA"</f>
        <v>BUCARAMANGA</v>
      </c>
      <c r="BP115" t="str">
        <f>"SANTANDER"</f>
        <v>SANTANDER</v>
      </c>
      <c r="BQ115" t="str">
        <f>"BUCARAMANGA"</f>
        <v>BUCARAMANGA</v>
      </c>
    </row>
    <row r="116" spans="1:69" x14ac:dyDescent="0.25">
      <c r="A116" t="str">
        <f>"7285945"</f>
        <v>7285945</v>
      </c>
      <c r="B116" t="str">
        <f t="shared" si="74"/>
        <v>459</v>
      </c>
      <c r="C116" t="str">
        <f>"22/12/2020 12:00:00 a. m."</f>
        <v>22/12/2020 12:00:00 a. m.</v>
      </c>
      <c r="D116" t="str">
        <f>"51"</f>
        <v>51</v>
      </c>
      <c r="E116" t="str">
        <f t="shared" si="75"/>
        <v>2020</v>
      </c>
      <c r="F116" t="str">
        <f>"6854704947"</f>
        <v>6854704947</v>
      </c>
      <c r="G116" t="str">
        <f t="shared" si="134"/>
        <v>01</v>
      </c>
      <c r="H116" t="str">
        <f>"8"</f>
        <v>8</v>
      </c>
      <c r="I116" t="str">
        <f t="shared" si="133"/>
        <v>1</v>
      </c>
      <c r="J116" t="str">
        <f>"F"</f>
        <v>F</v>
      </c>
      <c r="K116" t="str">
        <f t="shared" si="120"/>
        <v>170</v>
      </c>
      <c r="L116" t="str">
        <f>"68"</f>
        <v>68</v>
      </c>
      <c r="M116" t="str">
        <f>"092"</f>
        <v>092</v>
      </c>
      <c r="N116" t="str">
        <f t="shared" si="131"/>
        <v>1</v>
      </c>
      <c r="O116" t="str">
        <f t="shared" ref="O116:O126" si="137">"9997"</f>
        <v>9997</v>
      </c>
      <c r="P116" t="str">
        <f>"S"</f>
        <v>S</v>
      </c>
      <c r="Q116" t="str">
        <f>"ESS024"</f>
        <v>ESS024</v>
      </c>
      <c r="R116" t="str">
        <f t="shared" si="110"/>
        <v>6</v>
      </c>
      <c r="S116" t="str">
        <f>""</f>
        <v/>
      </c>
      <c r="T116" t="str">
        <f t="shared" si="112"/>
        <v xml:space="preserve">                                                                                                    </v>
      </c>
      <c r="U116" t="str">
        <f>"1         "</f>
        <v xml:space="preserve">1         </v>
      </c>
      <c r="V116" t="str">
        <f t="shared" si="113"/>
        <v>2</v>
      </c>
      <c r="W116" t="str">
        <f t="shared" si="113"/>
        <v>2</v>
      </c>
      <c r="X116" t="str">
        <f t="shared" si="121"/>
        <v>2</v>
      </c>
      <c r="Y116" t="str">
        <f t="shared" si="114"/>
        <v>2</v>
      </c>
      <c r="Z116" t="str">
        <f t="shared" si="114"/>
        <v>2</v>
      </c>
      <c r="AA116" t="str">
        <f t="shared" si="79"/>
        <v xml:space="preserve">          </v>
      </c>
      <c r="AB116" t="str">
        <f t="shared" si="67"/>
        <v>2</v>
      </c>
      <c r="AC116" t="str">
        <f t="shared" si="70"/>
        <v>2</v>
      </c>
      <c r="AD116" t="str">
        <f t="shared" si="117"/>
        <v>2</v>
      </c>
      <c r="AE116" t="str">
        <f t="shared" si="117"/>
        <v>2</v>
      </c>
      <c r="AF116" t="str">
        <f t="shared" si="117"/>
        <v>2</v>
      </c>
      <c r="AG116" t="str">
        <f t="shared" si="117"/>
        <v>2</v>
      </c>
      <c r="AH116" t="str">
        <f t="shared" si="122"/>
        <v>1</v>
      </c>
      <c r="AI116" t="str">
        <f t="shared" si="129"/>
        <v xml:space="preserve">1         </v>
      </c>
      <c r="AJ116" t="str">
        <f t="shared" si="123"/>
        <v>170</v>
      </c>
      <c r="AK116" t="str">
        <f>"68"</f>
        <v>68</v>
      </c>
      <c r="AL116" t="str">
        <f>"092"</f>
        <v>092</v>
      </c>
      <c r="AM116" t="str">
        <f>"68"</f>
        <v>68</v>
      </c>
      <c r="AN116" t="str">
        <f>"68547"</f>
        <v>68547</v>
      </c>
      <c r="AO116" t="str">
        <f>"15/12/2020 12:00:00 a. m."</f>
        <v>15/12/2020 12:00:00 a. m.</v>
      </c>
      <c r="AP116" t="str">
        <f>"15/12/2020 12:00:00 a. m."</f>
        <v>15/12/2020 12:00:00 a. m.</v>
      </c>
      <c r="AQ116" t="str">
        <f t="shared" si="135"/>
        <v>3</v>
      </c>
      <c r="AR116" t="str">
        <f t="shared" si="130"/>
        <v>1</v>
      </c>
      <c r="AS116" t="str">
        <f>"15/12/2020 12:00:00 a. m."</f>
        <v>15/12/2020 12:00:00 a. m.</v>
      </c>
      <c r="AT116" t="str">
        <f t="shared" si="136"/>
        <v>1</v>
      </c>
      <c r="AU116" t="str">
        <f>""</f>
        <v/>
      </c>
      <c r="AV116" t="str">
        <f>"0"</f>
        <v>0</v>
      </c>
      <c r="AW116" t="str">
        <f>"27/09/2012 12:00:00 a. m."</f>
        <v>27/09/2012 12:00:00 a. m.</v>
      </c>
      <c r="AX116" t="str">
        <f>""</f>
        <v/>
      </c>
      <c r="AY116" t="str">
        <f t="shared" si="82"/>
        <v>30/04/2021 12:00:00 a. m.</v>
      </c>
      <c r="AZ116" t="str">
        <f>"22/12/2020 12:00:00 a. m."</f>
        <v>22/12/2020 12:00:00 a. m.</v>
      </c>
      <c r="BA116" t="str">
        <f>""</f>
        <v/>
      </c>
      <c r="BB116" t="str">
        <f>""</f>
        <v/>
      </c>
      <c r="BC116" t="str">
        <f>""</f>
        <v/>
      </c>
      <c r="BD116" t="str">
        <f t="shared" si="124"/>
        <v>1</v>
      </c>
      <c r="BE116" t="str">
        <f t="shared" si="124"/>
        <v>1</v>
      </c>
      <c r="BF116" t="str">
        <f t="shared" si="83"/>
        <v xml:space="preserve">3         </v>
      </c>
      <c r="BG116" t="str">
        <f t="shared" si="84"/>
        <v>Confirmado por laboratorio</v>
      </c>
      <c r="BH116" t="str">
        <f>"HOSPITAL INTERNACIONAL DE COLOMBIA"</f>
        <v>HOSPITAL INTERNACIONAL DE COLOMBIA</v>
      </c>
      <c r="BI116" t="str">
        <f t="shared" si="125"/>
        <v>COLOMBIA</v>
      </c>
      <c r="BJ116" t="str">
        <f t="shared" si="86"/>
        <v>CANCER INFANTIL</v>
      </c>
      <c r="BK116" t="str">
        <f>"SANTANDER"</f>
        <v>SANTANDER</v>
      </c>
      <c r="BL116" t="str">
        <f>"BETULIA"</f>
        <v>BETULIA</v>
      </c>
      <c r="BM116" t="str">
        <f t="shared" si="126"/>
        <v>COLOMBIA</v>
      </c>
      <c r="BN116" t="str">
        <f>"SANTANDER"</f>
        <v>SANTANDER</v>
      </c>
      <c r="BO116" t="str">
        <f>"BETULIA"</f>
        <v>BETULIA</v>
      </c>
      <c r="BP116" t="str">
        <f>"SANTANDER"</f>
        <v>SANTANDER</v>
      </c>
      <c r="BQ116" t="str">
        <f>"PIEDECUESTA"</f>
        <v>PIEDECUESTA</v>
      </c>
    </row>
    <row r="117" spans="1:69" x14ac:dyDescent="0.25">
      <c r="A117" t="str">
        <f>"7285862"</f>
        <v>7285862</v>
      </c>
      <c r="B117" t="str">
        <f t="shared" si="74"/>
        <v>459</v>
      </c>
      <c r="C117" t="str">
        <f>"1/09/2020 12:00:00 a. m."</f>
        <v>1/09/2020 12:00:00 a. m.</v>
      </c>
      <c r="D117" t="str">
        <f>"36"</f>
        <v>36</v>
      </c>
      <c r="E117" t="str">
        <f t="shared" si="75"/>
        <v>2020</v>
      </c>
      <c r="F117" t="str">
        <f>"1100106065"</f>
        <v>1100106065</v>
      </c>
      <c r="G117" t="str">
        <f t="shared" si="134"/>
        <v>01</v>
      </c>
      <c r="H117" t="str">
        <f>"13"</f>
        <v>13</v>
      </c>
      <c r="I117" t="str">
        <f t="shared" si="133"/>
        <v>1</v>
      </c>
      <c r="J117" t="str">
        <f>"M"</f>
        <v>M</v>
      </c>
      <c r="K117" t="str">
        <f t="shared" si="120"/>
        <v>170</v>
      </c>
      <c r="L117" t="str">
        <f>"15"</f>
        <v>15</v>
      </c>
      <c r="M117" t="str">
        <f>"325"</f>
        <v>325</v>
      </c>
      <c r="N117" t="str">
        <f>"3"</f>
        <v>3</v>
      </c>
      <c r="O117" t="str">
        <f t="shared" si="137"/>
        <v>9997</v>
      </c>
      <c r="P117" t="str">
        <f>"S"</f>
        <v>S</v>
      </c>
      <c r="Q117" t="str">
        <f>"CCF024"</f>
        <v>CCF024</v>
      </c>
      <c r="R117" t="str">
        <f t="shared" si="110"/>
        <v>6</v>
      </c>
      <c r="S117" t="str">
        <f>""</f>
        <v/>
      </c>
      <c r="T117" t="str">
        <f t="shared" si="112"/>
        <v xml:space="preserve">                                                                                                    </v>
      </c>
      <c r="U117" t="str">
        <f>"1         "</f>
        <v xml:space="preserve">1         </v>
      </c>
      <c r="V117" t="str">
        <f t="shared" si="113"/>
        <v>2</v>
      </c>
      <c r="W117" t="str">
        <f t="shared" si="113"/>
        <v>2</v>
      </c>
      <c r="X117" t="str">
        <f t="shared" si="121"/>
        <v>2</v>
      </c>
      <c r="Y117" t="str">
        <f t="shared" si="114"/>
        <v>2</v>
      </c>
      <c r="Z117" t="str">
        <f t="shared" si="114"/>
        <v>2</v>
      </c>
      <c r="AA117" t="str">
        <f t="shared" si="79"/>
        <v xml:space="preserve">          </v>
      </c>
      <c r="AB117" t="str">
        <f t="shared" si="67"/>
        <v>2</v>
      </c>
      <c r="AC117" t="str">
        <f t="shared" si="70"/>
        <v>2</v>
      </c>
      <c r="AD117" t="str">
        <f t="shared" si="117"/>
        <v>2</v>
      </c>
      <c r="AE117" t="str">
        <f t="shared" si="117"/>
        <v>2</v>
      </c>
      <c r="AF117" t="str">
        <f t="shared" si="117"/>
        <v>2</v>
      </c>
      <c r="AG117" t="str">
        <f t="shared" si="117"/>
        <v>2</v>
      </c>
      <c r="AH117" t="str">
        <f t="shared" si="122"/>
        <v>1</v>
      </c>
      <c r="AI117" t="str">
        <f t="shared" si="129"/>
        <v xml:space="preserve">1         </v>
      </c>
      <c r="AJ117" t="str">
        <f t="shared" si="123"/>
        <v>170</v>
      </c>
      <c r="AK117" t="str">
        <f>"15"</f>
        <v>15</v>
      </c>
      <c r="AL117" t="str">
        <f>"325"</f>
        <v>325</v>
      </c>
      <c r="AM117" t="str">
        <f t="shared" ref="AM117:AM124" si="138">"11"</f>
        <v>11</v>
      </c>
      <c r="AN117" t="str">
        <f t="shared" ref="AN117:AN124" si="139">"11001"</f>
        <v>11001</v>
      </c>
      <c r="AO117" t="str">
        <f>"1/09/2020 12:00:00 a. m."</f>
        <v>1/09/2020 12:00:00 a. m.</v>
      </c>
      <c r="AP117" t="str">
        <f>"5/07/2020 12:00:00 a. m."</f>
        <v>5/07/2020 12:00:00 a. m.</v>
      </c>
      <c r="AQ117" t="str">
        <f t="shared" si="135"/>
        <v>3</v>
      </c>
      <c r="AR117" t="str">
        <f t="shared" si="130"/>
        <v>1</v>
      </c>
      <c r="AS117" t="str">
        <f>"1/09/2020 12:00:00 a. m."</f>
        <v>1/09/2020 12:00:00 a. m.</v>
      </c>
      <c r="AT117" t="str">
        <f t="shared" si="136"/>
        <v>1</v>
      </c>
      <c r="AU117" t="str">
        <f>""</f>
        <v/>
      </c>
      <c r="AV117" t="str">
        <f>"0"</f>
        <v>0</v>
      </c>
      <c r="AW117" t="str">
        <f>"28/11/2006 12:00:00 a. m."</f>
        <v>28/11/2006 12:00:00 a. m.</v>
      </c>
      <c r="AX117" t="str">
        <f>""</f>
        <v/>
      </c>
      <c r="AY117" t="str">
        <f t="shared" si="82"/>
        <v>30/04/2021 12:00:00 a. m.</v>
      </c>
      <c r="AZ117" t="str">
        <f>"9/11/2020 12:00:00 a. m."</f>
        <v>9/11/2020 12:00:00 a. m.</v>
      </c>
      <c r="BA117" t="str">
        <f>""</f>
        <v/>
      </c>
      <c r="BB117" t="str">
        <f>""</f>
        <v/>
      </c>
      <c r="BC117" t="str">
        <f>""</f>
        <v/>
      </c>
      <c r="BD117" t="str">
        <f t="shared" si="124"/>
        <v>1</v>
      </c>
      <c r="BE117" t="str">
        <f t="shared" si="124"/>
        <v>1</v>
      </c>
      <c r="BF117" t="str">
        <f t="shared" si="83"/>
        <v xml:space="preserve">3         </v>
      </c>
      <c r="BG117" t="str">
        <f t="shared" si="84"/>
        <v>Confirmado por laboratorio</v>
      </c>
      <c r="BH117" t="str">
        <f>"ESE INSTITUTO NACIONAL DE CANCEROLOGIA"</f>
        <v>ESE INSTITUTO NACIONAL DE CANCEROLOGIA</v>
      </c>
      <c r="BI117" t="str">
        <f t="shared" si="125"/>
        <v>COLOMBIA</v>
      </c>
      <c r="BJ117" t="str">
        <f t="shared" si="86"/>
        <v>CANCER INFANTIL</v>
      </c>
      <c r="BK117" t="str">
        <f>"BOYACA"</f>
        <v>BOYACA</v>
      </c>
      <c r="BL117" t="str">
        <f>"GUAYATA"</f>
        <v>GUAYATA</v>
      </c>
      <c r="BM117" t="str">
        <f t="shared" si="126"/>
        <v>COLOMBIA</v>
      </c>
      <c r="BN117" t="str">
        <f>"BOYACA"</f>
        <v>BOYACA</v>
      </c>
      <c r="BO117" t="str">
        <f>"GUAYATA"</f>
        <v>GUAYATA</v>
      </c>
      <c r="BP117" t="str">
        <f t="shared" ref="BP117:BQ124" si="140">"BOGOTA"</f>
        <v>BOGOTA</v>
      </c>
      <c r="BQ117" t="str">
        <f t="shared" si="140"/>
        <v>BOGOTA</v>
      </c>
    </row>
    <row r="118" spans="1:69" x14ac:dyDescent="0.25">
      <c r="A118" t="str">
        <f>"7285878"</f>
        <v>7285878</v>
      </c>
      <c r="B118" t="str">
        <f t="shared" si="74"/>
        <v>459</v>
      </c>
      <c r="C118" t="str">
        <f>"5/02/2021 12:00:00 a. m."</f>
        <v>5/02/2021 12:00:00 a. m.</v>
      </c>
      <c r="D118" t="str">
        <f>"49"</f>
        <v>49</v>
      </c>
      <c r="E118" t="str">
        <f t="shared" si="75"/>
        <v>2020</v>
      </c>
      <c r="F118" t="str">
        <f>"1100105681"</f>
        <v>1100105681</v>
      </c>
      <c r="G118" t="str">
        <f t="shared" si="134"/>
        <v>01</v>
      </c>
      <c r="H118" t="str">
        <f>"16"</f>
        <v>16</v>
      </c>
      <c r="I118" t="str">
        <f t="shared" si="133"/>
        <v>1</v>
      </c>
      <c r="J118" t="str">
        <f>"M"</f>
        <v>M</v>
      </c>
      <c r="K118" t="str">
        <f t="shared" si="120"/>
        <v>170</v>
      </c>
      <c r="L118" t="str">
        <f>"15"</f>
        <v>15</v>
      </c>
      <c r="M118" t="str">
        <f>"861"</f>
        <v>861</v>
      </c>
      <c r="N118" t="str">
        <f t="shared" ref="N118:N133" si="141">"1"</f>
        <v>1</v>
      </c>
      <c r="O118" t="str">
        <f t="shared" si="137"/>
        <v>9997</v>
      </c>
      <c r="P118" t="str">
        <f>"S"</f>
        <v>S</v>
      </c>
      <c r="Q118" t="str">
        <f>"ESS133"</f>
        <v>ESS133</v>
      </c>
      <c r="R118" t="str">
        <f t="shared" si="110"/>
        <v>6</v>
      </c>
      <c r="S118" t="str">
        <f>""</f>
        <v/>
      </c>
      <c r="T118" t="str">
        <f t="shared" si="112"/>
        <v xml:space="preserve">                                                                                                    </v>
      </c>
      <c r="U118" t="str">
        <f>"2         "</f>
        <v xml:space="preserve">2         </v>
      </c>
      <c r="V118" t="str">
        <f t="shared" si="113"/>
        <v>2</v>
      </c>
      <c r="W118" t="str">
        <f t="shared" si="113"/>
        <v>2</v>
      </c>
      <c r="X118" t="str">
        <f t="shared" si="121"/>
        <v>2</v>
      </c>
      <c r="Y118" t="str">
        <f t="shared" si="114"/>
        <v>2</v>
      </c>
      <c r="Z118" t="str">
        <f t="shared" si="114"/>
        <v>2</v>
      </c>
      <c r="AA118" t="str">
        <f t="shared" si="79"/>
        <v xml:space="preserve">          </v>
      </c>
      <c r="AB118" t="str">
        <f t="shared" si="67"/>
        <v>2</v>
      </c>
      <c r="AC118" t="str">
        <f t="shared" si="70"/>
        <v>2</v>
      </c>
      <c r="AD118" t="str">
        <f t="shared" si="117"/>
        <v>2</v>
      </c>
      <c r="AE118" t="str">
        <f t="shared" si="117"/>
        <v>2</v>
      </c>
      <c r="AF118" t="str">
        <f t="shared" si="117"/>
        <v>2</v>
      </c>
      <c r="AG118" t="str">
        <f t="shared" si="117"/>
        <v>2</v>
      </c>
      <c r="AH118" t="str">
        <f t="shared" si="122"/>
        <v>1</v>
      </c>
      <c r="AI118" t="str">
        <f t="shared" si="129"/>
        <v xml:space="preserve">1         </v>
      </c>
      <c r="AJ118" t="str">
        <f t="shared" si="123"/>
        <v>170</v>
      </c>
      <c r="AK118" t="str">
        <f>"15"</f>
        <v>15</v>
      </c>
      <c r="AL118" t="str">
        <f>"861"</f>
        <v>861</v>
      </c>
      <c r="AM118" t="str">
        <f t="shared" si="138"/>
        <v>11</v>
      </c>
      <c r="AN118" t="str">
        <f t="shared" si="139"/>
        <v>11001</v>
      </c>
      <c r="AO118" t="str">
        <f>"4/12/2020 12:00:00 a. m."</f>
        <v>4/12/2020 12:00:00 a. m.</v>
      </c>
      <c r="AP118" t="str">
        <f>"1/05/2020 12:00:00 a. m."</f>
        <v>1/05/2020 12:00:00 a. m.</v>
      </c>
      <c r="AQ118" t="str">
        <f t="shared" si="135"/>
        <v>3</v>
      </c>
      <c r="AR118" t="str">
        <f t="shared" si="130"/>
        <v>1</v>
      </c>
      <c r="AS118" t="str">
        <f>"4/12/2020 12:00:00 a. m."</f>
        <v>4/12/2020 12:00:00 a. m.</v>
      </c>
      <c r="AT118" t="str">
        <f t="shared" si="136"/>
        <v>1</v>
      </c>
      <c r="AU118" t="str">
        <f>""</f>
        <v/>
      </c>
      <c r="AV118" t="str">
        <f>"7"</f>
        <v>7</v>
      </c>
      <c r="AW118" t="str">
        <f>"11/07/2004 12:00:00 a. m."</f>
        <v>11/07/2004 12:00:00 a. m.</v>
      </c>
      <c r="AX118" t="str">
        <f>""</f>
        <v/>
      </c>
      <c r="AY118" t="str">
        <f t="shared" si="82"/>
        <v>30/04/2021 12:00:00 a. m.</v>
      </c>
      <c r="AZ118" t="str">
        <f>"31/03/2021 12:00:00 a. m."</f>
        <v>31/03/2021 12:00:00 a. m.</v>
      </c>
      <c r="BA118" t="str">
        <f>""</f>
        <v/>
      </c>
      <c r="BB118" t="str">
        <f>""</f>
        <v/>
      </c>
      <c r="BC118" t="str">
        <f>""</f>
        <v/>
      </c>
      <c r="BD118" t="str">
        <f t="shared" si="124"/>
        <v>1</v>
      </c>
      <c r="BE118" t="str">
        <f t="shared" si="124"/>
        <v>1</v>
      </c>
      <c r="BF118" t="str">
        <f t="shared" si="83"/>
        <v xml:space="preserve">3         </v>
      </c>
      <c r="BG118" t="str">
        <f t="shared" si="84"/>
        <v>Confirmado por laboratorio</v>
      </c>
      <c r="BH118" t="str">
        <f>"FUNDACION HOSPITAL DE LA MISERICORDIA"</f>
        <v>FUNDACION HOSPITAL DE LA MISERICORDIA</v>
      </c>
      <c r="BI118" t="str">
        <f t="shared" si="125"/>
        <v>COLOMBIA</v>
      </c>
      <c r="BJ118" t="str">
        <f t="shared" si="86"/>
        <v>CANCER INFANTIL</v>
      </c>
      <c r="BK118" t="str">
        <f>"BOYACA"</f>
        <v>BOYACA</v>
      </c>
      <c r="BL118" t="str">
        <f>"VENTAQUEMADA"</f>
        <v>VENTAQUEMADA</v>
      </c>
      <c r="BM118" t="str">
        <f t="shared" si="126"/>
        <v>COLOMBIA</v>
      </c>
      <c r="BN118" t="str">
        <f>"BOYACA"</f>
        <v>BOYACA</v>
      </c>
      <c r="BO118" t="str">
        <f>"VENTAQUEMADA"</f>
        <v>VENTAQUEMADA</v>
      </c>
      <c r="BP118" t="str">
        <f t="shared" si="140"/>
        <v>BOGOTA</v>
      </c>
      <c r="BQ118" t="str">
        <f t="shared" si="140"/>
        <v>BOGOTA</v>
      </c>
    </row>
    <row r="119" spans="1:69" x14ac:dyDescent="0.25">
      <c r="A119" t="str">
        <f>"7285668"</f>
        <v>7285668</v>
      </c>
      <c r="B119" t="str">
        <f t="shared" si="74"/>
        <v>459</v>
      </c>
      <c r="C119" t="str">
        <f>"10/11/2020 12:00:00 a. m."</f>
        <v>10/11/2020 12:00:00 a. m.</v>
      </c>
      <c r="D119" t="str">
        <f>"39"</f>
        <v>39</v>
      </c>
      <c r="E119" t="str">
        <f t="shared" si="75"/>
        <v>2020</v>
      </c>
      <c r="F119" t="str">
        <f>"1100105681"</f>
        <v>1100105681</v>
      </c>
      <c r="G119" t="str">
        <f t="shared" si="134"/>
        <v>01</v>
      </c>
      <c r="H119" t="str">
        <f>"14"</f>
        <v>14</v>
      </c>
      <c r="I119" t="str">
        <f t="shared" si="133"/>
        <v>1</v>
      </c>
      <c r="J119" t="str">
        <f>"F"</f>
        <v>F</v>
      </c>
      <c r="K119" t="str">
        <f t="shared" si="120"/>
        <v>170</v>
      </c>
      <c r="L119" t="str">
        <f>"25"</f>
        <v>25</v>
      </c>
      <c r="M119" t="str">
        <f>"754"</f>
        <v>754</v>
      </c>
      <c r="N119" t="str">
        <f t="shared" si="141"/>
        <v>1</v>
      </c>
      <c r="O119" t="str">
        <f t="shared" si="137"/>
        <v>9997</v>
      </c>
      <c r="P119" t="str">
        <f>"C"</f>
        <v>C</v>
      </c>
      <c r="Q119" t="str">
        <f>"EPS002"</f>
        <v>EPS002</v>
      </c>
      <c r="R119" t="str">
        <f t="shared" si="110"/>
        <v>6</v>
      </c>
      <c r="S119" t="str">
        <f>""</f>
        <v/>
      </c>
      <c r="T119" t="str">
        <f t="shared" si="112"/>
        <v xml:space="preserve">                                                                                                    </v>
      </c>
      <c r="U119" t="str">
        <f>"2         "</f>
        <v xml:space="preserve">2         </v>
      </c>
      <c r="V119" t="str">
        <f t="shared" ref="V119:W138" si="142">"2"</f>
        <v>2</v>
      </c>
      <c r="W119" t="str">
        <f t="shared" si="142"/>
        <v>2</v>
      </c>
      <c r="X119" t="str">
        <f t="shared" si="121"/>
        <v>2</v>
      </c>
      <c r="Y119" t="str">
        <f t="shared" ref="Y119:Z138" si="143">"2"</f>
        <v>2</v>
      </c>
      <c r="Z119" t="str">
        <f t="shared" si="143"/>
        <v>2</v>
      </c>
      <c r="AA119" t="str">
        <f t="shared" si="79"/>
        <v xml:space="preserve">          </v>
      </c>
      <c r="AB119" t="str">
        <f t="shared" si="67"/>
        <v>2</v>
      </c>
      <c r="AC119" t="str">
        <f t="shared" si="70"/>
        <v>2</v>
      </c>
      <c r="AD119" t="str">
        <f t="shared" si="117"/>
        <v>2</v>
      </c>
      <c r="AE119" t="str">
        <f t="shared" si="117"/>
        <v>2</v>
      </c>
      <c r="AF119" t="str">
        <f t="shared" si="117"/>
        <v>2</v>
      </c>
      <c r="AG119" t="str">
        <f t="shared" si="117"/>
        <v>2</v>
      </c>
      <c r="AH119" t="str">
        <f t="shared" si="122"/>
        <v>1</v>
      </c>
      <c r="AI119" t="str">
        <f t="shared" si="129"/>
        <v xml:space="preserve">1         </v>
      </c>
      <c r="AJ119" t="str">
        <f t="shared" si="123"/>
        <v>170</v>
      </c>
      <c r="AK119" t="str">
        <f>"25"</f>
        <v>25</v>
      </c>
      <c r="AL119" t="str">
        <f>"754"</f>
        <v>754</v>
      </c>
      <c r="AM119" t="str">
        <f t="shared" si="138"/>
        <v>11</v>
      </c>
      <c r="AN119" t="str">
        <f t="shared" si="139"/>
        <v>11001</v>
      </c>
      <c r="AO119" t="str">
        <f>"23/09/2020 12:00:00 a. m."</f>
        <v>23/09/2020 12:00:00 a. m.</v>
      </c>
      <c r="AP119" t="str">
        <f>"19/07/2020 12:00:00 a. m."</f>
        <v>19/07/2020 12:00:00 a. m.</v>
      </c>
      <c r="AQ119" t="str">
        <f t="shared" si="135"/>
        <v>3</v>
      </c>
      <c r="AR119" t="str">
        <f t="shared" si="130"/>
        <v>1</v>
      </c>
      <c r="AS119" t="str">
        <f>"23/09/2020 12:00:00 a. m."</f>
        <v>23/09/2020 12:00:00 a. m.</v>
      </c>
      <c r="AT119" t="str">
        <f t="shared" si="136"/>
        <v>1</v>
      </c>
      <c r="AU119" t="str">
        <f>""</f>
        <v/>
      </c>
      <c r="AV119" t="str">
        <f>"0"</f>
        <v>0</v>
      </c>
      <c r="AW119" t="str">
        <f>"20/12/2005 12:00:00 a. m."</f>
        <v>20/12/2005 12:00:00 a. m.</v>
      </c>
      <c r="AX119" t="str">
        <f>""</f>
        <v/>
      </c>
      <c r="AY119" t="str">
        <f t="shared" si="82"/>
        <v>30/04/2021 12:00:00 a. m.</v>
      </c>
      <c r="AZ119" t="str">
        <f>"10/11/2020 12:00:00 a. m."</f>
        <v>10/11/2020 12:00:00 a. m.</v>
      </c>
      <c r="BA119" t="str">
        <f>""</f>
        <v/>
      </c>
      <c r="BB119" t="str">
        <f>""</f>
        <v/>
      </c>
      <c r="BC119" t="str">
        <f>""</f>
        <v/>
      </c>
      <c r="BD119" t="str">
        <f t="shared" si="124"/>
        <v>1</v>
      </c>
      <c r="BE119" t="str">
        <f t="shared" si="124"/>
        <v>1</v>
      </c>
      <c r="BF119" t="str">
        <f t="shared" si="83"/>
        <v xml:space="preserve">3         </v>
      </c>
      <c r="BG119" t="str">
        <f t="shared" si="84"/>
        <v>Confirmado por laboratorio</v>
      </c>
      <c r="BH119" t="str">
        <f>"FUNDACION HOSPITAL DE LA MISERICORDIA"</f>
        <v>FUNDACION HOSPITAL DE LA MISERICORDIA</v>
      </c>
      <c r="BI119" t="str">
        <f t="shared" si="125"/>
        <v>COLOMBIA</v>
      </c>
      <c r="BJ119" t="str">
        <f t="shared" si="86"/>
        <v>CANCER INFANTIL</v>
      </c>
      <c r="BK119" t="str">
        <f>"CUNDINAMARCA"</f>
        <v>CUNDINAMARCA</v>
      </c>
      <c r="BL119" t="str">
        <f>"SOACHA"</f>
        <v>SOACHA</v>
      </c>
      <c r="BM119" t="str">
        <f t="shared" si="126"/>
        <v>COLOMBIA</v>
      </c>
      <c r="BN119" t="str">
        <f>"CUNDINAMARCA"</f>
        <v>CUNDINAMARCA</v>
      </c>
      <c r="BO119" t="str">
        <f>"SOACHA"</f>
        <v>SOACHA</v>
      </c>
      <c r="BP119" t="str">
        <f t="shared" si="140"/>
        <v>BOGOTA</v>
      </c>
      <c r="BQ119" t="str">
        <f t="shared" si="140"/>
        <v>BOGOTA</v>
      </c>
    </row>
    <row r="120" spans="1:69" x14ac:dyDescent="0.25">
      <c r="A120" t="str">
        <f>"7285588"</f>
        <v>7285588</v>
      </c>
      <c r="B120" t="str">
        <f t="shared" si="74"/>
        <v>459</v>
      </c>
      <c r="C120" t="str">
        <f>"21/02/2020 12:00:00 a. m."</f>
        <v>21/02/2020 12:00:00 a. m.</v>
      </c>
      <c r="D120" t="str">
        <f>"05"</f>
        <v>05</v>
      </c>
      <c r="E120" t="str">
        <f t="shared" si="75"/>
        <v>2020</v>
      </c>
      <c r="F120" t="str">
        <f>"1100106065"</f>
        <v>1100106065</v>
      </c>
      <c r="G120" t="str">
        <f t="shared" si="134"/>
        <v>01</v>
      </c>
      <c r="H120" t="str">
        <f>"16"</f>
        <v>16</v>
      </c>
      <c r="I120" t="str">
        <f t="shared" si="133"/>
        <v>1</v>
      </c>
      <c r="J120" t="str">
        <f>"M"</f>
        <v>M</v>
      </c>
      <c r="K120" t="str">
        <f t="shared" si="120"/>
        <v>170</v>
      </c>
      <c r="L120" t="str">
        <f>"25"</f>
        <v>25</v>
      </c>
      <c r="M120" t="str">
        <f>"290"</f>
        <v>290</v>
      </c>
      <c r="N120" t="str">
        <f t="shared" si="141"/>
        <v>1</v>
      </c>
      <c r="O120" t="str">
        <f t="shared" si="137"/>
        <v>9997</v>
      </c>
      <c r="P120" t="str">
        <f>"C"</f>
        <v>C</v>
      </c>
      <c r="Q120" t="str">
        <f>"EPS008"</f>
        <v>EPS008</v>
      </c>
      <c r="R120" t="str">
        <f t="shared" si="110"/>
        <v>6</v>
      </c>
      <c r="S120" t="str">
        <f>""</f>
        <v/>
      </c>
      <c r="T120" t="str">
        <f t="shared" si="112"/>
        <v xml:space="preserve">                                                                                                    </v>
      </c>
      <c r="U120" t="str">
        <f>"2         "</f>
        <v xml:space="preserve">2         </v>
      </c>
      <c r="V120" t="str">
        <f t="shared" si="142"/>
        <v>2</v>
      </c>
      <c r="W120" t="str">
        <f t="shared" si="142"/>
        <v>2</v>
      </c>
      <c r="X120" t="str">
        <f t="shared" si="121"/>
        <v>2</v>
      </c>
      <c r="Y120" t="str">
        <f t="shared" si="143"/>
        <v>2</v>
      </c>
      <c r="Z120" t="str">
        <f t="shared" si="143"/>
        <v>2</v>
      </c>
      <c r="AA120" t="str">
        <f t="shared" si="79"/>
        <v xml:space="preserve">          </v>
      </c>
      <c r="AB120" t="str">
        <f t="shared" si="67"/>
        <v>2</v>
      </c>
      <c r="AC120" t="str">
        <f t="shared" si="70"/>
        <v>2</v>
      </c>
      <c r="AD120" t="str">
        <f t="shared" ref="AD120:AG139" si="144">"2"</f>
        <v>2</v>
      </c>
      <c r="AE120" t="str">
        <f t="shared" si="144"/>
        <v>2</v>
      </c>
      <c r="AF120" t="str">
        <f t="shared" si="144"/>
        <v>2</v>
      </c>
      <c r="AG120" t="str">
        <f t="shared" si="144"/>
        <v>2</v>
      </c>
      <c r="AH120" t="str">
        <f t="shared" si="122"/>
        <v>1</v>
      </c>
      <c r="AI120" t="str">
        <f>"2         "</f>
        <v xml:space="preserve">2         </v>
      </c>
      <c r="AJ120" t="str">
        <f t="shared" si="123"/>
        <v>170</v>
      </c>
      <c r="AK120" t="str">
        <f>"25"</f>
        <v>25</v>
      </c>
      <c r="AL120" t="str">
        <f>"290"</f>
        <v>290</v>
      </c>
      <c r="AM120" t="str">
        <f t="shared" si="138"/>
        <v>11</v>
      </c>
      <c r="AN120" t="str">
        <f t="shared" si="139"/>
        <v>11001</v>
      </c>
      <c r="AO120" t="str">
        <f>"27/01/2020 12:00:00 a. m."</f>
        <v>27/01/2020 12:00:00 a. m.</v>
      </c>
      <c r="AP120" t="str">
        <f>"1/07/2019 12:00:00 a. m."</f>
        <v>1/07/2019 12:00:00 a. m.</v>
      </c>
      <c r="AQ120" t="str">
        <f t="shared" si="135"/>
        <v>3</v>
      </c>
      <c r="AR120" t="str">
        <f t="shared" si="130"/>
        <v>1</v>
      </c>
      <c r="AS120" t="str">
        <f>"27/01/2020 12:00:00 a. m."</f>
        <v>27/01/2020 12:00:00 a. m.</v>
      </c>
      <c r="AT120" t="str">
        <f t="shared" si="136"/>
        <v>1</v>
      </c>
      <c r="AU120" t="str">
        <f>""</f>
        <v/>
      </c>
      <c r="AV120" t="str">
        <f>"7"</f>
        <v>7</v>
      </c>
      <c r="AW120" t="str">
        <f>"13/08/2003 12:00:00 a. m."</f>
        <v>13/08/2003 12:00:00 a. m.</v>
      </c>
      <c r="AX120" t="str">
        <f>""</f>
        <v/>
      </c>
      <c r="AY120" t="str">
        <f t="shared" si="82"/>
        <v>30/04/2021 12:00:00 a. m.</v>
      </c>
      <c r="AZ120" t="str">
        <f>"16/02/2021 12:00:00 a. m."</f>
        <v>16/02/2021 12:00:00 a. m.</v>
      </c>
      <c r="BA120" t="str">
        <f>""</f>
        <v/>
      </c>
      <c r="BB120" t="str">
        <f>""</f>
        <v/>
      </c>
      <c r="BC120" t="str">
        <f>""</f>
        <v/>
      </c>
      <c r="BD120" t="str">
        <f t="shared" si="124"/>
        <v>1</v>
      </c>
      <c r="BE120" t="str">
        <f t="shared" si="124"/>
        <v>1</v>
      </c>
      <c r="BF120" t="str">
        <f t="shared" si="83"/>
        <v xml:space="preserve">3         </v>
      </c>
      <c r="BG120" t="str">
        <f t="shared" si="84"/>
        <v>Confirmado por laboratorio</v>
      </c>
      <c r="BH120" t="str">
        <f>"ESE INSTITUTO NACIONAL DE CANCEROLOGIA"</f>
        <v>ESE INSTITUTO NACIONAL DE CANCEROLOGIA</v>
      </c>
      <c r="BI120" t="str">
        <f t="shared" si="125"/>
        <v>COLOMBIA</v>
      </c>
      <c r="BJ120" t="str">
        <f t="shared" si="86"/>
        <v>CANCER INFANTIL</v>
      </c>
      <c r="BK120" t="str">
        <f>"CUNDINAMARCA"</f>
        <v>CUNDINAMARCA</v>
      </c>
      <c r="BL120" t="str">
        <f>"FUSAGASUGA"</f>
        <v>FUSAGASUGA</v>
      </c>
      <c r="BM120" t="str">
        <f t="shared" si="126"/>
        <v>COLOMBIA</v>
      </c>
      <c r="BN120" t="str">
        <f>"CUNDINAMARCA"</f>
        <v>CUNDINAMARCA</v>
      </c>
      <c r="BO120" t="str">
        <f>"FUSAGASUGA"</f>
        <v>FUSAGASUGA</v>
      </c>
      <c r="BP120" t="str">
        <f t="shared" si="140"/>
        <v>BOGOTA</v>
      </c>
      <c r="BQ120" t="str">
        <f t="shared" si="140"/>
        <v>BOGOTA</v>
      </c>
    </row>
    <row r="121" spans="1:69" x14ac:dyDescent="0.25">
      <c r="A121" t="str">
        <f>"7285591"</f>
        <v>7285591</v>
      </c>
      <c r="B121" t="str">
        <f t="shared" si="74"/>
        <v>459</v>
      </c>
      <c r="C121" t="str">
        <f>"21/01/2020 12:00:00 a. m."</f>
        <v>21/01/2020 12:00:00 a. m.</v>
      </c>
      <c r="D121" t="str">
        <f>"01"</f>
        <v>01</v>
      </c>
      <c r="E121" t="str">
        <f t="shared" si="75"/>
        <v>2020</v>
      </c>
      <c r="F121" t="str">
        <f>"1100106065"</f>
        <v>1100106065</v>
      </c>
      <c r="G121" t="str">
        <f t="shared" si="134"/>
        <v>01</v>
      </c>
      <c r="H121" t="str">
        <f>"7"</f>
        <v>7</v>
      </c>
      <c r="I121" t="str">
        <f t="shared" si="133"/>
        <v>1</v>
      </c>
      <c r="J121" t="str">
        <f>"M"</f>
        <v>M</v>
      </c>
      <c r="K121" t="str">
        <f t="shared" si="120"/>
        <v>170</v>
      </c>
      <c r="L121" t="str">
        <f>"25"</f>
        <v>25</v>
      </c>
      <c r="M121" t="str">
        <f>"754"</f>
        <v>754</v>
      </c>
      <c r="N121" t="str">
        <f t="shared" si="141"/>
        <v>1</v>
      </c>
      <c r="O121" t="str">
        <f t="shared" si="137"/>
        <v>9997</v>
      </c>
      <c r="P121" t="str">
        <f>"C"</f>
        <v>C</v>
      </c>
      <c r="Q121" t="str">
        <f>"EPS041"</f>
        <v>EPS041</v>
      </c>
      <c r="R121" t="str">
        <f t="shared" si="110"/>
        <v>6</v>
      </c>
      <c r="S121" t="str">
        <f>""</f>
        <v/>
      </c>
      <c r="T121" t="str">
        <f t="shared" si="112"/>
        <v xml:space="preserve">                                                                                                    </v>
      </c>
      <c r="U121" t="str">
        <f>"2         "</f>
        <v xml:space="preserve">2         </v>
      </c>
      <c r="V121" t="str">
        <f t="shared" si="142"/>
        <v>2</v>
      </c>
      <c r="W121" t="str">
        <f t="shared" si="142"/>
        <v>2</v>
      </c>
      <c r="X121" t="str">
        <f t="shared" si="121"/>
        <v>2</v>
      </c>
      <c r="Y121" t="str">
        <f t="shared" si="143"/>
        <v>2</v>
      </c>
      <c r="Z121" t="str">
        <f t="shared" si="143"/>
        <v>2</v>
      </c>
      <c r="AA121" t="str">
        <f t="shared" si="79"/>
        <v xml:space="preserve">          </v>
      </c>
      <c r="AB121" t="str">
        <f t="shared" si="67"/>
        <v>2</v>
      </c>
      <c r="AC121" t="str">
        <f t="shared" si="70"/>
        <v>2</v>
      </c>
      <c r="AD121" t="str">
        <f t="shared" si="144"/>
        <v>2</v>
      </c>
      <c r="AE121" t="str">
        <f t="shared" si="144"/>
        <v>2</v>
      </c>
      <c r="AF121" t="str">
        <f t="shared" si="144"/>
        <v>2</v>
      </c>
      <c r="AG121" t="str">
        <f t="shared" si="144"/>
        <v>2</v>
      </c>
      <c r="AH121" t="str">
        <f t="shared" si="122"/>
        <v>1</v>
      </c>
      <c r="AI121" t="str">
        <f>"1         "</f>
        <v xml:space="preserve">1         </v>
      </c>
      <c r="AJ121" t="str">
        <f t="shared" si="123"/>
        <v>170</v>
      </c>
      <c r="AK121" t="str">
        <f>"25"</f>
        <v>25</v>
      </c>
      <c r="AL121" t="str">
        <f>"754"</f>
        <v>754</v>
      </c>
      <c r="AM121" t="str">
        <f t="shared" si="138"/>
        <v>11</v>
      </c>
      <c r="AN121" t="str">
        <f t="shared" si="139"/>
        <v>11001</v>
      </c>
      <c r="AO121" t="str">
        <f>"3/01/2020 12:00:00 a. m."</f>
        <v>3/01/2020 12:00:00 a. m.</v>
      </c>
      <c r="AP121" t="str">
        <f>"1/06/2019 12:00:00 a. m."</f>
        <v>1/06/2019 12:00:00 a. m.</v>
      </c>
      <c r="AQ121" t="str">
        <f t="shared" si="135"/>
        <v>3</v>
      </c>
      <c r="AR121" t="str">
        <f t="shared" si="130"/>
        <v>1</v>
      </c>
      <c r="AS121" t="str">
        <f>"4/01/2020 12:00:00 a. m."</f>
        <v>4/01/2020 12:00:00 a. m.</v>
      </c>
      <c r="AT121" t="str">
        <f t="shared" si="136"/>
        <v>1</v>
      </c>
      <c r="AU121" t="str">
        <f>""</f>
        <v/>
      </c>
      <c r="AV121" t="str">
        <f>"0"</f>
        <v>0</v>
      </c>
      <c r="AW121" t="str">
        <f>"23/09/2012 12:00:00 a. m."</f>
        <v>23/09/2012 12:00:00 a. m.</v>
      </c>
      <c r="AX121" t="str">
        <f>""</f>
        <v/>
      </c>
      <c r="AY121" t="str">
        <f t="shared" si="82"/>
        <v>30/04/2021 12:00:00 a. m.</v>
      </c>
      <c r="AZ121" t="str">
        <f>"3/02/2020 12:00:00 a. m."</f>
        <v>3/02/2020 12:00:00 a. m.</v>
      </c>
      <c r="BA121" t="str">
        <f>""</f>
        <v/>
      </c>
      <c r="BB121" t="str">
        <f>""</f>
        <v/>
      </c>
      <c r="BC121" t="str">
        <f>""</f>
        <v/>
      </c>
      <c r="BD121" t="str">
        <f t="shared" si="124"/>
        <v>1</v>
      </c>
      <c r="BE121" t="str">
        <f t="shared" si="124"/>
        <v>1</v>
      </c>
      <c r="BF121" t="str">
        <f t="shared" si="83"/>
        <v xml:space="preserve">3         </v>
      </c>
      <c r="BG121" t="str">
        <f t="shared" si="84"/>
        <v>Confirmado por laboratorio</v>
      </c>
      <c r="BH121" t="str">
        <f>"ESE INSTITUTO NACIONAL DE CANCEROLOGIA"</f>
        <v>ESE INSTITUTO NACIONAL DE CANCEROLOGIA</v>
      </c>
      <c r="BI121" t="str">
        <f t="shared" si="125"/>
        <v>COLOMBIA</v>
      </c>
      <c r="BJ121" t="str">
        <f t="shared" si="86"/>
        <v>CANCER INFANTIL</v>
      </c>
      <c r="BK121" t="str">
        <f>"CUNDINAMARCA"</f>
        <v>CUNDINAMARCA</v>
      </c>
      <c r="BL121" t="str">
        <f>"SOACHA"</f>
        <v>SOACHA</v>
      </c>
      <c r="BM121" t="str">
        <f t="shared" si="126"/>
        <v>COLOMBIA</v>
      </c>
      <c r="BN121" t="str">
        <f>"CUNDINAMARCA"</f>
        <v>CUNDINAMARCA</v>
      </c>
      <c r="BO121" t="str">
        <f>"SOACHA"</f>
        <v>SOACHA</v>
      </c>
      <c r="BP121" t="str">
        <f t="shared" si="140"/>
        <v>BOGOTA</v>
      </c>
      <c r="BQ121" t="str">
        <f t="shared" si="140"/>
        <v>BOGOTA</v>
      </c>
    </row>
    <row r="122" spans="1:69" x14ac:dyDescent="0.25">
      <c r="A122" t="str">
        <f>"7285347"</f>
        <v>7285347</v>
      </c>
      <c r="B122" t="str">
        <f t="shared" si="74"/>
        <v>459</v>
      </c>
      <c r="C122" t="str">
        <f>"1/04/2020 12:00:00 a. m."</f>
        <v>1/04/2020 12:00:00 a. m.</v>
      </c>
      <c r="D122" t="str">
        <f>"14"</f>
        <v>14</v>
      </c>
      <c r="E122" t="str">
        <f t="shared" si="75"/>
        <v>2020</v>
      </c>
      <c r="F122" t="str">
        <f>"1100108171"</f>
        <v>1100108171</v>
      </c>
      <c r="G122" t="str">
        <f>"02"</f>
        <v>02</v>
      </c>
      <c r="H122" t="str">
        <f>"11"</f>
        <v>11</v>
      </c>
      <c r="I122" t="str">
        <f t="shared" si="133"/>
        <v>1</v>
      </c>
      <c r="J122" t="str">
        <f>"F"</f>
        <v>F</v>
      </c>
      <c r="K122" t="str">
        <f t="shared" si="120"/>
        <v>170</v>
      </c>
      <c r="L122" t="str">
        <f>"11"</f>
        <v>11</v>
      </c>
      <c r="M122" t="str">
        <f>"001"</f>
        <v>001</v>
      </c>
      <c r="N122" t="str">
        <f t="shared" si="141"/>
        <v>1</v>
      </c>
      <c r="O122" t="str">
        <f t="shared" si="137"/>
        <v>9997</v>
      </c>
      <c r="P122" t="str">
        <f>"C"</f>
        <v>C</v>
      </c>
      <c r="Q122" t="str">
        <f>"EPS017"</f>
        <v>EPS017</v>
      </c>
      <c r="R122" t="str">
        <f t="shared" si="110"/>
        <v>6</v>
      </c>
      <c r="S122" t="str">
        <f>""</f>
        <v/>
      </c>
      <c r="T122" t="str">
        <f t="shared" si="112"/>
        <v xml:space="preserve">                                                                                                    </v>
      </c>
      <c r="U122" t="str">
        <f>"2         "</f>
        <v xml:space="preserve">2         </v>
      </c>
      <c r="V122" t="str">
        <f t="shared" si="142"/>
        <v>2</v>
      </c>
      <c r="W122" t="str">
        <f t="shared" si="142"/>
        <v>2</v>
      </c>
      <c r="X122" t="str">
        <f t="shared" si="121"/>
        <v>2</v>
      </c>
      <c r="Y122" t="str">
        <f t="shared" si="143"/>
        <v>2</v>
      </c>
      <c r="Z122" t="str">
        <f t="shared" si="143"/>
        <v>2</v>
      </c>
      <c r="AA122" t="str">
        <f t="shared" si="79"/>
        <v xml:space="preserve">          </v>
      </c>
      <c r="AB122" t="str">
        <f t="shared" si="67"/>
        <v>2</v>
      </c>
      <c r="AC122" t="str">
        <f t="shared" si="70"/>
        <v>2</v>
      </c>
      <c r="AD122" t="str">
        <f t="shared" si="144"/>
        <v>2</v>
      </c>
      <c r="AE122" t="str">
        <f t="shared" si="144"/>
        <v>2</v>
      </c>
      <c r="AF122" t="str">
        <f t="shared" si="144"/>
        <v>2</v>
      </c>
      <c r="AG122" t="str">
        <f t="shared" si="144"/>
        <v>2</v>
      </c>
      <c r="AH122" t="str">
        <f t="shared" si="122"/>
        <v>1</v>
      </c>
      <c r="AI122" t="str">
        <f>"1         "</f>
        <v xml:space="preserve">1         </v>
      </c>
      <c r="AJ122" t="str">
        <f t="shared" si="123"/>
        <v>170</v>
      </c>
      <c r="AK122" t="str">
        <f>"11"</f>
        <v>11</v>
      </c>
      <c r="AL122" t="str">
        <f>"001"</f>
        <v>001</v>
      </c>
      <c r="AM122" t="str">
        <f t="shared" si="138"/>
        <v>11</v>
      </c>
      <c r="AN122" t="str">
        <f t="shared" si="139"/>
        <v>11001</v>
      </c>
      <c r="AO122" t="str">
        <f>"1/04/2020 12:00:00 a. m."</f>
        <v>1/04/2020 12:00:00 a. m.</v>
      </c>
      <c r="AP122" t="str">
        <f>"27/02/2020 12:00:00 a. m."</f>
        <v>27/02/2020 12:00:00 a. m.</v>
      </c>
      <c r="AQ122" t="str">
        <f>"2"</f>
        <v>2</v>
      </c>
      <c r="AR122" t="str">
        <f>"2"</f>
        <v>2</v>
      </c>
      <c r="AS122" t="str">
        <f>""</f>
        <v/>
      </c>
      <c r="AT122" t="str">
        <f t="shared" si="136"/>
        <v>1</v>
      </c>
      <c r="AU122" t="str">
        <f>""</f>
        <v/>
      </c>
      <c r="AV122" t="str">
        <f>"3"</f>
        <v>3</v>
      </c>
      <c r="AW122" t="str">
        <f>"3/06/2008 12:00:00 a. m."</f>
        <v>3/06/2008 12:00:00 a. m.</v>
      </c>
      <c r="AX122" t="str">
        <f>""</f>
        <v/>
      </c>
      <c r="AY122" t="str">
        <f t="shared" si="82"/>
        <v>30/04/2021 12:00:00 a. m.</v>
      </c>
      <c r="AZ122" t="str">
        <f>"21/04/2020 12:00:00 a. m."</f>
        <v>21/04/2020 12:00:00 a. m.</v>
      </c>
      <c r="BA122" t="str">
        <f>""</f>
        <v/>
      </c>
      <c r="BB122" t="str">
        <f>""</f>
        <v/>
      </c>
      <c r="BC122" t="str">
        <f>""</f>
        <v/>
      </c>
      <c r="BD122" t="str">
        <f t="shared" ref="BD122:BE141" si="145">"1"</f>
        <v>1</v>
      </c>
      <c r="BE122" t="str">
        <f t="shared" si="145"/>
        <v>1</v>
      </c>
      <c r="BF122" t="str">
        <f t="shared" si="83"/>
        <v xml:space="preserve">3         </v>
      </c>
      <c r="BG122" t="str">
        <f t="shared" si="84"/>
        <v>Confirmado por laboratorio</v>
      </c>
      <c r="BH122" t="str">
        <f>"CLINICA INFANTIL COLSUBSIDIO"</f>
        <v>CLINICA INFANTIL COLSUBSIDIO</v>
      </c>
      <c r="BI122" t="str">
        <f t="shared" si="125"/>
        <v>COLOMBIA</v>
      </c>
      <c r="BJ122" t="str">
        <f t="shared" si="86"/>
        <v>CANCER INFANTIL</v>
      </c>
      <c r="BK122" t="str">
        <f t="shared" ref="BK122:BL124" si="146">"BOGOTA"</f>
        <v>BOGOTA</v>
      </c>
      <c r="BL122" t="str">
        <f t="shared" si="146"/>
        <v>BOGOTA</v>
      </c>
      <c r="BM122" t="str">
        <f t="shared" si="126"/>
        <v>COLOMBIA</v>
      </c>
      <c r="BN122" t="str">
        <f t="shared" ref="BN122:BO124" si="147">"BOGOTA"</f>
        <v>BOGOTA</v>
      </c>
      <c r="BO122" t="str">
        <f t="shared" si="147"/>
        <v>BOGOTA</v>
      </c>
      <c r="BP122" t="str">
        <f t="shared" si="140"/>
        <v>BOGOTA</v>
      </c>
      <c r="BQ122" t="str">
        <f t="shared" si="140"/>
        <v>BOGOTA</v>
      </c>
    </row>
    <row r="123" spans="1:69" x14ac:dyDescent="0.25">
      <c r="A123" t="str">
        <f>"7285313"</f>
        <v>7285313</v>
      </c>
      <c r="B123" t="str">
        <f t="shared" si="74"/>
        <v>459</v>
      </c>
      <c r="C123" t="str">
        <f>"15/12/2020 12:00:00 a. m."</f>
        <v>15/12/2020 12:00:00 a. m.</v>
      </c>
      <c r="D123" t="str">
        <f>"51"</f>
        <v>51</v>
      </c>
      <c r="E123" t="str">
        <f t="shared" si="75"/>
        <v>2020</v>
      </c>
      <c r="F123" t="str">
        <f>"1100106065"</f>
        <v>1100106065</v>
      </c>
      <c r="G123" t="str">
        <f>"01"</f>
        <v>01</v>
      </c>
      <c r="H123" t="str">
        <f>"14"</f>
        <v>14</v>
      </c>
      <c r="I123" t="str">
        <f t="shared" si="133"/>
        <v>1</v>
      </c>
      <c r="J123" t="str">
        <f>"F"</f>
        <v>F</v>
      </c>
      <c r="K123" t="str">
        <f t="shared" si="120"/>
        <v>170</v>
      </c>
      <c r="L123" t="str">
        <f>"11"</f>
        <v>11</v>
      </c>
      <c r="M123" t="str">
        <f>"001"</f>
        <v>001</v>
      </c>
      <c r="N123" t="str">
        <f t="shared" si="141"/>
        <v>1</v>
      </c>
      <c r="O123" t="str">
        <f t="shared" si="137"/>
        <v>9997</v>
      </c>
      <c r="P123" t="str">
        <f>"S"</f>
        <v>S</v>
      </c>
      <c r="Q123" t="str">
        <f>"EPSS17"</f>
        <v>EPSS17</v>
      </c>
      <c r="R123" t="str">
        <f t="shared" si="110"/>
        <v>6</v>
      </c>
      <c r="S123" t="str">
        <f>""</f>
        <v/>
      </c>
      <c r="T123" t="str">
        <f t="shared" si="112"/>
        <v xml:space="preserve">                                                                                                    </v>
      </c>
      <c r="U123" t="str">
        <f>"1         "</f>
        <v xml:space="preserve">1         </v>
      </c>
      <c r="V123" t="str">
        <f t="shared" si="142"/>
        <v>2</v>
      </c>
      <c r="W123" t="str">
        <f t="shared" si="142"/>
        <v>2</v>
      </c>
      <c r="X123" t="str">
        <f t="shared" si="121"/>
        <v>2</v>
      </c>
      <c r="Y123" t="str">
        <f t="shared" si="143"/>
        <v>2</v>
      </c>
      <c r="Z123" t="str">
        <f t="shared" si="143"/>
        <v>2</v>
      </c>
      <c r="AA123" t="str">
        <f t="shared" si="79"/>
        <v xml:space="preserve">          </v>
      </c>
      <c r="AB123" t="str">
        <f t="shared" si="67"/>
        <v>2</v>
      </c>
      <c r="AC123" t="str">
        <f t="shared" si="70"/>
        <v>2</v>
      </c>
      <c r="AD123" t="str">
        <f t="shared" si="144"/>
        <v>2</v>
      </c>
      <c r="AE123" t="str">
        <f t="shared" si="144"/>
        <v>2</v>
      </c>
      <c r="AF123" t="str">
        <f t="shared" si="144"/>
        <v>2</v>
      </c>
      <c r="AG123" t="str">
        <f t="shared" si="144"/>
        <v>2</v>
      </c>
      <c r="AH123" t="str">
        <f t="shared" si="122"/>
        <v>1</v>
      </c>
      <c r="AI123" t="str">
        <f>"1         "</f>
        <v xml:space="preserve">1         </v>
      </c>
      <c r="AJ123" t="str">
        <f t="shared" si="123"/>
        <v>170</v>
      </c>
      <c r="AK123" t="str">
        <f>"11"</f>
        <v>11</v>
      </c>
      <c r="AL123" t="str">
        <f>"001"</f>
        <v>001</v>
      </c>
      <c r="AM123" t="str">
        <f t="shared" si="138"/>
        <v>11</v>
      </c>
      <c r="AN123" t="str">
        <f t="shared" si="139"/>
        <v>11001</v>
      </c>
      <c r="AO123" t="str">
        <f>"15/12/2020 12:00:00 a. m."</f>
        <v>15/12/2020 12:00:00 a. m.</v>
      </c>
      <c r="AP123" t="str">
        <f>"6/11/2020 12:00:00 a. m."</f>
        <v>6/11/2020 12:00:00 a. m.</v>
      </c>
      <c r="AQ123" t="str">
        <f>"3"</f>
        <v>3</v>
      </c>
      <c r="AR123" t="str">
        <f>"1"</f>
        <v>1</v>
      </c>
      <c r="AS123" t="str">
        <f>"15/12/2020 12:00:00 a. m."</f>
        <v>15/12/2020 12:00:00 a. m.</v>
      </c>
      <c r="AT123" t="str">
        <f t="shared" si="136"/>
        <v>1</v>
      </c>
      <c r="AU123" t="str">
        <f>""</f>
        <v/>
      </c>
      <c r="AV123" t="str">
        <f>"0"</f>
        <v>0</v>
      </c>
      <c r="AW123" t="str">
        <f>"4/12/2006 12:00:00 a. m."</f>
        <v>4/12/2006 12:00:00 a. m.</v>
      </c>
      <c r="AX123" t="str">
        <f>""</f>
        <v/>
      </c>
      <c r="AY123" t="str">
        <f t="shared" si="82"/>
        <v>30/04/2021 12:00:00 a. m.</v>
      </c>
      <c r="AZ123" t="str">
        <f>"21/12/2020 12:00:00 a. m."</f>
        <v>21/12/2020 12:00:00 a. m.</v>
      </c>
      <c r="BA123" t="str">
        <f>""</f>
        <v/>
      </c>
      <c r="BB123" t="str">
        <f>""</f>
        <v/>
      </c>
      <c r="BC123" t="str">
        <f>""</f>
        <v/>
      </c>
      <c r="BD123" t="str">
        <f t="shared" si="145"/>
        <v>1</v>
      </c>
      <c r="BE123" t="str">
        <f t="shared" si="145"/>
        <v>1</v>
      </c>
      <c r="BF123" t="str">
        <f t="shared" si="83"/>
        <v xml:space="preserve">3         </v>
      </c>
      <c r="BG123" t="str">
        <f t="shared" si="84"/>
        <v>Confirmado por laboratorio</v>
      </c>
      <c r="BH123" t="str">
        <f>"ESE INSTITUTO NACIONAL DE CANCEROLOGIA"</f>
        <v>ESE INSTITUTO NACIONAL DE CANCEROLOGIA</v>
      </c>
      <c r="BI123" t="str">
        <f t="shared" si="125"/>
        <v>COLOMBIA</v>
      </c>
      <c r="BJ123" t="str">
        <f t="shared" si="86"/>
        <v>CANCER INFANTIL</v>
      </c>
      <c r="BK123" t="str">
        <f t="shared" si="146"/>
        <v>BOGOTA</v>
      </c>
      <c r="BL123" t="str">
        <f t="shared" si="146"/>
        <v>BOGOTA</v>
      </c>
      <c r="BM123" t="str">
        <f t="shared" si="126"/>
        <v>COLOMBIA</v>
      </c>
      <c r="BN123" t="str">
        <f t="shared" si="147"/>
        <v>BOGOTA</v>
      </c>
      <c r="BO123" t="str">
        <f t="shared" si="147"/>
        <v>BOGOTA</v>
      </c>
      <c r="BP123" t="str">
        <f t="shared" si="140"/>
        <v>BOGOTA</v>
      </c>
      <c r="BQ123" t="str">
        <f t="shared" si="140"/>
        <v>BOGOTA</v>
      </c>
    </row>
    <row r="124" spans="1:69" x14ac:dyDescent="0.25">
      <c r="A124" t="str">
        <f>"7285314"</f>
        <v>7285314</v>
      </c>
      <c r="B124" t="str">
        <f t="shared" si="74"/>
        <v>459</v>
      </c>
      <c r="C124" t="str">
        <f>"29/09/2020 12:00:00 a. m."</f>
        <v>29/09/2020 12:00:00 a. m.</v>
      </c>
      <c r="D124" t="str">
        <f>"37"</f>
        <v>37</v>
      </c>
      <c r="E124" t="str">
        <f t="shared" si="75"/>
        <v>2020</v>
      </c>
      <c r="F124" t="str">
        <f>"1100109186"</f>
        <v>1100109186</v>
      </c>
      <c r="G124" t="str">
        <f>"30"</f>
        <v>30</v>
      </c>
      <c r="H124" t="str">
        <f>"15"</f>
        <v>15</v>
      </c>
      <c r="I124" t="str">
        <f t="shared" si="133"/>
        <v>1</v>
      </c>
      <c r="J124" t="str">
        <f>"F"</f>
        <v>F</v>
      </c>
      <c r="K124" t="str">
        <f t="shared" si="120"/>
        <v>170</v>
      </c>
      <c r="L124" t="str">
        <f>"11"</f>
        <v>11</v>
      </c>
      <c r="M124" t="str">
        <f>"001"</f>
        <v>001</v>
      </c>
      <c r="N124" t="str">
        <f t="shared" si="141"/>
        <v>1</v>
      </c>
      <c r="O124" t="str">
        <f t="shared" si="137"/>
        <v>9997</v>
      </c>
      <c r="P124" t="str">
        <f>"C"</f>
        <v>C</v>
      </c>
      <c r="Q124" t="str">
        <f>"EMP023"</f>
        <v>EMP023</v>
      </c>
      <c r="R124" t="str">
        <f t="shared" si="110"/>
        <v>6</v>
      </c>
      <c r="S124" t="str">
        <f>""</f>
        <v/>
      </c>
      <c r="T124" t="str">
        <f t="shared" si="112"/>
        <v xml:space="preserve">                                                                                                    </v>
      </c>
      <c r="U124" t="str">
        <f>"3         "</f>
        <v xml:space="preserve">3         </v>
      </c>
      <c r="V124" t="str">
        <f t="shared" si="142"/>
        <v>2</v>
      </c>
      <c r="W124" t="str">
        <f t="shared" si="142"/>
        <v>2</v>
      </c>
      <c r="X124" t="str">
        <f t="shared" si="121"/>
        <v>2</v>
      </c>
      <c r="Y124" t="str">
        <f t="shared" si="143"/>
        <v>2</v>
      </c>
      <c r="Z124" t="str">
        <f t="shared" si="143"/>
        <v>2</v>
      </c>
      <c r="AA124" t="str">
        <f t="shared" si="79"/>
        <v xml:space="preserve">          </v>
      </c>
      <c r="AB124" t="str">
        <f t="shared" ref="AB124:AB187" si="148">"2"</f>
        <v>2</v>
      </c>
      <c r="AC124" t="str">
        <f t="shared" si="70"/>
        <v>2</v>
      </c>
      <c r="AD124" t="str">
        <f t="shared" si="144"/>
        <v>2</v>
      </c>
      <c r="AE124" t="str">
        <f t="shared" si="144"/>
        <v>2</v>
      </c>
      <c r="AF124" t="str">
        <f t="shared" si="144"/>
        <v>2</v>
      </c>
      <c r="AG124" t="str">
        <f t="shared" si="144"/>
        <v>2</v>
      </c>
      <c r="AH124" t="str">
        <f t="shared" si="122"/>
        <v>1</v>
      </c>
      <c r="AI124" t="str">
        <f>"2         "</f>
        <v xml:space="preserve">2         </v>
      </c>
      <c r="AJ124" t="str">
        <f t="shared" si="123"/>
        <v>170</v>
      </c>
      <c r="AK124" t="str">
        <f>"11"</f>
        <v>11</v>
      </c>
      <c r="AL124" t="str">
        <f>"001"</f>
        <v>001</v>
      </c>
      <c r="AM124" t="str">
        <f t="shared" si="138"/>
        <v>11</v>
      </c>
      <c r="AN124" t="str">
        <f t="shared" si="139"/>
        <v>11001</v>
      </c>
      <c r="AO124" t="str">
        <f>"9/09/2020 12:00:00 a. m."</f>
        <v>9/09/2020 12:00:00 a. m.</v>
      </c>
      <c r="AP124" t="str">
        <f>"1/09/2020 12:00:00 a. m."</f>
        <v>1/09/2020 12:00:00 a. m.</v>
      </c>
      <c r="AQ124" t="str">
        <f>"3"</f>
        <v>3</v>
      </c>
      <c r="AR124" t="str">
        <f>"1"</f>
        <v>1</v>
      </c>
      <c r="AS124" t="str">
        <f>"9/09/2020 12:00:00 a. m."</f>
        <v>9/09/2020 12:00:00 a. m.</v>
      </c>
      <c r="AT124" t="str">
        <f t="shared" si="136"/>
        <v>1</v>
      </c>
      <c r="AU124" t="str">
        <f>""</f>
        <v/>
      </c>
      <c r="AV124" t="str">
        <f>"0"</f>
        <v>0</v>
      </c>
      <c r="AW124" t="str">
        <f>"6/12/2004 12:00:00 a. m."</f>
        <v>6/12/2004 12:00:00 a. m.</v>
      </c>
      <c r="AX124" t="str">
        <f>""</f>
        <v/>
      </c>
      <c r="AY124" t="str">
        <f t="shared" si="82"/>
        <v>30/04/2021 12:00:00 a. m.</v>
      </c>
      <c r="AZ124" t="str">
        <f>"2/10/2020 12:00:00 a. m."</f>
        <v>2/10/2020 12:00:00 a. m.</v>
      </c>
      <c r="BA124" t="str">
        <f>""</f>
        <v/>
      </c>
      <c r="BB124" t="str">
        <f>""</f>
        <v/>
      </c>
      <c r="BC124" t="str">
        <f>""</f>
        <v/>
      </c>
      <c r="BD124" t="str">
        <f t="shared" si="145"/>
        <v>1</v>
      </c>
      <c r="BE124" t="str">
        <f t="shared" si="145"/>
        <v>1</v>
      </c>
      <c r="BF124" t="str">
        <f t="shared" si="83"/>
        <v xml:space="preserve">3         </v>
      </c>
      <c r="BG124" t="str">
        <f t="shared" si="84"/>
        <v>Confirmado por laboratorio</v>
      </c>
      <c r="BH124" t="str">
        <f>"CLINICA UNIVERSITARIA COLOMBIA-TEUSAQUILLO"</f>
        <v>CLINICA UNIVERSITARIA COLOMBIA-TEUSAQUILLO</v>
      </c>
      <c r="BI124" t="str">
        <f t="shared" si="125"/>
        <v>COLOMBIA</v>
      </c>
      <c r="BJ124" t="str">
        <f t="shared" si="86"/>
        <v>CANCER INFANTIL</v>
      </c>
      <c r="BK124" t="str">
        <f t="shared" si="146"/>
        <v>BOGOTA</v>
      </c>
      <c r="BL124" t="str">
        <f t="shared" si="146"/>
        <v>BOGOTA</v>
      </c>
      <c r="BM124" t="str">
        <f t="shared" si="126"/>
        <v>COLOMBIA</v>
      </c>
      <c r="BN124" t="str">
        <f t="shared" si="147"/>
        <v>BOGOTA</v>
      </c>
      <c r="BO124" t="str">
        <f t="shared" si="147"/>
        <v>BOGOTA</v>
      </c>
      <c r="BP124" t="str">
        <f t="shared" si="140"/>
        <v>BOGOTA</v>
      </c>
      <c r="BQ124" t="str">
        <f t="shared" si="140"/>
        <v>BOGOTA</v>
      </c>
    </row>
    <row r="125" spans="1:69" x14ac:dyDescent="0.25">
      <c r="A125" t="str">
        <f>"7285904"</f>
        <v>7285904</v>
      </c>
      <c r="B125" t="str">
        <f t="shared" si="74"/>
        <v>459</v>
      </c>
      <c r="C125" t="str">
        <f>"14/09/2020 12:00:00 a. m."</f>
        <v>14/09/2020 12:00:00 a. m.</v>
      </c>
      <c r="D125" t="str">
        <f>"35"</f>
        <v>35</v>
      </c>
      <c r="E125" t="str">
        <f t="shared" si="75"/>
        <v>2020</v>
      </c>
      <c r="F125" t="str">
        <f>"1700102216"</f>
        <v>1700102216</v>
      </c>
      <c r="G125" t="str">
        <f>"06"</f>
        <v>06</v>
      </c>
      <c r="H125" t="str">
        <f>"13"</f>
        <v>13</v>
      </c>
      <c r="I125" t="str">
        <f t="shared" si="133"/>
        <v>1</v>
      </c>
      <c r="J125" t="str">
        <f>"M"</f>
        <v>M</v>
      </c>
      <c r="K125" t="str">
        <f t="shared" si="120"/>
        <v>170</v>
      </c>
      <c r="L125" t="str">
        <f>"17"</f>
        <v>17</v>
      </c>
      <c r="M125" t="str">
        <f>"001"</f>
        <v>001</v>
      </c>
      <c r="N125" t="str">
        <f t="shared" si="141"/>
        <v>1</v>
      </c>
      <c r="O125" t="str">
        <f t="shared" si="137"/>
        <v>9997</v>
      </c>
      <c r="P125" t="str">
        <f>"C"</f>
        <v>C</v>
      </c>
      <c r="Q125" t="str">
        <f>"EPS037"</f>
        <v>EPS037</v>
      </c>
      <c r="R125" t="str">
        <f t="shared" ref="R125:R145" si="149">"6"</f>
        <v>6</v>
      </c>
      <c r="S125" t="str">
        <f>""</f>
        <v/>
      </c>
      <c r="T125" t="str">
        <f t="shared" si="112"/>
        <v xml:space="preserve">                                                                                                    </v>
      </c>
      <c r="U125" t="str">
        <f>"3         "</f>
        <v xml:space="preserve">3         </v>
      </c>
      <c r="V125" t="str">
        <f t="shared" si="142"/>
        <v>2</v>
      </c>
      <c r="W125" t="str">
        <f t="shared" si="142"/>
        <v>2</v>
      </c>
      <c r="X125" t="str">
        <f t="shared" si="121"/>
        <v>2</v>
      </c>
      <c r="Y125" t="str">
        <f t="shared" si="143"/>
        <v>2</v>
      </c>
      <c r="Z125" t="str">
        <f t="shared" si="143"/>
        <v>2</v>
      </c>
      <c r="AA125" t="str">
        <f t="shared" si="79"/>
        <v xml:space="preserve">          </v>
      </c>
      <c r="AB125" t="str">
        <f t="shared" si="148"/>
        <v>2</v>
      </c>
      <c r="AC125" t="str">
        <f t="shared" ref="AC125:AC188" si="150">"2"</f>
        <v>2</v>
      </c>
      <c r="AD125" t="str">
        <f t="shared" si="144"/>
        <v>2</v>
      </c>
      <c r="AE125" t="str">
        <f t="shared" si="144"/>
        <v>2</v>
      </c>
      <c r="AF125" t="str">
        <f t="shared" si="144"/>
        <v>2</v>
      </c>
      <c r="AG125" t="str">
        <f t="shared" si="144"/>
        <v>2</v>
      </c>
      <c r="AH125" t="str">
        <f t="shared" si="122"/>
        <v>1</v>
      </c>
      <c r="AI125" t="str">
        <f>"1         "</f>
        <v xml:space="preserve">1         </v>
      </c>
      <c r="AJ125" t="str">
        <f t="shared" si="123"/>
        <v>170</v>
      </c>
      <c r="AK125" t="str">
        <f>"17"</f>
        <v>17</v>
      </c>
      <c r="AL125" t="str">
        <f>"001"</f>
        <v>001</v>
      </c>
      <c r="AM125" t="str">
        <f>"17"</f>
        <v>17</v>
      </c>
      <c r="AN125" t="str">
        <f>"17001"</f>
        <v>17001</v>
      </c>
      <c r="AO125" t="str">
        <f>"29/08/2020 12:00:00 a. m."</f>
        <v>29/08/2020 12:00:00 a. m.</v>
      </c>
      <c r="AP125" t="str">
        <f>"1/08/2020 12:00:00 a. m."</f>
        <v>1/08/2020 12:00:00 a. m.</v>
      </c>
      <c r="AQ125" t="str">
        <f>"2"</f>
        <v>2</v>
      </c>
      <c r="AR125" t="str">
        <f>"2"</f>
        <v>2</v>
      </c>
      <c r="AS125" t="str">
        <f>""</f>
        <v/>
      </c>
      <c r="AT125" t="str">
        <f t="shared" si="136"/>
        <v>1</v>
      </c>
      <c r="AU125" t="str">
        <f>""</f>
        <v/>
      </c>
      <c r="AV125" t="str">
        <f>"3"</f>
        <v>3</v>
      </c>
      <c r="AW125" t="str">
        <f>"14/03/2007 12:00:00 a. m."</f>
        <v>14/03/2007 12:00:00 a. m.</v>
      </c>
      <c r="AX125" t="str">
        <f>""</f>
        <v/>
      </c>
      <c r="AY125" t="str">
        <f t="shared" si="82"/>
        <v>30/04/2021 12:00:00 a. m.</v>
      </c>
      <c r="AZ125" t="str">
        <f>"7/10/2020 12:00:00 a. m."</f>
        <v>7/10/2020 12:00:00 a. m.</v>
      </c>
      <c r="BA125" t="str">
        <f>""</f>
        <v/>
      </c>
      <c r="BB125" t="str">
        <f>""</f>
        <v/>
      </c>
      <c r="BC125" t="str">
        <f>""</f>
        <v/>
      </c>
      <c r="BD125" t="str">
        <f t="shared" si="145"/>
        <v>1</v>
      </c>
      <c r="BE125" t="str">
        <f t="shared" si="145"/>
        <v>1</v>
      </c>
      <c r="BF125" t="str">
        <f t="shared" si="83"/>
        <v xml:space="preserve">3         </v>
      </c>
      <c r="BG125" t="str">
        <f t="shared" si="84"/>
        <v>Confirmado por laboratorio</v>
      </c>
      <c r="BH125" t="str">
        <f>"UT VIVA 1A SEDE CENTRO"</f>
        <v>UT VIVA 1A SEDE CENTRO</v>
      </c>
      <c r="BI125" t="str">
        <f t="shared" si="125"/>
        <v>COLOMBIA</v>
      </c>
      <c r="BJ125" t="str">
        <f t="shared" si="86"/>
        <v>CANCER INFANTIL</v>
      </c>
      <c r="BK125" t="str">
        <f>"CALDAS"</f>
        <v>CALDAS</v>
      </c>
      <c r="BL125" t="str">
        <f>"MANIZALES"</f>
        <v>MANIZALES</v>
      </c>
      <c r="BM125" t="str">
        <f t="shared" si="126"/>
        <v>COLOMBIA</v>
      </c>
      <c r="BN125" t="str">
        <f>"CALDAS"</f>
        <v>CALDAS</v>
      </c>
      <c r="BO125" t="str">
        <f>"MANIZALES"</f>
        <v>MANIZALES</v>
      </c>
      <c r="BP125" t="str">
        <f>"CALDAS"</f>
        <v>CALDAS</v>
      </c>
      <c r="BQ125" t="str">
        <f>"MANIZALES"</f>
        <v>MANIZALES</v>
      </c>
    </row>
    <row r="126" spans="1:69" x14ac:dyDescent="0.25">
      <c r="A126" t="str">
        <f>"7285899"</f>
        <v>7285899</v>
      </c>
      <c r="B126" t="str">
        <f t="shared" si="74"/>
        <v>459</v>
      </c>
      <c r="C126" t="str">
        <f>"6/11/2020 12:00:00 a. m."</f>
        <v>6/11/2020 12:00:00 a. m.</v>
      </c>
      <c r="D126" t="str">
        <f>"45"</f>
        <v>45</v>
      </c>
      <c r="E126" t="str">
        <f t="shared" si="75"/>
        <v>2020</v>
      </c>
      <c r="F126" t="str">
        <f>"1523801099"</f>
        <v>1523801099</v>
      </c>
      <c r="G126" t="str">
        <f>"01"</f>
        <v>01</v>
      </c>
      <c r="H126" t="str">
        <f>"15"</f>
        <v>15</v>
      </c>
      <c r="I126" t="str">
        <f t="shared" si="133"/>
        <v>1</v>
      </c>
      <c r="J126" t="str">
        <f>"M"</f>
        <v>M</v>
      </c>
      <c r="K126" t="str">
        <f t="shared" si="120"/>
        <v>170</v>
      </c>
      <c r="L126" t="str">
        <f>"15"</f>
        <v>15</v>
      </c>
      <c r="M126" t="str">
        <f>"238"</f>
        <v>238</v>
      </c>
      <c r="N126" t="str">
        <f t="shared" si="141"/>
        <v>1</v>
      </c>
      <c r="O126" t="str">
        <f t="shared" si="137"/>
        <v>9997</v>
      </c>
      <c r="P126" t="str">
        <f>"C"</f>
        <v>C</v>
      </c>
      <c r="Q126" t="str">
        <f>"EPS037"</f>
        <v>EPS037</v>
      </c>
      <c r="R126" t="str">
        <f t="shared" si="149"/>
        <v>6</v>
      </c>
      <c r="S126" t="str">
        <f>""</f>
        <v/>
      </c>
      <c r="T126" t="str">
        <f t="shared" si="112"/>
        <v xml:space="preserve">                                                                                                    </v>
      </c>
      <c r="U126" t="str">
        <f>"2         "</f>
        <v xml:space="preserve">2         </v>
      </c>
      <c r="V126" t="str">
        <f t="shared" si="142"/>
        <v>2</v>
      </c>
      <c r="W126" t="str">
        <f t="shared" si="142"/>
        <v>2</v>
      </c>
      <c r="X126" t="str">
        <f t="shared" si="121"/>
        <v>2</v>
      </c>
      <c r="Y126" t="str">
        <f t="shared" si="143"/>
        <v>2</v>
      </c>
      <c r="Z126" t="str">
        <f t="shared" si="143"/>
        <v>2</v>
      </c>
      <c r="AA126" t="str">
        <f t="shared" si="79"/>
        <v xml:space="preserve">          </v>
      </c>
      <c r="AB126" t="str">
        <f t="shared" si="148"/>
        <v>2</v>
      </c>
      <c r="AC126" t="str">
        <f t="shared" si="150"/>
        <v>2</v>
      </c>
      <c r="AD126" t="str">
        <f t="shared" si="144"/>
        <v>2</v>
      </c>
      <c r="AE126" t="str">
        <f t="shared" si="144"/>
        <v>2</v>
      </c>
      <c r="AF126" t="str">
        <f t="shared" si="144"/>
        <v>2</v>
      </c>
      <c r="AG126" t="str">
        <f t="shared" si="144"/>
        <v>2</v>
      </c>
      <c r="AH126" t="str">
        <f t="shared" si="122"/>
        <v>1</v>
      </c>
      <c r="AI126" t="str">
        <f>"1         "</f>
        <v xml:space="preserve">1         </v>
      </c>
      <c r="AJ126" t="str">
        <f t="shared" si="123"/>
        <v>170</v>
      </c>
      <c r="AK126" t="str">
        <f>"15"</f>
        <v>15</v>
      </c>
      <c r="AL126" t="str">
        <f>"238"</f>
        <v>238</v>
      </c>
      <c r="AM126" t="str">
        <f>"15"</f>
        <v>15</v>
      </c>
      <c r="AN126" t="str">
        <f>"15238"</f>
        <v>15238</v>
      </c>
      <c r="AO126" t="str">
        <f>"5/11/2020 12:00:00 a. m."</f>
        <v>5/11/2020 12:00:00 a. m.</v>
      </c>
      <c r="AP126" t="str">
        <f>"4/11/2020 12:00:00 a. m."</f>
        <v>4/11/2020 12:00:00 a. m.</v>
      </c>
      <c r="AQ126" t="str">
        <f>"3"</f>
        <v>3</v>
      </c>
      <c r="AR126" t="str">
        <f t="shared" ref="AR126:AR134" si="151">"1"</f>
        <v>1</v>
      </c>
      <c r="AS126" t="str">
        <f>"5/11/2020 12:00:00 a. m."</f>
        <v>5/11/2020 12:00:00 a. m.</v>
      </c>
      <c r="AT126" t="str">
        <f t="shared" si="136"/>
        <v>1</v>
      </c>
      <c r="AU126" t="str">
        <f>""</f>
        <v/>
      </c>
      <c r="AV126" t="str">
        <f>"0"</f>
        <v>0</v>
      </c>
      <c r="AW126" t="str">
        <f>"13/02/2005 12:00:00 a. m."</f>
        <v>13/02/2005 12:00:00 a. m.</v>
      </c>
      <c r="AX126" t="str">
        <f>""</f>
        <v/>
      </c>
      <c r="AY126" t="str">
        <f t="shared" si="82"/>
        <v>30/04/2021 12:00:00 a. m.</v>
      </c>
      <c r="AZ126" t="str">
        <f>"10/11/2020 12:00:00 a. m."</f>
        <v>10/11/2020 12:00:00 a. m.</v>
      </c>
      <c r="BA126" t="str">
        <f>""</f>
        <v/>
      </c>
      <c r="BB126" t="str">
        <f>""</f>
        <v/>
      </c>
      <c r="BC126" t="str">
        <f>""</f>
        <v/>
      </c>
      <c r="BD126" t="str">
        <f t="shared" si="145"/>
        <v>1</v>
      </c>
      <c r="BE126" t="str">
        <f t="shared" si="145"/>
        <v>1</v>
      </c>
      <c r="BF126" t="str">
        <f t="shared" si="83"/>
        <v xml:space="preserve">3         </v>
      </c>
      <c r="BG126" t="str">
        <f t="shared" si="84"/>
        <v>Confirmado por laboratorio</v>
      </c>
      <c r="BH126" t="str">
        <f>"SOCIEDAD CLINICA BOYACA LIMITADA"</f>
        <v>SOCIEDAD CLINICA BOYACA LIMITADA</v>
      </c>
      <c r="BI126" t="str">
        <f t="shared" si="125"/>
        <v>COLOMBIA</v>
      </c>
      <c r="BJ126" t="str">
        <f t="shared" si="86"/>
        <v>CANCER INFANTIL</v>
      </c>
      <c r="BK126" t="str">
        <f>"BOYACA"</f>
        <v>BOYACA</v>
      </c>
      <c r="BL126" t="str">
        <f>"DUITAMA"</f>
        <v>DUITAMA</v>
      </c>
      <c r="BM126" t="str">
        <f t="shared" si="126"/>
        <v>COLOMBIA</v>
      </c>
      <c r="BN126" t="str">
        <f>"BOYACA"</f>
        <v>BOYACA</v>
      </c>
      <c r="BO126" t="str">
        <f>"DUITAMA"</f>
        <v>DUITAMA</v>
      </c>
      <c r="BP126" t="str">
        <f>"BOYACA"</f>
        <v>BOYACA</v>
      </c>
      <c r="BQ126" t="str">
        <f>"DUITAMA"</f>
        <v>DUITAMA</v>
      </c>
    </row>
    <row r="127" spans="1:69" x14ac:dyDescent="0.25">
      <c r="A127" t="str">
        <f>"7285830"</f>
        <v>7285830</v>
      </c>
      <c r="B127" t="str">
        <f t="shared" si="74"/>
        <v>459</v>
      </c>
      <c r="C127" t="str">
        <f>"19/10/2020 12:00:00 a. m."</f>
        <v>19/10/2020 12:00:00 a. m.</v>
      </c>
      <c r="D127" t="str">
        <f>"29"</f>
        <v>29</v>
      </c>
      <c r="E127" t="str">
        <f t="shared" si="75"/>
        <v>2020</v>
      </c>
      <c r="F127" t="str">
        <f>"0800100278"</f>
        <v>0800100278</v>
      </c>
      <c r="G127" t="str">
        <f>"01"</f>
        <v>01</v>
      </c>
      <c r="H127" t="str">
        <f>"4"</f>
        <v>4</v>
      </c>
      <c r="I127" t="str">
        <f>"2"</f>
        <v>2</v>
      </c>
      <c r="J127" t="str">
        <f>"M"</f>
        <v>M</v>
      </c>
      <c r="K127" t="str">
        <f t="shared" si="120"/>
        <v>170</v>
      </c>
      <c r="L127" t="str">
        <f>"08"</f>
        <v>08</v>
      </c>
      <c r="M127" t="str">
        <f>"001"</f>
        <v>001</v>
      </c>
      <c r="N127" t="str">
        <f t="shared" si="141"/>
        <v>1</v>
      </c>
      <c r="O127" t="str">
        <f>"9999"</f>
        <v>9999</v>
      </c>
      <c r="P127" t="str">
        <f>"S"</f>
        <v>S</v>
      </c>
      <c r="Q127" t="str">
        <f>"ESS076"</f>
        <v>ESS076</v>
      </c>
      <c r="R127" t="str">
        <f t="shared" si="149"/>
        <v>6</v>
      </c>
      <c r="S127" t="str">
        <f>""</f>
        <v/>
      </c>
      <c r="T127" t="str">
        <f t="shared" si="112"/>
        <v xml:space="preserve">                                                                                                    </v>
      </c>
      <c r="U127" t="str">
        <f>"2         "</f>
        <v xml:space="preserve">2         </v>
      </c>
      <c r="V127" t="str">
        <f t="shared" si="142"/>
        <v>2</v>
      </c>
      <c r="W127" t="str">
        <f t="shared" si="142"/>
        <v>2</v>
      </c>
      <c r="X127" t="str">
        <f t="shared" si="121"/>
        <v>2</v>
      </c>
      <c r="Y127" t="str">
        <f t="shared" si="143"/>
        <v>2</v>
      </c>
      <c r="Z127" t="str">
        <f t="shared" si="143"/>
        <v>2</v>
      </c>
      <c r="AA127" t="str">
        <f t="shared" si="79"/>
        <v xml:space="preserve">          </v>
      </c>
      <c r="AB127" t="str">
        <f t="shared" si="148"/>
        <v>2</v>
      </c>
      <c r="AC127" t="str">
        <f t="shared" si="150"/>
        <v>2</v>
      </c>
      <c r="AD127" t="str">
        <f t="shared" si="144"/>
        <v>2</v>
      </c>
      <c r="AE127" t="str">
        <f t="shared" si="144"/>
        <v>2</v>
      </c>
      <c r="AF127" t="str">
        <f t="shared" si="144"/>
        <v>2</v>
      </c>
      <c r="AG127" t="str">
        <f t="shared" si="144"/>
        <v>2</v>
      </c>
      <c r="AH127" t="str">
        <f t="shared" si="122"/>
        <v>1</v>
      </c>
      <c r="AI127" t="str">
        <f>"1         "</f>
        <v xml:space="preserve">1         </v>
      </c>
      <c r="AJ127" t="str">
        <f t="shared" si="123"/>
        <v>170</v>
      </c>
      <c r="AK127" t="str">
        <f>"08"</f>
        <v>08</v>
      </c>
      <c r="AL127" t="str">
        <f>"001"</f>
        <v>001</v>
      </c>
      <c r="AM127" t="str">
        <f>"08"</f>
        <v>08</v>
      </c>
      <c r="AN127" t="str">
        <f>"08001"</f>
        <v>08001</v>
      </c>
      <c r="AO127" t="str">
        <f>"16/07/2020 12:00:00 a. m."</f>
        <v>16/07/2020 12:00:00 a. m.</v>
      </c>
      <c r="AP127" t="str">
        <f>"3/06/2020 12:00:00 a. m."</f>
        <v>3/06/2020 12:00:00 a. m.</v>
      </c>
      <c r="AQ127" t="str">
        <f>"2"</f>
        <v>2</v>
      </c>
      <c r="AR127" t="str">
        <f t="shared" si="151"/>
        <v>1</v>
      </c>
      <c r="AS127" t="str">
        <f>"16/07/2020 12:00:00 a. m."</f>
        <v>16/07/2020 12:00:00 a. m.</v>
      </c>
      <c r="AT127" t="str">
        <f t="shared" si="136"/>
        <v>1</v>
      </c>
      <c r="AU127" t="str">
        <f>""</f>
        <v/>
      </c>
      <c r="AV127" t="str">
        <f>"3"</f>
        <v>3</v>
      </c>
      <c r="AW127" t="str">
        <f>"3/06/2020 12:00:00 a. m."</f>
        <v>3/06/2020 12:00:00 a. m.</v>
      </c>
      <c r="AX127" t="str">
        <f>""</f>
        <v/>
      </c>
      <c r="AY127" t="str">
        <f t="shared" si="82"/>
        <v>30/04/2021 12:00:00 a. m.</v>
      </c>
      <c r="AZ127" t="str">
        <f>"27/11/2020 12:00:00 a. m."</f>
        <v>27/11/2020 12:00:00 a. m.</v>
      </c>
      <c r="BA127" t="str">
        <f>""</f>
        <v/>
      </c>
      <c r="BB127" t="str">
        <f>""</f>
        <v/>
      </c>
      <c r="BC127" t="str">
        <f>""</f>
        <v/>
      </c>
      <c r="BD127" t="str">
        <f t="shared" si="145"/>
        <v>1</v>
      </c>
      <c r="BE127" t="str">
        <f t="shared" si="145"/>
        <v>1</v>
      </c>
      <c r="BF127" t="str">
        <f t="shared" si="83"/>
        <v xml:space="preserve">3         </v>
      </c>
      <c r="BG127" t="str">
        <f t="shared" si="84"/>
        <v>Confirmado por laboratorio</v>
      </c>
      <c r="BH127" t="str">
        <f>"CLINICA DE LA COSTA LTDA"</f>
        <v>CLINICA DE LA COSTA LTDA</v>
      </c>
      <c r="BI127" t="str">
        <f t="shared" si="125"/>
        <v>COLOMBIA</v>
      </c>
      <c r="BJ127" t="str">
        <f t="shared" si="86"/>
        <v>CANCER INFANTIL</v>
      </c>
      <c r="BK127" t="str">
        <f>"ATLANTICO"</f>
        <v>ATLANTICO</v>
      </c>
      <c r="BL127" t="str">
        <f>"BARRANQUILLA"</f>
        <v>BARRANQUILLA</v>
      </c>
      <c r="BM127" t="str">
        <f t="shared" si="126"/>
        <v>COLOMBIA</v>
      </c>
      <c r="BN127" t="str">
        <f>"ATLANTICO"</f>
        <v>ATLANTICO</v>
      </c>
      <c r="BO127" t="str">
        <f>"BARRANQUILLA"</f>
        <v>BARRANQUILLA</v>
      </c>
      <c r="BP127" t="str">
        <f>"ATLANTICO"</f>
        <v>ATLANTICO</v>
      </c>
      <c r="BQ127" t="str">
        <f>"BARRANQUILLA"</f>
        <v>BARRANQUILLA</v>
      </c>
    </row>
    <row r="128" spans="1:69" x14ac:dyDescent="0.25">
      <c r="A128" t="str">
        <f>"7285870"</f>
        <v>7285870</v>
      </c>
      <c r="B128" t="str">
        <f t="shared" si="74"/>
        <v>459</v>
      </c>
      <c r="C128" t="str">
        <f>"14/10/2020 12:00:00 a. m."</f>
        <v>14/10/2020 12:00:00 a. m.</v>
      </c>
      <c r="D128" t="str">
        <f>"42"</f>
        <v>42</v>
      </c>
      <c r="E128" t="str">
        <f t="shared" si="75"/>
        <v>2020</v>
      </c>
      <c r="F128" t="str">
        <f>"1100106065"</f>
        <v>1100106065</v>
      </c>
      <c r="G128" t="str">
        <f>"01"</f>
        <v>01</v>
      </c>
      <c r="H128" t="str">
        <f>"6"</f>
        <v>6</v>
      </c>
      <c r="I128" t="str">
        <f t="shared" ref="I128:I159" si="152">"1"</f>
        <v>1</v>
      </c>
      <c r="J128" t="str">
        <f>"F"</f>
        <v>F</v>
      </c>
      <c r="K128" t="str">
        <f t="shared" si="120"/>
        <v>170</v>
      </c>
      <c r="L128" t="str">
        <f>"11"</f>
        <v>11</v>
      </c>
      <c r="M128" t="str">
        <f>"001"</f>
        <v>001</v>
      </c>
      <c r="N128" t="str">
        <f t="shared" si="141"/>
        <v>1</v>
      </c>
      <c r="O128" t="str">
        <f>"9997"</f>
        <v>9997</v>
      </c>
      <c r="P128" t="str">
        <f>"S"</f>
        <v>S</v>
      </c>
      <c r="Q128" t="str">
        <f>"ESS207"</f>
        <v>ESS207</v>
      </c>
      <c r="R128" t="str">
        <f t="shared" si="149"/>
        <v>6</v>
      </c>
      <c r="S128" t="str">
        <f>""</f>
        <v/>
      </c>
      <c r="T128" t="str">
        <f t="shared" si="112"/>
        <v xml:space="preserve">                                                                                                    </v>
      </c>
      <c r="U128" t="str">
        <f>"2         "</f>
        <v xml:space="preserve">2         </v>
      </c>
      <c r="V128" t="str">
        <f t="shared" si="142"/>
        <v>2</v>
      </c>
      <c r="W128" t="str">
        <f t="shared" si="142"/>
        <v>2</v>
      </c>
      <c r="X128" t="str">
        <f t="shared" si="121"/>
        <v>2</v>
      </c>
      <c r="Y128" t="str">
        <f t="shared" si="143"/>
        <v>2</v>
      </c>
      <c r="Z128" t="str">
        <f t="shared" si="143"/>
        <v>2</v>
      </c>
      <c r="AA128" t="str">
        <f t="shared" si="79"/>
        <v xml:space="preserve">          </v>
      </c>
      <c r="AB128" t="str">
        <f t="shared" si="148"/>
        <v>2</v>
      </c>
      <c r="AC128" t="str">
        <f t="shared" si="150"/>
        <v>2</v>
      </c>
      <c r="AD128" t="str">
        <f t="shared" si="144"/>
        <v>2</v>
      </c>
      <c r="AE128" t="str">
        <f t="shared" si="144"/>
        <v>2</v>
      </c>
      <c r="AF128" t="str">
        <f t="shared" si="144"/>
        <v>2</v>
      </c>
      <c r="AG128" t="str">
        <f t="shared" si="144"/>
        <v>2</v>
      </c>
      <c r="AH128" t="str">
        <f t="shared" si="122"/>
        <v>1</v>
      </c>
      <c r="AI128" t="str">
        <f>"2         "</f>
        <v xml:space="preserve">2         </v>
      </c>
      <c r="AJ128" t="str">
        <f t="shared" si="123"/>
        <v>170</v>
      </c>
      <c r="AK128" t="str">
        <f>"11"</f>
        <v>11</v>
      </c>
      <c r="AL128" t="str">
        <f>"001"</f>
        <v>001</v>
      </c>
      <c r="AM128" t="str">
        <f>"11"</f>
        <v>11</v>
      </c>
      <c r="AN128" t="str">
        <f>"11001"</f>
        <v>11001</v>
      </c>
      <c r="AO128" t="str">
        <f>"14/10/2020 12:00:00 a. m."</f>
        <v>14/10/2020 12:00:00 a. m.</v>
      </c>
      <c r="AP128" t="str">
        <f>"20/12/2019 12:00:00 a. m."</f>
        <v>20/12/2019 12:00:00 a. m.</v>
      </c>
      <c r="AQ128" t="str">
        <f>"3"</f>
        <v>3</v>
      </c>
      <c r="AR128" t="str">
        <f t="shared" si="151"/>
        <v>1</v>
      </c>
      <c r="AS128" t="str">
        <f>"14/10/2020 12:00:00 a. m."</f>
        <v>14/10/2020 12:00:00 a. m.</v>
      </c>
      <c r="AT128" t="str">
        <f t="shared" si="136"/>
        <v>1</v>
      </c>
      <c r="AU128" t="str">
        <f>""</f>
        <v/>
      </c>
      <c r="AV128" t="str">
        <f>"0"</f>
        <v>0</v>
      </c>
      <c r="AW128" t="str">
        <f>"21/06/2014 12:00:00 a. m."</f>
        <v>21/06/2014 12:00:00 a. m.</v>
      </c>
      <c r="AX128" t="str">
        <f>""</f>
        <v/>
      </c>
      <c r="AY128" t="str">
        <f t="shared" si="82"/>
        <v>30/04/2021 12:00:00 a. m.</v>
      </c>
      <c r="AZ128" t="str">
        <f>"10/11/2020 12:00:00 a. m."</f>
        <v>10/11/2020 12:00:00 a. m.</v>
      </c>
      <c r="BA128" t="str">
        <f>""</f>
        <v/>
      </c>
      <c r="BB128" t="str">
        <f>""</f>
        <v/>
      </c>
      <c r="BC128" t="str">
        <f>""</f>
        <v/>
      </c>
      <c r="BD128" t="str">
        <f t="shared" si="145"/>
        <v>1</v>
      </c>
      <c r="BE128" t="str">
        <f t="shared" si="145"/>
        <v>1</v>
      </c>
      <c r="BF128" t="str">
        <f t="shared" si="83"/>
        <v xml:space="preserve">3         </v>
      </c>
      <c r="BG128" t="str">
        <f t="shared" si="84"/>
        <v>Confirmado por laboratorio</v>
      </c>
      <c r="BH128" t="str">
        <f>"ESE INSTITUTO NACIONAL DE CANCEROLOGIA"</f>
        <v>ESE INSTITUTO NACIONAL DE CANCEROLOGIA</v>
      </c>
      <c r="BI128" t="str">
        <f t="shared" si="125"/>
        <v>COLOMBIA</v>
      </c>
      <c r="BJ128" t="str">
        <f t="shared" si="86"/>
        <v>CANCER INFANTIL</v>
      </c>
      <c r="BK128" t="str">
        <f t="shared" ref="BK128:BL131" si="153">"BOGOTA"</f>
        <v>BOGOTA</v>
      </c>
      <c r="BL128" t="str">
        <f t="shared" si="153"/>
        <v>BOGOTA</v>
      </c>
      <c r="BM128" t="str">
        <f t="shared" si="126"/>
        <v>COLOMBIA</v>
      </c>
      <c r="BN128" t="str">
        <f t="shared" ref="BN128:BQ131" si="154">"BOGOTA"</f>
        <v>BOGOTA</v>
      </c>
      <c r="BO128" t="str">
        <f t="shared" si="154"/>
        <v>BOGOTA</v>
      </c>
      <c r="BP128" t="str">
        <f t="shared" si="154"/>
        <v>BOGOTA</v>
      </c>
      <c r="BQ128" t="str">
        <f t="shared" si="154"/>
        <v>BOGOTA</v>
      </c>
    </row>
    <row r="129" spans="1:69" x14ac:dyDescent="0.25">
      <c r="A129" t="str">
        <f>"7285891"</f>
        <v>7285891</v>
      </c>
      <c r="B129" t="str">
        <f t="shared" si="74"/>
        <v>459</v>
      </c>
      <c r="C129" t="str">
        <f>"22/09/2020 12:00:00 a. m."</f>
        <v>22/09/2020 12:00:00 a. m.</v>
      </c>
      <c r="D129" t="str">
        <f>"24"</f>
        <v>24</v>
      </c>
      <c r="E129" t="str">
        <f t="shared" si="75"/>
        <v>2020</v>
      </c>
      <c r="F129" t="str">
        <f>"1100105681"</f>
        <v>1100105681</v>
      </c>
      <c r="G129" t="str">
        <f>"01"</f>
        <v>01</v>
      </c>
      <c r="H129" t="str">
        <f>"12"</f>
        <v>12</v>
      </c>
      <c r="I129" t="str">
        <f t="shared" si="152"/>
        <v>1</v>
      </c>
      <c r="J129" t="str">
        <f>"M"</f>
        <v>M</v>
      </c>
      <c r="K129" t="str">
        <f t="shared" si="120"/>
        <v>170</v>
      </c>
      <c r="L129" t="str">
        <f>"11"</f>
        <v>11</v>
      </c>
      <c r="M129" t="str">
        <f>"001"</f>
        <v>001</v>
      </c>
      <c r="N129" t="str">
        <f t="shared" si="141"/>
        <v>1</v>
      </c>
      <c r="O129" t="str">
        <f>"9997"</f>
        <v>9997</v>
      </c>
      <c r="P129" t="str">
        <f>"S"</f>
        <v>S</v>
      </c>
      <c r="Q129" t="str">
        <f>"ESS133"</f>
        <v>ESS133</v>
      </c>
      <c r="R129" t="str">
        <f t="shared" si="149"/>
        <v>6</v>
      </c>
      <c r="S129" t="str">
        <f>""</f>
        <v/>
      </c>
      <c r="T129" t="str">
        <f t="shared" si="112"/>
        <v xml:space="preserve">                                                                                                    </v>
      </c>
      <c r="U129" t="str">
        <f>"2         "</f>
        <v xml:space="preserve">2         </v>
      </c>
      <c r="V129" t="str">
        <f t="shared" si="142"/>
        <v>2</v>
      </c>
      <c r="W129" t="str">
        <f t="shared" si="142"/>
        <v>2</v>
      </c>
      <c r="X129" t="str">
        <f t="shared" si="121"/>
        <v>2</v>
      </c>
      <c r="Y129" t="str">
        <f t="shared" si="143"/>
        <v>2</v>
      </c>
      <c r="Z129" t="str">
        <f t="shared" si="143"/>
        <v>2</v>
      </c>
      <c r="AA129" t="str">
        <f t="shared" si="79"/>
        <v xml:space="preserve">          </v>
      </c>
      <c r="AB129" t="str">
        <f t="shared" si="148"/>
        <v>2</v>
      </c>
      <c r="AC129" t="str">
        <f t="shared" si="150"/>
        <v>2</v>
      </c>
      <c r="AD129" t="str">
        <f t="shared" si="144"/>
        <v>2</v>
      </c>
      <c r="AE129" t="str">
        <f t="shared" si="144"/>
        <v>2</v>
      </c>
      <c r="AF129" t="str">
        <f t="shared" si="144"/>
        <v>2</v>
      </c>
      <c r="AG129" t="str">
        <f t="shared" si="144"/>
        <v>2</v>
      </c>
      <c r="AH129" t="str">
        <f t="shared" si="122"/>
        <v>1</v>
      </c>
      <c r="AI129" t="str">
        <f t="shared" ref="AI129:AI136" si="155">"1         "</f>
        <v xml:space="preserve">1         </v>
      </c>
      <c r="AJ129" t="str">
        <f t="shared" si="123"/>
        <v>170</v>
      </c>
      <c r="AK129" t="str">
        <f>"11"</f>
        <v>11</v>
      </c>
      <c r="AL129" t="str">
        <f>"001"</f>
        <v>001</v>
      </c>
      <c r="AM129" t="str">
        <f>"11"</f>
        <v>11</v>
      </c>
      <c r="AN129" t="str">
        <f>"11001"</f>
        <v>11001</v>
      </c>
      <c r="AO129" t="str">
        <f>"9/06/2020 12:00:00 a. m."</f>
        <v>9/06/2020 12:00:00 a. m.</v>
      </c>
      <c r="AP129" t="str">
        <f>"6/10/2019 12:00:00 a. m."</f>
        <v>6/10/2019 12:00:00 a. m.</v>
      </c>
      <c r="AQ129" t="str">
        <f>"3"</f>
        <v>3</v>
      </c>
      <c r="AR129" t="str">
        <f t="shared" si="151"/>
        <v>1</v>
      </c>
      <c r="AS129" t="str">
        <f>"9/06/2020 12:00:00 a. m."</f>
        <v>9/06/2020 12:00:00 a. m.</v>
      </c>
      <c r="AT129" t="str">
        <f t="shared" si="136"/>
        <v>1</v>
      </c>
      <c r="AU129" t="str">
        <f>""</f>
        <v/>
      </c>
      <c r="AV129" t="str">
        <f>"0"</f>
        <v>0</v>
      </c>
      <c r="AW129" t="str">
        <f>"21/10/2007 12:00:00 a. m."</f>
        <v>21/10/2007 12:00:00 a. m.</v>
      </c>
      <c r="AX129" t="str">
        <f>""</f>
        <v/>
      </c>
      <c r="AY129" t="str">
        <f t="shared" si="82"/>
        <v>30/04/2021 12:00:00 a. m.</v>
      </c>
      <c r="AZ129" t="str">
        <f>"29/09/2020 12:00:00 a. m."</f>
        <v>29/09/2020 12:00:00 a. m.</v>
      </c>
      <c r="BA129" t="str">
        <f>""</f>
        <v/>
      </c>
      <c r="BB129" t="str">
        <f>""</f>
        <v/>
      </c>
      <c r="BC129" t="str">
        <f>""</f>
        <v/>
      </c>
      <c r="BD129" t="str">
        <f t="shared" si="145"/>
        <v>1</v>
      </c>
      <c r="BE129" t="str">
        <f t="shared" si="145"/>
        <v>1</v>
      </c>
      <c r="BF129" t="str">
        <f t="shared" si="83"/>
        <v xml:space="preserve">3         </v>
      </c>
      <c r="BG129" t="str">
        <f t="shared" si="84"/>
        <v>Confirmado por laboratorio</v>
      </c>
      <c r="BH129" t="str">
        <f>"FUNDACION HOSPITAL DE LA MISERICORDIA"</f>
        <v>FUNDACION HOSPITAL DE LA MISERICORDIA</v>
      </c>
      <c r="BI129" t="str">
        <f t="shared" si="125"/>
        <v>COLOMBIA</v>
      </c>
      <c r="BJ129" t="str">
        <f t="shared" si="86"/>
        <v>CANCER INFANTIL</v>
      </c>
      <c r="BK129" t="str">
        <f t="shared" si="153"/>
        <v>BOGOTA</v>
      </c>
      <c r="BL129" t="str">
        <f t="shared" si="153"/>
        <v>BOGOTA</v>
      </c>
      <c r="BM129" t="str">
        <f t="shared" si="126"/>
        <v>COLOMBIA</v>
      </c>
      <c r="BN129" t="str">
        <f t="shared" si="154"/>
        <v>BOGOTA</v>
      </c>
      <c r="BO129" t="str">
        <f t="shared" si="154"/>
        <v>BOGOTA</v>
      </c>
      <c r="BP129" t="str">
        <f t="shared" si="154"/>
        <v>BOGOTA</v>
      </c>
      <c r="BQ129" t="str">
        <f t="shared" si="154"/>
        <v>BOGOTA</v>
      </c>
    </row>
    <row r="130" spans="1:69" x14ac:dyDescent="0.25">
      <c r="A130" t="str">
        <f>"7285902"</f>
        <v>7285902</v>
      </c>
      <c r="B130" t="str">
        <f t="shared" ref="B130:B193" si="156">"459"</f>
        <v>459</v>
      </c>
      <c r="C130" t="str">
        <f>"4/01/2021 12:00:00 a. m."</f>
        <v>4/01/2021 12:00:00 a. m.</v>
      </c>
      <c r="D130" t="str">
        <f>"53"</f>
        <v>53</v>
      </c>
      <c r="E130" t="str">
        <f t="shared" ref="E130:E193" si="157">"2020"</f>
        <v>2020</v>
      </c>
      <c r="F130" t="str">
        <f>"1100116338"</f>
        <v>1100116338</v>
      </c>
      <c r="G130" t="str">
        <f>"83"</f>
        <v>83</v>
      </c>
      <c r="H130" t="str">
        <f>"12"</f>
        <v>12</v>
      </c>
      <c r="I130" t="str">
        <f t="shared" si="152"/>
        <v>1</v>
      </c>
      <c r="J130" t="str">
        <f>"F"</f>
        <v>F</v>
      </c>
      <c r="K130" t="str">
        <f t="shared" si="120"/>
        <v>170</v>
      </c>
      <c r="L130" t="str">
        <f>"11"</f>
        <v>11</v>
      </c>
      <c r="M130" t="str">
        <f>"001"</f>
        <v>001</v>
      </c>
      <c r="N130" t="str">
        <f t="shared" si="141"/>
        <v>1</v>
      </c>
      <c r="O130" t="str">
        <f>"9997"</f>
        <v>9997</v>
      </c>
      <c r="P130" t="str">
        <f>"P"</f>
        <v>P</v>
      </c>
      <c r="Q130" t="str">
        <f>"RES003"</f>
        <v>RES003</v>
      </c>
      <c r="R130" t="str">
        <f t="shared" si="149"/>
        <v>6</v>
      </c>
      <c r="S130" t="str">
        <f>""</f>
        <v/>
      </c>
      <c r="T130" t="str">
        <f t="shared" ref="T130:T145" si="158">"                                                                                                    "</f>
        <v xml:space="preserve">                                                                                                    </v>
      </c>
      <c r="U130" t="str">
        <f>"3         "</f>
        <v xml:space="preserve">3         </v>
      </c>
      <c r="V130" t="str">
        <f t="shared" si="142"/>
        <v>2</v>
      </c>
      <c r="W130" t="str">
        <f t="shared" si="142"/>
        <v>2</v>
      </c>
      <c r="X130" t="str">
        <f t="shared" si="121"/>
        <v>2</v>
      </c>
      <c r="Y130" t="str">
        <f t="shared" si="143"/>
        <v>2</v>
      </c>
      <c r="Z130" t="str">
        <f t="shared" si="143"/>
        <v>2</v>
      </c>
      <c r="AA130" t="str">
        <f t="shared" ref="AA130:AA193" si="159">"          "</f>
        <v xml:space="preserve">          </v>
      </c>
      <c r="AB130" t="str">
        <f t="shared" si="148"/>
        <v>2</v>
      </c>
      <c r="AC130" t="str">
        <f t="shared" si="150"/>
        <v>2</v>
      </c>
      <c r="AD130" t="str">
        <f t="shared" si="144"/>
        <v>2</v>
      </c>
      <c r="AE130" t="str">
        <f t="shared" si="144"/>
        <v>2</v>
      </c>
      <c r="AF130" t="str">
        <f t="shared" si="144"/>
        <v>2</v>
      </c>
      <c r="AG130" t="str">
        <f t="shared" si="144"/>
        <v>2</v>
      </c>
      <c r="AH130" t="str">
        <f t="shared" si="122"/>
        <v>1</v>
      </c>
      <c r="AI130" t="str">
        <f t="shared" si="155"/>
        <v xml:space="preserve">1         </v>
      </c>
      <c r="AJ130" t="str">
        <f t="shared" si="123"/>
        <v>170</v>
      </c>
      <c r="AK130" t="str">
        <f>"11"</f>
        <v>11</v>
      </c>
      <c r="AL130" t="str">
        <f>"001"</f>
        <v>001</v>
      </c>
      <c r="AM130" t="str">
        <f>"11"</f>
        <v>11</v>
      </c>
      <c r="AN130" t="str">
        <f>"11001"</f>
        <v>11001</v>
      </c>
      <c r="AO130" t="str">
        <f>"1/01/2021 12:00:00 a. m."</f>
        <v>1/01/2021 12:00:00 a. m.</v>
      </c>
      <c r="AP130" t="str">
        <f>"22/12/2020 12:00:00 a. m."</f>
        <v>22/12/2020 12:00:00 a. m.</v>
      </c>
      <c r="AQ130" t="str">
        <f>"2"</f>
        <v>2</v>
      </c>
      <c r="AR130" t="str">
        <f t="shared" si="151"/>
        <v>1</v>
      </c>
      <c r="AS130" t="str">
        <f>"1/01/2021 12:00:00 a. m."</f>
        <v>1/01/2021 12:00:00 a. m.</v>
      </c>
      <c r="AT130" t="str">
        <f t="shared" si="136"/>
        <v>1</v>
      </c>
      <c r="AU130" t="str">
        <f>""</f>
        <v/>
      </c>
      <c r="AV130" t="str">
        <f>"3"</f>
        <v>3</v>
      </c>
      <c r="AW130" t="str">
        <f>"6/08/2008 12:00:00 a. m."</f>
        <v>6/08/2008 12:00:00 a. m.</v>
      </c>
      <c r="AX130" t="str">
        <f>""</f>
        <v/>
      </c>
      <c r="AY130" t="str">
        <f t="shared" ref="AY130:AY193" si="160">"30/04/2021 12:00:00 a. m."</f>
        <v>30/04/2021 12:00:00 a. m.</v>
      </c>
      <c r="AZ130" t="str">
        <f>"25/01/2021 12:00:00 a. m."</f>
        <v>25/01/2021 12:00:00 a. m.</v>
      </c>
      <c r="BA130" t="str">
        <f>""</f>
        <v/>
      </c>
      <c r="BB130" t="str">
        <f>""</f>
        <v/>
      </c>
      <c r="BC130" t="str">
        <f>""</f>
        <v/>
      </c>
      <c r="BD130" t="str">
        <f t="shared" si="145"/>
        <v>1</v>
      </c>
      <c r="BE130" t="str">
        <f t="shared" si="145"/>
        <v>1</v>
      </c>
      <c r="BF130" t="str">
        <f t="shared" ref="BF130:BF193" si="161">"3         "</f>
        <v xml:space="preserve">3         </v>
      </c>
      <c r="BG130" t="str">
        <f t="shared" ref="BG130:BG193" si="162">"Confirmado por laboratorio"</f>
        <v>Confirmado por laboratorio</v>
      </c>
      <c r="BH130" t="str">
        <f>"HOSPITAL MILITAR CENTRAL CHAPINERO"</f>
        <v>HOSPITAL MILITAR CENTRAL CHAPINERO</v>
      </c>
      <c r="BI130" t="str">
        <f t="shared" si="125"/>
        <v>COLOMBIA</v>
      </c>
      <c r="BJ130" t="str">
        <f t="shared" ref="BJ130:BJ193" si="163">"CANCER INFANTIL"</f>
        <v>CANCER INFANTIL</v>
      </c>
      <c r="BK130" t="str">
        <f t="shared" si="153"/>
        <v>BOGOTA</v>
      </c>
      <c r="BL130" t="str">
        <f t="shared" si="153"/>
        <v>BOGOTA</v>
      </c>
      <c r="BM130" t="str">
        <f t="shared" si="126"/>
        <v>COLOMBIA</v>
      </c>
      <c r="BN130" t="str">
        <f t="shared" si="154"/>
        <v>BOGOTA</v>
      </c>
      <c r="BO130" t="str">
        <f t="shared" si="154"/>
        <v>BOGOTA</v>
      </c>
      <c r="BP130" t="str">
        <f t="shared" si="154"/>
        <v>BOGOTA</v>
      </c>
      <c r="BQ130" t="str">
        <f t="shared" si="154"/>
        <v>BOGOTA</v>
      </c>
    </row>
    <row r="131" spans="1:69" x14ac:dyDescent="0.25">
      <c r="A131" t="str">
        <f>"7285370"</f>
        <v>7285370</v>
      </c>
      <c r="B131" t="str">
        <f t="shared" si="156"/>
        <v>459</v>
      </c>
      <c r="C131" t="str">
        <f>"17/03/2020 12:00:00 a. m."</f>
        <v>17/03/2020 12:00:00 a. m.</v>
      </c>
      <c r="D131" t="str">
        <f>"08"</f>
        <v>08</v>
      </c>
      <c r="E131" t="str">
        <f t="shared" si="157"/>
        <v>2020</v>
      </c>
      <c r="F131" t="str">
        <f>"1100105681"</f>
        <v>1100105681</v>
      </c>
      <c r="G131" t="str">
        <f t="shared" ref="G131:G142" si="164">"01"</f>
        <v>01</v>
      </c>
      <c r="H131" t="str">
        <f>"11"</f>
        <v>11</v>
      </c>
      <c r="I131" t="str">
        <f t="shared" si="152"/>
        <v>1</v>
      </c>
      <c r="J131" t="str">
        <f>"F"</f>
        <v>F</v>
      </c>
      <c r="K131" t="str">
        <f t="shared" si="120"/>
        <v>170</v>
      </c>
      <c r="L131" t="str">
        <f>"11"</f>
        <v>11</v>
      </c>
      <c r="M131" t="str">
        <f>"001"</f>
        <v>001</v>
      </c>
      <c r="N131" t="str">
        <f t="shared" si="141"/>
        <v>1</v>
      </c>
      <c r="O131" t="str">
        <f>"9997"</f>
        <v>9997</v>
      </c>
      <c r="P131" t="str">
        <f>"C"</f>
        <v>C</v>
      </c>
      <c r="Q131" t="str">
        <f>"EPS037"</f>
        <v>EPS037</v>
      </c>
      <c r="R131" t="str">
        <f t="shared" si="149"/>
        <v>6</v>
      </c>
      <c r="S131" t="str">
        <f>""</f>
        <v/>
      </c>
      <c r="T131" t="str">
        <f t="shared" si="158"/>
        <v xml:space="preserve">                                                                                                    </v>
      </c>
      <c r="U131" t="str">
        <f>"2         "</f>
        <v xml:space="preserve">2         </v>
      </c>
      <c r="V131" t="str">
        <f t="shared" si="142"/>
        <v>2</v>
      </c>
      <c r="W131" t="str">
        <f t="shared" si="142"/>
        <v>2</v>
      </c>
      <c r="X131" t="str">
        <f t="shared" si="121"/>
        <v>2</v>
      </c>
      <c r="Y131" t="str">
        <f t="shared" si="143"/>
        <v>2</v>
      </c>
      <c r="Z131" t="str">
        <f t="shared" si="143"/>
        <v>2</v>
      </c>
      <c r="AA131" t="str">
        <f t="shared" si="159"/>
        <v xml:space="preserve">          </v>
      </c>
      <c r="AB131" t="str">
        <f t="shared" si="148"/>
        <v>2</v>
      </c>
      <c r="AC131" t="str">
        <f t="shared" si="150"/>
        <v>2</v>
      </c>
      <c r="AD131" t="str">
        <f t="shared" si="144"/>
        <v>2</v>
      </c>
      <c r="AE131" t="str">
        <f t="shared" si="144"/>
        <v>2</v>
      </c>
      <c r="AF131" t="str">
        <f t="shared" si="144"/>
        <v>2</v>
      </c>
      <c r="AG131" t="str">
        <f t="shared" si="144"/>
        <v>2</v>
      </c>
      <c r="AH131" t="str">
        <f t="shared" si="122"/>
        <v>1</v>
      </c>
      <c r="AI131" t="str">
        <f t="shared" si="155"/>
        <v xml:space="preserve">1         </v>
      </c>
      <c r="AJ131" t="str">
        <f t="shared" si="123"/>
        <v>170</v>
      </c>
      <c r="AK131" t="str">
        <f>"11"</f>
        <v>11</v>
      </c>
      <c r="AL131" t="str">
        <f>"001"</f>
        <v>001</v>
      </c>
      <c r="AM131" t="str">
        <f>"11"</f>
        <v>11</v>
      </c>
      <c r="AN131" t="str">
        <f>"11001"</f>
        <v>11001</v>
      </c>
      <c r="AO131" t="str">
        <f>"19/02/2020 12:00:00 a. m."</f>
        <v>19/02/2020 12:00:00 a. m.</v>
      </c>
      <c r="AP131" t="str">
        <f>"11/02/2020 12:00:00 a. m."</f>
        <v>11/02/2020 12:00:00 a. m.</v>
      </c>
      <c r="AQ131" t="str">
        <f>"3"</f>
        <v>3</v>
      </c>
      <c r="AR131" t="str">
        <f t="shared" si="151"/>
        <v>1</v>
      </c>
      <c r="AS131" t="str">
        <f>"19/02/2020 12:00:00 a. m."</f>
        <v>19/02/2020 12:00:00 a. m.</v>
      </c>
      <c r="AT131" t="str">
        <f t="shared" si="136"/>
        <v>1</v>
      </c>
      <c r="AU131" t="str">
        <f>""</f>
        <v/>
      </c>
      <c r="AV131" t="str">
        <f>"0"</f>
        <v>0</v>
      </c>
      <c r="AW131" t="str">
        <f>"2/12/2008 12:00:00 a. m."</f>
        <v>2/12/2008 12:00:00 a. m.</v>
      </c>
      <c r="AX131" t="str">
        <f>""</f>
        <v/>
      </c>
      <c r="AY131" t="str">
        <f t="shared" si="160"/>
        <v>30/04/2021 12:00:00 a. m.</v>
      </c>
      <c r="AZ131" t="str">
        <f>"17/03/2020 12:00:00 a. m."</f>
        <v>17/03/2020 12:00:00 a. m.</v>
      </c>
      <c r="BA131" t="str">
        <f>""</f>
        <v/>
      </c>
      <c r="BB131" t="str">
        <f>""</f>
        <v/>
      </c>
      <c r="BC131" t="str">
        <f>""</f>
        <v/>
      </c>
      <c r="BD131" t="str">
        <f t="shared" si="145"/>
        <v>1</v>
      </c>
      <c r="BE131" t="str">
        <f t="shared" si="145"/>
        <v>1</v>
      </c>
      <c r="BF131" t="str">
        <f t="shared" si="161"/>
        <v xml:space="preserve">3         </v>
      </c>
      <c r="BG131" t="str">
        <f t="shared" si="162"/>
        <v>Confirmado por laboratorio</v>
      </c>
      <c r="BH131" t="str">
        <f>"FUNDACION HOSPITAL DE LA MISERICORDIA"</f>
        <v>FUNDACION HOSPITAL DE LA MISERICORDIA</v>
      </c>
      <c r="BI131" t="str">
        <f t="shared" si="125"/>
        <v>COLOMBIA</v>
      </c>
      <c r="BJ131" t="str">
        <f t="shared" si="163"/>
        <v>CANCER INFANTIL</v>
      </c>
      <c r="BK131" t="str">
        <f t="shared" si="153"/>
        <v>BOGOTA</v>
      </c>
      <c r="BL131" t="str">
        <f t="shared" si="153"/>
        <v>BOGOTA</v>
      </c>
      <c r="BM131" t="str">
        <f t="shared" si="126"/>
        <v>COLOMBIA</v>
      </c>
      <c r="BN131" t="str">
        <f t="shared" si="154"/>
        <v>BOGOTA</v>
      </c>
      <c r="BO131" t="str">
        <f t="shared" si="154"/>
        <v>BOGOTA</v>
      </c>
      <c r="BP131" t="str">
        <f t="shared" si="154"/>
        <v>BOGOTA</v>
      </c>
      <c r="BQ131" t="str">
        <f t="shared" si="154"/>
        <v>BOGOTA</v>
      </c>
    </row>
    <row r="132" spans="1:69" x14ac:dyDescent="0.25">
      <c r="A132" t="str">
        <f>"7285510"</f>
        <v>7285510</v>
      </c>
      <c r="B132" t="str">
        <f t="shared" si="156"/>
        <v>459</v>
      </c>
      <c r="C132" t="str">
        <f>"22/10/2020 12:00:00 a. m."</f>
        <v>22/10/2020 12:00:00 a. m.</v>
      </c>
      <c r="D132" t="str">
        <f>"41"</f>
        <v>41</v>
      </c>
      <c r="E132" t="str">
        <f t="shared" si="157"/>
        <v>2020</v>
      </c>
      <c r="F132" t="str">
        <f>"6827601666"</f>
        <v>6827601666</v>
      </c>
      <c r="G132" t="str">
        <f t="shared" si="164"/>
        <v>01</v>
      </c>
      <c r="H132" t="str">
        <f>"2"</f>
        <v>2</v>
      </c>
      <c r="I132" t="str">
        <f t="shared" si="152"/>
        <v>1</v>
      </c>
      <c r="J132" t="str">
        <f>"M"</f>
        <v>M</v>
      </c>
      <c r="K132" t="str">
        <f t="shared" si="120"/>
        <v>170</v>
      </c>
      <c r="L132" t="str">
        <f>"68"</f>
        <v>68</v>
      </c>
      <c r="M132" t="str">
        <f>"307"</f>
        <v>307</v>
      </c>
      <c r="N132" t="str">
        <f t="shared" si="141"/>
        <v>1</v>
      </c>
      <c r="O132" t="str">
        <f>"9999"</f>
        <v>9999</v>
      </c>
      <c r="P132" t="str">
        <f>"C"</f>
        <v>C</v>
      </c>
      <c r="Q132" t="str">
        <f>"EPS044"</f>
        <v>EPS044</v>
      </c>
      <c r="R132" t="str">
        <f t="shared" si="149"/>
        <v>6</v>
      </c>
      <c r="S132" t="str">
        <f>""</f>
        <v/>
      </c>
      <c r="T132" t="str">
        <f t="shared" si="158"/>
        <v xml:space="preserve">                                                                                                    </v>
      </c>
      <c r="U132" t="str">
        <f>"3         "</f>
        <v xml:space="preserve">3         </v>
      </c>
      <c r="V132" t="str">
        <f t="shared" si="142"/>
        <v>2</v>
      </c>
      <c r="W132" t="str">
        <f t="shared" si="142"/>
        <v>2</v>
      </c>
      <c r="X132" t="str">
        <f t="shared" si="121"/>
        <v>2</v>
      </c>
      <c r="Y132" t="str">
        <f t="shared" si="143"/>
        <v>2</v>
      </c>
      <c r="Z132" t="str">
        <f t="shared" si="143"/>
        <v>2</v>
      </c>
      <c r="AA132" t="str">
        <f t="shared" si="159"/>
        <v xml:space="preserve">          </v>
      </c>
      <c r="AB132" t="str">
        <f t="shared" si="148"/>
        <v>2</v>
      </c>
      <c r="AC132" t="str">
        <f t="shared" si="150"/>
        <v>2</v>
      </c>
      <c r="AD132" t="str">
        <f t="shared" si="144"/>
        <v>2</v>
      </c>
      <c r="AE132" t="str">
        <f t="shared" si="144"/>
        <v>2</v>
      </c>
      <c r="AF132" t="str">
        <f t="shared" si="144"/>
        <v>2</v>
      </c>
      <c r="AG132" t="str">
        <f t="shared" si="144"/>
        <v>2</v>
      </c>
      <c r="AH132" t="str">
        <f t="shared" si="122"/>
        <v>1</v>
      </c>
      <c r="AI132" t="str">
        <f t="shared" si="155"/>
        <v xml:space="preserve">1         </v>
      </c>
      <c r="AJ132" t="str">
        <f t="shared" si="123"/>
        <v>170</v>
      </c>
      <c r="AK132" t="str">
        <f>"68"</f>
        <v>68</v>
      </c>
      <c r="AL132" t="str">
        <f>"307"</f>
        <v>307</v>
      </c>
      <c r="AM132" t="str">
        <f>"68"</f>
        <v>68</v>
      </c>
      <c r="AN132" t="str">
        <f>"68276"</f>
        <v>68276</v>
      </c>
      <c r="AO132" t="str">
        <f>"7/10/2020 12:00:00 a. m."</f>
        <v>7/10/2020 12:00:00 a. m.</v>
      </c>
      <c r="AP132" t="str">
        <f>"7/03/2020 12:00:00 a. m."</f>
        <v>7/03/2020 12:00:00 a. m.</v>
      </c>
      <c r="AQ132" t="str">
        <f>"3"</f>
        <v>3</v>
      </c>
      <c r="AR132" t="str">
        <f t="shared" si="151"/>
        <v>1</v>
      </c>
      <c r="AS132" t="str">
        <f>"7/10/2020 12:00:00 a. m."</f>
        <v>7/10/2020 12:00:00 a. m.</v>
      </c>
      <c r="AT132" t="str">
        <f t="shared" si="136"/>
        <v>1</v>
      </c>
      <c r="AU132" t="str">
        <f>""</f>
        <v/>
      </c>
      <c r="AV132" t="str">
        <f>"0"</f>
        <v>0</v>
      </c>
      <c r="AW132" t="str">
        <f>"28/05/2018 12:00:00 a. m."</f>
        <v>28/05/2018 12:00:00 a. m.</v>
      </c>
      <c r="AX132" t="str">
        <f>""</f>
        <v/>
      </c>
      <c r="AY132" t="str">
        <f t="shared" si="160"/>
        <v>30/04/2021 12:00:00 a. m.</v>
      </c>
      <c r="AZ132" t="str">
        <f>"24/10/2020 12:00:00 a. m."</f>
        <v>24/10/2020 12:00:00 a. m.</v>
      </c>
      <c r="BA132" t="str">
        <f>""</f>
        <v/>
      </c>
      <c r="BB132" t="str">
        <f>""</f>
        <v/>
      </c>
      <c r="BC132" t="str">
        <f>""</f>
        <v/>
      </c>
      <c r="BD132" t="str">
        <f t="shared" si="145"/>
        <v>1</v>
      </c>
      <c r="BE132" t="str">
        <f t="shared" si="145"/>
        <v>1</v>
      </c>
      <c r="BF132" t="str">
        <f t="shared" si="161"/>
        <v xml:space="preserve">3         </v>
      </c>
      <c r="BG132" t="str">
        <f t="shared" si="162"/>
        <v>Confirmado por laboratorio</v>
      </c>
      <c r="BH132" t="str">
        <f>"FUNDACION OFTALMOLOGICA DE SDER FOSCAL"</f>
        <v>FUNDACION OFTALMOLOGICA DE SDER FOSCAL</v>
      </c>
      <c r="BI132" t="str">
        <f t="shared" si="125"/>
        <v>COLOMBIA</v>
      </c>
      <c r="BJ132" t="str">
        <f t="shared" si="163"/>
        <v>CANCER INFANTIL</v>
      </c>
      <c r="BK132" t="str">
        <f>"SANTANDER"</f>
        <v>SANTANDER</v>
      </c>
      <c r="BL132" t="str">
        <f>"GIRON"</f>
        <v>GIRON</v>
      </c>
      <c r="BM132" t="str">
        <f t="shared" si="126"/>
        <v>COLOMBIA</v>
      </c>
      <c r="BN132" t="str">
        <f>"SANTANDER"</f>
        <v>SANTANDER</v>
      </c>
      <c r="BO132" t="str">
        <f>"GIRON"</f>
        <v>GIRON</v>
      </c>
      <c r="BP132" t="str">
        <f>"SANTANDER"</f>
        <v>SANTANDER</v>
      </c>
      <c r="BQ132" t="str">
        <f>"FLORIDABLANCA"</f>
        <v>FLORIDABLANCA</v>
      </c>
    </row>
    <row r="133" spans="1:69" x14ac:dyDescent="0.25">
      <c r="A133" t="str">
        <f>"7285445"</f>
        <v>7285445</v>
      </c>
      <c r="B133" t="str">
        <f t="shared" si="156"/>
        <v>459</v>
      </c>
      <c r="C133" t="str">
        <f>"14/01/2020 12:00:00 a. m."</f>
        <v>14/01/2020 12:00:00 a. m.</v>
      </c>
      <c r="D133" t="str">
        <f>"01"</f>
        <v>01</v>
      </c>
      <c r="E133" t="str">
        <f t="shared" si="157"/>
        <v>2020</v>
      </c>
      <c r="F133" t="str">
        <f>"5200100283"</f>
        <v>5200100283</v>
      </c>
      <c r="G133" t="str">
        <f t="shared" si="164"/>
        <v>01</v>
      </c>
      <c r="H133" t="str">
        <f>"3"</f>
        <v>3</v>
      </c>
      <c r="I133" t="str">
        <f t="shared" si="152"/>
        <v>1</v>
      </c>
      <c r="J133" t="str">
        <f>"F"</f>
        <v>F</v>
      </c>
      <c r="K133" t="str">
        <f t="shared" si="120"/>
        <v>170</v>
      </c>
      <c r="L133" t="str">
        <f>"52"</f>
        <v>52</v>
      </c>
      <c r="M133" t="str">
        <f>"399"</f>
        <v>399</v>
      </c>
      <c r="N133" t="str">
        <f t="shared" si="141"/>
        <v>1</v>
      </c>
      <c r="O133" t="str">
        <f>"9999"</f>
        <v>9999</v>
      </c>
      <c r="P133" t="str">
        <f>"S"</f>
        <v>S</v>
      </c>
      <c r="Q133" t="str">
        <f>"EPSI05"</f>
        <v>EPSI05</v>
      </c>
      <c r="R133" t="str">
        <f t="shared" si="149"/>
        <v>6</v>
      </c>
      <c r="S133" t="str">
        <f>""</f>
        <v/>
      </c>
      <c r="T133" t="str">
        <f t="shared" si="158"/>
        <v xml:space="preserve">                                                                                                    </v>
      </c>
      <c r="U133" t="str">
        <f>"1         "</f>
        <v xml:space="preserve">1         </v>
      </c>
      <c r="V133" t="str">
        <f t="shared" si="142"/>
        <v>2</v>
      </c>
      <c r="W133" t="str">
        <f t="shared" si="142"/>
        <v>2</v>
      </c>
      <c r="X133" t="str">
        <f t="shared" si="121"/>
        <v>2</v>
      </c>
      <c r="Y133" t="str">
        <f t="shared" si="143"/>
        <v>2</v>
      </c>
      <c r="Z133" t="str">
        <f t="shared" si="143"/>
        <v>2</v>
      </c>
      <c r="AA133" t="str">
        <f t="shared" si="159"/>
        <v xml:space="preserve">          </v>
      </c>
      <c r="AB133" t="str">
        <f t="shared" si="148"/>
        <v>2</v>
      </c>
      <c r="AC133" t="str">
        <f t="shared" si="150"/>
        <v>2</v>
      </c>
      <c r="AD133" t="str">
        <f t="shared" si="144"/>
        <v>2</v>
      </c>
      <c r="AE133" t="str">
        <f t="shared" si="144"/>
        <v>2</v>
      </c>
      <c r="AF133" t="str">
        <f t="shared" si="144"/>
        <v>2</v>
      </c>
      <c r="AG133" t="str">
        <f t="shared" si="144"/>
        <v>2</v>
      </c>
      <c r="AH133" t="str">
        <f t="shared" si="122"/>
        <v>1</v>
      </c>
      <c r="AI133" t="str">
        <f t="shared" si="155"/>
        <v xml:space="preserve">1         </v>
      </c>
      <c r="AJ133" t="str">
        <f t="shared" si="123"/>
        <v>170</v>
      </c>
      <c r="AK133" t="str">
        <f>"52"</f>
        <v>52</v>
      </c>
      <c r="AL133" t="str">
        <f>"399"</f>
        <v>399</v>
      </c>
      <c r="AM133" t="str">
        <f>"52"</f>
        <v>52</v>
      </c>
      <c r="AN133" t="str">
        <f>"52001"</f>
        <v>52001</v>
      </c>
      <c r="AO133" t="str">
        <f>"30/12/2019 12:00:00 a. m."</f>
        <v>30/12/2019 12:00:00 a. m.</v>
      </c>
      <c r="AP133" t="str">
        <f>"2/12/2019 12:00:00 a. m."</f>
        <v>2/12/2019 12:00:00 a. m.</v>
      </c>
      <c r="AQ133" t="str">
        <f>"2"</f>
        <v>2</v>
      </c>
      <c r="AR133" t="str">
        <f t="shared" si="151"/>
        <v>1</v>
      </c>
      <c r="AS133" t="str">
        <f>"30/12/2019 12:00:00 a. m."</f>
        <v>30/12/2019 12:00:00 a. m.</v>
      </c>
      <c r="AT133" t="str">
        <f>"2"</f>
        <v>2</v>
      </c>
      <c r="AU133" t="str">
        <f>"2/02/2021 12:00:00 a. m."</f>
        <v>2/02/2021 12:00:00 a. m.</v>
      </c>
      <c r="AV133" t="str">
        <f>"3"</f>
        <v>3</v>
      </c>
      <c r="AW133" t="str">
        <f>"7/07/2016 12:00:00 a. m."</f>
        <v>7/07/2016 12:00:00 a. m.</v>
      </c>
      <c r="AX133" t="str">
        <f>"C716"</f>
        <v>C716</v>
      </c>
      <c r="AY133" t="str">
        <f t="shared" si="160"/>
        <v>30/04/2021 12:00:00 a. m.</v>
      </c>
      <c r="AZ133" t="str">
        <f>"10/06/2020 12:00:00 a. m."</f>
        <v>10/06/2020 12:00:00 a. m.</v>
      </c>
      <c r="BA133" t="str">
        <f>""</f>
        <v/>
      </c>
      <c r="BB133" t="str">
        <f>""</f>
        <v/>
      </c>
      <c r="BC133" t="str">
        <f>""</f>
        <v/>
      </c>
      <c r="BD133" t="str">
        <f t="shared" si="145"/>
        <v>1</v>
      </c>
      <c r="BE133" t="str">
        <f t="shared" si="145"/>
        <v>1</v>
      </c>
      <c r="BF133" t="str">
        <f t="shared" si="161"/>
        <v xml:space="preserve">3         </v>
      </c>
      <c r="BG133" t="str">
        <f t="shared" si="162"/>
        <v>Confirmado por laboratorio</v>
      </c>
      <c r="BH133" t="str">
        <f>"HOSPITAL INFANTIL LOS ANGELES"</f>
        <v>HOSPITAL INFANTIL LOS ANGELES</v>
      </c>
      <c r="BI133" t="str">
        <f t="shared" si="125"/>
        <v>COLOMBIA</v>
      </c>
      <c r="BJ133" t="str">
        <f t="shared" si="163"/>
        <v>CANCER INFANTIL</v>
      </c>
      <c r="BK133" t="str">
        <f>"NARIÑO"</f>
        <v>NARIÑO</v>
      </c>
      <c r="BL133" t="str">
        <f>"LA UNION"</f>
        <v>LA UNION</v>
      </c>
      <c r="BM133" t="str">
        <f t="shared" si="126"/>
        <v>COLOMBIA</v>
      </c>
      <c r="BN133" t="str">
        <f>"NARIÑO"</f>
        <v>NARIÑO</v>
      </c>
      <c r="BO133" t="str">
        <f>"LA UNION"</f>
        <v>LA UNION</v>
      </c>
      <c r="BP133" t="str">
        <f>"NARIÑO"</f>
        <v>NARIÑO</v>
      </c>
      <c r="BQ133" t="str">
        <f>"PASTO"</f>
        <v>PASTO</v>
      </c>
    </row>
    <row r="134" spans="1:69" x14ac:dyDescent="0.25">
      <c r="A134" t="str">
        <f>"7285912"</f>
        <v>7285912</v>
      </c>
      <c r="B134" t="str">
        <f t="shared" si="156"/>
        <v>459</v>
      </c>
      <c r="C134" t="str">
        <f>"17/01/2020 12:00:00 a. m."</f>
        <v>17/01/2020 12:00:00 a. m.</v>
      </c>
      <c r="D134" t="str">
        <f>"02"</f>
        <v>02</v>
      </c>
      <c r="E134" t="str">
        <f t="shared" si="157"/>
        <v>2020</v>
      </c>
      <c r="F134" t="str">
        <f>"1100105681"</f>
        <v>1100105681</v>
      </c>
      <c r="G134" t="str">
        <f t="shared" si="164"/>
        <v>01</v>
      </c>
      <c r="H134" t="str">
        <f>"1"</f>
        <v>1</v>
      </c>
      <c r="I134" t="str">
        <f t="shared" si="152"/>
        <v>1</v>
      </c>
      <c r="J134" t="str">
        <f>"M"</f>
        <v>M</v>
      </c>
      <c r="K134" t="str">
        <f t="shared" ref="K134:K165" si="165">"170"</f>
        <v>170</v>
      </c>
      <c r="L134" t="str">
        <f>"15"</f>
        <v>15</v>
      </c>
      <c r="M134" t="str">
        <f>"646"</f>
        <v>646</v>
      </c>
      <c r="N134" t="str">
        <f>"3"</f>
        <v>3</v>
      </c>
      <c r="O134" t="str">
        <f>"9999"</f>
        <v>9999</v>
      </c>
      <c r="P134" t="str">
        <f>"C"</f>
        <v>C</v>
      </c>
      <c r="Q134" t="str">
        <f>"EPS044"</f>
        <v>EPS044</v>
      </c>
      <c r="R134" t="str">
        <f t="shared" si="149"/>
        <v>6</v>
      </c>
      <c r="S134" t="str">
        <f>""</f>
        <v/>
      </c>
      <c r="T134" t="str">
        <f t="shared" si="158"/>
        <v xml:space="preserve">                                                                                                    </v>
      </c>
      <c r="U134" t="str">
        <f>"2         "</f>
        <v xml:space="preserve">2         </v>
      </c>
      <c r="V134" t="str">
        <f t="shared" si="142"/>
        <v>2</v>
      </c>
      <c r="W134" t="str">
        <f t="shared" si="142"/>
        <v>2</v>
      </c>
      <c r="X134" t="str">
        <f t="shared" ref="X134:X165" si="166">"2"</f>
        <v>2</v>
      </c>
      <c r="Y134" t="str">
        <f t="shared" si="143"/>
        <v>2</v>
      </c>
      <c r="Z134" t="str">
        <f t="shared" si="143"/>
        <v>2</v>
      </c>
      <c r="AA134" t="str">
        <f t="shared" si="159"/>
        <v xml:space="preserve">          </v>
      </c>
      <c r="AB134" t="str">
        <f t="shared" si="148"/>
        <v>2</v>
      </c>
      <c r="AC134" t="str">
        <f t="shared" si="150"/>
        <v>2</v>
      </c>
      <c r="AD134" t="str">
        <f t="shared" si="144"/>
        <v>2</v>
      </c>
      <c r="AE134" t="str">
        <f t="shared" si="144"/>
        <v>2</v>
      </c>
      <c r="AF134" t="str">
        <f t="shared" si="144"/>
        <v>2</v>
      </c>
      <c r="AG134" t="str">
        <f t="shared" si="144"/>
        <v>2</v>
      </c>
      <c r="AH134" t="str">
        <f t="shared" ref="AH134:AH165" si="167">"1"</f>
        <v>1</v>
      </c>
      <c r="AI134" t="str">
        <f t="shared" si="155"/>
        <v xml:space="preserve">1         </v>
      </c>
      <c r="AJ134" t="str">
        <f t="shared" ref="AJ134:AJ165" si="168">"170"</f>
        <v>170</v>
      </c>
      <c r="AK134" t="str">
        <f>"15"</f>
        <v>15</v>
      </c>
      <c r="AL134" t="str">
        <f>"646"</f>
        <v>646</v>
      </c>
      <c r="AM134" t="str">
        <f>"11"</f>
        <v>11</v>
      </c>
      <c r="AN134" t="str">
        <f>"11001"</f>
        <v>11001</v>
      </c>
      <c r="AO134" t="str">
        <f>"6/01/2020 12:00:00 a. m."</f>
        <v>6/01/2020 12:00:00 a. m.</v>
      </c>
      <c r="AP134" t="str">
        <f>"23/12/2019 12:00:00 a. m."</f>
        <v>23/12/2019 12:00:00 a. m.</v>
      </c>
      <c r="AQ134" t="str">
        <f>"3"</f>
        <v>3</v>
      </c>
      <c r="AR134" t="str">
        <f t="shared" si="151"/>
        <v>1</v>
      </c>
      <c r="AS134" t="str">
        <f>"6/01/2020 12:00:00 a. m."</f>
        <v>6/01/2020 12:00:00 a. m.</v>
      </c>
      <c r="AT134" t="str">
        <f t="shared" ref="AT134:AT139" si="169">"1"</f>
        <v>1</v>
      </c>
      <c r="AU134" t="str">
        <f>""</f>
        <v/>
      </c>
      <c r="AV134" t="str">
        <f>"7"</f>
        <v>7</v>
      </c>
      <c r="AW134" t="str">
        <f>"11/05/2018 12:00:00 a. m."</f>
        <v>11/05/2018 12:00:00 a. m.</v>
      </c>
      <c r="AX134" t="str">
        <f>""</f>
        <v/>
      </c>
      <c r="AY134" t="str">
        <f t="shared" si="160"/>
        <v>30/04/2021 12:00:00 a. m.</v>
      </c>
      <c r="AZ134" t="str">
        <f>"20/02/2020 12:00:00 a. m."</f>
        <v>20/02/2020 12:00:00 a. m.</v>
      </c>
      <c r="BA134" t="str">
        <f>""</f>
        <v/>
      </c>
      <c r="BB134" t="str">
        <f>""</f>
        <v/>
      </c>
      <c r="BC134" t="str">
        <f>""</f>
        <v/>
      </c>
      <c r="BD134" t="str">
        <f t="shared" si="145"/>
        <v>1</v>
      </c>
      <c r="BE134" t="str">
        <f t="shared" si="145"/>
        <v>1</v>
      </c>
      <c r="BF134" t="str">
        <f t="shared" si="161"/>
        <v xml:space="preserve">3         </v>
      </c>
      <c r="BG134" t="str">
        <f t="shared" si="162"/>
        <v>Confirmado por laboratorio</v>
      </c>
      <c r="BH134" t="str">
        <f>"FUNDACION HOSPITAL DE LA MISERICORDIA"</f>
        <v>FUNDACION HOSPITAL DE LA MISERICORDIA</v>
      </c>
      <c r="BI134" t="str">
        <f t="shared" ref="BI134:BI165" si="170">"COLOMBIA"</f>
        <v>COLOMBIA</v>
      </c>
      <c r="BJ134" t="str">
        <f t="shared" si="163"/>
        <v>CANCER INFANTIL</v>
      </c>
      <c r="BK134" t="str">
        <f>"BOYACA"</f>
        <v>BOYACA</v>
      </c>
      <c r="BL134" t="str">
        <f>"SAMACA"</f>
        <v>SAMACA</v>
      </c>
      <c r="BM134" t="str">
        <f t="shared" ref="BM134:BM165" si="171">"COLOMBIA"</f>
        <v>COLOMBIA</v>
      </c>
      <c r="BN134" t="str">
        <f>"BOYACA"</f>
        <v>BOYACA</v>
      </c>
      <c r="BO134" t="str">
        <f>"SAMACA"</f>
        <v>SAMACA</v>
      </c>
      <c r="BP134" t="str">
        <f>"BOGOTA"</f>
        <v>BOGOTA</v>
      </c>
      <c r="BQ134" t="str">
        <f>"BOGOTA"</f>
        <v>BOGOTA</v>
      </c>
    </row>
    <row r="135" spans="1:69" x14ac:dyDescent="0.25">
      <c r="A135" t="str">
        <f>"7285846"</f>
        <v>7285846</v>
      </c>
      <c r="B135" t="str">
        <f t="shared" si="156"/>
        <v>459</v>
      </c>
      <c r="C135" t="str">
        <f>"14/01/2021 12:00:00 a. m."</f>
        <v>14/01/2021 12:00:00 a. m.</v>
      </c>
      <c r="D135" t="str">
        <f>"41"</f>
        <v>41</v>
      </c>
      <c r="E135" t="str">
        <f t="shared" si="157"/>
        <v>2020</v>
      </c>
      <c r="F135" t="str">
        <f>"0500104789"</f>
        <v>0500104789</v>
      </c>
      <c r="G135" t="str">
        <f t="shared" si="164"/>
        <v>01</v>
      </c>
      <c r="H135" t="str">
        <f>"6"</f>
        <v>6</v>
      </c>
      <c r="I135" t="str">
        <f t="shared" si="152"/>
        <v>1</v>
      </c>
      <c r="J135" t="str">
        <f>"F"</f>
        <v>F</v>
      </c>
      <c r="K135" t="str">
        <f t="shared" si="165"/>
        <v>170</v>
      </c>
      <c r="L135" t="str">
        <f>"05"</f>
        <v>05</v>
      </c>
      <c r="M135" t="str">
        <f>"697"</f>
        <v>697</v>
      </c>
      <c r="N135" t="str">
        <f t="shared" ref="N135:N145" si="172">"1"</f>
        <v>1</v>
      </c>
      <c r="O135" t="str">
        <f>"9998"</f>
        <v>9998</v>
      </c>
      <c r="P135" t="str">
        <f>"S"</f>
        <v>S</v>
      </c>
      <c r="Q135" t="str">
        <f>"EPSS40"</f>
        <v>EPSS40</v>
      </c>
      <c r="R135" t="str">
        <f t="shared" si="149"/>
        <v>6</v>
      </c>
      <c r="S135" t="str">
        <f>""</f>
        <v/>
      </c>
      <c r="T135" t="str">
        <f t="shared" si="158"/>
        <v xml:space="preserve">                                                                                                    </v>
      </c>
      <c r="U135" t="str">
        <f>"2         "</f>
        <v xml:space="preserve">2         </v>
      </c>
      <c r="V135" t="str">
        <f t="shared" si="142"/>
        <v>2</v>
      </c>
      <c r="W135" t="str">
        <f t="shared" si="142"/>
        <v>2</v>
      </c>
      <c r="X135" t="str">
        <f t="shared" si="166"/>
        <v>2</v>
      </c>
      <c r="Y135" t="str">
        <f t="shared" si="143"/>
        <v>2</v>
      </c>
      <c r="Z135" t="str">
        <f t="shared" si="143"/>
        <v>2</v>
      </c>
      <c r="AA135" t="str">
        <f t="shared" si="159"/>
        <v xml:space="preserve">          </v>
      </c>
      <c r="AB135" t="str">
        <f t="shared" si="148"/>
        <v>2</v>
      </c>
      <c r="AC135" t="str">
        <f t="shared" si="150"/>
        <v>2</v>
      </c>
      <c r="AD135" t="str">
        <f t="shared" si="144"/>
        <v>2</v>
      </c>
      <c r="AE135" t="str">
        <f t="shared" si="144"/>
        <v>2</v>
      </c>
      <c r="AF135" t="str">
        <f t="shared" si="144"/>
        <v>2</v>
      </c>
      <c r="AG135" t="str">
        <f t="shared" si="144"/>
        <v>2</v>
      </c>
      <c r="AH135" t="str">
        <f t="shared" si="167"/>
        <v>1</v>
      </c>
      <c r="AI135" t="str">
        <f t="shared" si="155"/>
        <v xml:space="preserve">1         </v>
      </c>
      <c r="AJ135" t="str">
        <f t="shared" si="168"/>
        <v>170</v>
      </c>
      <c r="AK135" t="str">
        <f>"05"</f>
        <v>05</v>
      </c>
      <c r="AL135" t="str">
        <f>"697"</f>
        <v>697</v>
      </c>
      <c r="AM135" t="str">
        <f>"05"</f>
        <v>05</v>
      </c>
      <c r="AN135" t="str">
        <f>"05001"</f>
        <v>05001</v>
      </c>
      <c r="AO135" t="str">
        <f>"9/10/2020 12:00:00 a. m."</f>
        <v>9/10/2020 12:00:00 a. m.</v>
      </c>
      <c r="AP135" t="str">
        <f>"1/06/2018 12:00:00 a. m."</f>
        <v>1/06/2018 12:00:00 a. m.</v>
      </c>
      <c r="AQ135" t="str">
        <f>"3"</f>
        <v>3</v>
      </c>
      <c r="AR135" t="str">
        <f>"2"</f>
        <v>2</v>
      </c>
      <c r="AS135" t="str">
        <f>""</f>
        <v/>
      </c>
      <c r="AT135" t="str">
        <f t="shared" si="169"/>
        <v>1</v>
      </c>
      <c r="AU135" t="str">
        <f>""</f>
        <v/>
      </c>
      <c r="AV135" t="str">
        <f>"0"</f>
        <v>0</v>
      </c>
      <c r="AW135" t="str">
        <f>"11/12/2014 12:00:00 a. m."</f>
        <v>11/12/2014 12:00:00 a. m.</v>
      </c>
      <c r="AX135" t="str">
        <f>""</f>
        <v/>
      </c>
      <c r="AY135" t="str">
        <f t="shared" si="160"/>
        <v>30/04/2021 12:00:00 a. m.</v>
      </c>
      <c r="AZ135" t="str">
        <f>"14/01/2021 12:00:00 a. m."</f>
        <v>14/01/2021 12:00:00 a. m.</v>
      </c>
      <c r="BA135" t="str">
        <f>""</f>
        <v/>
      </c>
      <c r="BB135" t="str">
        <f>""</f>
        <v/>
      </c>
      <c r="BC135" t="str">
        <f>""</f>
        <v/>
      </c>
      <c r="BD135" t="str">
        <f t="shared" si="145"/>
        <v>1</v>
      </c>
      <c r="BE135" t="str">
        <f t="shared" si="145"/>
        <v>1</v>
      </c>
      <c r="BF135" t="str">
        <f t="shared" si="161"/>
        <v xml:space="preserve">3         </v>
      </c>
      <c r="BG135" t="str">
        <f t="shared" si="162"/>
        <v>Confirmado por laboratorio</v>
      </c>
      <c r="BH135" t="str">
        <f>"ASOCIACIÓN MEDELLIN DE LUCHA CONTRA EL CANCER"</f>
        <v>ASOCIACIÓN MEDELLIN DE LUCHA CONTRA EL CANCER</v>
      </c>
      <c r="BI135" t="str">
        <f t="shared" si="170"/>
        <v>COLOMBIA</v>
      </c>
      <c r="BJ135" t="str">
        <f t="shared" si="163"/>
        <v>CANCER INFANTIL</v>
      </c>
      <c r="BK135" t="str">
        <f>"ANTIOQUIA"</f>
        <v>ANTIOQUIA</v>
      </c>
      <c r="BL135" t="str">
        <f>"SANTUARIO"</f>
        <v>SANTUARIO</v>
      </c>
      <c r="BM135" t="str">
        <f t="shared" si="171"/>
        <v>COLOMBIA</v>
      </c>
      <c r="BN135" t="str">
        <f>"ANTIOQUIA"</f>
        <v>ANTIOQUIA</v>
      </c>
      <c r="BO135" t="str">
        <f>"SANTUARIO"</f>
        <v>SANTUARIO</v>
      </c>
      <c r="BP135" t="str">
        <f>"ANTIOQUIA"</f>
        <v>ANTIOQUIA</v>
      </c>
      <c r="BQ135" t="str">
        <f>"MEDELLIN"</f>
        <v>MEDELLIN</v>
      </c>
    </row>
    <row r="136" spans="1:69" x14ac:dyDescent="0.25">
      <c r="A136" t="str">
        <f>"7285935"</f>
        <v>7285935</v>
      </c>
      <c r="B136" t="str">
        <f t="shared" si="156"/>
        <v>459</v>
      </c>
      <c r="C136" t="str">
        <f>"31/10/2020 12:00:00 a. m."</f>
        <v>31/10/2020 12:00:00 a. m.</v>
      </c>
      <c r="D136" t="str">
        <f>"09"</f>
        <v>09</v>
      </c>
      <c r="E136" t="str">
        <f t="shared" si="157"/>
        <v>2020</v>
      </c>
      <c r="F136" t="str">
        <f>"1300100568"</f>
        <v>1300100568</v>
      </c>
      <c r="G136" t="str">
        <f t="shared" si="164"/>
        <v>01</v>
      </c>
      <c r="H136" t="str">
        <f>"17"</f>
        <v>17</v>
      </c>
      <c r="I136" t="str">
        <f t="shared" si="152"/>
        <v>1</v>
      </c>
      <c r="J136" t="str">
        <f>"F"</f>
        <v>F</v>
      </c>
      <c r="K136" t="str">
        <f t="shared" si="165"/>
        <v>170</v>
      </c>
      <c r="L136" t="str">
        <f>"13"</f>
        <v>13</v>
      </c>
      <c r="M136" t="str">
        <f>"001"</f>
        <v>001</v>
      </c>
      <c r="N136" t="str">
        <f t="shared" si="172"/>
        <v>1</v>
      </c>
      <c r="O136" t="str">
        <f>"9997"</f>
        <v>9997</v>
      </c>
      <c r="P136" t="str">
        <f>"S"</f>
        <v>S</v>
      </c>
      <c r="Q136" t="str">
        <f>"ESS207"</f>
        <v>ESS207</v>
      </c>
      <c r="R136" t="str">
        <f t="shared" si="149"/>
        <v>6</v>
      </c>
      <c r="S136" t="str">
        <f>""</f>
        <v/>
      </c>
      <c r="T136" t="str">
        <f t="shared" si="158"/>
        <v xml:space="preserve">                                                                                                    </v>
      </c>
      <c r="U136" t="str">
        <f>"2         "</f>
        <v xml:space="preserve">2         </v>
      </c>
      <c r="V136" t="str">
        <f t="shared" si="142"/>
        <v>2</v>
      </c>
      <c r="W136" t="str">
        <f t="shared" si="142"/>
        <v>2</v>
      </c>
      <c r="X136" t="str">
        <f t="shared" si="166"/>
        <v>2</v>
      </c>
      <c r="Y136" t="str">
        <f t="shared" si="143"/>
        <v>2</v>
      </c>
      <c r="Z136" t="str">
        <f t="shared" si="143"/>
        <v>2</v>
      </c>
      <c r="AA136" t="str">
        <f t="shared" si="159"/>
        <v xml:space="preserve">          </v>
      </c>
      <c r="AB136" t="str">
        <f t="shared" si="148"/>
        <v>2</v>
      </c>
      <c r="AC136" t="str">
        <f t="shared" si="150"/>
        <v>2</v>
      </c>
      <c r="AD136" t="str">
        <f t="shared" si="144"/>
        <v>2</v>
      </c>
      <c r="AE136" t="str">
        <f t="shared" si="144"/>
        <v>2</v>
      </c>
      <c r="AF136" t="str">
        <f t="shared" si="144"/>
        <v>2</v>
      </c>
      <c r="AG136" t="str">
        <f t="shared" si="144"/>
        <v>2</v>
      </c>
      <c r="AH136" t="str">
        <f t="shared" si="167"/>
        <v>1</v>
      </c>
      <c r="AI136" t="str">
        <f t="shared" si="155"/>
        <v xml:space="preserve">1         </v>
      </c>
      <c r="AJ136" t="str">
        <f t="shared" si="168"/>
        <v>170</v>
      </c>
      <c r="AK136" t="str">
        <f>"13"</f>
        <v>13</v>
      </c>
      <c r="AL136" t="str">
        <f>"001"</f>
        <v>001</v>
      </c>
      <c r="AM136" t="str">
        <f>"13"</f>
        <v>13</v>
      </c>
      <c r="AN136" t="str">
        <f>"13001"</f>
        <v>13001</v>
      </c>
      <c r="AO136" t="str">
        <f>"24/02/2020 12:00:00 a. m."</f>
        <v>24/02/2020 12:00:00 a. m.</v>
      </c>
      <c r="AP136" t="str">
        <f>"18/02/2020 12:00:00 a. m."</f>
        <v>18/02/2020 12:00:00 a. m.</v>
      </c>
      <c r="AQ136" t="str">
        <f>"3"</f>
        <v>3</v>
      </c>
      <c r="AR136" t="str">
        <f t="shared" ref="AR136:AR152" si="173">"1"</f>
        <v>1</v>
      </c>
      <c r="AS136" t="str">
        <f>"24/02/2020 12:00:00 a. m."</f>
        <v>24/02/2020 12:00:00 a. m.</v>
      </c>
      <c r="AT136" t="str">
        <f t="shared" si="169"/>
        <v>1</v>
      </c>
      <c r="AU136" t="str">
        <f>""</f>
        <v/>
      </c>
      <c r="AV136" t="str">
        <f>"0"</f>
        <v>0</v>
      </c>
      <c r="AW136" t="str">
        <f>"21/02/2003 12:00:00 a. m."</f>
        <v>21/02/2003 12:00:00 a. m.</v>
      </c>
      <c r="AX136" t="str">
        <f>""</f>
        <v/>
      </c>
      <c r="AY136" t="str">
        <f t="shared" si="160"/>
        <v>30/04/2021 12:00:00 a. m.</v>
      </c>
      <c r="AZ136" t="str">
        <f>"31/10/2020 12:00:00 a. m."</f>
        <v>31/10/2020 12:00:00 a. m.</v>
      </c>
      <c r="BA136" t="str">
        <f>""</f>
        <v/>
      </c>
      <c r="BB136" t="str">
        <f>""</f>
        <v/>
      </c>
      <c r="BC136" t="str">
        <f>""</f>
        <v/>
      </c>
      <c r="BD136" t="str">
        <f t="shared" si="145"/>
        <v>1</v>
      </c>
      <c r="BE136" t="str">
        <f t="shared" si="145"/>
        <v>1</v>
      </c>
      <c r="BF136" t="str">
        <f t="shared" si="161"/>
        <v xml:space="preserve">3         </v>
      </c>
      <c r="BG136" t="str">
        <f t="shared" si="162"/>
        <v>Confirmado por laboratorio</v>
      </c>
      <c r="BH136" t="str">
        <f>"CLINICA BLAS DE LEZO S.A."</f>
        <v>CLINICA BLAS DE LEZO S.A.</v>
      </c>
      <c r="BI136" t="str">
        <f t="shared" si="170"/>
        <v>COLOMBIA</v>
      </c>
      <c r="BJ136" t="str">
        <f t="shared" si="163"/>
        <v>CANCER INFANTIL</v>
      </c>
      <c r="BK136" t="str">
        <f>"BOLIVAR"</f>
        <v>BOLIVAR</v>
      </c>
      <c r="BL136" t="str">
        <f>"CARTAGENA"</f>
        <v>CARTAGENA</v>
      </c>
      <c r="BM136" t="str">
        <f t="shared" si="171"/>
        <v>COLOMBIA</v>
      </c>
      <c r="BN136" t="str">
        <f>"BOLIVAR"</f>
        <v>BOLIVAR</v>
      </c>
      <c r="BO136" t="str">
        <f>"CARTAGENA"</f>
        <v>CARTAGENA</v>
      </c>
      <c r="BP136" t="str">
        <f>"BOLIVAR"</f>
        <v>BOLIVAR</v>
      </c>
      <c r="BQ136" t="str">
        <f>"CARTAGENA"</f>
        <v>CARTAGENA</v>
      </c>
    </row>
    <row r="137" spans="1:69" x14ac:dyDescent="0.25">
      <c r="A137" t="str">
        <f>"7285915"</f>
        <v>7285915</v>
      </c>
      <c r="B137" t="str">
        <f t="shared" si="156"/>
        <v>459</v>
      </c>
      <c r="C137" t="str">
        <f>"5/03/2020 12:00:00 a. m."</f>
        <v>5/03/2020 12:00:00 a. m.</v>
      </c>
      <c r="D137" t="str">
        <f>"10"</f>
        <v>10</v>
      </c>
      <c r="E137" t="str">
        <f t="shared" si="157"/>
        <v>2020</v>
      </c>
      <c r="F137" t="str">
        <f>"1100106065"</f>
        <v>1100106065</v>
      </c>
      <c r="G137" t="str">
        <f t="shared" si="164"/>
        <v>01</v>
      </c>
      <c r="H137" t="str">
        <f>"16"</f>
        <v>16</v>
      </c>
      <c r="I137" t="str">
        <f t="shared" si="152"/>
        <v>1</v>
      </c>
      <c r="J137" t="str">
        <f>"M"</f>
        <v>M</v>
      </c>
      <c r="K137" t="str">
        <f t="shared" si="165"/>
        <v>170</v>
      </c>
      <c r="L137" t="str">
        <f>"11"</f>
        <v>11</v>
      </c>
      <c r="M137" t="str">
        <f>"001"</f>
        <v>001</v>
      </c>
      <c r="N137" t="str">
        <f t="shared" si="172"/>
        <v>1</v>
      </c>
      <c r="O137" t="str">
        <f>"9997"</f>
        <v>9997</v>
      </c>
      <c r="P137" t="str">
        <f>"S"</f>
        <v>S</v>
      </c>
      <c r="Q137" t="str">
        <f>"ESS133"</f>
        <v>ESS133</v>
      </c>
      <c r="R137" t="str">
        <f t="shared" si="149"/>
        <v>6</v>
      </c>
      <c r="S137" t="str">
        <f>""</f>
        <v/>
      </c>
      <c r="T137" t="str">
        <f t="shared" si="158"/>
        <v xml:space="preserve">                                                                                                    </v>
      </c>
      <c r="U137" t="str">
        <f>"3         "</f>
        <v xml:space="preserve">3         </v>
      </c>
      <c r="V137" t="str">
        <f t="shared" si="142"/>
        <v>2</v>
      </c>
      <c r="W137" t="str">
        <f t="shared" si="142"/>
        <v>2</v>
      </c>
      <c r="X137" t="str">
        <f t="shared" si="166"/>
        <v>2</v>
      </c>
      <c r="Y137" t="str">
        <f t="shared" si="143"/>
        <v>2</v>
      </c>
      <c r="Z137" t="str">
        <f t="shared" si="143"/>
        <v>2</v>
      </c>
      <c r="AA137" t="str">
        <f t="shared" si="159"/>
        <v xml:space="preserve">          </v>
      </c>
      <c r="AB137" t="str">
        <f t="shared" si="148"/>
        <v>2</v>
      </c>
      <c r="AC137" t="str">
        <f t="shared" si="150"/>
        <v>2</v>
      </c>
      <c r="AD137" t="str">
        <f t="shared" si="144"/>
        <v>2</v>
      </c>
      <c r="AE137" t="str">
        <f t="shared" si="144"/>
        <v>2</v>
      </c>
      <c r="AF137" t="str">
        <f t="shared" si="144"/>
        <v>2</v>
      </c>
      <c r="AG137" t="str">
        <f t="shared" si="144"/>
        <v>2</v>
      </c>
      <c r="AH137" t="str">
        <f t="shared" si="167"/>
        <v>1</v>
      </c>
      <c r="AI137" t="str">
        <f>"2         "</f>
        <v xml:space="preserve">2         </v>
      </c>
      <c r="AJ137" t="str">
        <f t="shared" si="168"/>
        <v>170</v>
      </c>
      <c r="AK137" t="str">
        <f>"11"</f>
        <v>11</v>
      </c>
      <c r="AL137" t="str">
        <f>"001"</f>
        <v>001</v>
      </c>
      <c r="AM137" t="str">
        <f>"11"</f>
        <v>11</v>
      </c>
      <c r="AN137" t="str">
        <f>"11001"</f>
        <v>11001</v>
      </c>
      <c r="AO137" t="str">
        <f>"5/03/2020 12:00:00 a. m."</f>
        <v>5/03/2020 12:00:00 a. m.</v>
      </c>
      <c r="AP137" t="str">
        <f>"1/02/2020 12:00:00 a. m."</f>
        <v>1/02/2020 12:00:00 a. m.</v>
      </c>
      <c r="AQ137" t="str">
        <f>"3"</f>
        <v>3</v>
      </c>
      <c r="AR137" t="str">
        <f t="shared" si="173"/>
        <v>1</v>
      </c>
      <c r="AS137" t="str">
        <f>"6/03/2020 12:00:00 a. m."</f>
        <v>6/03/2020 12:00:00 a. m.</v>
      </c>
      <c r="AT137" t="str">
        <f t="shared" si="169"/>
        <v>1</v>
      </c>
      <c r="AU137" t="str">
        <f>""</f>
        <v/>
      </c>
      <c r="AV137" t="str">
        <f>"7"</f>
        <v>7</v>
      </c>
      <c r="AW137" t="str">
        <f>"21/01/2004 12:00:00 a. m."</f>
        <v>21/01/2004 12:00:00 a. m.</v>
      </c>
      <c r="AX137" t="str">
        <f>""</f>
        <v/>
      </c>
      <c r="AY137" t="str">
        <f t="shared" si="160"/>
        <v>30/04/2021 12:00:00 a. m.</v>
      </c>
      <c r="AZ137" t="str">
        <f>"27/03/2020 12:00:00 a. m."</f>
        <v>27/03/2020 12:00:00 a. m.</v>
      </c>
      <c r="BA137" t="str">
        <f>""</f>
        <v/>
      </c>
      <c r="BB137" t="str">
        <f>""</f>
        <v/>
      </c>
      <c r="BC137" t="str">
        <f>""</f>
        <v/>
      </c>
      <c r="BD137" t="str">
        <f t="shared" si="145"/>
        <v>1</v>
      </c>
      <c r="BE137" t="str">
        <f t="shared" si="145"/>
        <v>1</v>
      </c>
      <c r="BF137" t="str">
        <f t="shared" si="161"/>
        <v xml:space="preserve">3         </v>
      </c>
      <c r="BG137" t="str">
        <f t="shared" si="162"/>
        <v>Confirmado por laboratorio</v>
      </c>
      <c r="BH137" t="str">
        <f>"ESE INSTITUTO NACIONAL DE CANCEROLOGIA"</f>
        <v>ESE INSTITUTO NACIONAL DE CANCEROLOGIA</v>
      </c>
      <c r="BI137" t="str">
        <f t="shared" si="170"/>
        <v>COLOMBIA</v>
      </c>
      <c r="BJ137" t="str">
        <f t="shared" si="163"/>
        <v>CANCER INFANTIL</v>
      </c>
      <c r="BK137" t="str">
        <f>"BOGOTA"</f>
        <v>BOGOTA</v>
      </c>
      <c r="BL137" t="str">
        <f>"BOGOTA"</f>
        <v>BOGOTA</v>
      </c>
      <c r="BM137" t="str">
        <f t="shared" si="171"/>
        <v>COLOMBIA</v>
      </c>
      <c r="BN137" t="str">
        <f>"BOGOTA"</f>
        <v>BOGOTA</v>
      </c>
      <c r="BO137" t="str">
        <f>"BOGOTA"</f>
        <v>BOGOTA</v>
      </c>
      <c r="BP137" t="str">
        <f>"BOGOTA"</f>
        <v>BOGOTA</v>
      </c>
      <c r="BQ137" t="str">
        <f>"BOGOTA"</f>
        <v>BOGOTA</v>
      </c>
    </row>
    <row r="138" spans="1:69" x14ac:dyDescent="0.25">
      <c r="A138" t="str">
        <f>"7285950"</f>
        <v>7285950</v>
      </c>
      <c r="B138" t="str">
        <f t="shared" si="156"/>
        <v>459</v>
      </c>
      <c r="C138" t="str">
        <f>"4/12/2020 12:00:00 a. m."</f>
        <v>4/12/2020 12:00:00 a. m.</v>
      </c>
      <c r="D138" t="str">
        <f>"45"</f>
        <v>45</v>
      </c>
      <c r="E138" t="str">
        <f t="shared" si="157"/>
        <v>2020</v>
      </c>
      <c r="F138" t="str">
        <f>"6854704947"</f>
        <v>6854704947</v>
      </c>
      <c r="G138" t="str">
        <f t="shared" si="164"/>
        <v>01</v>
      </c>
      <c r="H138" t="str">
        <f>"16"</f>
        <v>16</v>
      </c>
      <c r="I138" t="str">
        <f t="shared" si="152"/>
        <v>1</v>
      </c>
      <c r="J138" t="str">
        <f>"M"</f>
        <v>M</v>
      </c>
      <c r="K138" t="str">
        <f t="shared" si="165"/>
        <v>170</v>
      </c>
      <c r="L138" t="str">
        <f>"68"</f>
        <v>68</v>
      </c>
      <c r="M138" t="str">
        <f>"573"</f>
        <v>573</v>
      </c>
      <c r="N138" t="str">
        <f t="shared" si="172"/>
        <v>1</v>
      </c>
      <c r="O138" t="str">
        <f>"9997"</f>
        <v>9997</v>
      </c>
      <c r="P138" t="str">
        <f>"C"</f>
        <v>C</v>
      </c>
      <c r="Q138" t="str">
        <f>"EPS037"</f>
        <v>EPS037</v>
      </c>
      <c r="R138" t="str">
        <f t="shared" si="149"/>
        <v>6</v>
      </c>
      <c r="S138" t="str">
        <f>""</f>
        <v/>
      </c>
      <c r="T138" t="str">
        <f t="shared" si="158"/>
        <v xml:space="preserve">                                                                                                    </v>
      </c>
      <c r="U138" t="str">
        <f>"3         "</f>
        <v xml:space="preserve">3         </v>
      </c>
      <c r="V138" t="str">
        <f t="shared" si="142"/>
        <v>2</v>
      </c>
      <c r="W138" t="str">
        <f t="shared" si="142"/>
        <v>2</v>
      </c>
      <c r="X138" t="str">
        <f t="shared" si="166"/>
        <v>2</v>
      </c>
      <c r="Y138" t="str">
        <f t="shared" si="143"/>
        <v>2</v>
      </c>
      <c r="Z138" t="str">
        <f t="shared" si="143"/>
        <v>2</v>
      </c>
      <c r="AA138" t="str">
        <f t="shared" si="159"/>
        <v xml:space="preserve">          </v>
      </c>
      <c r="AB138" t="str">
        <f t="shared" si="148"/>
        <v>2</v>
      </c>
      <c r="AC138" t="str">
        <f t="shared" si="150"/>
        <v>2</v>
      </c>
      <c r="AD138" t="str">
        <f t="shared" si="144"/>
        <v>2</v>
      </c>
      <c r="AE138" t="str">
        <f t="shared" si="144"/>
        <v>2</v>
      </c>
      <c r="AF138" t="str">
        <f t="shared" si="144"/>
        <v>2</v>
      </c>
      <c r="AG138" t="str">
        <f t="shared" si="144"/>
        <v>2</v>
      </c>
      <c r="AH138" t="str">
        <f t="shared" si="167"/>
        <v>1</v>
      </c>
      <c r="AI138" t="str">
        <f>"1         "</f>
        <v xml:space="preserve">1         </v>
      </c>
      <c r="AJ138" t="str">
        <f t="shared" si="168"/>
        <v>170</v>
      </c>
      <c r="AK138" t="str">
        <f>"68"</f>
        <v>68</v>
      </c>
      <c r="AL138" t="str">
        <f>"573"</f>
        <v>573</v>
      </c>
      <c r="AM138" t="str">
        <f>"68"</f>
        <v>68</v>
      </c>
      <c r="AN138" t="str">
        <f>"68547"</f>
        <v>68547</v>
      </c>
      <c r="AO138" t="str">
        <f>"6/11/2020 12:00:00 a. m."</f>
        <v>6/11/2020 12:00:00 a. m.</v>
      </c>
      <c r="AP138" t="str">
        <f>"6/08/2020 12:00:00 a. m."</f>
        <v>6/08/2020 12:00:00 a. m.</v>
      </c>
      <c r="AQ138" t="str">
        <f>"3"</f>
        <v>3</v>
      </c>
      <c r="AR138" t="str">
        <f t="shared" si="173"/>
        <v>1</v>
      </c>
      <c r="AS138" t="str">
        <f>"6/11/2020 12:00:00 a. m."</f>
        <v>6/11/2020 12:00:00 a. m.</v>
      </c>
      <c r="AT138" t="str">
        <f t="shared" si="169"/>
        <v>1</v>
      </c>
      <c r="AU138" t="str">
        <f>""</f>
        <v/>
      </c>
      <c r="AV138" t="str">
        <f>"0"</f>
        <v>0</v>
      </c>
      <c r="AW138" t="str">
        <f>"18/12/2003 12:00:00 a. m."</f>
        <v>18/12/2003 12:00:00 a. m.</v>
      </c>
      <c r="AX138" t="str">
        <f>""</f>
        <v/>
      </c>
      <c r="AY138" t="str">
        <f t="shared" si="160"/>
        <v>30/04/2021 12:00:00 a. m.</v>
      </c>
      <c r="AZ138" t="str">
        <f>"4/12/2020 12:00:00 a. m."</f>
        <v>4/12/2020 12:00:00 a. m.</v>
      </c>
      <c r="BA138" t="str">
        <f>""</f>
        <v/>
      </c>
      <c r="BB138" t="str">
        <f>""</f>
        <v/>
      </c>
      <c r="BC138" t="str">
        <f>""</f>
        <v/>
      </c>
      <c r="BD138" t="str">
        <f t="shared" si="145"/>
        <v>1</v>
      </c>
      <c r="BE138" t="str">
        <f t="shared" si="145"/>
        <v>1</v>
      </c>
      <c r="BF138" t="str">
        <f t="shared" si="161"/>
        <v xml:space="preserve">3         </v>
      </c>
      <c r="BG138" t="str">
        <f t="shared" si="162"/>
        <v>Confirmado por laboratorio</v>
      </c>
      <c r="BH138" t="str">
        <f>"HOSPITAL INTERNACIONAL DE COLOMBIA"</f>
        <v>HOSPITAL INTERNACIONAL DE COLOMBIA</v>
      </c>
      <c r="BI138" t="str">
        <f t="shared" si="170"/>
        <v>COLOMBIA</v>
      </c>
      <c r="BJ138" t="str">
        <f t="shared" si="163"/>
        <v>CANCER INFANTIL</v>
      </c>
      <c r="BK138" t="str">
        <f>"SANTANDER"</f>
        <v>SANTANDER</v>
      </c>
      <c r="BL138" t="str">
        <f>"PUERTO PARRA"</f>
        <v>PUERTO PARRA</v>
      </c>
      <c r="BM138" t="str">
        <f t="shared" si="171"/>
        <v>COLOMBIA</v>
      </c>
      <c r="BN138" t="str">
        <f>"SANTANDER"</f>
        <v>SANTANDER</v>
      </c>
      <c r="BO138" t="str">
        <f>"PUERTO PARRA"</f>
        <v>PUERTO PARRA</v>
      </c>
      <c r="BP138" t="str">
        <f>"SANTANDER"</f>
        <v>SANTANDER</v>
      </c>
      <c r="BQ138" t="str">
        <f>"PIEDECUESTA"</f>
        <v>PIEDECUESTA</v>
      </c>
    </row>
    <row r="139" spans="1:69" x14ac:dyDescent="0.25">
      <c r="A139" t="str">
        <f>"7285926"</f>
        <v>7285926</v>
      </c>
      <c r="B139" t="str">
        <f t="shared" si="156"/>
        <v>459</v>
      </c>
      <c r="C139" t="str">
        <f>"9/10/2020 12:00:00 a. m."</f>
        <v>9/10/2020 12:00:00 a. m.</v>
      </c>
      <c r="D139" t="str">
        <f>"39"</f>
        <v>39</v>
      </c>
      <c r="E139" t="str">
        <f t="shared" si="157"/>
        <v>2020</v>
      </c>
      <c r="F139" t="str">
        <f>"7600102870"</f>
        <v>7600102870</v>
      </c>
      <c r="G139" t="str">
        <f t="shared" si="164"/>
        <v>01</v>
      </c>
      <c r="H139" t="str">
        <f>"9"</f>
        <v>9</v>
      </c>
      <c r="I139" t="str">
        <f t="shared" si="152"/>
        <v>1</v>
      </c>
      <c r="J139" t="str">
        <f>"M"</f>
        <v>M</v>
      </c>
      <c r="K139" t="str">
        <f t="shared" si="165"/>
        <v>170</v>
      </c>
      <c r="L139" t="str">
        <f>"76"</f>
        <v>76</v>
      </c>
      <c r="M139" t="str">
        <f>"001"</f>
        <v>001</v>
      </c>
      <c r="N139" t="str">
        <f t="shared" si="172"/>
        <v>1</v>
      </c>
      <c r="O139" t="str">
        <f>"9999"</f>
        <v>9999</v>
      </c>
      <c r="P139" t="str">
        <f>"S"</f>
        <v>S</v>
      </c>
      <c r="Q139" t="str">
        <f>"ESS062"</f>
        <v>ESS062</v>
      </c>
      <c r="R139" t="str">
        <f t="shared" si="149"/>
        <v>6</v>
      </c>
      <c r="S139" t="str">
        <f>""</f>
        <v/>
      </c>
      <c r="T139" t="str">
        <f t="shared" si="158"/>
        <v xml:space="preserve">                                                                                                    </v>
      </c>
      <c r="U139" t="str">
        <f>"3         "</f>
        <v xml:space="preserve">3         </v>
      </c>
      <c r="V139" t="str">
        <f t="shared" ref="V139:W158" si="174">"2"</f>
        <v>2</v>
      </c>
      <c r="W139" t="str">
        <f t="shared" si="174"/>
        <v>2</v>
      </c>
      <c r="X139" t="str">
        <f t="shared" si="166"/>
        <v>2</v>
      </c>
      <c r="Y139" t="str">
        <f t="shared" ref="Y139:Z158" si="175">"2"</f>
        <v>2</v>
      </c>
      <c r="Z139" t="str">
        <f t="shared" si="175"/>
        <v>2</v>
      </c>
      <c r="AA139" t="str">
        <f t="shared" si="159"/>
        <v xml:space="preserve">          </v>
      </c>
      <c r="AB139" t="str">
        <f t="shared" si="148"/>
        <v>2</v>
      </c>
      <c r="AC139" t="str">
        <f t="shared" si="150"/>
        <v>2</v>
      </c>
      <c r="AD139" t="str">
        <f t="shared" si="144"/>
        <v>2</v>
      </c>
      <c r="AE139" t="str">
        <f t="shared" si="144"/>
        <v>2</v>
      </c>
      <c r="AF139" t="str">
        <f t="shared" si="144"/>
        <v>2</v>
      </c>
      <c r="AG139" t="str">
        <f t="shared" si="144"/>
        <v>2</v>
      </c>
      <c r="AH139" t="str">
        <f t="shared" si="167"/>
        <v>1</v>
      </c>
      <c r="AI139" t="str">
        <f>"1         "</f>
        <v xml:space="preserve">1         </v>
      </c>
      <c r="AJ139" t="str">
        <f t="shared" si="168"/>
        <v>170</v>
      </c>
      <c r="AK139" t="str">
        <f>"76"</f>
        <v>76</v>
      </c>
      <c r="AL139" t="str">
        <f>"001"</f>
        <v>001</v>
      </c>
      <c r="AM139" t="str">
        <f>"76"</f>
        <v>76</v>
      </c>
      <c r="AN139" t="str">
        <f>"76001"</f>
        <v>76001</v>
      </c>
      <c r="AO139" t="str">
        <f>"22/09/2020 12:00:00 a. m."</f>
        <v>22/09/2020 12:00:00 a. m.</v>
      </c>
      <c r="AP139" t="str">
        <f>"1/09/2020 12:00:00 a. m."</f>
        <v>1/09/2020 12:00:00 a. m.</v>
      </c>
      <c r="AQ139" t="str">
        <f>"2"</f>
        <v>2</v>
      </c>
      <c r="AR139" t="str">
        <f t="shared" si="173"/>
        <v>1</v>
      </c>
      <c r="AS139" t="str">
        <f>"22/09/2020 12:00:00 a. m."</f>
        <v>22/09/2020 12:00:00 a. m.</v>
      </c>
      <c r="AT139" t="str">
        <f t="shared" si="169"/>
        <v>1</v>
      </c>
      <c r="AU139" t="str">
        <f>""</f>
        <v/>
      </c>
      <c r="AV139" t="str">
        <f>"3"</f>
        <v>3</v>
      </c>
      <c r="AW139" t="str">
        <f>"4/11/2010 12:00:00 a. m."</f>
        <v>4/11/2010 12:00:00 a. m.</v>
      </c>
      <c r="AX139" t="str">
        <f>""</f>
        <v/>
      </c>
      <c r="AY139" t="str">
        <f t="shared" si="160"/>
        <v>30/04/2021 12:00:00 a. m.</v>
      </c>
      <c r="AZ139" t="str">
        <f>"5/11/2020 12:00:00 a. m."</f>
        <v>5/11/2020 12:00:00 a. m.</v>
      </c>
      <c r="BA139" t="str">
        <f>""</f>
        <v/>
      </c>
      <c r="BB139" t="str">
        <f>""</f>
        <v/>
      </c>
      <c r="BC139" t="str">
        <f>""</f>
        <v/>
      </c>
      <c r="BD139" t="str">
        <f t="shared" si="145"/>
        <v>1</v>
      </c>
      <c r="BE139" t="str">
        <f t="shared" si="145"/>
        <v>1</v>
      </c>
      <c r="BF139" t="str">
        <f t="shared" si="161"/>
        <v xml:space="preserve">3         </v>
      </c>
      <c r="BG139" t="str">
        <f t="shared" si="162"/>
        <v>Confirmado por laboratorio</v>
      </c>
      <c r="BH139" t="str">
        <f>"FUNDACION VALLE DEL LILI"</f>
        <v>FUNDACION VALLE DEL LILI</v>
      </c>
      <c r="BI139" t="str">
        <f t="shared" si="170"/>
        <v>COLOMBIA</v>
      </c>
      <c r="BJ139" t="str">
        <f t="shared" si="163"/>
        <v>CANCER INFANTIL</v>
      </c>
      <c r="BK139" t="str">
        <f>"VALLE"</f>
        <v>VALLE</v>
      </c>
      <c r="BL139" t="str">
        <f>"CALI"</f>
        <v>CALI</v>
      </c>
      <c r="BM139" t="str">
        <f t="shared" si="171"/>
        <v>COLOMBIA</v>
      </c>
      <c r="BN139" t="str">
        <f>"VALLE"</f>
        <v>VALLE</v>
      </c>
      <c r="BO139" t="str">
        <f>"CALI"</f>
        <v>CALI</v>
      </c>
      <c r="BP139" t="str">
        <f>"VALLE"</f>
        <v>VALLE</v>
      </c>
      <c r="BQ139" t="str">
        <f>"CALI"</f>
        <v>CALI</v>
      </c>
    </row>
    <row r="140" spans="1:69" x14ac:dyDescent="0.25">
      <c r="A140" t="str">
        <f>"7285917"</f>
        <v>7285917</v>
      </c>
      <c r="B140" t="str">
        <f t="shared" si="156"/>
        <v>459</v>
      </c>
      <c r="C140" t="str">
        <f>"16/05/2020 12:00:00 a. m."</f>
        <v>16/05/2020 12:00:00 a. m.</v>
      </c>
      <c r="D140" t="str">
        <f>"18"</f>
        <v>18</v>
      </c>
      <c r="E140" t="str">
        <f t="shared" si="157"/>
        <v>2020</v>
      </c>
      <c r="F140" t="str">
        <f>"1100105681"</f>
        <v>1100105681</v>
      </c>
      <c r="G140" t="str">
        <f t="shared" si="164"/>
        <v>01</v>
      </c>
      <c r="H140" t="str">
        <f>"13"</f>
        <v>13</v>
      </c>
      <c r="I140" t="str">
        <f t="shared" si="152"/>
        <v>1</v>
      </c>
      <c r="J140" t="str">
        <f>"F"</f>
        <v>F</v>
      </c>
      <c r="K140" t="str">
        <f t="shared" si="165"/>
        <v>170</v>
      </c>
      <c r="L140" t="str">
        <f>"15"</f>
        <v>15</v>
      </c>
      <c r="M140" t="str">
        <f>"759"</f>
        <v>759</v>
      </c>
      <c r="N140" t="str">
        <f t="shared" si="172"/>
        <v>1</v>
      </c>
      <c r="O140" t="str">
        <f>"9997"</f>
        <v>9997</v>
      </c>
      <c r="P140" t="str">
        <f>"C"</f>
        <v>C</v>
      </c>
      <c r="Q140" t="str">
        <f>"EPS017"</f>
        <v>EPS017</v>
      </c>
      <c r="R140" t="str">
        <f t="shared" si="149"/>
        <v>6</v>
      </c>
      <c r="S140" t="str">
        <f>""</f>
        <v/>
      </c>
      <c r="T140" t="str">
        <f t="shared" si="158"/>
        <v xml:space="preserve">                                                                                                    </v>
      </c>
      <c r="U140" t="str">
        <f t="shared" ref="U140:U145" si="176">"2         "</f>
        <v xml:space="preserve">2         </v>
      </c>
      <c r="V140" t="str">
        <f t="shared" si="174"/>
        <v>2</v>
      </c>
      <c r="W140" t="str">
        <f t="shared" si="174"/>
        <v>2</v>
      </c>
      <c r="X140" t="str">
        <f t="shared" si="166"/>
        <v>2</v>
      </c>
      <c r="Y140" t="str">
        <f t="shared" si="175"/>
        <v>2</v>
      </c>
      <c r="Z140" t="str">
        <f t="shared" si="175"/>
        <v>2</v>
      </c>
      <c r="AA140" t="str">
        <f t="shared" si="159"/>
        <v xml:space="preserve">          </v>
      </c>
      <c r="AB140" t="str">
        <f t="shared" si="148"/>
        <v>2</v>
      </c>
      <c r="AC140" t="str">
        <f t="shared" si="150"/>
        <v>2</v>
      </c>
      <c r="AD140" t="str">
        <f t="shared" ref="AD140:AG159" si="177">"2"</f>
        <v>2</v>
      </c>
      <c r="AE140" t="str">
        <f t="shared" si="177"/>
        <v>2</v>
      </c>
      <c r="AF140" t="str">
        <f t="shared" si="177"/>
        <v>2</v>
      </c>
      <c r="AG140" t="str">
        <f t="shared" si="177"/>
        <v>2</v>
      </c>
      <c r="AH140" t="str">
        <f t="shared" si="167"/>
        <v>1</v>
      </c>
      <c r="AI140" t="str">
        <f>"2         "</f>
        <v xml:space="preserve">2         </v>
      </c>
      <c r="AJ140" t="str">
        <f t="shared" si="168"/>
        <v>170</v>
      </c>
      <c r="AK140" t="str">
        <f>"15"</f>
        <v>15</v>
      </c>
      <c r="AL140" t="str">
        <f>"759"</f>
        <v>759</v>
      </c>
      <c r="AM140" t="str">
        <f>"11"</f>
        <v>11</v>
      </c>
      <c r="AN140" t="str">
        <f>"11001"</f>
        <v>11001</v>
      </c>
      <c r="AO140" t="str">
        <f>"29/04/2020 12:00:00 a. m."</f>
        <v>29/04/2020 12:00:00 a. m.</v>
      </c>
      <c r="AP140" t="str">
        <f>"11/04/2020 12:00:00 a. m."</f>
        <v>11/04/2020 12:00:00 a. m.</v>
      </c>
      <c r="AQ140" t="str">
        <f>"3"</f>
        <v>3</v>
      </c>
      <c r="AR140" t="str">
        <f t="shared" si="173"/>
        <v>1</v>
      </c>
      <c r="AS140" t="str">
        <f>"29/04/2020 12:00:00 a. m."</f>
        <v>29/04/2020 12:00:00 a. m.</v>
      </c>
      <c r="AT140" t="str">
        <f>"2"</f>
        <v>2</v>
      </c>
      <c r="AU140" t="str">
        <f>"1/09/2020 12:00:00 a. m."</f>
        <v>1/09/2020 12:00:00 a. m.</v>
      </c>
      <c r="AV140" t="str">
        <f>"7"</f>
        <v>7</v>
      </c>
      <c r="AW140" t="str">
        <f>"25/01/2007 12:00:00 a. m."</f>
        <v>25/01/2007 12:00:00 a. m.</v>
      </c>
      <c r="AX140" t="str">
        <f>"C402"</f>
        <v>C402</v>
      </c>
      <c r="AY140" t="str">
        <f t="shared" si="160"/>
        <v>30/04/2021 12:00:00 a. m.</v>
      </c>
      <c r="AZ140" t="str">
        <f>"29/10/2020 12:00:00 a. m."</f>
        <v>29/10/2020 12:00:00 a. m.</v>
      </c>
      <c r="BA140" t="str">
        <f>""</f>
        <v/>
      </c>
      <c r="BB140" t="str">
        <f>""</f>
        <v/>
      </c>
      <c r="BC140" t="str">
        <f>""</f>
        <v/>
      </c>
      <c r="BD140" t="str">
        <f t="shared" si="145"/>
        <v>1</v>
      </c>
      <c r="BE140" t="str">
        <f t="shared" si="145"/>
        <v>1</v>
      </c>
      <c r="BF140" t="str">
        <f t="shared" si="161"/>
        <v xml:space="preserve">3         </v>
      </c>
      <c r="BG140" t="str">
        <f t="shared" si="162"/>
        <v>Confirmado por laboratorio</v>
      </c>
      <c r="BH140" t="str">
        <f>"FUNDACION HOSPITAL DE LA MISERICORDIA"</f>
        <v>FUNDACION HOSPITAL DE LA MISERICORDIA</v>
      </c>
      <c r="BI140" t="str">
        <f t="shared" si="170"/>
        <v>COLOMBIA</v>
      </c>
      <c r="BJ140" t="str">
        <f t="shared" si="163"/>
        <v>CANCER INFANTIL</v>
      </c>
      <c r="BK140" t="str">
        <f>"BOYACA"</f>
        <v>BOYACA</v>
      </c>
      <c r="BL140" t="str">
        <f>"SOGAMOSO"</f>
        <v>SOGAMOSO</v>
      </c>
      <c r="BM140" t="str">
        <f t="shared" si="171"/>
        <v>COLOMBIA</v>
      </c>
      <c r="BN140" t="str">
        <f>"BOYACA"</f>
        <v>BOYACA</v>
      </c>
      <c r="BO140" t="str">
        <f>"SOGAMOSO"</f>
        <v>SOGAMOSO</v>
      </c>
      <c r="BP140" t="str">
        <f>"BOGOTA"</f>
        <v>BOGOTA</v>
      </c>
      <c r="BQ140" t="str">
        <f>"BOGOTA"</f>
        <v>BOGOTA</v>
      </c>
    </row>
    <row r="141" spans="1:69" x14ac:dyDescent="0.25">
      <c r="A141" t="str">
        <f>"7285879"</f>
        <v>7285879</v>
      </c>
      <c r="B141" t="str">
        <f t="shared" si="156"/>
        <v>459</v>
      </c>
      <c r="C141" t="str">
        <f>"5/01/2021 12:00:00 a. m."</f>
        <v>5/01/2021 12:00:00 a. m.</v>
      </c>
      <c r="D141" t="str">
        <f>"52"</f>
        <v>52</v>
      </c>
      <c r="E141" t="str">
        <f t="shared" si="157"/>
        <v>2020</v>
      </c>
      <c r="F141" t="str">
        <f>"1300100568"</f>
        <v>1300100568</v>
      </c>
      <c r="G141" t="str">
        <f t="shared" si="164"/>
        <v>01</v>
      </c>
      <c r="H141" t="str">
        <f>"14"</f>
        <v>14</v>
      </c>
      <c r="I141" t="str">
        <f t="shared" si="152"/>
        <v>1</v>
      </c>
      <c r="J141" t="str">
        <f>"M"</f>
        <v>M</v>
      </c>
      <c r="K141" t="str">
        <f t="shared" si="165"/>
        <v>170</v>
      </c>
      <c r="L141" t="str">
        <f>"13"</f>
        <v>13</v>
      </c>
      <c r="M141" t="str">
        <f>"001"</f>
        <v>001</v>
      </c>
      <c r="N141" t="str">
        <f t="shared" si="172"/>
        <v>1</v>
      </c>
      <c r="O141" t="str">
        <f>"9997"</f>
        <v>9997</v>
      </c>
      <c r="P141" t="str">
        <f>"S"</f>
        <v>S</v>
      </c>
      <c r="Q141" t="str">
        <f>"ESS207"</f>
        <v>ESS207</v>
      </c>
      <c r="R141" t="str">
        <f t="shared" si="149"/>
        <v>6</v>
      </c>
      <c r="S141" t="str">
        <f>""</f>
        <v/>
      </c>
      <c r="T141" t="str">
        <f t="shared" si="158"/>
        <v xml:space="preserve">                                                                                                    </v>
      </c>
      <c r="U141" t="str">
        <f t="shared" si="176"/>
        <v xml:space="preserve">2         </v>
      </c>
      <c r="V141" t="str">
        <f t="shared" si="174"/>
        <v>2</v>
      </c>
      <c r="W141" t="str">
        <f t="shared" si="174"/>
        <v>2</v>
      </c>
      <c r="X141" t="str">
        <f t="shared" si="166"/>
        <v>2</v>
      </c>
      <c r="Y141" t="str">
        <f t="shared" si="175"/>
        <v>2</v>
      </c>
      <c r="Z141" t="str">
        <f t="shared" si="175"/>
        <v>2</v>
      </c>
      <c r="AA141" t="str">
        <f t="shared" si="159"/>
        <v xml:space="preserve">          </v>
      </c>
      <c r="AB141" t="str">
        <f t="shared" si="148"/>
        <v>2</v>
      </c>
      <c r="AC141" t="str">
        <f t="shared" si="150"/>
        <v>2</v>
      </c>
      <c r="AD141" t="str">
        <f t="shared" si="177"/>
        <v>2</v>
      </c>
      <c r="AE141" t="str">
        <f t="shared" si="177"/>
        <v>2</v>
      </c>
      <c r="AF141" t="str">
        <f t="shared" si="177"/>
        <v>2</v>
      </c>
      <c r="AG141" t="str">
        <f t="shared" si="177"/>
        <v>2</v>
      </c>
      <c r="AH141" t="str">
        <f t="shared" si="167"/>
        <v>1</v>
      </c>
      <c r="AI141" t="str">
        <f t="shared" ref="AI141:AI152" si="178">"1         "</f>
        <v xml:space="preserve">1         </v>
      </c>
      <c r="AJ141" t="str">
        <f t="shared" si="168"/>
        <v>170</v>
      </c>
      <c r="AK141" t="str">
        <f>"13"</f>
        <v>13</v>
      </c>
      <c r="AL141" t="str">
        <f>"001"</f>
        <v>001</v>
      </c>
      <c r="AM141" t="str">
        <f>"13"</f>
        <v>13</v>
      </c>
      <c r="AN141" t="str">
        <f>"13001"</f>
        <v>13001</v>
      </c>
      <c r="AO141" t="str">
        <f>"22/12/2020 12:00:00 a. m."</f>
        <v>22/12/2020 12:00:00 a. m.</v>
      </c>
      <c r="AP141" t="str">
        <f>"20/10/2020 12:00:00 a. m."</f>
        <v>20/10/2020 12:00:00 a. m.</v>
      </c>
      <c r="AQ141" t="str">
        <f>"3"</f>
        <v>3</v>
      </c>
      <c r="AR141" t="str">
        <f t="shared" si="173"/>
        <v>1</v>
      </c>
      <c r="AS141" t="str">
        <f>"23/12/2020 12:00:00 a. m."</f>
        <v>23/12/2020 12:00:00 a. m.</v>
      </c>
      <c r="AT141" t="str">
        <f t="shared" ref="AT141:AT150" si="179">"1"</f>
        <v>1</v>
      </c>
      <c r="AU141" t="str">
        <f>""</f>
        <v/>
      </c>
      <c r="AV141" t="str">
        <f>"0"</f>
        <v>0</v>
      </c>
      <c r="AW141" t="str">
        <f>"27/10/2006 12:00:00 a. m."</f>
        <v>27/10/2006 12:00:00 a. m.</v>
      </c>
      <c r="AX141" t="str">
        <f>""</f>
        <v/>
      </c>
      <c r="AY141" t="str">
        <f t="shared" si="160"/>
        <v>30/04/2021 12:00:00 a. m.</v>
      </c>
      <c r="AZ141" t="str">
        <f>"5/01/2021 12:00:00 a. m."</f>
        <v>5/01/2021 12:00:00 a. m.</v>
      </c>
      <c r="BA141" t="str">
        <f>""</f>
        <v/>
      </c>
      <c r="BB141" t="str">
        <f>""</f>
        <v/>
      </c>
      <c r="BC141" t="str">
        <f>""</f>
        <v/>
      </c>
      <c r="BD141" t="str">
        <f t="shared" si="145"/>
        <v>1</v>
      </c>
      <c r="BE141" t="str">
        <f t="shared" si="145"/>
        <v>1</v>
      </c>
      <c r="BF141" t="str">
        <f t="shared" si="161"/>
        <v xml:space="preserve">3         </v>
      </c>
      <c r="BG141" t="str">
        <f t="shared" si="162"/>
        <v>Confirmado por laboratorio</v>
      </c>
      <c r="BH141" t="str">
        <f>"CLINICA BLAS DE LEZO S.A."</f>
        <v>CLINICA BLAS DE LEZO S.A.</v>
      </c>
      <c r="BI141" t="str">
        <f t="shared" si="170"/>
        <v>COLOMBIA</v>
      </c>
      <c r="BJ141" t="str">
        <f t="shared" si="163"/>
        <v>CANCER INFANTIL</v>
      </c>
      <c r="BK141" t="str">
        <f>"BOLIVAR"</f>
        <v>BOLIVAR</v>
      </c>
      <c r="BL141" t="str">
        <f>"CARTAGENA"</f>
        <v>CARTAGENA</v>
      </c>
      <c r="BM141" t="str">
        <f t="shared" si="171"/>
        <v>COLOMBIA</v>
      </c>
      <c r="BN141" t="str">
        <f>"BOLIVAR"</f>
        <v>BOLIVAR</v>
      </c>
      <c r="BO141" t="str">
        <f>"CARTAGENA"</f>
        <v>CARTAGENA</v>
      </c>
      <c r="BP141" t="str">
        <f>"BOLIVAR"</f>
        <v>BOLIVAR</v>
      </c>
      <c r="BQ141" t="str">
        <f>"CARTAGENA"</f>
        <v>CARTAGENA</v>
      </c>
    </row>
    <row r="142" spans="1:69" x14ac:dyDescent="0.25">
      <c r="A142" t="str">
        <f>"7285873"</f>
        <v>7285873</v>
      </c>
      <c r="B142" t="str">
        <f t="shared" si="156"/>
        <v>459</v>
      </c>
      <c r="C142" t="str">
        <f>"22/05/2020 12:00:00 a. m."</f>
        <v>22/05/2020 12:00:00 a. m.</v>
      </c>
      <c r="D142" t="str">
        <f>"20"</f>
        <v>20</v>
      </c>
      <c r="E142" t="str">
        <f t="shared" si="157"/>
        <v>2020</v>
      </c>
      <c r="F142" t="str">
        <f>"6827601666"</f>
        <v>6827601666</v>
      </c>
      <c r="G142" t="str">
        <f t="shared" si="164"/>
        <v>01</v>
      </c>
      <c r="H142" t="str">
        <f>"5"</f>
        <v>5</v>
      </c>
      <c r="I142" t="str">
        <f t="shared" si="152"/>
        <v>1</v>
      </c>
      <c r="J142" t="str">
        <f>"F"</f>
        <v>F</v>
      </c>
      <c r="K142" t="str">
        <f t="shared" si="165"/>
        <v>170</v>
      </c>
      <c r="L142" t="str">
        <f>"13"</f>
        <v>13</v>
      </c>
      <c r="M142" t="str">
        <f>"670"</f>
        <v>670</v>
      </c>
      <c r="N142" t="str">
        <f t="shared" si="172"/>
        <v>1</v>
      </c>
      <c r="O142" t="str">
        <f>"9999"</f>
        <v>9999</v>
      </c>
      <c r="P142" t="str">
        <f>"C"</f>
        <v>C</v>
      </c>
      <c r="Q142" t="str">
        <f>"EPS037"</f>
        <v>EPS037</v>
      </c>
      <c r="R142" t="str">
        <f t="shared" si="149"/>
        <v>6</v>
      </c>
      <c r="S142" t="str">
        <f>""</f>
        <v/>
      </c>
      <c r="T142" t="str">
        <f t="shared" si="158"/>
        <v xml:space="preserve">                                                                                                    </v>
      </c>
      <c r="U142" t="str">
        <f t="shared" si="176"/>
        <v xml:space="preserve">2         </v>
      </c>
      <c r="V142" t="str">
        <f t="shared" si="174"/>
        <v>2</v>
      </c>
      <c r="W142" t="str">
        <f t="shared" si="174"/>
        <v>2</v>
      </c>
      <c r="X142" t="str">
        <f t="shared" si="166"/>
        <v>2</v>
      </c>
      <c r="Y142" t="str">
        <f t="shared" si="175"/>
        <v>2</v>
      </c>
      <c r="Z142" t="str">
        <f t="shared" si="175"/>
        <v>2</v>
      </c>
      <c r="AA142" t="str">
        <f t="shared" si="159"/>
        <v xml:space="preserve">          </v>
      </c>
      <c r="AB142" t="str">
        <f t="shared" si="148"/>
        <v>2</v>
      </c>
      <c r="AC142" t="str">
        <f t="shared" si="150"/>
        <v>2</v>
      </c>
      <c r="AD142" t="str">
        <f t="shared" si="177"/>
        <v>2</v>
      </c>
      <c r="AE142" t="str">
        <f t="shared" si="177"/>
        <v>2</v>
      </c>
      <c r="AF142" t="str">
        <f t="shared" si="177"/>
        <v>2</v>
      </c>
      <c r="AG142" t="str">
        <f t="shared" si="177"/>
        <v>2</v>
      </c>
      <c r="AH142" t="str">
        <f t="shared" si="167"/>
        <v>1</v>
      </c>
      <c r="AI142" t="str">
        <f t="shared" si="178"/>
        <v xml:space="preserve">1         </v>
      </c>
      <c r="AJ142" t="str">
        <f t="shared" si="168"/>
        <v>170</v>
      </c>
      <c r="AK142" t="str">
        <f>"13"</f>
        <v>13</v>
      </c>
      <c r="AL142" t="str">
        <f>"244"</f>
        <v>244</v>
      </c>
      <c r="AM142" t="str">
        <f>"68"</f>
        <v>68</v>
      </c>
      <c r="AN142" t="str">
        <f>"68276"</f>
        <v>68276</v>
      </c>
      <c r="AO142" t="str">
        <f>"16/05/2020 12:00:00 a. m."</f>
        <v>16/05/2020 12:00:00 a. m.</v>
      </c>
      <c r="AP142" t="str">
        <f>"12/05/2020 12:00:00 a. m."</f>
        <v>12/05/2020 12:00:00 a. m.</v>
      </c>
      <c r="AQ142" t="str">
        <f>"3"</f>
        <v>3</v>
      </c>
      <c r="AR142" t="str">
        <f t="shared" si="173"/>
        <v>1</v>
      </c>
      <c r="AS142" t="str">
        <f>"16/05/2020 12:00:00 a. m."</f>
        <v>16/05/2020 12:00:00 a. m.</v>
      </c>
      <c r="AT142" t="str">
        <f t="shared" si="179"/>
        <v>1</v>
      </c>
      <c r="AU142" t="str">
        <f>""</f>
        <v/>
      </c>
      <c r="AV142" t="str">
        <f>"3"</f>
        <v>3</v>
      </c>
      <c r="AW142" t="str">
        <f>"28/12/2014 12:00:00 a. m."</f>
        <v>28/12/2014 12:00:00 a. m.</v>
      </c>
      <c r="AX142" t="str">
        <f>""</f>
        <v/>
      </c>
      <c r="AY142" t="str">
        <f t="shared" si="160"/>
        <v>30/04/2021 12:00:00 a. m.</v>
      </c>
      <c r="AZ142" t="str">
        <f>"22/07/2020 12:00:00 a. m."</f>
        <v>22/07/2020 12:00:00 a. m.</v>
      </c>
      <c r="BA142" t="str">
        <f>""</f>
        <v/>
      </c>
      <c r="BB142" t="str">
        <f>""</f>
        <v/>
      </c>
      <c r="BC142" t="str">
        <f>""</f>
        <v/>
      </c>
      <c r="BD142" t="str">
        <f t="shared" ref="BD142:BE161" si="180">"1"</f>
        <v>1</v>
      </c>
      <c r="BE142" t="str">
        <f t="shared" si="180"/>
        <v>1</v>
      </c>
      <c r="BF142" t="str">
        <f t="shared" si="161"/>
        <v xml:space="preserve">3         </v>
      </c>
      <c r="BG142" t="str">
        <f t="shared" si="162"/>
        <v>Confirmado por laboratorio</v>
      </c>
      <c r="BH142" t="str">
        <f>"FUNDACION OFTALMOLOGICA DE SDER FOSCAL"</f>
        <v>FUNDACION OFTALMOLOGICA DE SDER FOSCAL</v>
      </c>
      <c r="BI142" t="str">
        <f t="shared" si="170"/>
        <v>COLOMBIA</v>
      </c>
      <c r="BJ142" t="str">
        <f t="shared" si="163"/>
        <v>CANCER INFANTIL</v>
      </c>
      <c r="BK142" t="str">
        <f>"BOLIVAR"</f>
        <v>BOLIVAR</v>
      </c>
      <c r="BL142" t="str">
        <f>"SAN PABLO"</f>
        <v>SAN PABLO</v>
      </c>
      <c r="BM142" t="str">
        <f t="shared" si="171"/>
        <v>COLOMBIA</v>
      </c>
      <c r="BN142" t="str">
        <f>"BOLIVAR"</f>
        <v>BOLIVAR</v>
      </c>
      <c r="BO142" t="str">
        <f>"EL CARMEN DE BOLIVAR"</f>
        <v>EL CARMEN DE BOLIVAR</v>
      </c>
      <c r="BP142" t="str">
        <f>"SANTANDER"</f>
        <v>SANTANDER</v>
      </c>
      <c r="BQ142" t="str">
        <f>"FLORIDABLANCA"</f>
        <v>FLORIDABLANCA</v>
      </c>
    </row>
    <row r="143" spans="1:69" x14ac:dyDescent="0.25">
      <c r="A143" t="str">
        <f>"7285634"</f>
        <v>7285634</v>
      </c>
      <c r="B143" t="str">
        <f t="shared" si="156"/>
        <v>459</v>
      </c>
      <c r="C143" t="str">
        <f>"5/10/2020 12:00:00 a. m."</f>
        <v>5/10/2020 12:00:00 a. m.</v>
      </c>
      <c r="D143" t="str">
        <f>"40"</f>
        <v>40</v>
      </c>
      <c r="E143" t="str">
        <f t="shared" si="157"/>
        <v>2020</v>
      </c>
      <c r="F143" t="str">
        <f>"1100116338"</f>
        <v>1100116338</v>
      </c>
      <c r="G143" t="str">
        <f>"83"</f>
        <v>83</v>
      </c>
      <c r="H143" t="str">
        <f>"17"</f>
        <v>17</v>
      </c>
      <c r="I143" t="str">
        <f t="shared" si="152"/>
        <v>1</v>
      </c>
      <c r="J143" t="str">
        <f>"M"</f>
        <v>M</v>
      </c>
      <c r="K143" t="str">
        <f t="shared" si="165"/>
        <v>170</v>
      </c>
      <c r="L143" t="str">
        <f>"95"</f>
        <v>95</v>
      </c>
      <c r="M143" t="str">
        <f>"001"</f>
        <v>001</v>
      </c>
      <c r="N143" t="str">
        <f t="shared" si="172"/>
        <v>1</v>
      </c>
      <c r="O143" t="str">
        <f>"9997"</f>
        <v>9997</v>
      </c>
      <c r="P143" t="str">
        <f>"P"</f>
        <v>P</v>
      </c>
      <c r="Q143" t="str">
        <f>"RES003"</f>
        <v>RES003</v>
      </c>
      <c r="R143" t="str">
        <f t="shared" si="149"/>
        <v>6</v>
      </c>
      <c r="S143" t="str">
        <f>""</f>
        <v/>
      </c>
      <c r="T143" t="str">
        <f t="shared" si="158"/>
        <v xml:space="preserve">                                                                                                    </v>
      </c>
      <c r="U143" t="str">
        <f t="shared" si="176"/>
        <v xml:space="preserve">2         </v>
      </c>
      <c r="V143" t="str">
        <f t="shared" si="174"/>
        <v>2</v>
      </c>
      <c r="W143" t="str">
        <f t="shared" si="174"/>
        <v>2</v>
      </c>
      <c r="X143" t="str">
        <f t="shared" si="166"/>
        <v>2</v>
      </c>
      <c r="Y143" t="str">
        <f t="shared" si="175"/>
        <v>2</v>
      </c>
      <c r="Z143" t="str">
        <f t="shared" si="175"/>
        <v>2</v>
      </c>
      <c r="AA143" t="str">
        <f t="shared" si="159"/>
        <v xml:space="preserve">          </v>
      </c>
      <c r="AB143" t="str">
        <f t="shared" si="148"/>
        <v>2</v>
      </c>
      <c r="AC143" t="str">
        <f t="shared" si="150"/>
        <v>2</v>
      </c>
      <c r="AD143" t="str">
        <f t="shared" si="177"/>
        <v>2</v>
      </c>
      <c r="AE143" t="str">
        <f t="shared" si="177"/>
        <v>2</v>
      </c>
      <c r="AF143" t="str">
        <f t="shared" si="177"/>
        <v>2</v>
      </c>
      <c r="AG143" t="str">
        <f t="shared" si="177"/>
        <v>2</v>
      </c>
      <c r="AH143" t="str">
        <f t="shared" si="167"/>
        <v>1</v>
      </c>
      <c r="AI143" t="str">
        <f t="shared" si="178"/>
        <v xml:space="preserve">1         </v>
      </c>
      <c r="AJ143" t="str">
        <f t="shared" si="168"/>
        <v>170</v>
      </c>
      <c r="AK143" t="str">
        <f>"95"</f>
        <v>95</v>
      </c>
      <c r="AL143" t="str">
        <f>"001"</f>
        <v>001</v>
      </c>
      <c r="AM143" t="str">
        <f>"11"</f>
        <v>11</v>
      </c>
      <c r="AN143" t="str">
        <f>"11001"</f>
        <v>11001</v>
      </c>
      <c r="AO143" t="str">
        <f>"30/09/2020 12:00:00 a. m."</f>
        <v>30/09/2020 12:00:00 a. m.</v>
      </c>
      <c r="AP143" t="str">
        <f>"29/06/2020 12:00:00 a. m."</f>
        <v>29/06/2020 12:00:00 a. m.</v>
      </c>
      <c r="AQ143" t="str">
        <f>"3"</f>
        <v>3</v>
      </c>
      <c r="AR143" t="str">
        <f t="shared" si="173"/>
        <v>1</v>
      </c>
      <c r="AS143" t="str">
        <f>"30/09/2020 12:00:00 a. m."</f>
        <v>30/09/2020 12:00:00 a. m.</v>
      </c>
      <c r="AT143" t="str">
        <f t="shared" si="179"/>
        <v>1</v>
      </c>
      <c r="AU143" t="str">
        <f>""</f>
        <v/>
      </c>
      <c r="AV143" t="str">
        <f>"7"</f>
        <v>7</v>
      </c>
      <c r="AW143" t="str">
        <f>"4/02/2003 12:00:00 a. m."</f>
        <v>4/02/2003 12:00:00 a. m.</v>
      </c>
      <c r="AX143" t="str">
        <f>""</f>
        <v/>
      </c>
      <c r="AY143" t="str">
        <f t="shared" si="160"/>
        <v>30/04/2021 12:00:00 a. m.</v>
      </c>
      <c r="AZ143" t="str">
        <f>"23/10/2020 12:00:00 a. m."</f>
        <v>23/10/2020 12:00:00 a. m.</v>
      </c>
      <c r="BA143" t="str">
        <f>""</f>
        <v/>
      </c>
      <c r="BB143" t="str">
        <f>""</f>
        <v/>
      </c>
      <c r="BC143" t="str">
        <f>""</f>
        <v/>
      </c>
      <c r="BD143" t="str">
        <f t="shared" si="180"/>
        <v>1</v>
      </c>
      <c r="BE143" t="str">
        <f t="shared" si="180"/>
        <v>1</v>
      </c>
      <c r="BF143" t="str">
        <f t="shared" si="161"/>
        <v xml:space="preserve">3         </v>
      </c>
      <c r="BG143" t="str">
        <f t="shared" si="162"/>
        <v>Confirmado por laboratorio</v>
      </c>
      <c r="BH143" t="str">
        <f>"HOSPITAL MILITAR CENTRAL CHAPINERO"</f>
        <v>HOSPITAL MILITAR CENTRAL CHAPINERO</v>
      </c>
      <c r="BI143" t="str">
        <f t="shared" si="170"/>
        <v>COLOMBIA</v>
      </c>
      <c r="BJ143" t="str">
        <f t="shared" si="163"/>
        <v>CANCER INFANTIL</v>
      </c>
      <c r="BK143" t="str">
        <f>"GUAVIARE"</f>
        <v>GUAVIARE</v>
      </c>
      <c r="BL143" t="str">
        <f>"SAN JOSE DEL GUAVIARE"</f>
        <v>SAN JOSE DEL GUAVIARE</v>
      </c>
      <c r="BM143" t="str">
        <f t="shared" si="171"/>
        <v>COLOMBIA</v>
      </c>
      <c r="BN143" t="str">
        <f>"GUAVIARE"</f>
        <v>GUAVIARE</v>
      </c>
      <c r="BO143" t="str">
        <f>"SAN JOSE DEL GUAVIARE"</f>
        <v>SAN JOSE DEL GUAVIARE</v>
      </c>
      <c r="BP143" t="str">
        <f>"BOGOTA"</f>
        <v>BOGOTA</v>
      </c>
      <c r="BQ143" t="str">
        <f>"BOGOTA"</f>
        <v>BOGOTA</v>
      </c>
    </row>
    <row r="144" spans="1:69" x14ac:dyDescent="0.25">
      <c r="A144" t="str">
        <f>"7285622"</f>
        <v>7285622</v>
      </c>
      <c r="B144" t="str">
        <f t="shared" si="156"/>
        <v>459</v>
      </c>
      <c r="C144" t="str">
        <f>"4/01/2020 12:00:00 a. m."</f>
        <v>4/01/2020 12:00:00 a. m.</v>
      </c>
      <c r="D144" t="str">
        <f>"01"</f>
        <v>01</v>
      </c>
      <c r="E144" t="str">
        <f t="shared" si="157"/>
        <v>2020</v>
      </c>
      <c r="F144" t="str">
        <f>"5000100529"</f>
        <v>5000100529</v>
      </c>
      <c r="G144" t="str">
        <f t="shared" ref="G144:G167" si="181">"01"</f>
        <v>01</v>
      </c>
      <c r="H144" t="str">
        <f>"17"</f>
        <v>17</v>
      </c>
      <c r="I144" t="str">
        <f t="shared" si="152"/>
        <v>1</v>
      </c>
      <c r="J144" t="str">
        <f>"M"</f>
        <v>M</v>
      </c>
      <c r="K144" t="str">
        <f t="shared" si="165"/>
        <v>170</v>
      </c>
      <c r="L144" t="str">
        <f>"50"</f>
        <v>50</v>
      </c>
      <c r="M144" t="str">
        <f>"330"</f>
        <v>330</v>
      </c>
      <c r="N144" t="str">
        <f t="shared" si="172"/>
        <v>1</v>
      </c>
      <c r="O144" t="str">
        <f>"9997"</f>
        <v>9997</v>
      </c>
      <c r="P144" t="str">
        <f>"C"</f>
        <v>C</v>
      </c>
      <c r="Q144" t="str">
        <f>"CCFC55"</f>
        <v>CCFC55</v>
      </c>
      <c r="R144" t="str">
        <f t="shared" si="149"/>
        <v>6</v>
      </c>
      <c r="S144" t="str">
        <f>""</f>
        <v/>
      </c>
      <c r="T144" t="str">
        <f t="shared" si="158"/>
        <v xml:space="preserve">                                                                                                    </v>
      </c>
      <c r="U144" t="str">
        <f t="shared" si="176"/>
        <v xml:space="preserve">2         </v>
      </c>
      <c r="V144" t="str">
        <f t="shared" si="174"/>
        <v>2</v>
      </c>
      <c r="W144" t="str">
        <f t="shared" si="174"/>
        <v>2</v>
      </c>
      <c r="X144" t="str">
        <f t="shared" si="166"/>
        <v>2</v>
      </c>
      <c r="Y144" t="str">
        <f t="shared" si="175"/>
        <v>2</v>
      </c>
      <c r="Z144" t="str">
        <f t="shared" si="175"/>
        <v>2</v>
      </c>
      <c r="AA144" t="str">
        <f t="shared" si="159"/>
        <v xml:space="preserve">          </v>
      </c>
      <c r="AB144" t="str">
        <f t="shared" si="148"/>
        <v>2</v>
      </c>
      <c r="AC144" t="str">
        <f t="shared" si="150"/>
        <v>2</v>
      </c>
      <c r="AD144" t="str">
        <f t="shared" si="177"/>
        <v>2</v>
      </c>
      <c r="AE144" t="str">
        <f t="shared" si="177"/>
        <v>2</v>
      </c>
      <c r="AF144" t="str">
        <f t="shared" si="177"/>
        <v>2</v>
      </c>
      <c r="AG144" t="str">
        <f t="shared" si="177"/>
        <v>2</v>
      </c>
      <c r="AH144" t="str">
        <f t="shared" si="167"/>
        <v>1</v>
      </c>
      <c r="AI144" t="str">
        <f t="shared" si="178"/>
        <v xml:space="preserve">1         </v>
      </c>
      <c r="AJ144" t="str">
        <f t="shared" si="168"/>
        <v>170</v>
      </c>
      <c r="AK144" t="str">
        <f>"50"</f>
        <v>50</v>
      </c>
      <c r="AL144" t="str">
        <f>"330"</f>
        <v>330</v>
      </c>
      <c r="AM144" t="str">
        <f>"50"</f>
        <v>50</v>
      </c>
      <c r="AN144" t="str">
        <f>"50001"</f>
        <v>50001</v>
      </c>
      <c r="AO144" t="str">
        <f>"3/01/2020 12:00:00 a. m."</f>
        <v>3/01/2020 12:00:00 a. m.</v>
      </c>
      <c r="AP144" t="str">
        <f>"3/08/2019 12:00:00 a. m."</f>
        <v>3/08/2019 12:00:00 a. m.</v>
      </c>
      <c r="AQ144" t="str">
        <f>"2"</f>
        <v>2</v>
      </c>
      <c r="AR144" t="str">
        <f t="shared" si="173"/>
        <v>1</v>
      </c>
      <c r="AS144" t="str">
        <f>"3/01/2020 12:00:00 a. m."</f>
        <v>3/01/2020 12:00:00 a. m.</v>
      </c>
      <c r="AT144" t="str">
        <f t="shared" si="179"/>
        <v>1</v>
      </c>
      <c r="AU144" t="str">
        <f>""</f>
        <v/>
      </c>
      <c r="AV144" t="str">
        <f>"3"</f>
        <v>3</v>
      </c>
      <c r="AW144" t="str">
        <f>"19/06/2002 12:00:00 a. m."</f>
        <v>19/06/2002 12:00:00 a. m.</v>
      </c>
      <c r="AX144" t="str">
        <f>""</f>
        <v/>
      </c>
      <c r="AY144" t="str">
        <f t="shared" si="160"/>
        <v>30/04/2021 12:00:00 a. m.</v>
      </c>
      <c r="AZ144" t="str">
        <f>"17/05/2020 12:00:00 a. m."</f>
        <v>17/05/2020 12:00:00 a. m.</v>
      </c>
      <c r="BA144" t="str">
        <f>""</f>
        <v/>
      </c>
      <c r="BB144" t="str">
        <f>""</f>
        <v/>
      </c>
      <c r="BC144" t="str">
        <f>""</f>
        <v/>
      </c>
      <c r="BD144" t="str">
        <f t="shared" si="180"/>
        <v>1</v>
      </c>
      <c r="BE144" t="str">
        <f t="shared" si="180"/>
        <v>1</v>
      </c>
      <c r="BF144" t="str">
        <f t="shared" si="161"/>
        <v xml:space="preserve">3         </v>
      </c>
      <c r="BG144" t="str">
        <f t="shared" si="162"/>
        <v>Confirmado por laboratorio</v>
      </c>
      <c r="BH144" t="str">
        <f>"HOSPITAL DEPARTAMENTAL DE VILLAVICENCIO"</f>
        <v>HOSPITAL DEPARTAMENTAL DE VILLAVICENCIO</v>
      </c>
      <c r="BI144" t="str">
        <f t="shared" si="170"/>
        <v>COLOMBIA</v>
      </c>
      <c r="BJ144" t="str">
        <f t="shared" si="163"/>
        <v>CANCER INFANTIL</v>
      </c>
      <c r="BK144" t="str">
        <f>"META"</f>
        <v>META</v>
      </c>
      <c r="BL144" t="str">
        <f>"MESETAS"</f>
        <v>MESETAS</v>
      </c>
      <c r="BM144" t="str">
        <f t="shared" si="171"/>
        <v>COLOMBIA</v>
      </c>
      <c r="BN144" t="str">
        <f>"META"</f>
        <v>META</v>
      </c>
      <c r="BO144" t="str">
        <f>"MESETAS"</f>
        <v>MESETAS</v>
      </c>
      <c r="BP144" t="str">
        <f>"META"</f>
        <v>META</v>
      </c>
      <c r="BQ144" t="str">
        <f>"VILLAVICENCIO"</f>
        <v>VILLAVICENCIO</v>
      </c>
    </row>
    <row r="145" spans="1:69" x14ac:dyDescent="0.25">
      <c r="A145" t="str">
        <f>"7285799"</f>
        <v>7285799</v>
      </c>
      <c r="B145" t="str">
        <f t="shared" si="156"/>
        <v>459</v>
      </c>
      <c r="C145" t="str">
        <f>"29/10/2020 12:00:00 a. m."</f>
        <v>29/10/2020 12:00:00 a. m.</v>
      </c>
      <c r="D145" t="str">
        <f>"42"</f>
        <v>42</v>
      </c>
      <c r="E145" t="str">
        <f t="shared" si="157"/>
        <v>2020</v>
      </c>
      <c r="F145" t="str">
        <f>"7600103799"</f>
        <v>7600103799</v>
      </c>
      <c r="G145" t="str">
        <f t="shared" si="181"/>
        <v>01</v>
      </c>
      <c r="H145" t="str">
        <f>"1"</f>
        <v>1</v>
      </c>
      <c r="I145" t="str">
        <f t="shared" si="152"/>
        <v>1</v>
      </c>
      <c r="J145" t="str">
        <f>"F"</f>
        <v>F</v>
      </c>
      <c r="K145" t="str">
        <f t="shared" si="165"/>
        <v>170</v>
      </c>
      <c r="L145" t="str">
        <f>"76"</f>
        <v>76</v>
      </c>
      <c r="M145" t="str">
        <f>"892"</f>
        <v>892</v>
      </c>
      <c r="N145" t="str">
        <f t="shared" si="172"/>
        <v>1</v>
      </c>
      <c r="O145" t="str">
        <f>"9999"</f>
        <v>9999</v>
      </c>
      <c r="P145" t="str">
        <f>"N"</f>
        <v>N</v>
      </c>
      <c r="Q145" t="str">
        <f>""</f>
        <v/>
      </c>
      <c r="R145" t="str">
        <f t="shared" si="149"/>
        <v>6</v>
      </c>
      <c r="S145" t="str">
        <f>""</f>
        <v/>
      </c>
      <c r="T145" t="str">
        <f t="shared" si="158"/>
        <v xml:space="preserve">                                                                                                    </v>
      </c>
      <c r="U145" t="str">
        <f t="shared" si="176"/>
        <v xml:space="preserve">2         </v>
      </c>
      <c r="V145" t="str">
        <f t="shared" si="174"/>
        <v>2</v>
      </c>
      <c r="W145" t="str">
        <f t="shared" si="174"/>
        <v>2</v>
      </c>
      <c r="X145" t="str">
        <f t="shared" si="166"/>
        <v>2</v>
      </c>
      <c r="Y145" t="str">
        <f t="shared" si="175"/>
        <v>2</v>
      </c>
      <c r="Z145" t="str">
        <f t="shared" si="175"/>
        <v>2</v>
      </c>
      <c r="AA145" t="str">
        <f t="shared" si="159"/>
        <v xml:space="preserve">          </v>
      </c>
      <c r="AB145" t="str">
        <f t="shared" si="148"/>
        <v>2</v>
      </c>
      <c r="AC145" t="str">
        <f t="shared" si="150"/>
        <v>2</v>
      </c>
      <c r="AD145" t="str">
        <f t="shared" si="177"/>
        <v>2</v>
      </c>
      <c r="AE145" t="str">
        <f t="shared" si="177"/>
        <v>2</v>
      </c>
      <c r="AF145" t="str">
        <f t="shared" si="177"/>
        <v>2</v>
      </c>
      <c r="AG145" t="str">
        <f t="shared" si="177"/>
        <v>2</v>
      </c>
      <c r="AH145" t="str">
        <f t="shared" si="167"/>
        <v>1</v>
      </c>
      <c r="AI145" t="str">
        <f t="shared" si="178"/>
        <v xml:space="preserve">1         </v>
      </c>
      <c r="AJ145" t="str">
        <f t="shared" si="168"/>
        <v>170</v>
      </c>
      <c r="AK145" t="str">
        <f>"76"</f>
        <v>76</v>
      </c>
      <c r="AL145" t="str">
        <f>"892"</f>
        <v>892</v>
      </c>
      <c r="AM145" t="str">
        <f>"76"</f>
        <v>76</v>
      </c>
      <c r="AN145" t="str">
        <f>"76001"</f>
        <v>76001</v>
      </c>
      <c r="AO145" t="str">
        <f>"15/10/2020 12:00:00 a. m."</f>
        <v>15/10/2020 12:00:00 a. m.</v>
      </c>
      <c r="AP145" t="str">
        <f>"1/10/2020 12:00:00 a. m."</f>
        <v>1/10/2020 12:00:00 a. m.</v>
      </c>
      <c r="AQ145" t="str">
        <f>"2"</f>
        <v>2</v>
      </c>
      <c r="AR145" t="str">
        <f t="shared" si="173"/>
        <v>1</v>
      </c>
      <c r="AS145" t="str">
        <f>"15/10/2020 12:00:00 a. m."</f>
        <v>15/10/2020 12:00:00 a. m.</v>
      </c>
      <c r="AT145" t="str">
        <f t="shared" si="179"/>
        <v>1</v>
      </c>
      <c r="AU145" t="str">
        <f>""</f>
        <v/>
      </c>
      <c r="AV145" t="str">
        <f>"3"</f>
        <v>3</v>
      </c>
      <c r="AW145" t="str">
        <f>"3/04/2019 12:00:00 a. m."</f>
        <v>3/04/2019 12:00:00 a. m.</v>
      </c>
      <c r="AX145" t="str">
        <f>""</f>
        <v/>
      </c>
      <c r="AY145" t="str">
        <f t="shared" si="160"/>
        <v>30/04/2021 12:00:00 a. m.</v>
      </c>
      <c r="AZ145" t="str">
        <f>"3/11/2020 12:00:00 a. m."</f>
        <v>3/11/2020 12:00:00 a. m.</v>
      </c>
      <c r="BA145" t="str">
        <f>""</f>
        <v/>
      </c>
      <c r="BB145" t="str">
        <f>""</f>
        <v/>
      </c>
      <c r="BC145" t="str">
        <f>""</f>
        <v/>
      </c>
      <c r="BD145" t="str">
        <f t="shared" si="180"/>
        <v>1</v>
      </c>
      <c r="BE145" t="str">
        <f t="shared" si="180"/>
        <v>1</v>
      </c>
      <c r="BF145" t="str">
        <f t="shared" si="161"/>
        <v xml:space="preserve">3         </v>
      </c>
      <c r="BG145" t="str">
        <f t="shared" si="162"/>
        <v>Confirmado por laboratorio</v>
      </c>
      <c r="BH145" t="str">
        <f>"HOSPITAL UNIVERSITARIO DEL VALLE EVARISTO GARCIA"</f>
        <v>HOSPITAL UNIVERSITARIO DEL VALLE EVARISTO GARCIA</v>
      </c>
      <c r="BI145" t="str">
        <f t="shared" si="170"/>
        <v>COLOMBIA</v>
      </c>
      <c r="BJ145" t="str">
        <f t="shared" si="163"/>
        <v>CANCER INFANTIL</v>
      </c>
      <c r="BK145" t="str">
        <f>"VALLE"</f>
        <v>VALLE</v>
      </c>
      <c r="BL145" t="str">
        <f>"YUMBO"</f>
        <v>YUMBO</v>
      </c>
      <c r="BM145" t="str">
        <f t="shared" si="171"/>
        <v>COLOMBIA</v>
      </c>
      <c r="BN145" t="str">
        <f>"VALLE"</f>
        <v>VALLE</v>
      </c>
      <c r="BO145" t="str">
        <f>"YUMBO"</f>
        <v>YUMBO</v>
      </c>
      <c r="BP145" t="str">
        <f>"VALLE"</f>
        <v>VALLE</v>
      </c>
      <c r="BQ145" t="str">
        <f>"CALI"</f>
        <v>CALI</v>
      </c>
    </row>
    <row r="146" spans="1:69" x14ac:dyDescent="0.25">
      <c r="A146" t="str">
        <f>"7285439"</f>
        <v>7285439</v>
      </c>
      <c r="B146" t="str">
        <f t="shared" si="156"/>
        <v>459</v>
      </c>
      <c r="C146" t="str">
        <f>"4/09/2020 12:00:00 a. m."</f>
        <v>4/09/2020 12:00:00 a. m.</v>
      </c>
      <c r="D146" t="str">
        <f>"36"</f>
        <v>36</v>
      </c>
      <c r="E146" t="str">
        <f t="shared" si="157"/>
        <v>2020</v>
      </c>
      <c r="F146" t="str">
        <f>"5200100283"</f>
        <v>5200100283</v>
      </c>
      <c r="G146" t="str">
        <f t="shared" si="181"/>
        <v>01</v>
      </c>
      <c r="H146" t="str">
        <f>"6"</f>
        <v>6</v>
      </c>
      <c r="I146" t="str">
        <f t="shared" si="152"/>
        <v>1</v>
      </c>
      <c r="J146" t="str">
        <f>"F"</f>
        <v>F</v>
      </c>
      <c r="K146" t="str">
        <f t="shared" si="165"/>
        <v>170</v>
      </c>
      <c r="L146" t="str">
        <f>"52"</f>
        <v>52</v>
      </c>
      <c r="M146" t="str">
        <f>"612"</f>
        <v>612</v>
      </c>
      <c r="N146" t="str">
        <f>"3"</f>
        <v>3</v>
      </c>
      <c r="O146" t="str">
        <f>"9999"</f>
        <v>9999</v>
      </c>
      <c r="P146" t="str">
        <f>"S"</f>
        <v>S</v>
      </c>
      <c r="Q146" t="str">
        <f>"EPSI05"</f>
        <v>EPSI05</v>
      </c>
      <c r="R146" t="str">
        <f>"1"</f>
        <v>1</v>
      </c>
      <c r="S146" t="str">
        <f>""</f>
        <v/>
      </c>
      <c r="T146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146" t="str">
        <f>"1         "</f>
        <v xml:space="preserve">1         </v>
      </c>
      <c r="V146" t="str">
        <f t="shared" si="174"/>
        <v>2</v>
      </c>
      <c r="W146" t="str">
        <f t="shared" si="174"/>
        <v>2</v>
      </c>
      <c r="X146" t="str">
        <f t="shared" si="166"/>
        <v>2</v>
      </c>
      <c r="Y146" t="str">
        <f t="shared" si="175"/>
        <v>2</v>
      </c>
      <c r="Z146" t="str">
        <f t="shared" si="175"/>
        <v>2</v>
      </c>
      <c r="AA146" t="str">
        <f t="shared" si="159"/>
        <v xml:space="preserve">          </v>
      </c>
      <c r="AB146" t="str">
        <f t="shared" si="148"/>
        <v>2</v>
      </c>
      <c r="AC146" t="str">
        <f t="shared" si="150"/>
        <v>2</v>
      </c>
      <c r="AD146" t="str">
        <f t="shared" si="177"/>
        <v>2</v>
      </c>
      <c r="AE146" t="str">
        <f t="shared" si="177"/>
        <v>2</v>
      </c>
      <c r="AF146" t="str">
        <f t="shared" si="177"/>
        <v>2</v>
      </c>
      <c r="AG146" t="str">
        <f t="shared" si="177"/>
        <v>2</v>
      </c>
      <c r="AH146" t="str">
        <f t="shared" si="167"/>
        <v>1</v>
      </c>
      <c r="AI146" t="str">
        <f t="shared" si="178"/>
        <v xml:space="preserve">1         </v>
      </c>
      <c r="AJ146" t="str">
        <f t="shared" si="168"/>
        <v>170</v>
      </c>
      <c r="AK146" t="str">
        <f>"52"</f>
        <v>52</v>
      </c>
      <c r="AL146" t="str">
        <f>"612"</f>
        <v>612</v>
      </c>
      <c r="AM146" t="str">
        <f>"52"</f>
        <v>52</v>
      </c>
      <c r="AN146" t="str">
        <f>"52001"</f>
        <v>52001</v>
      </c>
      <c r="AO146" t="str">
        <f>"3/09/2020 12:00:00 a. m."</f>
        <v>3/09/2020 12:00:00 a. m.</v>
      </c>
      <c r="AP146" t="str">
        <f>"18/08/2020 12:00:00 a. m."</f>
        <v>18/08/2020 12:00:00 a. m.</v>
      </c>
      <c r="AQ146" t="str">
        <f>"2"</f>
        <v>2</v>
      </c>
      <c r="AR146" t="str">
        <f t="shared" si="173"/>
        <v>1</v>
      </c>
      <c r="AS146" t="str">
        <f>"3/09/2020 12:00:00 a. m."</f>
        <v>3/09/2020 12:00:00 a. m.</v>
      </c>
      <c r="AT146" t="str">
        <f t="shared" si="179"/>
        <v>1</v>
      </c>
      <c r="AU146" t="str">
        <f>""</f>
        <v/>
      </c>
      <c r="AV146" t="str">
        <f>"3"</f>
        <v>3</v>
      </c>
      <c r="AW146" t="str">
        <f>"7/08/2014 12:00:00 a. m."</f>
        <v>7/08/2014 12:00:00 a. m.</v>
      </c>
      <c r="AX146" t="str">
        <f>""</f>
        <v/>
      </c>
      <c r="AY146" t="str">
        <f t="shared" si="160"/>
        <v>30/04/2021 12:00:00 a. m.</v>
      </c>
      <c r="AZ146" t="str">
        <f>"9/12/2020 12:00:00 a. m."</f>
        <v>9/12/2020 12:00:00 a. m.</v>
      </c>
      <c r="BA146" t="str">
        <f>""</f>
        <v/>
      </c>
      <c r="BB146" t="str">
        <f>""</f>
        <v/>
      </c>
      <c r="BC146" t="str">
        <f>""</f>
        <v/>
      </c>
      <c r="BD146" t="str">
        <f t="shared" si="180"/>
        <v>1</v>
      </c>
      <c r="BE146" t="str">
        <f t="shared" si="180"/>
        <v>1</v>
      </c>
      <c r="BF146" t="str">
        <f t="shared" si="161"/>
        <v xml:space="preserve">3         </v>
      </c>
      <c r="BG146" t="str">
        <f t="shared" si="162"/>
        <v>Confirmado por laboratorio</v>
      </c>
      <c r="BH146" t="str">
        <f>"HOSPITAL INFANTIL LOS ANGELES"</f>
        <v>HOSPITAL INFANTIL LOS ANGELES</v>
      </c>
      <c r="BI146" t="str">
        <f t="shared" si="170"/>
        <v>COLOMBIA</v>
      </c>
      <c r="BJ146" t="str">
        <f t="shared" si="163"/>
        <v>CANCER INFANTIL</v>
      </c>
      <c r="BK146" t="str">
        <f>"NARIÑO"</f>
        <v>NARIÑO</v>
      </c>
      <c r="BL146" t="str">
        <f>"RICAURTE"</f>
        <v>RICAURTE</v>
      </c>
      <c r="BM146" t="str">
        <f t="shared" si="171"/>
        <v>COLOMBIA</v>
      </c>
      <c r="BN146" t="str">
        <f>"NARIÑO"</f>
        <v>NARIÑO</v>
      </c>
      <c r="BO146" t="str">
        <f>"RICAURTE"</f>
        <v>RICAURTE</v>
      </c>
      <c r="BP146" t="str">
        <f>"NARIÑO"</f>
        <v>NARIÑO</v>
      </c>
      <c r="BQ146" t="str">
        <f>"PASTO"</f>
        <v>PASTO</v>
      </c>
    </row>
    <row r="147" spans="1:69" x14ac:dyDescent="0.25">
      <c r="A147" t="str">
        <f>"7285408"</f>
        <v>7285408</v>
      </c>
      <c r="B147" t="str">
        <f t="shared" si="156"/>
        <v>459</v>
      </c>
      <c r="C147" t="str">
        <f>"30/11/2020 12:00:00 a. m."</f>
        <v>30/11/2020 12:00:00 a. m.</v>
      </c>
      <c r="D147" t="str">
        <f>"43"</f>
        <v>43</v>
      </c>
      <c r="E147" t="str">
        <f t="shared" si="157"/>
        <v>2020</v>
      </c>
      <c r="F147" t="str">
        <f>"0500102175"</f>
        <v>0500102175</v>
      </c>
      <c r="G147" t="str">
        <f t="shared" si="181"/>
        <v>01</v>
      </c>
      <c r="H147" t="str">
        <f>"17"</f>
        <v>17</v>
      </c>
      <c r="I147" t="str">
        <f t="shared" si="152"/>
        <v>1</v>
      </c>
      <c r="J147" t="str">
        <f>"F"</f>
        <v>F</v>
      </c>
      <c r="K147" t="str">
        <f t="shared" si="165"/>
        <v>170</v>
      </c>
      <c r="L147" t="str">
        <f>"05"</f>
        <v>05</v>
      </c>
      <c r="M147" t="str">
        <f>"266"</f>
        <v>266</v>
      </c>
      <c r="N147" t="str">
        <f>"1"</f>
        <v>1</v>
      </c>
      <c r="O147" t="str">
        <f>"9997"</f>
        <v>9997</v>
      </c>
      <c r="P147" t="str">
        <f>"S"</f>
        <v>S</v>
      </c>
      <c r="Q147" t="str">
        <f>"EPSS40"</f>
        <v>EPSS40</v>
      </c>
      <c r="R147" t="str">
        <f t="shared" ref="R147:R153" si="182">"6"</f>
        <v>6</v>
      </c>
      <c r="S147" t="str">
        <f>""</f>
        <v/>
      </c>
      <c r="T147" t="str">
        <f t="shared" ref="T147:T210" si="183">"                                                                                                    "</f>
        <v xml:space="preserve">                                                                                                    </v>
      </c>
      <c r="U147" t="str">
        <f t="shared" ref="U147:U152" si="184">"2         "</f>
        <v xml:space="preserve">2         </v>
      </c>
      <c r="V147" t="str">
        <f t="shared" si="174"/>
        <v>2</v>
      </c>
      <c r="W147" t="str">
        <f t="shared" si="174"/>
        <v>2</v>
      </c>
      <c r="X147" t="str">
        <f t="shared" si="166"/>
        <v>2</v>
      </c>
      <c r="Y147" t="str">
        <f t="shared" si="175"/>
        <v>2</v>
      </c>
      <c r="Z147" t="str">
        <f t="shared" si="175"/>
        <v>2</v>
      </c>
      <c r="AA147" t="str">
        <f t="shared" si="159"/>
        <v xml:space="preserve">          </v>
      </c>
      <c r="AB147" t="str">
        <f t="shared" si="148"/>
        <v>2</v>
      </c>
      <c r="AC147" t="str">
        <f t="shared" si="150"/>
        <v>2</v>
      </c>
      <c r="AD147" t="str">
        <f t="shared" si="177"/>
        <v>2</v>
      </c>
      <c r="AE147" t="str">
        <f t="shared" si="177"/>
        <v>2</v>
      </c>
      <c r="AF147" t="str">
        <f t="shared" si="177"/>
        <v>2</v>
      </c>
      <c r="AG147" t="str">
        <f t="shared" si="177"/>
        <v>2</v>
      </c>
      <c r="AH147" t="str">
        <f t="shared" si="167"/>
        <v>1</v>
      </c>
      <c r="AI147" t="str">
        <f t="shared" si="178"/>
        <v xml:space="preserve">1         </v>
      </c>
      <c r="AJ147" t="str">
        <f t="shared" si="168"/>
        <v>170</v>
      </c>
      <c r="AK147" t="str">
        <f>"05"</f>
        <v>05</v>
      </c>
      <c r="AL147" t="str">
        <f>"266"</f>
        <v>266</v>
      </c>
      <c r="AM147" t="str">
        <f>"05"</f>
        <v>05</v>
      </c>
      <c r="AN147" t="str">
        <f>"05001"</f>
        <v>05001</v>
      </c>
      <c r="AO147" t="str">
        <f>"21/10/2020 12:00:00 a. m."</f>
        <v>21/10/2020 12:00:00 a. m.</v>
      </c>
      <c r="AP147" t="str">
        <f>"21/02/2020 12:00:00 a. m."</f>
        <v>21/02/2020 12:00:00 a. m.</v>
      </c>
      <c r="AQ147" t="str">
        <f>"3"</f>
        <v>3</v>
      </c>
      <c r="AR147" t="str">
        <f t="shared" si="173"/>
        <v>1</v>
      </c>
      <c r="AS147" t="str">
        <f>"23/11/2020 12:00:00 a. m."</f>
        <v>23/11/2020 12:00:00 a. m.</v>
      </c>
      <c r="AT147" t="str">
        <f t="shared" si="179"/>
        <v>1</v>
      </c>
      <c r="AU147" t="str">
        <f>""</f>
        <v/>
      </c>
      <c r="AV147" t="str">
        <f>"0"</f>
        <v>0</v>
      </c>
      <c r="AW147" t="str">
        <f>"28/11/2003 12:00:00 a. m."</f>
        <v>28/11/2003 12:00:00 a. m.</v>
      </c>
      <c r="AX147" t="str">
        <f>""</f>
        <v/>
      </c>
      <c r="AY147" t="str">
        <f t="shared" si="160"/>
        <v>30/04/2021 12:00:00 a. m.</v>
      </c>
      <c r="AZ147" t="str">
        <f>"30/11/2020 12:00:00 a. m."</f>
        <v>30/11/2020 12:00:00 a. m.</v>
      </c>
      <c r="BA147" t="str">
        <f>""</f>
        <v/>
      </c>
      <c r="BB147" t="str">
        <f>""</f>
        <v/>
      </c>
      <c r="BC147" t="str">
        <f>""</f>
        <v/>
      </c>
      <c r="BD147" t="str">
        <f t="shared" si="180"/>
        <v>1</v>
      </c>
      <c r="BE147" t="str">
        <f t="shared" si="180"/>
        <v>1</v>
      </c>
      <c r="BF147" t="str">
        <f t="shared" si="161"/>
        <v xml:space="preserve">3         </v>
      </c>
      <c r="BG147" t="str">
        <f t="shared" si="162"/>
        <v>Confirmado por laboratorio</v>
      </c>
      <c r="BH147" t="str">
        <f>"FUNDACION HOSPITALARIA SAN VICENTE DE PAUL"</f>
        <v>FUNDACION HOSPITALARIA SAN VICENTE DE PAUL</v>
      </c>
      <c r="BI147" t="str">
        <f t="shared" si="170"/>
        <v>COLOMBIA</v>
      </c>
      <c r="BJ147" t="str">
        <f t="shared" si="163"/>
        <v>CANCER INFANTIL</v>
      </c>
      <c r="BK147" t="str">
        <f>"ANTIOQUIA"</f>
        <v>ANTIOQUIA</v>
      </c>
      <c r="BL147" t="str">
        <f>"ENVIGADO"</f>
        <v>ENVIGADO</v>
      </c>
      <c r="BM147" t="str">
        <f t="shared" si="171"/>
        <v>COLOMBIA</v>
      </c>
      <c r="BN147" t="str">
        <f>"ANTIOQUIA"</f>
        <v>ANTIOQUIA</v>
      </c>
      <c r="BO147" t="str">
        <f>"ENVIGADO"</f>
        <v>ENVIGADO</v>
      </c>
      <c r="BP147" t="str">
        <f>"ANTIOQUIA"</f>
        <v>ANTIOQUIA</v>
      </c>
      <c r="BQ147" t="str">
        <f>"MEDELLIN"</f>
        <v>MEDELLIN</v>
      </c>
    </row>
    <row r="148" spans="1:69" x14ac:dyDescent="0.25">
      <c r="A148" t="str">
        <f>"7285412"</f>
        <v>7285412</v>
      </c>
      <c r="B148" t="str">
        <f t="shared" si="156"/>
        <v>459</v>
      </c>
      <c r="C148" t="str">
        <f>"21/04/2020 12:00:00 a. m."</f>
        <v>21/04/2020 12:00:00 a. m.</v>
      </c>
      <c r="D148" t="str">
        <f>"11"</f>
        <v>11</v>
      </c>
      <c r="E148" t="str">
        <f t="shared" si="157"/>
        <v>2020</v>
      </c>
      <c r="F148" t="str">
        <f>"0500102175"</f>
        <v>0500102175</v>
      </c>
      <c r="G148" t="str">
        <f t="shared" si="181"/>
        <v>01</v>
      </c>
      <c r="H148" t="str">
        <f>"1"</f>
        <v>1</v>
      </c>
      <c r="I148" t="str">
        <f t="shared" si="152"/>
        <v>1</v>
      </c>
      <c r="J148" t="str">
        <f>"M"</f>
        <v>M</v>
      </c>
      <c r="K148" t="str">
        <f t="shared" si="165"/>
        <v>170</v>
      </c>
      <c r="L148" t="str">
        <f>"05"</f>
        <v>05</v>
      </c>
      <c r="M148" t="str">
        <f>"172"</f>
        <v>172</v>
      </c>
      <c r="N148" t="str">
        <f>"3"</f>
        <v>3</v>
      </c>
      <c r="O148" t="str">
        <f>"9999"</f>
        <v>9999</v>
      </c>
      <c r="P148" t="str">
        <f>"C"</f>
        <v>C</v>
      </c>
      <c r="Q148" t="str">
        <f>"EPS041"</f>
        <v>EPS041</v>
      </c>
      <c r="R148" t="str">
        <f t="shared" si="182"/>
        <v>6</v>
      </c>
      <c r="S148" t="str">
        <f>""</f>
        <v/>
      </c>
      <c r="T148" t="str">
        <f t="shared" si="183"/>
        <v xml:space="preserve">                                                                                                    </v>
      </c>
      <c r="U148" t="str">
        <f t="shared" si="184"/>
        <v xml:space="preserve">2         </v>
      </c>
      <c r="V148" t="str">
        <f t="shared" si="174"/>
        <v>2</v>
      </c>
      <c r="W148" t="str">
        <f t="shared" si="174"/>
        <v>2</v>
      </c>
      <c r="X148" t="str">
        <f t="shared" si="166"/>
        <v>2</v>
      </c>
      <c r="Y148" t="str">
        <f t="shared" si="175"/>
        <v>2</v>
      </c>
      <c r="Z148" t="str">
        <f t="shared" si="175"/>
        <v>2</v>
      </c>
      <c r="AA148" t="str">
        <f t="shared" si="159"/>
        <v xml:space="preserve">          </v>
      </c>
      <c r="AB148" t="str">
        <f t="shared" si="148"/>
        <v>2</v>
      </c>
      <c r="AC148" t="str">
        <f t="shared" si="150"/>
        <v>2</v>
      </c>
      <c r="AD148" t="str">
        <f t="shared" si="177"/>
        <v>2</v>
      </c>
      <c r="AE148" t="str">
        <f t="shared" si="177"/>
        <v>2</v>
      </c>
      <c r="AF148" t="str">
        <f t="shared" si="177"/>
        <v>2</v>
      </c>
      <c r="AG148" t="str">
        <f t="shared" si="177"/>
        <v>2</v>
      </c>
      <c r="AH148" t="str">
        <f t="shared" si="167"/>
        <v>1</v>
      </c>
      <c r="AI148" t="str">
        <f t="shared" si="178"/>
        <v xml:space="preserve">1         </v>
      </c>
      <c r="AJ148" t="str">
        <f t="shared" si="168"/>
        <v>170</v>
      </c>
      <c r="AK148" t="str">
        <f>"05"</f>
        <v>05</v>
      </c>
      <c r="AL148" t="str">
        <f>"172"</f>
        <v>172</v>
      </c>
      <c r="AM148" t="str">
        <f>"05"</f>
        <v>05</v>
      </c>
      <c r="AN148" t="str">
        <f>"05001"</f>
        <v>05001</v>
      </c>
      <c r="AO148" t="str">
        <f>"14/03/2020 12:00:00 a. m."</f>
        <v>14/03/2020 12:00:00 a. m.</v>
      </c>
      <c r="AP148" t="str">
        <f>"14/03/2020 12:00:00 a. m."</f>
        <v>14/03/2020 12:00:00 a. m.</v>
      </c>
      <c r="AQ148" t="str">
        <f>"3"</f>
        <v>3</v>
      </c>
      <c r="AR148" t="str">
        <f t="shared" si="173"/>
        <v>1</v>
      </c>
      <c r="AS148" t="str">
        <f>"14/03/2020 12:00:00 a. m."</f>
        <v>14/03/2020 12:00:00 a. m.</v>
      </c>
      <c r="AT148" t="str">
        <f t="shared" si="179"/>
        <v>1</v>
      </c>
      <c r="AU148" t="str">
        <f>""</f>
        <v/>
      </c>
      <c r="AV148" t="str">
        <f>"0"</f>
        <v>0</v>
      </c>
      <c r="AW148" t="str">
        <f>"5/06/2018 12:00:00 a. m."</f>
        <v>5/06/2018 12:00:00 a. m.</v>
      </c>
      <c r="AX148" t="str">
        <f>""</f>
        <v/>
      </c>
      <c r="AY148" t="str">
        <f t="shared" si="160"/>
        <v>30/04/2021 12:00:00 a. m.</v>
      </c>
      <c r="AZ148" t="str">
        <f>"21/04/2020 12:00:00 a. m."</f>
        <v>21/04/2020 12:00:00 a. m.</v>
      </c>
      <c r="BA148" t="str">
        <f>""</f>
        <v/>
      </c>
      <c r="BB148" t="str">
        <f>""</f>
        <v/>
      </c>
      <c r="BC148" t="str">
        <f>""</f>
        <v/>
      </c>
      <c r="BD148" t="str">
        <f t="shared" si="180"/>
        <v>1</v>
      </c>
      <c r="BE148" t="str">
        <f t="shared" si="180"/>
        <v>1</v>
      </c>
      <c r="BF148" t="str">
        <f t="shared" si="161"/>
        <v xml:space="preserve">3         </v>
      </c>
      <c r="BG148" t="str">
        <f t="shared" si="162"/>
        <v>Confirmado por laboratorio</v>
      </c>
      <c r="BH148" t="str">
        <f>"FUNDACION HOSPITALARIA SAN VICENTE DE PAUL"</f>
        <v>FUNDACION HOSPITALARIA SAN VICENTE DE PAUL</v>
      </c>
      <c r="BI148" t="str">
        <f t="shared" si="170"/>
        <v>COLOMBIA</v>
      </c>
      <c r="BJ148" t="str">
        <f t="shared" si="163"/>
        <v>CANCER INFANTIL</v>
      </c>
      <c r="BK148" t="str">
        <f>"ANTIOQUIA"</f>
        <v>ANTIOQUIA</v>
      </c>
      <c r="BL148" t="str">
        <f>"CHIGORODO"</f>
        <v>CHIGORODO</v>
      </c>
      <c r="BM148" t="str">
        <f t="shared" si="171"/>
        <v>COLOMBIA</v>
      </c>
      <c r="BN148" t="str">
        <f>"ANTIOQUIA"</f>
        <v>ANTIOQUIA</v>
      </c>
      <c r="BO148" t="str">
        <f>"CHIGORODO"</f>
        <v>CHIGORODO</v>
      </c>
      <c r="BP148" t="str">
        <f>"ANTIOQUIA"</f>
        <v>ANTIOQUIA</v>
      </c>
      <c r="BQ148" t="str">
        <f>"MEDELLIN"</f>
        <v>MEDELLIN</v>
      </c>
    </row>
    <row r="149" spans="1:69" x14ac:dyDescent="0.25">
      <c r="A149" t="str">
        <f>"7285914"</f>
        <v>7285914</v>
      </c>
      <c r="B149" t="str">
        <f t="shared" si="156"/>
        <v>459</v>
      </c>
      <c r="C149" t="str">
        <f>"4/02/2021 12:00:00 a. m."</f>
        <v>4/02/2021 12:00:00 a. m.</v>
      </c>
      <c r="D149" t="str">
        <f>"47"</f>
        <v>47</v>
      </c>
      <c r="E149" t="str">
        <f t="shared" si="157"/>
        <v>2020</v>
      </c>
      <c r="F149" t="str">
        <f>"1100105681"</f>
        <v>1100105681</v>
      </c>
      <c r="G149" t="str">
        <f t="shared" si="181"/>
        <v>01</v>
      </c>
      <c r="H149" t="str">
        <f>"1"</f>
        <v>1</v>
      </c>
      <c r="I149" t="str">
        <f t="shared" si="152"/>
        <v>1</v>
      </c>
      <c r="J149" t="str">
        <f>"F"</f>
        <v>F</v>
      </c>
      <c r="K149" t="str">
        <f t="shared" si="165"/>
        <v>170</v>
      </c>
      <c r="L149" t="str">
        <f>"15"</f>
        <v>15</v>
      </c>
      <c r="M149" t="str">
        <f>"514"</f>
        <v>514</v>
      </c>
      <c r="N149" t="str">
        <f>"1"</f>
        <v>1</v>
      </c>
      <c r="O149" t="str">
        <f>"9999"</f>
        <v>9999</v>
      </c>
      <c r="P149" t="str">
        <f>"S"</f>
        <v>S</v>
      </c>
      <c r="Q149" t="str">
        <f>"ESS024"</f>
        <v>ESS024</v>
      </c>
      <c r="R149" t="str">
        <f t="shared" si="182"/>
        <v>6</v>
      </c>
      <c r="S149" t="str">
        <f>""</f>
        <v/>
      </c>
      <c r="T149" t="str">
        <f t="shared" si="183"/>
        <v xml:space="preserve">                                                                                                    </v>
      </c>
      <c r="U149" t="str">
        <f t="shared" si="184"/>
        <v xml:space="preserve">2         </v>
      </c>
      <c r="V149" t="str">
        <f t="shared" si="174"/>
        <v>2</v>
      </c>
      <c r="W149" t="str">
        <f t="shared" si="174"/>
        <v>2</v>
      </c>
      <c r="X149" t="str">
        <f t="shared" si="166"/>
        <v>2</v>
      </c>
      <c r="Y149" t="str">
        <f t="shared" si="175"/>
        <v>2</v>
      </c>
      <c r="Z149" t="str">
        <f t="shared" si="175"/>
        <v>2</v>
      </c>
      <c r="AA149" t="str">
        <f t="shared" si="159"/>
        <v xml:space="preserve">          </v>
      </c>
      <c r="AB149" t="str">
        <f t="shared" si="148"/>
        <v>2</v>
      </c>
      <c r="AC149" t="str">
        <f t="shared" si="150"/>
        <v>2</v>
      </c>
      <c r="AD149" t="str">
        <f t="shared" si="177"/>
        <v>2</v>
      </c>
      <c r="AE149" t="str">
        <f t="shared" si="177"/>
        <v>2</v>
      </c>
      <c r="AF149" t="str">
        <f t="shared" si="177"/>
        <v>2</v>
      </c>
      <c r="AG149" t="str">
        <f t="shared" si="177"/>
        <v>2</v>
      </c>
      <c r="AH149" t="str">
        <f t="shared" si="167"/>
        <v>1</v>
      </c>
      <c r="AI149" t="str">
        <f t="shared" si="178"/>
        <v xml:space="preserve">1         </v>
      </c>
      <c r="AJ149" t="str">
        <f t="shared" si="168"/>
        <v>170</v>
      </c>
      <c r="AK149" t="str">
        <f>"15"</f>
        <v>15</v>
      </c>
      <c r="AL149" t="str">
        <f>"514"</f>
        <v>514</v>
      </c>
      <c r="AM149" t="str">
        <f>"11"</f>
        <v>11</v>
      </c>
      <c r="AN149" t="str">
        <f>"11001"</f>
        <v>11001</v>
      </c>
      <c r="AO149" t="str">
        <f>"18/11/2020 12:00:00 a. m."</f>
        <v>18/11/2020 12:00:00 a. m.</v>
      </c>
      <c r="AP149" t="str">
        <f>"13/01/2020 12:00:00 a. m."</f>
        <v>13/01/2020 12:00:00 a. m.</v>
      </c>
      <c r="AQ149" t="str">
        <f>"3"</f>
        <v>3</v>
      </c>
      <c r="AR149" t="str">
        <f t="shared" si="173"/>
        <v>1</v>
      </c>
      <c r="AS149" t="str">
        <f>"18/11/2020 12:00:00 a. m."</f>
        <v>18/11/2020 12:00:00 a. m.</v>
      </c>
      <c r="AT149" t="str">
        <f t="shared" si="179"/>
        <v>1</v>
      </c>
      <c r="AU149" t="str">
        <f>""</f>
        <v/>
      </c>
      <c r="AV149" t="str">
        <f>"0"</f>
        <v>0</v>
      </c>
      <c r="AW149" t="str">
        <f>"13/11/2019 12:00:00 a. m."</f>
        <v>13/11/2019 12:00:00 a. m.</v>
      </c>
      <c r="AX149" t="str">
        <f>""</f>
        <v/>
      </c>
      <c r="AY149" t="str">
        <f t="shared" si="160"/>
        <v>30/04/2021 12:00:00 a. m.</v>
      </c>
      <c r="AZ149" t="str">
        <f>"4/02/2021 12:00:00 a. m."</f>
        <v>4/02/2021 12:00:00 a. m.</v>
      </c>
      <c r="BA149" t="str">
        <f>""</f>
        <v/>
      </c>
      <c r="BB149" t="str">
        <f>""</f>
        <v/>
      </c>
      <c r="BC149" t="str">
        <f>""</f>
        <v/>
      </c>
      <c r="BD149" t="str">
        <f t="shared" si="180"/>
        <v>1</v>
      </c>
      <c r="BE149" t="str">
        <f t="shared" si="180"/>
        <v>1</v>
      </c>
      <c r="BF149" t="str">
        <f t="shared" si="161"/>
        <v xml:space="preserve">3         </v>
      </c>
      <c r="BG149" t="str">
        <f t="shared" si="162"/>
        <v>Confirmado por laboratorio</v>
      </c>
      <c r="BH149" t="str">
        <f>"FUNDACION HOSPITAL DE LA MISERICORDIA"</f>
        <v>FUNDACION HOSPITAL DE LA MISERICORDIA</v>
      </c>
      <c r="BI149" t="str">
        <f t="shared" si="170"/>
        <v>COLOMBIA</v>
      </c>
      <c r="BJ149" t="str">
        <f t="shared" si="163"/>
        <v>CANCER INFANTIL</v>
      </c>
      <c r="BK149" t="str">
        <f>"BOYACA"</f>
        <v>BOYACA</v>
      </c>
      <c r="BL149" t="str">
        <f>"PAEZ"</f>
        <v>PAEZ</v>
      </c>
      <c r="BM149" t="str">
        <f t="shared" si="171"/>
        <v>COLOMBIA</v>
      </c>
      <c r="BN149" t="str">
        <f>"BOYACA"</f>
        <v>BOYACA</v>
      </c>
      <c r="BO149" t="str">
        <f>"PAEZ"</f>
        <v>PAEZ</v>
      </c>
      <c r="BP149" t="str">
        <f>"BOGOTA"</f>
        <v>BOGOTA</v>
      </c>
      <c r="BQ149" t="str">
        <f>"BOGOTA"</f>
        <v>BOGOTA</v>
      </c>
    </row>
    <row r="150" spans="1:69" x14ac:dyDescent="0.25">
      <c r="A150" t="str">
        <f>"7285821"</f>
        <v>7285821</v>
      </c>
      <c r="B150" t="str">
        <f t="shared" si="156"/>
        <v>459</v>
      </c>
      <c r="C150" t="str">
        <f>"28/01/2021 12:00:00 a. m."</f>
        <v>28/01/2021 12:00:00 a. m.</v>
      </c>
      <c r="D150" t="str">
        <f>"53"</f>
        <v>53</v>
      </c>
      <c r="E150" t="str">
        <f t="shared" si="157"/>
        <v>2020</v>
      </c>
      <c r="F150" t="str">
        <f>"0800100544"</f>
        <v>0800100544</v>
      </c>
      <c r="G150" t="str">
        <f t="shared" si="181"/>
        <v>01</v>
      </c>
      <c r="H150" t="str">
        <f>"3"</f>
        <v>3</v>
      </c>
      <c r="I150" t="str">
        <f t="shared" si="152"/>
        <v>1</v>
      </c>
      <c r="J150" t="str">
        <f>"M"</f>
        <v>M</v>
      </c>
      <c r="K150" t="str">
        <f t="shared" si="165"/>
        <v>170</v>
      </c>
      <c r="L150" t="str">
        <f>"08"</f>
        <v>08</v>
      </c>
      <c r="M150" t="str">
        <f>"001"</f>
        <v>001</v>
      </c>
      <c r="N150" t="str">
        <f>"1"</f>
        <v>1</v>
      </c>
      <c r="O150" t="str">
        <f>"9999"</f>
        <v>9999</v>
      </c>
      <c r="P150" t="str">
        <f>"S"</f>
        <v>S</v>
      </c>
      <c r="Q150" t="str">
        <f>"CCF055"</f>
        <v>CCF055</v>
      </c>
      <c r="R150" t="str">
        <f t="shared" si="182"/>
        <v>6</v>
      </c>
      <c r="S150" t="str">
        <f>""</f>
        <v/>
      </c>
      <c r="T150" t="str">
        <f t="shared" si="183"/>
        <v xml:space="preserve">                                                                                                    </v>
      </c>
      <c r="U150" t="str">
        <f t="shared" si="184"/>
        <v xml:space="preserve">2         </v>
      </c>
      <c r="V150" t="str">
        <f t="shared" si="174"/>
        <v>2</v>
      </c>
      <c r="W150" t="str">
        <f t="shared" si="174"/>
        <v>2</v>
      </c>
      <c r="X150" t="str">
        <f t="shared" si="166"/>
        <v>2</v>
      </c>
      <c r="Y150" t="str">
        <f t="shared" si="175"/>
        <v>2</v>
      </c>
      <c r="Z150" t="str">
        <f t="shared" si="175"/>
        <v>2</v>
      </c>
      <c r="AA150" t="str">
        <f t="shared" si="159"/>
        <v xml:space="preserve">          </v>
      </c>
      <c r="AB150" t="str">
        <f t="shared" si="148"/>
        <v>2</v>
      </c>
      <c r="AC150" t="str">
        <f t="shared" si="150"/>
        <v>2</v>
      </c>
      <c r="AD150" t="str">
        <f t="shared" si="177"/>
        <v>2</v>
      </c>
      <c r="AE150" t="str">
        <f t="shared" si="177"/>
        <v>2</v>
      </c>
      <c r="AF150" t="str">
        <f t="shared" si="177"/>
        <v>2</v>
      </c>
      <c r="AG150" t="str">
        <f t="shared" si="177"/>
        <v>2</v>
      </c>
      <c r="AH150" t="str">
        <f t="shared" si="167"/>
        <v>1</v>
      </c>
      <c r="AI150" t="str">
        <f t="shared" si="178"/>
        <v xml:space="preserve">1         </v>
      </c>
      <c r="AJ150" t="str">
        <f t="shared" si="168"/>
        <v>170</v>
      </c>
      <c r="AK150" t="str">
        <f>"08"</f>
        <v>08</v>
      </c>
      <c r="AL150" t="str">
        <f>"001"</f>
        <v>001</v>
      </c>
      <c r="AM150" t="str">
        <f>"08"</f>
        <v>08</v>
      </c>
      <c r="AN150" t="str">
        <f>"08001"</f>
        <v>08001</v>
      </c>
      <c r="AO150" t="str">
        <f>"27/12/2020 12:00:00 a. m."</f>
        <v>27/12/2020 12:00:00 a. m.</v>
      </c>
      <c r="AP150" t="str">
        <f>"17/12/2020 12:00:00 a. m."</f>
        <v>17/12/2020 12:00:00 a. m.</v>
      </c>
      <c r="AQ150" t="str">
        <f>"3"</f>
        <v>3</v>
      </c>
      <c r="AR150" t="str">
        <f t="shared" si="173"/>
        <v>1</v>
      </c>
      <c r="AS150" t="str">
        <f>"27/12/2020 12:00:00 a. m."</f>
        <v>27/12/2020 12:00:00 a. m.</v>
      </c>
      <c r="AT150" t="str">
        <f t="shared" si="179"/>
        <v>1</v>
      </c>
      <c r="AU150" t="str">
        <f>""</f>
        <v/>
      </c>
      <c r="AV150" t="str">
        <f>"0"</f>
        <v>0</v>
      </c>
      <c r="AW150" t="str">
        <f>"8/06/2017 12:00:00 a. m."</f>
        <v>8/06/2017 12:00:00 a. m.</v>
      </c>
      <c r="AX150" t="str">
        <f>""</f>
        <v/>
      </c>
      <c r="AY150" t="str">
        <f t="shared" si="160"/>
        <v>30/04/2021 12:00:00 a. m.</v>
      </c>
      <c r="AZ150" t="str">
        <f>"28/01/2021 12:00:00 a. m."</f>
        <v>28/01/2021 12:00:00 a. m.</v>
      </c>
      <c r="BA150" t="str">
        <f>""</f>
        <v/>
      </c>
      <c r="BB150" t="str">
        <f>""</f>
        <v/>
      </c>
      <c r="BC150" t="str">
        <f>""</f>
        <v/>
      </c>
      <c r="BD150" t="str">
        <f t="shared" si="180"/>
        <v>1</v>
      </c>
      <c r="BE150" t="str">
        <f t="shared" si="180"/>
        <v>1</v>
      </c>
      <c r="BF150" t="str">
        <f t="shared" si="161"/>
        <v xml:space="preserve">3         </v>
      </c>
      <c r="BG150" t="str">
        <f t="shared" si="162"/>
        <v>Confirmado por laboratorio</v>
      </c>
      <c r="BH150" t="str">
        <f>"ORGANIZACION CLINICA BONNADONA PREVENIR SA"</f>
        <v>ORGANIZACION CLINICA BONNADONA PREVENIR SA</v>
      </c>
      <c r="BI150" t="str">
        <f t="shared" si="170"/>
        <v>COLOMBIA</v>
      </c>
      <c r="BJ150" t="str">
        <f t="shared" si="163"/>
        <v>CANCER INFANTIL</v>
      </c>
      <c r="BK150" t="str">
        <f>"ATLANTICO"</f>
        <v>ATLANTICO</v>
      </c>
      <c r="BL150" t="str">
        <f>"BARRANQUILLA"</f>
        <v>BARRANQUILLA</v>
      </c>
      <c r="BM150" t="str">
        <f t="shared" si="171"/>
        <v>COLOMBIA</v>
      </c>
      <c r="BN150" t="str">
        <f>"ATLANTICO"</f>
        <v>ATLANTICO</v>
      </c>
      <c r="BO150" t="str">
        <f>"BARRANQUILLA"</f>
        <v>BARRANQUILLA</v>
      </c>
      <c r="BP150" t="str">
        <f>"ATLANTICO"</f>
        <v>ATLANTICO</v>
      </c>
      <c r="BQ150" t="str">
        <f>"BARRANQUILLA"</f>
        <v>BARRANQUILLA</v>
      </c>
    </row>
    <row r="151" spans="1:69" x14ac:dyDescent="0.25">
      <c r="A151" t="str">
        <f>"7285839"</f>
        <v>7285839</v>
      </c>
      <c r="B151" t="str">
        <f t="shared" si="156"/>
        <v>459</v>
      </c>
      <c r="C151" t="str">
        <f>"5/02/2020 12:00:00 a. m."</f>
        <v>5/02/2020 12:00:00 a. m.</v>
      </c>
      <c r="D151" t="str">
        <f>"03"</f>
        <v>03</v>
      </c>
      <c r="E151" t="str">
        <f t="shared" si="157"/>
        <v>2020</v>
      </c>
      <c r="F151" t="str">
        <f>"0800100544"</f>
        <v>0800100544</v>
      </c>
      <c r="G151" t="str">
        <f t="shared" si="181"/>
        <v>01</v>
      </c>
      <c r="H151" t="str">
        <f>"12"</f>
        <v>12</v>
      </c>
      <c r="I151" t="str">
        <f t="shared" si="152"/>
        <v>1</v>
      </c>
      <c r="J151" t="str">
        <f>"M"</f>
        <v>M</v>
      </c>
      <c r="K151" t="str">
        <f t="shared" si="165"/>
        <v>170</v>
      </c>
      <c r="L151" t="str">
        <f>"08"</f>
        <v>08</v>
      </c>
      <c r="M151" t="str">
        <f>"001"</f>
        <v>001</v>
      </c>
      <c r="N151" t="str">
        <f>"1"</f>
        <v>1</v>
      </c>
      <c r="O151" t="str">
        <f>"9997"</f>
        <v>9997</v>
      </c>
      <c r="P151" t="str">
        <f>"C"</f>
        <v>C</v>
      </c>
      <c r="Q151" t="str">
        <f>"EPS002"</f>
        <v>EPS002</v>
      </c>
      <c r="R151" t="str">
        <f t="shared" si="182"/>
        <v>6</v>
      </c>
      <c r="S151" t="str">
        <f>""</f>
        <v/>
      </c>
      <c r="T151" t="str">
        <f t="shared" si="183"/>
        <v xml:space="preserve">                                                                                                    </v>
      </c>
      <c r="U151" t="str">
        <f t="shared" si="184"/>
        <v xml:space="preserve">2         </v>
      </c>
      <c r="V151" t="str">
        <f t="shared" si="174"/>
        <v>2</v>
      </c>
      <c r="W151" t="str">
        <f t="shared" si="174"/>
        <v>2</v>
      </c>
      <c r="X151" t="str">
        <f t="shared" si="166"/>
        <v>2</v>
      </c>
      <c r="Y151" t="str">
        <f t="shared" si="175"/>
        <v>2</v>
      </c>
      <c r="Z151" t="str">
        <f t="shared" si="175"/>
        <v>2</v>
      </c>
      <c r="AA151" t="str">
        <f t="shared" si="159"/>
        <v xml:space="preserve">          </v>
      </c>
      <c r="AB151" t="str">
        <f t="shared" si="148"/>
        <v>2</v>
      </c>
      <c r="AC151" t="str">
        <f t="shared" si="150"/>
        <v>2</v>
      </c>
      <c r="AD151" t="str">
        <f t="shared" si="177"/>
        <v>2</v>
      </c>
      <c r="AE151" t="str">
        <f t="shared" si="177"/>
        <v>2</v>
      </c>
      <c r="AF151" t="str">
        <f t="shared" si="177"/>
        <v>2</v>
      </c>
      <c r="AG151" t="str">
        <f t="shared" si="177"/>
        <v>2</v>
      </c>
      <c r="AH151" t="str">
        <f t="shared" si="167"/>
        <v>1</v>
      </c>
      <c r="AI151" t="str">
        <f t="shared" si="178"/>
        <v xml:space="preserve">1         </v>
      </c>
      <c r="AJ151" t="str">
        <f t="shared" si="168"/>
        <v>170</v>
      </c>
      <c r="AK151" t="str">
        <f>"08"</f>
        <v>08</v>
      </c>
      <c r="AL151" t="str">
        <f>"001"</f>
        <v>001</v>
      </c>
      <c r="AM151" t="str">
        <f>"08"</f>
        <v>08</v>
      </c>
      <c r="AN151" t="str">
        <f>"08001"</f>
        <v>08001</v>
      </c>
      <c r="AO151" t="str">
        <f>"18/01/2020 12:00:00 a. m."</f>
        <v>18/01/2020 12:00:00 a. m.</v>
      </c>
      <c r="AP151" t="str">
        <f>"28/12/2019 12:00:00 a. m."</f>
        <v>28/12/2019 12:00:00 a. m.</v>
      </c>
      <c r="AQ151" t="str">
        <f>"2"</f>
        <v>2</v>
      </c>
      <c r="AR151" t="str">
        <f t="shared" si="173"/>
        <v>1</v>
      </c>
      <c r="AS151" t="str">
        <f>"20/01/2020 12:00:00 a. m."</f>
        <v>20/01/2020 12:00:00 a. m.</v>
      </c>
      <c r="AT151" t="str">
        <f>"2"</f>
        <v>2</v>
      </c>
      <c r="AU151" t="str">
        <f>"15/08/2020 12:00:00 a. m."</f>
        <v>15/08/2020 12:00:00 a. m.</v>
      </c>
      <c r="AV151" t="str">
        <f>"3"</f>
        <v>3</v>
      </c>
      <c r="AW151" t="str">
        <f>"6/12/2007 12:00:00 a. m."</f>
        <v>6/12/2007 12:00:00 a. m.</v>
      </c>
      <c r="AX151" t="str">
        <f>"C947"</f>
        <v>C947</v>
      </c>
      <c r="AY151" t="str">
        <f t="shared" si="160"/>
        <v>30/04/2021 12:00:00 a. m.</v>
      </c>
      <c r="AZ151" t="str">
        <f>"18/02/2020 12:00:00 a. m."</f>
        <v>18/02/2020 12:00:00 a. m.</v>
      </c>
      <c r="BA151" t="str">
        <f>""</f>
        <v/>
      </c>
      <c r="BB151" t="str">
        <f>""</f>
        <v/>
      </c>
      <c r="BC151" t="str">
        <f>""</f>
        <v/>
      </c>
      <c r="BD151" t="str">
        <f t="shared" si="180"/>
        <v>1</v>
      </c>
      <c r="BE151" t="str">
        <f t="shared" si="180"/>
        <v>1</v>
      </c>
      <c r="BF151" t="str">
        <f t="shared" si="161"/>
        <v xml:space="preserve">3         </v>
      </c>
      <c r="BG151" t="str">
        <f t="shared" si="162"/>
        <v>Confirmado por laboratorio</v>
      </c>
      <c r="BH151" t="str">
        <f>"ORGANIZACION CLINICA BONNADONA PREVENIR SA"</f>
        <v>ORGANIZACION CLINICA BONNADONA PREVENIR SA</v>
      </c>
      <c r="BI151" t="str">
        <f t="shared" si="170"/>
        <v>COLOMBIA</v>
      </c>
      <c r="BJ151" t="str">
        <f t="shared" si="163"/>
        <v>CANCER INFANTIL</v>
      </c>
      <c r="BK151" t="str">
        <f>"ATLANTICO"</f>
        <v>ATLANTICO</v>
      </c>
      <c r="BL151" t="str">
        <f>"BARRANQUILLA"</f>
        <v>BARRANQUILLA</v>
      </c>
      <c r="BM151" t="str">
        <f t="shared" si="171"/>
        <v>COLOMBIA</v>
      </c>
      <c r="BN151" t="str">
        <f>"ATLANTICO"</f>
        <v>ATLANTICO</v>
      </c>
      <c r="BO151" t="str">
        <f>"BARRANQUILLA"</f>
        <v>BARRANQUILLA</v>
      </c>
      <c r="BP151" t="str">
        <f>"ATLANTICO"</f>
        <v>ATLANTICO</v>
      </c>
      <c r="BQ151" t="str">
        <f>"BARRANQUILLA"</f>
        <v>BARRANQUILLA</v>
      </c>
    </row>
    <row r="152" spans="1:69" x14ac:dyDescent="0.25">
      <c r="A152" t="str">
        <f>"7285840"</f>
        <v>7285840</v>
      </c>
      <c r="B152" t="str">
        <f t="shared" si="156"/>
        <v>459</v>
      </c>
      <c r="C152" t="str">
        <f>"26/01/2020 12:00:00 a. m."</f>
        <v>26/01/2020 12:00:00 a. m.</v>
      </c>
      <c r="D152" t="str">
        <f>"04"</f>
        <v>04</v>
      </c>
      <c r="E152" t="str">
        <f t="shared" si="157"/>
        <v>2020</v>
      </c>
      <c r="F152" t="str">
        <f>"0800100544"</f>
        <v>0800100544</v>
      </c>
      <c r="G152" t="str">
        <f t="shared" si="181"/>
        <v>01</v>
      </c>
      <c r="H152" t="str">
        <f>"4"</f>
        <v>4</v>
      </c>
      <c r="I152" t="str">
        <f t="shared" si="152"/>
        <v>1</v>
      </c>
      <c r="J152" t="str">
        <f>"M"</f>
        <v>M</v>
      </c>
      <c r="K152" t="str">
        <f t="shared" si="165"/>
        <v>170</v>
      </c>
      <c r="L152" t="str">
        <f>"08"</f>
        <v>08</v>
      </c>
      <c r="M152" t="str">
        <f>"001"</f>
        <v>001</v>
      </c>
      <c r="N152" t="str">
        <f>"1"</f>
        <v>1</v>
      </c>
      <c r="O152" t="str">
        <f>"9997"</f>
        <v>9997</v>
      </c>
      <c r="P152" t="str">
        <f>"C"</f>
        <v>C</v>
      </c>
      <c r="Q152" t="str">
        <f>"EPS002"</f>
        <v>EPS002</v>
      </c>
      <c r="R152" t="str">
        <f t="shared" si="182"/>
        <v>6</v>
      </c>
      <c r="S152" t="str">
        <f>""</f>
        <v/>
      </c>
      <c r="T152" t="str">
        <f t="shared" si="183"/>
        <v xml:space="preserve">                                                                                                    </v>
      </c>
      <c r="U152" t="str">
        <f t="shared" si="184"/>
        <v xml:space="preserve">2         </v>
      </c>
      <c r="V152" t="str">
        <f t="shared" si="174"/>
        <v>2</v>
      </c>
      <c r="W152" t="str">
        <f t="shared" si="174"/>
        <v>2</v>
      </c>
      <c r="X152" t="str">
        <f t="shared" si="166"/>
        <v>2</v>
      </c>
      <c r="Y152" t="str">
        <f t="shared" si="175"/>
        <v>2</v>
      </c>
      <c r="Z152" t="str">
        <f t="shared" si="175"/>
        <v>2</v>
      </c>
      <c r="AA152" t="str">
        <f t="shared" si="159"/>
        <v xml:space="preserve">          </v>
      </c>
      <c r="AB152" t="str">
        <f t="shared" si="148"/>
        <v>2</v>
      </c>
      <c r="AC152" t="str">
        <f t="shared" si="150"/>
        <v>2</v>
      </c>
      <c r="AD152" t="str">
        <f t="shared" si="177"/>
        <v>2</v>
      </c>
      <c r="AE152" t="str">
        <f t="shared" si="177"/>
        <v>2</v>
      </c>
      <c r="AF152" t="str">
        <f t="shared" si="177"/>
        <v>2</v>
      </c>
      <c r="AG152" t="str">
        <f t="shared" si="177"/>
        <v>2</v>
      </c>
      <c r="AH152" t="str">
        <f t="shared" si="167"/>
        <v>1</v>
      </c>
      <c r="AI152" t="str">
        <f t="shared" si="178"/>
        <v xml:space="preserve">1         </v>
      </c>
      <c r="AJ152" t="str">
        <f t="shared" si="168"/>
        <v>170</v>
      </c>
      <c r="AK152" t="str">
        <f>"08"</f>
        <v>08</v>
      </c>
      <c r="AL152" t="str">
        <f>"001"</f>
        <v>001</v>
      </c>
      <c r="AM152" t="str">
        <f>"08"</f>
        <v>08</v>
      </c>
      <c r="AN152" t="str">
        <f>"08001"</f>
        <v>08001</v>
      </c>
      <c r="AO152" t="str">
        <f>"19/01/2020 12:00:00 a. m."</f>
        <v>19/01/2020 12:00:00 a. m.</v>
      </c>
      <c r="AP152" t="str">
        <f>"9/01/2020 12:00:00 a. m."</f>
        <v>9/01/2020 12:00:00 a. m.</v>
      </c>
      <c r="AQ152" t="str">
        <f>"2"</f>
        <v>2</v>
      </c>
      <c r="AR152" t="str">
        <f t="shared" si="173"/>
        <v>1</v>
      </c>
      <c r="AS152" t="str">
        <f>"20/01/2020 12:00:00 a. m."</f>
        <v>20/01/2020 12:00:00 a. m.</v>
      </c>
      <c r="AT152" t="str">
        <f t="shared" ref="AT152:AT166" si="185">"1"</f>
        <v>1</v>
      </c>
      <c r="AU152" t="str">
        <f>""</f>
        <v/>
      </c>
      <c r="AV152" t="str">
        <f>"3"</f>
        <v>3</v>
      </c>
      <c r="AW152" t="str">
        <f>"30/05/2015 12:00:00 a. m."</f>
        <v>30/05/2015 12:00:00 a. m.</v>
      </c>
      <c r="AX152" t="str">
        <f>""</f>
        <v/>
      </c>
      <c r="AY152" t="str">
        <f t="shared" si="160"/>
        <v>30/04/2021 12:00:00 a. m.</v>
      </c>
      <c r="AZ152" t="str">
        <f>"26/02/2020 12:00:00 a. m."</f>
        <v>26/02/2020 12:00:00 a. m.</v>
      </c>
      <c r="BA152" t="str">
        <f>""</f>
        <v/>
      </c>
      <c r="BB152" t="str">
        <f>""</f>
        <v/>
      </c>
      <c r="BC152" t="str">
        <f>""</f>
        <v/>
      </c>
      <c r="BD152" t="str">
        <f t="shared" si="180"/>
        <v>1</v>
      </c>
      <c r="BE152" t="str">
        <f t="shared" si="180"/>
        <v>1</v>
      </c>
      <c r="BF152" t="str">
        <f t="shared" si="161"/>
        <v xml:space="preserve">3         </v>
      </c>
      <c r="BG152" t="str">
        <f t="shared" si="162"/>
        <v>Confirmado por laboratorio</v>
      </c>
      <c r="BH152" t="str">
        <f>"ORGANIZACION CLINICA BONNADONA PREVENIR SA"</f>
        <v>ORGANIZACION CLINICA BONNADONA PREVENIR SA</v>
      </c>
      <c r="BI152" t="str">
        <f t="shared" si="170"/>
        <v>COLOMBIA</v>
      </c>
      <c r="BJ152" t="str">
        <f t="shared" si="163"/>
        <v>CANCER INFANTIL</v>
      </c>
      <c r="BK152" t="str">
        <f>"ATLANTICO"</f>
        <v>ATLANTICO</v>
      </c>
      <c r="BL152" t="str">
        <f>"BARRANQUILLA"</f>
        <v>BARRANQUILLA</v>
      </c>
      <c r="BM152" t="str">
        <f t="shared" si="171"/>
        <v>COLOMBIA</v>
      </c>
      <c r="BN152" t="str">
        <f>"ATLANTICO"</f>
        <v>ATLANTICO</v>
      </c>
      <c r="BO152" t="str">
        <f>"BARRANQUILLA"</f>
        <v>BARRANQUILLA</v>
      </c>
      <c r="BP152" t="str">
        <f>"ATLANTICO"</f>
        <v>ATLANTICO</v>
      </c>
      <c r="BQ152" t="str">
        <f>"BARRANQUILLA"</f>
        <v>BARRANQUILLA</v>
      </c>
    </row>
    <row r="153" spans="1:69" x14ac:dyDescent="0.25">
      <c r="A153" t="str">
        <f>"7279127"</f>
        <v>7279127</v>
      </c>
      <c r="B153" t="str">
        <f t="shared" si="156"/>
        <v>459</v>
      </c>
      <c r="C153" t="str">
        <f>"12/03/2020 12:00:00 a. m."</f>
        <v>12/03/2020 12:00:00 a. m.</v>
      </c>
      <c r="D153" t="str">
        <f>"07"</f>
        <v>07</v>
      </c>
      <c r="E153" t="str">
        <f t="shared" si="157"/>
        <v>2020</v>
      </c>
      <c r="F153" t="str">
        <f>"6300100354"</f>
        <v>6300100354</v>
      </c>
      <c r="G153" t="str">
        <f t="shared" si="181"/>
        <v>01</v>
      </c>
      <c r="H153" t="str">
        <f>"7"</f>
        <v>7</v>
      </c>
      <c r="I153" t="str">
        <f t="shared" si="152"/>
        <v>1</v>
      </c>
      <c r="J153" t="str">
        <f>"F"</f>
        <v>F</v>
      </c>
      <c r="K153" t="str">
        <f t="shared" si="165"/>
        <v>170</v>
      </c>
      <c r="L153" t="str">
        <f>"63"</f>
        <v>63</v>
      </c>
      <c r="M153" t="str">
        <f>"001"</f>
        <v>001</v>
      </c>
      <c r="N153" t="str">
        <f>"1"</f>
        <v>1</v>
      </c>
      <c r="O153" t="str">
        <f>"9997"</f>
        <v>9997</v>
      </c>
      <c r="P153" t="str">
        <f>"P"</f>
        <v>P</v>
      </c>
      <c r="Q153" t="str">
        <f>"RES001"</f>
        <v>RES001</v>
      </c>
      <c r="R153" t="str">
        <f t="shared" si="182"/>
        <v>6</v>
      </c>
      <c r="S153" t="str">
        <f>""</f>
        <v/>
      </c>
      <c r="T153" t="str">
        <f t="shared" si="183"/>
        <v xml:space="preserve">                                                                                                    </v>
      </c>
      <c r="U153" t="str">
        <f>"3         "</f>
        <v xml:space="preserve">3         </v>
      </c>
      <c r="V153" t="str">
        <f t="shared" si="174"/>
        <v>2</v>
      </c>
      <c r="W153" t="str">
        <f t="shared" si="174"/>
        <v>2</v>
      </c>
      <c r="X153" t="str">
        <f t="shared" si="166"/>
        <v>2</v>
      </c>
      <c r="Y153" t="str">
        <f t="shared" si="175"/>
        <v>2</v>
      </c>
      <c r="Z153" t="str">
        <f t="shared" si="175"/>
        <v>2</v>
      </c>
      <c r="AA153" t="str">
        <f t="shared" si="159"/>
        <v xml:space="preserve">          </v>
      </c>
      <c r="AB153" t="str">
        <f t="shared" si="148"/>
        <v>2</v>
      </c>
      <c r="AC153" t="str">
        <f t="shared" si="150"/>
        <v>2</v>
      </c>
      <c r="AD153" t="str">
        <f t="shared" si="177"/>
        <v>2</v>
      </c>
      <c r="AE153" t="str">
        <f t="shared" si="177"/>
        <v>2</v>
      </c>
      <c r="AF153" t="str">
        <f t="shared" si="177"/>
        <v>2</v>
      </c>
      <c r="AG153" t="str">
        <f t="shared" si="177"/>
        <v>2</v>
      </c>
      <c r="AH153" t="str">
        <f t="shared" si="167"/>
        <v>1</v>
      </c>
      <c r="AI153" t="str">
        <f>"2         "</f>
        <v xml:space="preserve">2         </v>
      </c>
      <c r="AJ153" t="str">
        <f t="shared" si="168"/>
        <v>170</v>
      </c>
      <c r="AK153" t="str">
        <f>"63"</f>
        <v>63</v>
      </c>
      <c r="AL153" t="str">
        <f>"001"</f>
        <v>001</v>
      </c>
      <c r="AM153" t="str">
        <f>"63"</f>
        <v>63</v>
      </c>
      <c r="AN153" t="str">
        <f>"63001"</f>
        <v>63001</v>
      </c>
      <c r="AO153" t="str">
        <f>"13/02/2020 12:00:00 a. m."</f>
        <v>13/02/2020 12:00:00 a. m.</v>
      </c>
      <c r="AP153" t="str">
        <f>"13/02/2020 12:00:00 a. m."</f>
        <v>13/02/2020 12:00:00 a. m.</v>
      </c>
      <c r="AQ153" t="str">
        <f>"3"</f>
        <v>3</v>
      </c>
      <c r="AR153" t="str">
        <f>"2"</f>
        <v>2</v>
      </c>
      <c r="AS153" t="str">
        <f>""</f>
        <v/>
      </c>
      <c r="AT153" t="str">
        <f t="shared" si="185"/>
        <v>1</v>
      </c>
      <c r="AU153" t="str">
        <f>""</f>
        <v/>
      </c>
      <c r="AV153" t="str">
        <f>"0"</f>
        <v>0</v>
      </c>
      <c r="AW153" t="str">
        <f>"11/01/2013 12:00:00 a. m."</f>
        <v>11/01/2013 12:00:00 a. m.</v>
      </c>
      <c r="AX153" t="str">
        <f>""</f>
        <v/>
      </c>
      <c r="AY153" t="str">
        <f t="shared" si="160"/>
        <v>30/04/2021 12:00:00 a. m.</v>
      </c>
      <c r="AZ153" t="str">
        <f>"12/03/2020 12:00:00 a. m."</f>
        <v>12/03/2020 12:00:00 a. m.</v>
      </c>
      <c r="BA153" t="str">
        <f>""</f>
        <v/>
      </c>
      <c r="BB153" t="str">
        <f>""</f>
        <v/>
      </c>
      <c r="BC153" t="str">
        <f>""</f>
        <v/>
      </c>
      <c r="BD153" t="str">
        <f t="shared" si="180"/>
        <v>1</v>
      </c>
      <c r="BE153" t="str">
        <f t="shared" si="180"/>
        <v>1</v>
      </c>
      <c r="BF153" t="str">
        <f t="shared" si="161"/>
        <v xml:space="preserve">3         </v>
      </c>
      <c r="BG153" t="str">
        <f t="shared" si="162"/>
        <v>Confirmado por laboratorio</v>
      </c>
      <c r="BH153" t="str">
        <f>"ESE HOSPITAL DEPTAL UNIVERSITARIO SAN JUAN DE DIOS"</f>
        <v>ESE HOSPITAL DEPTAL UNIVERSITARIO SAN JUAN DE DIOS</v>
      </c>
      <c r="BI153" t="str">
        <f t="shared" si="170"/>
        <v>COLOMBIA</v>
      </c>
      <c r="BJ153" t="str">
        <f t="shared" si="163"/>
        <v>CANCER INFANTIL</v>
      </c>
      <c r="BK153" t="str">
        <f>"QUINDIO"</f>
        <v>QUINDIO</v>
      </c>
      <c r="BL153" t="str">
        <f>"ARMENIA"</f>
        <v>ARMENIA</v>
      </c>
      <c r="BM153" t="str">
        <f t="shared" si="171"/>
        <v>COLOMBIA</v>
      </c>
      <c r="BN153" t="str">
        <f>"QUINDIO"</f>
        <v>QUINDIO</v>
      </c>
      <c r="BO153" t="str">
        <f>"ARMENIA"</f>
        <v>ARMENIA</v>
      </c>
      <c r="BP153" t="str">
        <f>"QUINDIO"</f>
        <v>QUINDIO</v>
      </c>
      <c r="BQ153" t="str">
        <f>"ARMENIA"</f>
        <v>ARMENIA</v>
      </c>
    </row>
    <row r="154" spans="1:69" x14ac:dyDescent="0.25">
      <c r="A154" t="str">
        <f>"7279202"</f>
        <v>7279202</v>
      </c>
      <c r="B154" t="str">
        <f t="shared" si="156"/>
        <v>459</v>
      </c>
      <c r="C154" t="str">
        <f>"24/09/2020 12:00:00 a. m."</f>
        <v>24/09/2020 12:00:00 a. m.</v>
      </c>
      <c r="D154" t="str">
        <f>"39"</f>
        <v>39</v>
      </c>
      <c r="E154" t="str">
        <f t="shared" si="157"/>
        <v>2020</v>
      </c>
      <c r="F154" t="str">
        <f>"7600103799"</f>
        <v>7600103799</v>
      </c>
      <c r="G154" t="str">
        <f t="shared" si="181"/>
        <v>01</v>
      </c>
      <c r="H154" t="str">
        <f>"14"</f>
        <v>14</v>
      </c>
      <c r="I154" t="str">
        <f t="shared" si="152"/>
        <v>1</v>
      </c>
      <c r="J154" t="str">
        <f>"M"</f>
        <v>M</v>
      </c>
      <c r="K154" t="str">
        <f t="shared" si="165"/>
        <v>170</v>
      </c>
      <c r="L154" t="str">
        <f>"76"</f>
        <v>76</v>
      </c>
      <c r="M154" t="str">
        <f>"563"</f>
        <v>563</v>
      </c>
      <c r="N154" t="str">
        <f>"2"</f>
        <v>2</v>
      </c>
      <c r="O154" t="str">
        <f>"9997"</f>
        <v>9997</v>
      </c>
      <c r="P154" t="str">
        <f>"S"</f>
        <v>S</v>
      </c>
      <c r="Q154" t="str">
        <f>"ESS118"</f>
        <v>ESS118</v>
      </c>
      <c r="R154" t="str">
        <f>"5"</f>
        <v>5</v>
      </c>
      <c r="S154" t="str">
        <f>""</f>
        <v/>
      </c>
      <c r="T154" t="str">
        <f t="shared" si="183"/>
        <v xml:space="preserve">                                                                                                    </v>
      </c>
      <c r="U154" t="str">
        <f>"2         "</f>
        <v xml:space="preserve">2         </v>
      </c>
      <c r="V154" t="str">
        <f t="shared" si="174"/>
        <v>2</v>
      </c>
      <c r="W154" t="str">
        <f t="shared" si="174"/>
        <v>2</v>
      </c>
      <c r="X154" t="str">
        <f t="shared" si="166"/>
        <v>2</v>
      </c>
      <c r="Y154" t="str">
        <f t="shared" si="175"/>
        <v>2</v>
      </c>
      <c r="Z154" t="str">
        <f t="shared" si="175"/>
        <v>2</v>
      </c>
      <c r="AA154" t="str">
        <f t="shared" si="159"/>
        <v xml:space="preserve">          </v>
      </c>
      <c r="AB154" t="str">
        <f t="shared" si="148"/>
        <v>2</v>
      </c>
      <c r="AC154" t="str">
        <f t="shared" si="150"/>
        <v>2</v>
      </c>
      <c r="AD154" t="str">
        <f t="shared" si="177"/>
        <v>2</v>
      </c>
      <c r="AE154" t="str">
        <f t="shared" si="177"/>
        <v>2</v>
      </c>
      <c r="AF154" t="str">
        <f t="shared" si="177"/>
        <v>2</v>
      </c>
      <c r="AG154" t="str">
        <f t="shared" si="177"/>
        <v>2</v>
      </c>
      <c r="AH154" t="str">
        <f t="shared" si="167"/>
        <v>1</v>
      </c>
      <c r="AI154" t="str">
        <f t="shared" ref="AI154:AI159" si="186">"1         "</f>
        <v xml:space="preserve">1         </v>
      </c>
      <c r="AJ154" t="str">
        <f t="shared" si="168"/>
        <v>170</v>
      </c>
      <c r="AK154" t="str">
        <f>"76"</f>
        <v>76</v>
      </c>
      <c r="AL154" t="str">
        <f>"563"</f>
        <v>563</v>
      </c>
      <c r="AM154" t="str">
        <f>"76"</f>
        <v>76</v>
      </c>
      <c r="AN154" t="str">
        <f>"76001"</f>
        <v>76001</v>
      </c>
      <c r="AO154" t="str">
        <f>"21/09/2020 12:00:00 a. m."</f>
        <v>21/09/2020 12:00:00 a. m.</v>
      </c>
      <c r="AP154" t="str">
        <f>"1/09/2020 12:00:00 a. m."</f>
        <v>1/09/2020 12:00:00 a. m.</v>
      </c>
      <c r="AQ154" t="str">
        <f>"2"</f>
        <v>2</v>
      </c>
      <c r="AR154" t="str">
        <f t="shared" ref="AR154:AR159" si="187">"1"</f>
        <v>1</v>
      </c>
      <c r="AS154" t="str">
        <f>"21/09/2020 12:00:00 a. m."</f>
        <v>21/09/2020 12:00:00 a. m.</v>
      </c>
      <c r="AT154" t="str">
        <f t="shared" si="185"/>
        <v>1</v>
      </c>
      <c r="AU154" t="str">
        <f>""</f>
        <v/>
      </c>
      <c r="AV154" t="str">
        <f>"3"</f>
        <v>3</v>
      </c>
      <c r="AW154" t="str">
        <f>"26/06/2006 12:00:00 a. m."</f>
        <v>26/06/2006 12:00:00 a. m.</v>
      </c>
      <c r="AX154" t="str">
        <f>""</f>
        <v/>
      </c>
      <c r="AY154" t="str">
        <f t="shared" si="160"/>
        <v>30/04/2021 12:00:00 a. m.</v>
      </c>
      <c r="AZ154" t="str">
        <f>"15/10/2020 12:00:00 a. m."</f>
        <v>15/10/2020 12:00:00 a. m.</v>
      </c>
      <c r="BA154" t="str">
        <f>""</f>
        <v/>
      </c>
      <c r="BB154" t="str">
        <f>""</f>
        <v/>
      </c>
      <c r="BC154" t="str">
        <f>""</f>
        <v/>
      </c>
      <c r="BD154" t="str">
        <f t="shared" si="180"/>
        <v>1</v>
      </c>
      <c r="BE154" t="str">
        <f t="shared" si="180"/>
        <v>1</v>
      </c>
      <c r="BF154" t="str">
        <f t="shared" si="161"/>
        <v xml:space="preserve">3         </v>
      </c>
      <c r="BG154" t="str">
        <f t="shared" si="162"/>
        <v>Confirmado por laboratorio</v>
      </c>
      <c r="BH154" t="str">
        <f>"HOSPITAL UNIVERSITARIO DEL VALLE EVARISTO GARCIA"</f>
        <v>HOSPITAL UNIVERSITARIO DEL VALLE EVARISTO GARCIA</v>
      </c>
      <c r="BI154" t="str">
        <f t="shared" si="170"/>
        <v>COLOMBIA</v>
      </c>
      <c r="BJ154" t="str">
        <f t="shared" si="163"/>
        <v>CANCER INFANTIL</v>
      </c>
      <c r="BK154" t="str">
        <f>"VALLE"</f>
        <v>VALLE</v>
      </c>
      <c r="BL154" t="str">
        <f>"PRADERA"</f>
        <v>PRADERA</v>
      </c>
      <c r="BM154" t="str">
        <f t="shared" si="171"/>
        <v>COLOMBIA</v>
      </c>
      <c r="BN154" t="str">
        <f>"VALLE"</f>
        <v>VALLE</v>
      </c>
      <c r="BO154" t="str">
        <f>"PRADERA"</f>
        <v>PRADERA</v>
      </c>
      <c r="BP154" t="str">
        <f>"VALLE"</f>
        <v>VALLE</v>
      </c>
      <c r="BQ154" t="str">
        <f>"CALI"</f>
        <v>CALI</v>
      </c>
    </row>
    <row r="155" spans="1:69" x14ac:dyDescent="0.25">
      <c r="A155" t="str">
        <f>"7285440"</f>
        <v>7285440</v>
      </c>
      <c r="B155" t="str">
        <f t="shared" si="156"/>
        <v>459</v>
      </c>
      <c r="C155" t="str">
        <f>"14/04/2020 12:00:00 a. m."</f>
        <v>14/04/2020 12:00:00 a. m.</v>
      </c>
      <c r="D155" t="str">
        <f>"16"</f>
        <v>16</v>
      </c>
      <c r="E155" t="str">
        <f t="shared" si="157"/>
        <v>2020</v>
      </c>
      <c r="F155" t="str">
        <f>"5200100283"</f>
        <v>5200100283</v>
      </c>
      <c r="G155" t="str">
        <f t="shared" si="181"/>
        <v>01</v>
      </c>
      <c r="H155" t="str">
        <f>"3"</f>
        <v>3</v>
      </c>
      <c r="I155" t="str">
        <f t="shared" si="152"/>
        <v>1</v>
      </c>
      <c r="J155" t="str">
        <f>"M"</f>
        <v>M</v>
      </c>
      <c r="K155" t="str">
        <f t="shared" si="165"/>
        <v>170</v>
      </c>
      <c r="L155" t="str">
        <f>"52"</f>
        <v>52</v>
      </c>
      <c r="M155" t="str">
        <f>"612"</f>
        <v>612</v>
      </c>
      <c r="N155" t="str">
        <f>"3"</f>
        <v>3</v>
      </c>
      <c r="O155" t="str">
        <f>"9999"</f>
        <v>9999</v>
      </c>
      <c r="P155" t="str">
        <f>"S"</f>
        <v>S</v>
      </c>
      <c r="Q155" t="str">
        <f>"ESS062"</f>
        <v>ESS062</v>
      </c>
      <c r="R155" t="str">
        <f>"1"</f>
        <v>1</v>
      </c>
      <c r="S155" t="str">
        <f>""</f>
        <v/>
      </c>
      <c r="T155" t="str">
        <f t="shared" si="183"/>
        <v xml:space="preserve">                                                                                                    </v>
      </c>
      <c r="U155" t="str">
        <f>"1         "</f>
        <v xml:space="preserve">1         </v>
      </c>
      <c r="V155" t="str">
        <f t="shared" si="174"/>
        <v>2</v>
      </c>
      <c r="W155" t="str">
        <f t="shared" si="174"/>
        <v>2</v>
      </c>
      <c r="X155" t="str">
        <f t="shared" si="166"/>
        <v>2</v>
      </c>
      <c r="Y155" t="str">
        <f t="shared" si="175"/>
        <v>2</v>
      </c>
      <c r="Z155" t="str">
        <f t="shared" si="175"/>
        <v>2</v>
      </c>
      <c r="AA155" t="str">
        <f t="shared" si="159"/>
        <v xml:space="preserve">          </v>
      </c>
      <c r="AB155" t="str">
        <f t="shared" si="148"/>
        <v>2</v>
      </c>
      <c r="AC155" t="str">
        <f t="shared" si="150"/>
        <v>2</v>
      </c>
      <c r="AD155" t="str">
        <f t="shared" si="177"/>
        <v>2</v>
      </c>
      <c r="AE155" t="str">
        <f t="shared" si="177"/>
        <v>2</v>
      </c>
      <c r="AF155" t="str">
        <f t="shared" si="177"/>
        <v>2</v>
      </c>
      <c r="AG155" t="str">
        <f t="shared" si="177"/>
        <v>2</v>
      </c>
      <c r="AH155" t="str">
        <f t="shared" si="167"/>
        <v>1</v>
      </c>
      <c r="AI155" t="str">
        <f t="shared" si="186"/>
        <v xml:space="preserve">1         </v>
      </c>
      <c r="AJ155" t="str">
        <f t="shared" si="168"/>
        <v>170</v>
      </c>
      <c r="AK155" t="str">
        <f>"52"</f>
        <v>52</v>
      </c>
      <c r="AL155" t="str">
        <f>"612"</f>
        <v>612</v>
      </c>
      <c r="AM155" t="str">
        <f>"52"</f>
        <v>52</v>
      </c>
      <c r="AN155" t="str">
        <f>"52001"</f>
        <v>52001</v>
      </c>
      <c r="AO155" t="str">
        <f>"14/04/2020 12:00:00 a. m."</f>
        <v>14/04/2020 12:00:00 a. m.</v>
      </c>
      <c r="AP155" t="str">
        <f>"31/03/2020 12:00:00 a. m."</f>
        <v>31/03/2020 12:00:00 a. m.</v>
      </c>
      <c r="AQ155" t="str">
        <f>"2"</f>
        <v>2</v>
      </c>
      <c r="AR155" t="str">
        <f t="shared" si="187"/>
        <v>1</v>
      </c>
      <c r="AS155" t="str">
        <f>"14/04/2020 12:00:00 a. m."</f>
        <v>14/04/2020 12:00:00 a. m.</v>
      </c>
      <c r="AT155" t="str">
        <f t="shared" si="185"/>
        <v>1</v>
      </c>
      <c r="AU155" t="str">
        <f>""</f>
        <v/>
      </c>
      <c r="AV155" t="str">
        <f>"3"</f>
        <v>3</v>
      </c>
      <c r="AW155" t="str">
        <f>"17/02/2017 12:00:00 a. m."</f>
        <v>17/02/2017 12:00:00 a. m.</v>
      </c>
      <c r="AX155" t="str">
        <f>""</f>
        <v/>
      </c>
      <c r="AY155" t="str">
        <f t="shared" si="160"/>
        <v>30/04/2021 12:00:00 a. m.</v>
      </c>
      <c r="AZ155" t="str">
        <f>"15/07/2020 12:00:00 a. m."</f>
        <v>15/07/2020 12:00:00 a. m.</v>
      </c>
      <c r="BA155" t="str">
        <f>""</f>
        <v/>
      </c>
      <c r="BB155" t="str">
        <f>""</f>
        <v/>
      </c>
      <c r="BC155" t="str">
        <f>""</f>
        <v/>
      </c>
      <c r="BD155" t="str">
        <f t="shared" si="180"/>
        <v>1</v>
      </c>
      <c r="BE155" t="str">
        <f t="shared" si="180"/>
        <v>1</v>
      </c>
      <c r="BF155" t="str">
        <f t="shared" si="161"/>
        <v xml:space="preserve">3         </v>
      </c>
      <c r="BG155" t="str">
        <f t="shared" si="162"/>
        <v>Confirmado por laboratorio</v>
      </c>
      <c r="BH155" t="str">
        <f>"HOSPITAL INFANTIL LOS ANGELES"</f>
        <v>HOSPITAL INFANTIL LOS ANGELES</v>
      </c>
      <c r="BI155" t="str">
        <f t="shared" si="170"/>
        <v>COLOMBIA</v>
      </c>
      <c r="BJ155" t="str">
        <f t="shared" si="163"/>
        <v>CANCER INFANTIL</v>
      </c>
      <c r="BK155" t="str">
        <f>"NARIÑO"</f>
        <v>NARIÑO</v>
      </c>
      <c r="BL155" t="str">
        <f>"RICAURTE"</f>
        <v>RICAURTE</v>
      </c>
      <c r="BM155" t="str">
        <f t="shared" si="171"/>
        <v>COLOMBIA</v>
      </c>
      <c r="BN155" t="str">
        <f>"NARIÑO"</f>
        <v>NARIÑO</v>
      </c>
      <c r="BO155" t="str">
        <f>"RICAURTE"</f>
        <v>RICAURTE</v>
      </c>
      <c r="BP155" t="str">
        <f>"NARIÑO"</f>
        <v>NARIÑO</v>
      </c>
      <c r="BQ155" t="str">
        <f>"PASTO"</f>
        <v>PASTO</v>
      </c>
    </row>
    <row r="156" spans="1:69" x14ac:dyDescent="0.25">
      <c r="A156" t="str">
        <f>"7285447"</f>
        <v>7285447</v>
      </c>
      <c r="B156" t="str">
        <f t="shared" si="156"/>
        <v>459</v>
      </c>
      <c r="C156" t="str">
        <f>"8/07/2020 12:00:00 a. m."</f>
        <v>8/07/2020 12:00:00 a. m.</v>
      </c>
      <c r="D156" t="str">
        <f>"27"</f>
        <v>27</v>
      </c>
      <c r="E156" t="str">
        <f t="shared" si="157"/>
        <v>2020</v>
      </c>
      <c r="F156" t="str">
        <f>"5200100283"</f>
        <v>5200100283</v>
      </c>
      <c r="G156" t="str">
        <f t="shared" si="181"/>
        <v>01</v>
      </c>
      <c r="H156" t="str">
        <f>"15"</f>
        <v>15</v>
      </c>
      <c r="I156" t="str">
        <f t="shared" si="152"/>
        <v>1</v>
      </c>
      <c r="J156" t="str">
        <f>"F"</f>
        <v>F</v>
      </c>
      <c r="K156" t="str">
        <f t="shared" si="165"/>
        <v>170</v>
      </c>
      <c r="L156" t="str">
        <f>"52"</f>
        <v>52</v>
      </c>
      <c r="M156" t="str">
        <f>"258"</f>
        <v>258</v>
      </c>
      <c r="N156" t="str">
        <f>"3"</f>
        <v>3</v>
      </c>
      <c r="O156" t="str">
        <f>"9997"</f>
        <v>9997</v>
      </c>
      <c r="P156" t="str">
        <f>"S"</f>
        <v>S</v>
      </c>
      <c r="Q156" t="str">
        <f>"CCF027"</f>
        <v>CCF027</v>
      </c>
      <c r="R156" t="str">
        <f t="shared" ref="R156:R187" si="188">"6"</f>
        <v>6</v>
      </c>
      <c r="S156" t="str">
        <f>""</f>
        <v/>
      </c>
      <c r="T156" t="str">
        <f t="shared" si="183"/>
        <v xml:space="preserve">                                                                                                    </v>
      </c>
      <c r="U156" t="str">
        <f>"1         "</f>
        <v xml:space="preserve">1         </v>
      </c>
      <c r="V156" t="str">
        <f t="shared" si="174"/>
        <v>2</v>
      </c>
      <c r="W156" t="str">
        <f t="shared" si="174"/>
        <v>2</v>
      </c>
      <c r="X156" t="str">
        <f t="shared" si="166"/>
        <v>2</v>
      </c>
      <c r="Y156" t="str">
        <f t="shared" si="175"/>
        <v>2</v>
      </c>
      <c r="Z156" t="str">
        <f t="shared" si="175"/>
        <v>2</v>
      </c>
      <c r="AA156" t="str">
        <f t="shared" si="159"/>
        <v xml:space="preserve">          </v>
      </c>
      <c r="AB156" t="str">
        <f t="shared" si="148"/>
        <v>2</v>
      </c>
      <c r="AC156" t="str">
        <f t="shared" si="150"/>
        <v>2</v>
      </c>
      <c r="AD156" t="str">
        <f t="shared" si="177"/>
        <v>2</v>
      </c>
      <c r="AE156" t="str">
        <f t="shared" si="177"/>
        <v>2</v>
      </c>
      <c r="AF156" t="str">
        <f t="shared" si="177"/>
        <v>2</v>
      </c>
      <c r="AG156" t="str">
        <f t="shared" si="177"/>
        <v>2</v>
      </c>
      <c r="AH156" t="str">
        <f t="shared" si="167"/>
        <v>1</v>
      </c>
      <c r="AI156" t="str">
        <f t="shared" si="186"/>
        <v xml:space="preserve">1         </v>
      </c>
      <c r="AJ156" t="str">
        <f t="shared" si="168"/>
        <v>170</v>
      </c>
      <c r="AK156" t="str">
        <f>"52"</f>
        <v>52</v>
      </c>
      <c r="AL156" t="str">
        <f>"258"</f>
        <v>258</v>
      </c>
      <c r="AM156" t="str">
        <f>"52"</f>
        <v>52</v>
      </c>
      <c r="AN156" t="str">
        <f>"52001"</f>
        <v>52001</v>
      </c>
      <c r="AO156" t="str">
        <f>"2/07/2020 12:00:00 a. m."</f>
        <v>2/07/2020 12:00:00 a. m.</v>
      </c>
      <c r="AP156" t="str">
        <f>"20/06/2020 12:00:00 a. m."</f>
        <v>20/06/2020 12:00:00 a. m.</v>
      </c>
      <c r="AQ156" t="str">
        <f>"2"</f>
        <v>2</v>
      </c>
      <c r="AR156" t="str">
        <f t="shared" si="187"/>
        <v>1</v>
      </c>
      <c r="AS156" t="str">
        <f>"2/07/2020 12:00:00 a. m."</f>
        <v>2/07/2020 12:00:00 a. m.</v>
      </c>
      <c r="AT156" t="str">
        <f t="shared" si="185"/>
        <v>1</v>
      </c>
      <c r="AU156" t="str">
        <f>""</f>
        <v/>
      </c>
      <c r="AV156" t="str">
        <f>"3"</f>
        <v>3</v>
      </c>
      <c r="AW156" t="str">
        <f>"15/06/2005 12:00:00 a. m."</f>
        <v>15/06/2005 12:00:00 a. m.</v>
      </c>
      <c r="AX156" t="str">
        <f>""</f>
        <v/>
      </c>
      <c r="AY156" t="str">
        <f t="shared" si="160"/>
        <v>30/04/2021 12:00:00 a. m.</v>
      </c>
      <c r="AZ156" t="str">
        <f>"15/07/2020 12:00:00 a. m."</f>
        <v>15/07/2020 12:00:00 a. m.</v>
      </c>
      <c r="BA156" t="str">
        <f>""</f>
        <v/>
      </c>
      <c r="BB156" t="str">
        <f>""</f>
        <v/>
      </c>
      <c r="BC156" t="str">
        <f>""</f>
        <v/>
      </c>
      <c r="BD156" t="str">
        <f t="shared" si="180"/>
        <v>1</v>
      </c>
      <c r="BE156" t="str">
        <f t="shared" si="180"/>
        <v>1</v>
      </c>
      <c r="BF156" t="str">
        <f t="shared" si="161"/>
        <v xml:space="preserve">3         </v>
      </c>
      <c r="BG156" t="str">
        <f t="shared" si="162"/>
        <v>Confirmado por laboratorio</v>
      </c>
      <c r="BH156" t="str">
        <f>"HOSPITAL INFANTIL LOS ANGELES"</f>
        <v>HOSPITAL INFANTIL LOS ANGELES</v>
      </c>
      <c r="BI156" t="str">
        <f t="shared" si="170"/>
        <v>COLOMBIA</v>
      </c>
      <c r="BJ156" t="str">
        <f t="shared" si="163"/>
        <v>CANCER INFANTIL</v>
      </c>
      <c r="BK156" t="str">
        <f>"NARIÑO"</f>
        <v>NARIÑO</v>
      </c>
      <c r="BL156" t="str">
        <f>"EL TABLON"</f>
        <v>EL TABLON</v>
      </c>
      <c r="BM156" t="str">
        <f t="shared" si="171"/>
        <v>COLOMBIA</v>
      </c>
      <c r="BN156" t="str">
        <f>"NARIÑO"</f>
        <v>NARIÑO</v>
      </c>
      <c r="BO156" t="str">
        <f>"EL TABLON"</f>
        <v>EL TABLON</v>
      </c>
      <c r="BP156" t="str">
        <f>"NARIÑO"</f>
        <v>NARIÑO</v>
      </c>
      <c r="BQ156" t="str">
        <f>"PASTO"</f>
        <v>PASTO</v>
      </c>
    </row>
    <row r="157" spans="1:69" x14ac:dyDescent="0.25">
      <c r="A157" t="str">
        <f>"7285319"</f>
        <v>7285319</v>
      </c>
      <c r="B157" t="str">
        <f t="shared" si="156"/>
        <v>459</v>
      </c>
      <c r="C157" t="str">
        <f>"25/08/2020 12:00:00 a. m."</f>
        <v>25/08/2020 12:00:00 a. m.</v>
      </c>
      <c r="D157" t="str">
        <f>"32"</f>
        <v>32</v>
      </c>
      <c r="E157" t="str">
        <f t="shared" si="157"/>
        <v>2020</v>
      </c>
      <c r="F157" t="str">
        <f>"7300101047"</f>
        <v>7300101047</v>
      </c>
      <c r="G157" t="str">
        <f t="shared" si="181"/>
        <v>01</v>
      </c>
      <c r="H157" t="str">
        <f>"10"</f>
        <v>10</v>
      </c>
      <c r="I157" t="str">
        <f t="shared" si="152"/>
        <v>1</v>
      </c>
      <c r="J157" t="str">
        <f>"F"</f>
        <v>F</v>
      </c>
      <c r="K157" t="str">
        <f t="shared" si="165"/>
        <v>170</v>
      </c>
      <c r="L157" t="str">
        <f>"73"</f>
        <v>73</v>
      </c>
      <c r="M157" t="str">
        <f>"411"</f>
        <v>411</v>
      </c>
      <c r="N157" t="str">
        <f>"1"</f>
        <v>1</v>
      </c>
      <c r="O157" t="str">
        <f>"9997"</f>
        <v>9997</v>
      </c>
      <c r="P157" t="str">
        <f>"P"</f>
        <v>P</v>
      </c>
      <c r="Q157" t="str">
        <f>"RES004"</f>
        <v>RES004</v>
      </c>
      <c r="R157" t="str">
        <f t="shared" si="188"/>
        <v>6</v>
      </c>
      <c r="S157" t="str">
        <f>""</f>
        <v/>
      </c>
      <c r="T157" t="str">
        <f t="shared" si="183"/>
        <v xml:space="preserve">                                                                                                    </v>
      </c>
      <c r="U157" t="str">
        <f>"2         "</f>
        <v xml:space="preserve">2         </v>
      </c>
      <c r="V157" t="str">
        <f t="shared" si="174"/>
        <v>2</v>
      </c>
      <c r="W157" t="str">
        <f t="shared" si="174"/>
        <v>2</v>
      </c>
      <c r="X157" t="str">
        <f t="shared" si="166"/>
        <v>2</v>
      </c>
      <c r="Y157" t="str">
        <f t="shared" si="175"/>
        <v>2</v>
      </c>
      <c r="Z157" t="str">
        <f t="shared" si="175"/>
        <v>2</v>
      </c>
      <c r="AA157" t="str">
        <f t="shared" si="159"/>
        <v xml:space="preserve">          </v>
      </c>
      <c r="AB157" t="str">
        <f t="shared" si="148"/>
        <v>2</v>
      </c>
      <c r="AC157" t="str">
        <f t="shared" si="150"/>
        <v>2</v>
      </c>
      <c r="AD157" t="str">
        <f t="shared" si="177"/>
        <v>2</v>
      </c>
      <c r="AE157" t="str">
        <f t="shared" si="177"/>
        <v>2</v>
      </c>
      <c r="AF157" t="str">
        <f t="shared" si="177"/>
        <v>2</v>
      </c>
      <c r="AG157" t="str">
        <f t="shared" si="177"/>
        <v>2</v>
      </c>
      <c r="AH157" t="str">
        <f t="shared" si="167"/>
        <v>1</v>
      </c>
      <c r="AI157" t="str">
        <f t="shared" si="186"/>
        <v xml:space="preserve">1         </v>
      </c>
      <c r="AJ157" t="str">
        <f t="shared" si="168"/>
        <v>170</v>
      </c>
      <c r="AK157" t="str">
        <f>"73"</f>
        <v>73</v>
      </c>
      <c r="AL157" t="str">
        <f>"411"</f>
        <v>411</v>
      </c>
      <c r="AM157" t="str">
        <f>"73"</f>
        <v>73</v>
      </c>
      <c r="AN157" t="str">
        <f>"73001"</f>
        <v>73001</v>
      </c>
      <c r="AO157" t="str">
        <f>"8/08/2020 12:00:00 a. m."</f>
        <v>8/08/2020 12:00:00 a. m.</v>
      </c>
      <c r="AP157" t="str">
        <f>"12/07/2020 12:00:00 a. m."</f>
        <v>12/07/2020 12:00:00 a. m.</v>
      </c>
      <c r="AQ157" t="str">
        <f>"3"</f>
        <v>3</v>
      </c>
      <c r="AR157" t="str">
        <f t="shared" si="187"/>
        <v>1</v>
      </c>
      <c r="AS157" t="str">
        <f>"8/08/2020 12:00:00 a. m."</f>
        <v>8/08/2020 12:00:00 a. m.</v>
      </c>
      <c r="AT157" t="str">
        <f t="shared" si="185"/>
        <v>1</v>
      </c>
      <c r="AU157" t="str">
        <f>""</f>
        <v/>
      </c>
      <c r="AV157" t="str">
        <f>"7"</f>
        <v>7</v>
      </c>
      <c r="AW157" t="str">
        <f>"13/04/2010 12:00:00 a. m."</f>
        <v>13/04/2010 12:00:00 a. m.</v>
      </c>
      <c r="AX157" t="str">
        <f>""</f>
        <v/>
      </c>
      <c r="AY157" t="str">
        <f t="shared" si="160"/>
        <v>30/04/2021 12:00:00 a. m.</v>
      </c>
      <c r="AZ157" t="str">
        <f>"7/04/2021 12:00:00 a. m."</f>
        <v>7/04/2021 12:00:00 a. m.</v>
      </c>
      <c r="BA157" t="str">
        <f>""</f>
        <v/>
      </c>
      <c r="BB157" t="str">
        <f>""</f>
        <v/>
      </c>
      <c r="BC157" t="str">
        <f>""</f>
        <v/>
      </c>
      <c r="BD157" t="str">
        <f t="shared" si="180"/>
        <v>1</v>
      </c>
      <c r="BE157" t="str">
        <f t="shared" si="180"/>
        <v>1</v>
      </c>
      <c r="BF157" t="str">
        <f t="shared" si="161"/>
        <v xml:space="preserve">3         </v>
      </c>
      <c r="BG157" t="str">
        <f t="shared" si="162"/>
        <v>Confirmado por laboratorio</v>
      </c>
      <c r="BH157" t="str">
        <f>"HOSPITAL FEDERICO LLERAS ACOSTA ESE SEDE LA FRANC"</f>
        <v>HOSPITAL FEDERICO LLERAS ACOSTA ESE SEDE LA FRANC</v>
      </c>
      <c r="BI157" t="str">
        <f t="shared" si="170"/>
        <v>COLOMBIA</v>
      </c>
      <c r="BJ157" t="str">
        <f t="shared" si="163"/>
        <v>CANCER INFANTIL</v>
      </c>
      <c r="BK157" t="str">
        <f>"TOLIMA"</f>
        <v>TOLIMA</v>
      </c>
      <c r="BL157" t="str">
        <f>"LIBANO"</f>
        <v>LIBANO</v>
      </c>
      <c r="BM157" t="str">
        <f t="shared" si="171"/>
        <v>COLOMBIA</v>
      </c>
      <c r="BN157" t="str">
        <f>"TOLIMA"</f>
        <v>TOLIMA</v>
      </c>
      <c r="BO157" t="str">
        <f>"LIBANO"</f>
        <v>LIBANO</v>
      </c>
      <c r="BP157" t="str">
        <f>"TOLIMA"</f>
        <v>TOLIMA</v>
      </c>
      <c r="BQ157" t="str">
        <f>"IBAGUE"</f>
        <v>IBAGUE</v>
      </c>
    </row>
    <row r="158" spans="1:69" x14ac:dyDescent="0.25">
      <c r="A158" t="str">
        <f>"7285365"</f>
        <v>7285365</v>
      </c>
      <c r="B158" t="str">
        <f t="shared" si="156"/>
        <v>459</v>
      </c>
      <c r="C158" t="str">
        <f>"15/09/2020 12:00:00 a. m."</f>
        <v>15/09/2020 12:00:00 a. m.</v>
      </c>
      <c r="D158" t="str">
        <f>"26"</f>
        <v>26</v>
      </c>
      <c r="E158" t="str">
        <f t="shared" si="157"/>
        <v>2020</v>
      </c>
      <c r="F158" t="str">
        <f>"1100105681"</f>
        <v>1100105681</v>
      </c>
      <c r="G158" t="str">
        <f t="shared" si="181"/>
        <v>01</v>
      </c>
      <c r="H158" t="str">
        <f>"6"</f>
        <v>6</v>
      </c>
      <c r="I158" t="str">
        <f t="shared" si="152"/>
        <v>1</v>
      </c>
      <c r="J158" t="str">
        <f>"M"</f>
        <v>M</v>
      </c>
      <c r="K158" t="str">
        <f t="shared" si="165"/>
        <v>170</v>
      </c>
      <c r="L158" t="str">
        <f>"41"</f>
        <v>41</v>
      </c>
      <c r="M158" t="str">
        <f>"001"</f>
        <v>001</v>
      </c>
      <c r="N158" t="str">
        <f>"1"</f>
        <v>1</v>
      </c>
      <c r="O158" t="str">
        <f>"9999"</f>
        <v>9999</v>
      </c>
      <c r="P158" t="str">
        <f>"S"</f>
        <v>S</v>
      </c>
      <c r="Q158" t="str">
        <f>"EPSS34"</f>
        <v>EPSS34</v>
      </c>
      <c r="R158" t="str">
        <f t="shared" si="188"/>
        <v>6</v>
      </c>
      <c r="S158" t="str">
        <f>""</f>
        <v/>
      </c>
      <c r="T158" t="str">
        <f t="shared" si="183"/>
        <v xml:space="preserve">                                                                                                    </v>
      </c>
      <c r="U158" t="str">
        <f>"2         "</f>
        <v xml:space="preserve">2         </v>
      </c>
      <c r="V158" t="str">
        <f t="shared" si="174"/>
        <v>2</v>
      </c>
      <c r="W158" t="str">
        <f t="shared" si="174"/>
        <v>2</v>
      </c>
      <c r="X158" t="str">
        <f t="shared" si="166"/>
        <v>2</v>
      </c>
      <c r="Y158" t="str">
        <f t="shared" si="175"/>
        <v>2</v>
      </c>
      <c r="Z158" t="str">
        <f t="shared" si="175"/>
        <v>2</v>
      </c>
      <c r="AA158" t="str">
        <f t="shared" si="159"/>
        <v xml:space="preserve">          </v>
      </c>
      <c r="AB158" t="str">
        <f t="shared" si="148"/>
        <v>2</v>
      </c>
      <c r="AC158" t="str">
        <f t="shared" si="150"/>
        <v>2</v>
      </c>
      <c r="AD158" t="str">
        <f t="shared" si="177"/>
        <v>2</v>
      </c>
      <c r="AE158" t="str">
        <f t="shared" si="177"/>
        <v>2</v>
      </c>
      <c r="AF158" t="str">
        <f t="shared" si="177"/>
        <v>2</v>
      </c>
      <c r="AG158" t="str">
        <f t="shared" si="177"/>
        <v>2</v>
      </c>
      <c r="AH158" t="str">
        <f t="shared" si="167"/>
        <v>1</v>
      </c>
      <c r="AI158" t="str">
        <f t="shared" si="186"/>
        <v xml:space="preserve">1         </v>
      </c>
      <c r="AJ158" t="str">
        <f t="shared" si="168"/>
        <v>170</v>
      </c>
      <c r="AK158" t="str">
        <f>"41"</f>
        <v>41</v>
      </c>
      <c r="AL158" t="str">
        <f>"001"</f>
        <v>001</v>
      </c>
      <c r="AM158" t="str">
        <f>"11"</f>
        <v>11</v>
      </c>
      <c r="AN158" t="str">
        <f>"11001"</f>
        <v>11001</v>
      </c>
      <c r="AO158" t="str">
        <f>"24/06/2020 12:00:00 a. m."</f>
        <v>24/06/2020 12:00:00 a. m.</v>
      </c>
      <c r="AP158" t="str">
        <f>"24/05/2020 12:00:00 a. m."</f>
        <v>24/05/2020 12:00:00 a. m.</v>
      </c>
      <c r="AQ158" t="str">
        <f>"3"</f>
        <v>3</v>
      </c>
      <c r="AR158" t="str">
        <f t="shared" si="187"/>
        <v>1</v>
      </c>
      <c r="AS158" t="str">
        <f>"24/06/2020 12:00:00 a. m."</f>
        <v>24/06/2020 12:00:00 a. m.</v>
      </c>
      <c r="AT158" t="str">
        <f t="shared" si="185"/>
        <v>1</v>
      </c>
      <c r="AU158" t="str">
        <f>""</f>
        <v/>
      </c>
      <c r="AV158" t="str">
        <f>"0"</f>
        <v>0</v>
      </c>
      <c r="AW158" t="str">
        <f>"5/10/2013 12:00:00 a. m."</f>
        <v>5/10/2013 12:00:00 a. m.</v>
      </c>
      <c r="AX158" t="str">
        <f>""</f>
        <v/>
      </c>
      <c r="AY158" t="str">
        <f t="shared" si="160"/>
        <v>30/04/2021 12:00:00 a. m.</v>
      </c>
      <c r="AZ158" t="str">
        <f>"15/09/2020 12:00:00 a. m."</f>
        <v>15/09/2020 12:00:00 a. m.</v>
      </c>
      <c r="BA158" t="str">
        <f>""</f>
        <v/>
      </c>
      <c r="BB158" t="str">
        <f>""</f>
        <v/>
      </c>
      <c r="BC158" t="str">
        <f>""</f>
        <v/>
      </c>
      <c r="BD158" t="str">
        <f t="shared" si="180"/>
        <v>1</v>
      </c>
      <c r="BE158" t="str">
        <f t="shared" si="180"/>
        <v>1</v>
      </c>
      <c r="BF158" t="str">
        <f t="shared" si="161"/>
        <v xml:space="preserve">3         </v>
      </c>
      <c r="BG158" t="str">
        <f t="shared" si="162"/>
        <v>Confirmado por laboratorio</v>
      </c>
      <c r="BH158" t="str">
        <f>"FUNDACION HOSPITAL DE LA MISERICORDIA"</f>
        <v>FUNDACION HOSPITAL DE LA MISERICORDIA</v>
      </c>
      <c r="BI158" t="str">
        <f t="shared" si="170"/>
        <v>COLOMBIA</v>
      </c>
      <c r="BJ158" t="str">
        <f t="shared" si="163"/>
        <v>CANCER INFANTIL</v>
      </c>
      <c r="BK158" t="str">
        <f>"HUILA"</f>
        <v>HUILA</v>
      </c>
      <c r="BL158" t="str">
        <f>"NEIVA"</f>
        <v>NEIVA</v>
      </c>
      <c r="BM158" t="str">
        <f t="shared" si="171"/>
        <v>COLOMBIA</v>
      </c>
      <c r="BN158" t="str">
        <f>"HUILA"</f>
        <v>HUILA</v>
      </c>
      <c r="BO158" t="str">
        <f>"NEIVA"</f>
        <v>NEIVA</v>
      </c>
      <c r="BP158" t="str">
        <f t="shared" ref="BP158:BQ160" si="189">"BOGOTA"</f>
        <v>BOGOTA</v>
      </c>
      <c r="BQ158" t="str">
        <f t="shared" si="189"/>
        <v>BOGOTA</v>
      </c>
    </row>
    <row r="159" spans="1:69" x14ac:dyDescent="0.25">
      <c r="A159" t="str">
        <f>"7285363"</f>
        <v>7285363</v>
      </c>
      <c r="B159" t="str">
        <f t="shared" si="156"/>
        <v>459</v>
      </c>
      <c r="C159" t="str">
        <f>"26/03/2020 12:00:00 a. m."</f>
        <v>26/03/2020 12:00:00 a. m.</v>
      </c>
      <c r="D159" t="str">
        <f>"13"</f>
        <v>13</v>
      </c>
      <c r="E159" t="str">
        <f t="shared" si="157"/>
        <v>2020</v>
      </c>
      <c r="F159" t="str">
        <f>"1100109111"</f>
        <v>1100109111</v>
      </c>
      <c r="G159" t="str">
        <f t="shared" si="181"/>
        <v>01</v>
      </c>
      <c r="H159" t="str">
        <f>"11"</f>
        <v>11</v>
      </c>
      <c r="I159" t="str">
        <f t="shared" si="152"/>
        <v>1</v>
      </c>
      <c r="J159" t="str">
        <f>"M"</f>
        <v>M</v>
      </c>
      <c r="K159" t="str">
        <f t="shared" si="165"/>
        <v>170</v>
      </c>
      <c r="L159" t="str">
        <f>"25"</f>
        <v>25</v>
      </c>
      <c r="M159" t="str">
        <f>"754"</f>
        <v>754</v>
      </c>
      <c r="N159" t="str">
        <f>"1"</f>
        <v>1</v>
      </c>
      <c r="O159" t="str">
        <f>"9997"</f>
        <v>9997</v>
      </c>
      <c r="P159" t="str">
        <f>"C"</f>
        <v>C</v>
      </c>
      <c r="Q159" t="str">
        <f>"EPS010"</f>
        <v>EPS010</v>
      </c>
      <c r="R159" t="str">
        <f t="shared" si="188"/>
        <v>6</v>
      </c>
      <c r="S159" t="str">
        <f>""</f>
        <v/>
      </c>
      <c r="T159" t="str">
        <f t="shared" si="183"/>
        <v xml:space="preserve">                                                                                                    </v>
      </c>
      <c r="U159" t="str">
        <f>"2         "</f>
        <v xml:space="preserve">2         </v>
      </c>
      <c r="V159" t="str">
        <f t="shared" ref="V159:W178" si="190">"2"</f>
        <v>2</v>
      </c>
      <c r="W159" t="str">
        <f t="shared" si="190"/>
        <v>2</v>
      </c>
      <c r="X159" t="str">
        <f t="shared" si="166"/>
        <v>2</v>
      </c>
      <c r="Y159" t="str">
        <f t="shared" ref="Y159:Z178" si="191">"2"</f>
        <v>2</v>
      </c>
      <c r="Z159" t="str">
        <f t="shared" si="191"/>
        <v>2</v>
      </c>
      <c r="AA159" t="str">
        <f t="shared" si="159"/>
        <v xml:space="preserve">          </v>
      </c>
      <c r="AB159" t="str">
        <f t="shared" si="148"/>
        <v>2</v>
      </c>
      <c r="AC159" t="str">
        <f t="shared" si="150"/>
        <v>2</v>
      </c>
      <c r="AD159" t="str">
        <f t="shared" si="177"/>
        <v>2</v>
      </c>
      <c r="AE159" t="str">
        <f t="shared" si="177"/>
        <v>2</v>
      </c>
      <c r="AF159" t="str">
        <f t="shared" si="177"/>
        <v>2</v>
      </c>
      <c r="AG159" t="str">
        <f t="shared" si="177"/>
        <v>2</v>
      </c>
      <c r="AH159" t="str">
        <f t="shared" si="167"/>
        <v>1</v>
      </c>
      <c r="AI159" t="str">
        <f t="shared" si="186"/>
        <v xml:space="preserve">1         </v>
      </c>
      <c r="AJ159" t="str">
        <f t="shared" si="168"/>
        <v>170</v>
      </c>
      <c r="AK159" t="str">
        <f>"25"</f>
        <v>25</v>
      </c>
      <c r="AL159" t="str">
        <f>"754"</f>
        <v>754</v>
      </c>
      <c r="AM159" t="str">
        <f>"11"</f>
        <v>11</v>
      </c>
      <c r="AN159" t="str">
        <f>"11001"</f>
        <v>11001</v>
      </c>
      <c r="AO159" t="str">
        <f>"26/03/2020 12:00:00 a. m."</f>
        <v>26/03/2020 12:00:00 a. m.</v>
      </c>
      <c r="AP159" t="str">
        <f>"1/06/2018 12:00:00 a. m."</f>
        <v>1/06/2018 12:00:00 a. m.</v>
      </c>
      <c r="AQ159" t="str">
        <f>"3"</f>
        <v>3</v>
      </c>
      <c r="AR159" t="str">
        <f t="shared" si="187"/>
        <v>1</v>
      </c>
      <c r="AS159" t="str">
        <f>"26/03/2020 12:00:00 a. m."</f>
        <v>26/03/2020 12:00:00 a. m.</v>
      </c>
      <c r="AT159" t="str">
        <f t="shared" si="185"/>
        <v>1</v>
      </c>
      <c r="AU159" t="str">
        <f>""</f>
        <v/>
      </c>
      <c r="AV159" t="str">
        <f>"7"</f>
        <v>7</v>
      </c>
      <c r="AW159" t="str">
        <f>"16/01/2009 12:00:00 a. m."</f>
        <v>16/01/2009 12:00:00 a. m.</v>
      </c>
      <c r="AX159" t="str">
        <f>""</f>
        <v/>
      </c>
      <c r="AY159" t="str">
        <f t="shared" si="160"/>
        <v>30/04/2021 12:00:00 a. m.</v>
      </c>
      <c r="AZ159" t="str">
        <f>"1/07/2020 12:00:00 a. m."</f>
        <v>1/07/2020 12:00:00 a. m.</v>
      </c>
      <c r="BA159" t="str">
        <f>""</f>
        <v/>
      </c>
      <c r="BB159" t="str">
        <f>""</f>
        <v/>
      </c>
      <c r="BC159" t="str">
        <f>""</f>
        <v/>
      </c>
      <c r="BD159" t="str">
        <f t="shared" si="180"/>
        <v>1</v>
      </c>
      <c r="BE159" t="str">
        <f t="shared" si="180"/>
        <v>1</v>
      </c>
      <c r="BF159" t="str">
        <f t="shared" si="161"/>
        <v xml:space="preserve">3         </v>
      </c>
      <c r="BG159" t="str">
        <f t="shared" si="162"/>
        <v>Confirmado por laboratorio</v>
      </c>
      <c r="BH159" t="str">
        <f>"FUNDACION CARDIOINFANTIL INSTITUTO DE CARDIOLOGIA"</f>
        <v>FUNDACION CARDIOINFANTIL INSTITUTO DE CARDIOLOGIA</v>
      </c>
      <c r="BI159" t="str">
        <f t="shared" si="170"/>
        <v>COLOMBIA</v>
      </c>
      <c r="BJ159" t="str">
        <f t="shared" si="163"/>
        <v>CANCER INFANTIL</v>
      </c>
      <c r="BK159" t="str">
        <f>"CUNDINAMARCA"</f>
        <v>CUNDINAMARCA</v>
      </c>
      <c r="BL159" t="str">
        <f>"SOACHA"</f>
        <v>SOACHA</v>
      </c>
      <c r="BM159" t="str">
        <f t="shared" si="171"/>
        <v>COLOMBIA</v>
      </c>
      <c r="BN159" t="str">
        <f>"CUNDINAMARCA"</f>
        <v>CUNDINAMARCA</v>
      </c>
      <c r="BO159" t="str">
        <f>"SOACHA"</f>
        <v>SOACHA</v>
      </c>
      <c r="BP159" t="str">
        <f t="shared" si="189"/>
        <v>BOGOTA</v>
      </c>
      <c r="BQ159" t="str">
        <f t="shared" si="189"/>
        <v>BOGOTA</v>
      </c>
    </row>
    <row r="160" spans="1:69" x14ac:dyDescent="0.25">
      <c r="A160" t="str">
        <f>"7285374"</f>
        <v>7285374</v>
      </c>
      <c r="B160" t="str">
        <f t="shared" si="156"/>
        <v>459</v>
      </c>
      <c r="C160" t="str">
        <f>"6/06/2020 12:00:00 a. m."</f>
        <v>6/06/2020 12:00:00 a. m.</v>
      </c>
      <c r="D160" t="str">
        <f>"22"</f>
        <v>22</v>
      </c>
      <c r="E160" t="str">
        <f t="shared" si="157"/>
        <v>2020</v>
      </c>
      <c r="F160" t="str">
        <f>"1100108679"</f>
        <v>1100108679</v>
      </c>
      <c r="G160" t="str">
        <f t="shared" si="181"/>
        <v>01</v>
      </c>
      <c r="H160" t="str">
        <f>"15"</f>
        <v>15</v>
      </c>
      <c r="I160" t="str">
        <f t="shared" ref="I160:I179" si="192">"1"</f>
        <v>1</v>
      </c>
      <c r="J160" t="str">
        <f>"F"</f>
        <v>F</v>
      </c>
      <c r="K160" t="str">
        <f t="shared" si="165"/>
        <v>170</v>
      </c>
      <c r="L160" t="str">
        <f>"25"</f>
        <v>25</v>
      </c>
      <c r="M160" t="str">
        <f>"754"</f>
        <v>754</v>
      </c>
      <c r="N160" t="str">
        <f>"1"</f>
        <v>1</v>
      </c>
      <c r="O160" t="str">
        <f>"9997"</f>
        <v>9997</v>
      </c>
      <c r="P160" t="str">
        <f>"C"</f>
        <v>C</v>
      </c>
      <c r="Q160" t="str">
        <f>"EPS008"</f>
        <v>EPS008</v>
      </c>
      <c r="R160" t="str">
        <f t="shared" si="188"/>
        <v>6</v>
      </c>
      <c r="S160" t="str">
        <f>""</f>
        <v/>
      </c>
      <c r="T160" t="str">
        <f t="shared" si="183"/>
        <v xml:space="preserve">                                                                                                    </v>
      </c>
      <c r="U160" t="str">
        <f>"2         "</f>
        <v xml:space="preserve">2         </v>
      </c>
      <c r="V160" t="str">
        <f t="shared" si="190"/>
        <v>2</v>
      </c>
      <c r="W160" t="str">
        <f t="shared" si="190"/>
        <v>2</v>
      </c>
      <c r="X160" t="str">
        <f t="shared" si="166"/>
        <v>2</v>
      </c>
      <c r="Y160" t="str">
        <f t="shared" si="191"/>
        <v>2</v>
      </c>
      <c r="Z160" t="str">
        <f t="shared" si="191"/>
        <v>2</v>
      </c>
      <c r="AA160" t="str">
        <f t="shared" si="159"/>
        <v xml:space="preserve">          </v>
      </c>
      <c r="AB160" t="str">
        <f t="shared" si="148"/>
        <v>2</v>
      </c>
      <c r="AC160" t="str">
        <f t="shared" si="150"/>
        <v>2</v>
      </c>
      <c r="AD160" t="str">
        <f t="shared" ref="AD160:AG179" si="193">"2"</f>
        <v>2</v>
      </c>
      <c r="AE160" t="str">
        <f t="shared" si="193"/>
        <v>2</v>
      </c>
      <c r="AF160" t="str">
        <f t="shared" si="193"/>
        <v>2</v>
      </c>
      <c r="AG160" t="str">
        <f t="shared" si="193"/>
        <v>2</v>
      </c>
      <c r="AH160" t="str">
        <f t="shared" si="167"/>
        <v>1</v>
      </c>
      <c r="AI160" t="str">
        <f>"2         "</f>
        <v xml:space="preserve">2         </v>
      </c>
      <c r="AJ160" t="str">
        <f t="shared" si="168"/>
        <v>170</v>
      </c>
      <c r="AK160" t="str">
        <f>"25"</f>
        <v>25</v>
      </c>
      <c r="AL160" t="str">
        <f>"754"</f>
        <v>754</v>
      </c>
      <c r="AM160" t="str">
        <f>"11"</f>
        <v>11</v>
      </c>
      <c r="AN160" t="str">
        <f>"11001"</f>
        <v>11001</v>
      </c>
      <c r="AO160" t="str">
        <f>"28/05/2020 12:00:00 a. m."</f>
        <v>28/05/2020 12:00:00 a. m.</v>
      </c>
      <c r="AP160" t="str">
        <f>"28/05/2020 12:00:00 a. m."</f>
        <v>28/05/2020 12:00:00 a. m.</v>
      </c>
      <c r="AQ160" t="str">
        <f>"2"</f>
        <v>2</v>
      </c>
      <c r="AR160" t="str">
        <f>"2"</f>
        <v>2</v>
      </c>
      <c r="AS160" t="str">
        <f>""</f>
        <v/>
      </c>
      <c r="AT160" t="str">
        <f t="shared" si="185"/>
        <v>1</v>
      </c>
      <c r="AU160" t="str">
        <f>""</f>
        <v/>
      </c>
      <c r="AV160" t="str">
        <f>"3"</f>
        <v>3</v>
      </c>
      <c r="AW160" t="str">
        <f>"8/09/2004 12:00:00 a. m."</f>
        <v>8/09/2004 12:00:00 a. m.</v>
      </c>
      <c r="AX160" t="str">
        <f>""</f>
        <v/>
      </c>
      <c r="AY160" t="str">
        <f t="shared" si="160"/>
        <v>30/04/2021 12:00:00 a. m.</v>
      </c>
      <c r="AZ160" t="str">
        <f>"24/06/2020 12:00:00 a. m."</f>
        <v>24/06/2020 12:00:00 a. m.</v>
      </c>
      <c r="BA160" t="str">
        <f>""</f>
        <v/>
      </c>
      <c r="BB160" t="str">
        <f>""</f>
        <v/>
      </c>
      <c r="BC160" t="str">
        <f>""</f>
        <v/>
      </c>
      <c r="BD160" t="str">
        <f t="shared" si="180"/>
        <v>1</v>
      </c>
      <c r="BE160" t="str">
        <f t="shared" si="180"/>
        <v>1</v>
      </c>
      <c r="BF160" t="str">
        <f t="shared" si="161"/>
        <v xml:space="preserve">3         </v>
      </c>
      <c r="BG160" t="str">
        <f t="shared" si="162"/>
        <v>Confirmado por laboratorio</v>
      </c>
      <c r="BH160" t="str">
        <f>"SOCIEDAD DE CIRUGIA DE BOGOTA HOSPITAL DE SAN JOSE"</f>
        <v>SOCIEDAD DE CIRUGIA DE BOGOTA HOSPITAL DE SAN JOSE</v>
      </c>
      <c r="BI160" t="str">
        <f t="shared" si="170"/>
        <v>COLOMBIA</v>
      </c>
      <c r="BJ160" t="str">
        <f t="shared" si="163"/>
        <v>CANCER INFANTIL</v>
      </c>
      <c r="BK160" t="str">
        <f>"CUNDINAMARCA"</f>
        <v>CUNDINAMARCA</v>
      </c>
      <c r="BL160" t="str">
        <f>"SOACHA"</f>
        <v>SOACHA</v>
      </c>
      <c r="BM160" t="str">
        <f t="shared" si="171"/>
        <v>COLOMBIA</v>
      </c>
      <c r="BN160" t="str">
        <f>"CUNDINAMARCA"</f>
        <v>CUNDINAMARCA</v>
      </c>
      <c r="BO160" t="str">
        <f>"SOACHA"</f>
        <v>SOACHA</v>
      </c>
      <c r="BP160" t="str">
        <f t="shared" si="189"/>
        <v>BOGOTA</v>
      </c>
      <c r="BQ160" t="str">
        <f t="shared" si="189"/>
        <v>BOGOTA</v>
      </c>
    </row>
    <row r="161" spans="1:69" x14ac:dyDescent="0.25">
      <c r="A161" t="str">
        <f>"7285590"</f>
        <v>7285590</v>
      </c>
      <c r="B161" t="str">
        <f t="shared" si="156"/>
        <v>459</v>
      </c>
      <c r="C161" t="str">
        <f>"7/11/2020 12:00:00 a. m."</f>
        <v>7/11/2020 12:00:00 a. m.</v>
      </c>
      <c r="D161" t="str">
        <f>"34"</f>
        <v>34</v>
      </c>
      <c r="E161" t="str">
        <f t="shared" si="157"/>
        <v>2020</v>
      </c>
      <c r="F161" t="str">
        <f>"2300100949"</f>
        <v>2300100949</v>
      </c>
      <c r="G161" t="str">
        <f t="shared" si="181"/>
        <v>01</v>
      </c>
      <c r="H161" t="str">
        <f>"17"</f>
        <v>17</v>
      </c>
      <c r="I161" t="str">
        <f t="shared" si="192"/>
        <v>1</v>
      </c>
      <c r="J161" t="str">
        <f>"F"</f>
        <v>F</v>
      </c>
      <c r="K161" t="str">
        <f t="shared" si="165"/>
        <v>170</v>
      </c>
      <c r="L161" t="str">
        <f>"23"</f>
        <v>23</v>
      </c>
      <c r="M161" t="str">
        <f>"807"</f>
        <v>807</v>
      </c>
      <c r="N161" t="str">
        <f>"2"</f>
        <v>2</v>
      </c>
      <c r="O161" t="str">
        <f t="shared" ref="O161:O167" si="194">"9999"</f>
        <v>9999</v>
      </c>
      <c r="P161" t="str">
        <f>"S"</f>
        <v>S</v>
      </c>
      <c r="Q161" t="str">
        <f>"ESS207"</f>
        <v>ESS207</v>
      </c>
      <c r="R161" t="str">
        <f t="shared" si="188"/>
        <v>6</v>
      </c>
      <c r="S161" t="str">
        <f>""</f>
        <v/>
      </c>
      <c r="T161" t="str">
        <f t="shared" si="183"/>
        <v xml:space="preserve">                                                                                                    </v>
      </c>
      <c r="U161" t="str">
        <f>"1         "</f>
        <v xml:space="preserve">1         </v>
      </c>
      <c r="V161" t="str">
        <f t="shared" si="190"/>
        <v>2</v>
      </c>
      <c r="W161" t="str">
        <f t="shared" si="190"/>
        <v>2</v>
      </c>
      <c r="X161" t="str">
        <f t="shared" si="166"/>
        <v>2</v>
      </c>
      <c r="Y161" t="str">
        <f t="shared" si="191"/>
        <v>2</v>
      </c>
      <c r="Z161" t="str">
        <f t="shared" si="191"/>
        <v>2</v>
      </c>
      <c r="AA161" t="str">
        <f t="shared" si="159"/>
        <v xml:space="preserve">          </v>
      </c>
      <c r="AB161" t="str">
        <f t="shared" si="148"/>
        <v>2</v>
      </c>
      <c r="AC161" t="str">
        <f t="shared" si="150"/>
        <v>2</v>
      </c>
      <c r="AD161" t="str">
        <f t="shared" si="193"/>
        <v>2</v>
      </c>
      <c r="AE161" t="str">
        <f t="shared" si="193"/>
        <v>2</v>
      </c>
      <c r="AF161" t="str">
        <f t="shared" si="193"/>
        <v>2</v>
      </c>
      <c r="AG161" t="str">
        <f t="shared" si="193"/>
        <v>2</v>
      </c>
      <c r="AH161" t="str">
        <f t="shared" si="167"/>
        <v>1</v>
      </c>
      <c r="AI161" t="str">
        <f>"2         "</f>
        <v xml:space="preserve">2         </v>
      </c>
      <c r="AJ161" t="str">
        <f t="shared" si="168"/>
        <v>170</v>
      </c>
      <c r="AK161" t="str">
        <f>"23"</f>
        <v>23</v>
      </c>
      <c r="AL161" t="str">
        <f>"807"</f>
        <v>807</v>
      </c>
      <c r="AM161" t="str">
        <f>"23"</f>
        <v>23</v>
      </c>
      <c r="AN161" t="str">
        <f>"23001"</f>
        <v>23001</v>
      </c>
      <c r="AO161" t="str">
        <f>"22/08/2020 12:00:00 a. m."</f>
        <v>22/08/2020 12:00:00 a. m.</v>
      </c>
      <c r="AP161" t="str">
        <f>"15/04/2020 12:00:00 a. m."</f>
        <v>15/04/2020 12:00:00 a. m.</v>
      </c>
      <c r="AQ161" t="str">
        <f t="shared" ref="AQ161:AQ171" si="195">"3"</f>
        <v>3</v>
      </c>
      <c r="AR161" t="str">
        <f>"1"</f>
        <v>1</v>
      </c>
      <c r="AS161" t="str">
        <f>"23/08/2020 12:00:00 a. m."</f>
        <v>23/08/2020 12:00:00 a. m.</v>
      </c>
      <c r="AT161" t="str">
        <f t="shared" si="185"/>
        <v>1</v>
      </c>
      <c r="AU161" t="str">
        <f>""</f>
        <v/>
      </c>
      <c r="AV161" t="str">
        <f>"7"</f>
        <v>7</v>
      </c>
      <c r="AW161" t="str">
        <f>"24/05/2003 12:00:00 a. m."</f>
        <v>24/05/2003 12:00:00 a. m.</v>
      </c>
      <c r="AX161" t="str">
        <f>""</f>
        <v/>
      </c>
      <c r="AY161" t="str">
        <f t="shared" si="160"/>
        <v>30/04/2021 12:00:00 a. m.</v>
      </c>
      <c r="AZ161" t="str">
        <f>"4/12/2020 12:00:00 a. m."</f>
        <v>4/12/2020 12:00:00 a. m.</v>
      </c>
      <c r="BA161" t="str">
        <f>""</f>
        <v/>
      </c>
      <c r="BB161" t="str">
        <f>""</f>
        <v/>
      </c>
      <c r="BC161" t="str">
        <f>""</f>
        <v/>
      </c>
      <c r="BD161" t="str">
        <f t="shared" si="180"/>
        <v>1</v>
      </c>
      <c r="BE161" t="str">
        <f t="shared" si="180"/>
        <v>1</v>
      </c>
      <c r="BF161" t="str">
        <f t="shared" si="161"/>
        <v xml:space="preserve">3         </v>
      </c>
      <c r="BG161" t="str">
        <f t="shared" si="162"/>
        <v>Confirmado por laboratorio</v>
      </c>
      <c r="BH161" t="str">
        <f>"ONCOMEDICA S A"</f>
        <v>ONCOMEDICA S A</v>
      </c>
      <c r="BI161" t="str">
        <f t="shared" si="170"/>
        <v>COLOMBIA</v>
      </c>
      <c r="BJ161" t="str">
        <f t="shared" si="163"/>
        <v>CANCER INFANTIL</v>
      </c>
      <c r="BK161" t="str">
        <f>"CORDOBA"</f>
        <v>CORDOBA</v>
      </c>
      <c r="BL161" t="str">
        <f>"TIERRALTA"</f>
        <v>TIERRALTA</v>
      </c>
      <c r="BM161" t="str">
        <f t="shared" si="171"/>
        <v>COLOMBIA</v>
      </c>
      <c r="BN161" t="str">
        <f>"CORDOBA"</f>
        <v>CORDOBA</v>
      </c>
      <c r="BO161" t="str">
        <f>"TIERRALTA"</f>
        <v>TIERRALTA</v>
      </c>
      <c r="BP161" t="str">
        <f>"CORDOBA"</f>
        <v>CORDOBA</v>
      </c>
      <c r="BQ161" t="str">
        <f>"MONTERIA"</f>
        <v>MONTERIA</v>
      </c>
    </row>
    <row r="162" spans="1:69" x14ac:dyDescent="0.25">
      <c r="A162" t="str">
        <f>"7285558"</f>
        <v>7285558</v>
      </c>
      <c r="B162" t="str">
        <f t="shared" si="156"/>
        <v>459</v>
      </c>
      <c r="C162" t="str">
        <f>"4/11/2020 12:00:00 a. m."</f>
        <v>4/11/2020 12:00:00 a. m.</v>
      </c>
      <c r="D162" t="str">
        <f>"41"</f>
        <v>41</v>
      </c>
      <c r="E162" t="str">
        <f t="shared" si="157"/>
        <v>2020</v>
      </c>
      <c r="F162" t="str">
        <f>"6854704947"</f>
        <v>6854704947</v>
      </c>
      <c r="G162" t="str">
        <f t="shared" si="181"/>
        <v>01</v>
      </c>
      <c r="H162" t="str">
        <f>"3"</f>
        <v>3</v>
      </c>
      <c r="I162" t="str">
        <f t="shared" si="192"/>
        <v>1</v>
      </c>
      <c r="J162" t="str">
        <f>"F"</f>
        <v>F</v>
      </c>
      <c r="K162" t="str">
        <f t="shared" si="165"/>
        <v>170</v>
      </c>
      <c r="L162" t="str">
        <f>"68"</f>
        <v>68</v>
      </c>
      <c r="M162" t="str">
        <f>"385"</f>
        <v>385</v>
      </c>
      <c r="N162" t="str">
        <f>"1"</f>
        <v>1</v>
      </c>
      <c r="O162" t="str">
        <f t="shared" si="194"/>
        <v>9999</v>
      </c>
      <c r="P162" t="str">
        <f>"S"</f>
        <v>S</v>
      </c>
      <c r="Q162" t="str">
        <f>"EPSS37"</f>
        <v>EPSS37</v>
      </c>
      <c r="R162" t="str">
        <f t="shared" si="188"/>
        <v>6</v>
      </c>
      <c r="S162" t="str">
        <f>""</f>
        <v/>
      </c>
      <c r="T162" t="str">
        <f t="shared" si="183"/>
        <v xml:space="preserve">                                                                                                    </v>
      </c>
      <c r="U162" t="str">
        <f>"1         "</f>
        <v xml:space="preserve">1         </v>
      </c>
      <c r="V162" t="str">
        <f t="shared" si="190"/>
        <v>2</v>
      </c>
      <c r="W162" t="str">
        <f t="shared" si="190"/>
        <v>2</v>
      </c>
      <c r="X162" t="str">
        <f t="shared" si="166"/>
        <v>2</v>
      </c>
      <c r="Y162" t="str">
        <f t="shared" si="191"/>
        <v>2</v>
      </c>
      <c r="Z162" t="str">
        <f t="shared" si="191"/>
        <v>2</v>
      </c>
      <c r="AA162" t="str">
        <f t="shared" si="159"/>
        <v xml:space="preserve">          </v>
      </c>
      <c r="AB162" t="str">
        <f t="shared" si="148"/>
        <v>2</v>
      </c>
      <c r="AC162" t="str">
        <f t="shared" si="150"/>
        <v>2</v>
      </c>
      <c r="AD162" t="str">
        <f t="shared" si="193"/>
        <v>2</v>
      </c>
      <c r="AE162" t="str">
        <f t="shared" si="193"/>
        <v>2</v>
      </c>
      <c r="AF162" t="str">
        <f t="shared" si="193"/>
        <v>2</v>
      </c>
      <c r="AG162" t="str">
        <f t="shared" si="193"/>
        <v>2</v>
      </c>
      <c r="AH162" t="str">
        <f t="shared" si="167"/>
        <v>1</v>
      </c>
      <c r="AI162" t="str">
        <f t="shared" ref="AI162:AI186" si="196">"1         "</f>
        <v xml:space="preserve">1         </v>
      </c>
      <c r="AJ162" t="str">
        <f t="shared" si="168"/>
        <v>170</v>
      </c>
      <c r="AK162" t="str">
        <f>"68"</f>
        <v>68</v>
      </c>
      <c r="AL162" t="str">
        <f>"385"</f>
        <v>385</v>
      </c>
      <c r="AM162" t="str">
        <f>"68"</f>
        <v>68</v>
      </c>
      <c r="AN162" t="str">
        <f>"68547"</f>
        <v>68547</v>
      </c>
      <c r="AO162" t="str">
        <f>"10/10/2020 12:00:00 a. m."</f>
        <v>10/10/2020 12:00:00 a. m.</v>
      </c>
      <c r="AP162" t="str">
        <f>"1/10/2020 12:00:00 a. m."</f>
        <v>1/10/2020 12:00:00 a. m.</v>
      </c>
      <c r="AQ162" t="str">
        <f t="shared" si="195"/>
        <v>3</v>
      </c>
      <c r="AR162" t="str">
        <f>"1"</f>
        <v>1</v>
      </c>
      <c r="AS162" t="str">
        <f>"13/10/2020 12:00:00 a. m."</f>
        <v>13/10/2020 12:00:00 a. m.</v>
      </c>
      <c r="AT162" t="str">
        <f t="shared" si="185"/>
        <v>1</v>
      </c>
      <c r="AU162" t="str">
        <f>""</f>
        <v/>
      </c>
      <c r="AV162" t="str">
        <f>"0"</f>
        <v>0</v>
      </c>
      <c r="AW162" t="str">
        <f>"18/11/2016 12:00:00 a. m."</f>
        <v>18/11/2016 12:00:00 a. m.</v>
      </c>
      <c r="AX162" t="str">
        <f>""</f>
        <v/>
      </c>
      <c r="AY162" t="str">
        <f t="shared" si="160"/>
        <v>30/04/2021 12:00:00 a. m.</v>
      </c>
      <c r="AZ162" t="str">
        <f>"4/11/2020 12:00:00 a. m."</f>
        <v>4/11/2020 12:00:00 a. m.</v>
      </c>
      <c r="BA162" t="str">
        <f>""</f>
        <v/>
      </c>
      <c r="BB162" t="str">
        <f>""</f>
        <v/>
      </c>
      <c r="BC162" t="str">
        <f>""</f>
        <v/>
      </c>
      <c r="BD162" t="str">
        <f t="shared" ref="BD162:BE181" si="197">"1"</f>
        <v>1</v>
      </c>
      <c r="BE162" t="str">
        <f t="shared" si="197"/>
        <v>1</v>
      </c>
      <c r="BF162" t="str">
        <f t="shared" si="161"/>
        <v xml:space="preserve">3         </v>
      </c>
      <c r="BG162" t="str">
        <f t="shared" si="162"/>
        <v>Confirmado por laboratorio</v>
      </c>
      <c r="BH162" t="str">
        <f>"HOSPITAL INTERNACIONAL DE COLOMBIA"</f>
        <v>HOSPITAL INTERNACIONAL DE COLOMBIA</v>
      </c>
      <c r="BI162" t="str">
        <f t="shared" si="170"/>
        <v>COLOMBIA</v>
      </c>
      <c r="BJ162" t="str">
        <f t="shared" si="163"/>
        <v>CANCER INFANTIL</v>
      </c>
      <c r="BK162" t="str">
        <f>"SANTANDER"</f>
        <v>SANTANDER</v>
      </c>
      <c r="BL162" t="str">
        <f>"LANDAZURI"</f>
        <v>LANDAZURI</v>
      </c>
      <c r="BM162" t="str">
        <f t="shared" si="171"/>
        <v>COLOMBIA</v>
      </c>
      <c r="BN162" t="str">
        <f>"SANTANDER"</f>
        <v>SANTANDER</v>
      </c>
      <c r="BO162" t="str">
        <f>"LANDAZURI"</f>
        <v>LANDAZURI</v>
      </c>
      <c r="BP162" t="str">
        <f>"SANTANDER"</f>
        <v>SANTANDER</v>
      </c>
      <c r="BQ162" t="str">
        <f>"PIEDECUESTA"</f>
        <v>PIEDECUESTA</v>
      </c>
    </row>
    <row r="163" spans="1:69" x14ac:dyDescent="0.25">
      <c r="A163" t="str">
        <f>"7285485"</f>
        <v>7285485</v>
      </c>
      <c r="B163" t="str">
        <f t="shared" si="156"/>
        <v>459</v>
      </c>
      <c r="C163" t="str">
        <f>"14/09/2020 12:00:00 a. m."</f>
        <v>14/09/2020 12:00:00 a. m.</v>
      </c>
      <c r="D163" t="str">
        <f>"35"</f>
        <v>35</v>
      </c>
      <c r="E163" t="str">
        <f t="shared" si="157"/>
        <v>2020</v>
      </c>
      <c r="F163" t="str">
        <f>"6854704947"</f>
        <v>6854704947</v>
      </c>
      <c r="G163" t="str">
        <f t="shared" si="181"/>
        <v>01</v>
      </c>
      <c r="H163" t="str">
        <f>"1"</f>
        <v>1</v>
      </c>
      <c r="I163" t="str">
        <f t="shared" si="192"/>
        <v>1</v>
      </c>
      <c r="J163" t="str">
        <f>"M"</f>
        <v>M</v>
      </c>
      <c r="K163" t="str">
        <f t="shared" si="165"/>
        <v>170</v>
      </c>
      <c r="L163" t="str">
        <f>"54"</f>
        <v>54</v>
      </c>
      <c r="M163" t="str">
        <f>"800"</f>
        <v>800</v>
      </c>
      <c r="N163" t="str">
        <f>"1"</f>
        <v>1</v>
      </c>
      <c r="O163" t="str">
        <f t="shared" si="194"/>
        <v>9999</v>
      </c>
      <c r="P163" t="str">
        <f>"S"</f>
        <v>S</v>
      </c>
      <c r="Q163" t="str">
        <f>"ESS062"</f>
        <v>ESS062</v>
      </c>
      <c r="R163" t="str">
        <f t="shared" si="188"/>
        <v>6</v>
      </c>
      <c r="S163" t="str">
        <f>""</f>
        <v/>
      </c>
      <c r="T163" t="str">
        <f t="shared" si="183"/>
        <v xml:space="preserve">                                                                                                    </v>
      </c>
      <c r="U163" t="str">
        <f>"1         "</f>
        <v xml:space="preserve">1         </v>
      </c>
      <c r="V163" t="str">
        <f t="shared" si="190"/>
        <v>2</v>
      </c>
      <c r="W163" t="str">
        <f t="shared" si="190"/>
        <v>2</v>
      </c>
      <c r="X163" t="str">
        <f t="shared" si="166"/>
        <v>2</v>
      </c>
      <c r="Y163" t="str">
        <f t="shared" si="191"/>
        <v>2</v>
      </c>
      <c r="Z163" t="str">
        <f t="shared" si="191"/>
        <v>2</v>
      </c>
      <c r="AA163" t="str">
        <f t="shared" si="159"/>
        <v xml:space="preserve">          </v>
      </c>
      <c r="AB163" t="str">
        <f t="shared" si="148"/>
        <v>2</v>
      </c>
      <c r="AC163" t="str">
        <f t="shared" si="150"/>
        <v>2</v>
      </c>
      <c r="AD163" t="str">
        <f t="shared" si="193"/>
        <v>2</v>
      </c>
      <c r="AE163" t="str">
        <f t="shared" si="193"/>
        <v>2</v>
      </c>
      <c r="AF163" t="str">
        <f t="shared" si="193"/>
        <v>2</v>
      </c>
      <c r="AG163" t="str">
        <f t="shared" si="193"/>
        <v>2</v>
      </c>
      <c r="AH163" t="str">
        <f t="shared" si="167"/>
        <v>1</v>
      </c>
      <c r="AI163" t="str">
        <f t="shared" si="196"/>
        <v xml:space="preserve">1         </v>
      </c>
      <c r="AJ163" t="str">
        <f t="shared" si="168"/>
        <v>170</v>
      </c>
      <c r="AK163" t="str">
        <f>"54"</f>
        <v>54</v>
      </c>
      <c r="AL163" t="str">
        <f>"800"</f>
        <v>800</v>
      </c>
      <c r="AM163" t="str">
        <f>"68"</f>
        <v>68</v>
      </c>
      <c r="AN163" t="str">
        <f>"68547"</f>
        <v>68547</v>
      </c>
      <c r="AO163" t="str">
        <f>"29/08/2020 12:00:00 a. m."</f>
        <v>29/08/2020 12:00:00 a. m.</v>
      </c>
      <c r="AP163" t="str">
        <f>"20/07/2020 12:00:00 a. m."</f>
        <v>20/07/2020 12:00:00 a. m.</v>
      </c>
      <c r="AQ163" t="str">
        <f t="shared" si="195"/>
        <v>3</v>
      </c>
      <c r="AR163" t="str">
        <f>"1"</f>
        <v>1</v>
      </c>
      <c r="AS163" t="str">
        <f>"29/08/2020 12:00:00 a. m."</f>
        <v>29/08/2020 12:00:00 a. m.</v>
      </c>
      <c r="AT163" t="str">
        <f t="shared" si="185"/>
        <v>1</v>
      </c>
      <c r="AU163" t="str">
        <f>""</f>
        <v/>
      </c>
      <c r="AV163" t="str">
        <f>"0"</f>
        <v>0</v>
      </c>
      <c r="AW163" t="str">
        <f>"31/05/2019 12:00:00 a. m."</f>
        <v>31/05/2019 12:00:00 a. m.</v>
      </c>
      <c r="AX163" t="str">
        <f>""</f>
        <v/>
      </c>
      <c r="AY163" t="str">
        <f t="shared" si="160"/>
        <v>30/04/2021 12:00:00 a. m.</v>
      </c>
      <c r="AZ163" t="str">
        <f>"14/09/2020 12:00:00 a. m."</f>
        <v>14/09/2020 12:00:00 a. m.</v>
      </c>
      <c r="BA163" t="str">
        <f>""</f>
        <v/>
      </c>
      <c r="BB163" t="str">
        <f>""</f>
        <v/>
      </c>
      <c r="BC163" t="str">
        <f>""</f>
        <v/>
      </c>
      <c r="BD163" t="str">
        <f t="shared" si="197"/>
        <v>1</v>
      </c>
      <c r="BE163" t="str">
        <f t="shared" si="197"/>
        <v>1</v>
      </c>
      <c r="BF163" t="str">
        <f t="shared" si="161"/>
        <v xml:space="preserve">3         </v>
      </c>
      <c r="BG163" t="str">
        <f t="shared" si="162"/>
        <v>Confirmado por laboratorio</v>
      </c>
      <c r="BH163" t="str">
        <f>"HOSPITAL INTERNACIONAL DE COLOMBIA"</f>
        <v>HOSPITAL INTERNACIONAL DE COLOMBIA</v>
      </c>
      <c r="BI163" t="str">
        <f t="shared" si="170"/>
        <v>COLOMBIA</v>
      </c>
      <c r="BJ163" t="str">
        <f t="shared" si="163"/>
        <v>CANCER INFANTIL</v>
      </c>
      <c r="BK163" t="str">
        <f>"NORTE SANTANDER"</f>
        <v>NORTE SANTANDER</v>
      </c>
      <c r="BL163" t="str">
        <f>"TEORAMA"</f>
        <v>TEORAMA</v>
      </c>
      <c r="BM163" t="str">
        <f t="shared" si="171"/>
        <v>COLOMBIA</v>
      </c>
      <c r="BN163" t="str">
        <f>"NORTE SANTANDER"</f>
        <v>NORTE SANTANDER</v>
      </c>
      <c r="BO163" t="str">
        <f>"TEORAMA"</f>
        <v>TEORAMA</v>
      </c>
      <c r="BP163" t="str">
        <f>"SANTANDER"</f>
        <v>SANTANDER</v>
      </c>
      <c r="BQ163" t="str">
        <f>"PIEDECUESTA"</f>
        <v>PIEDECUESTA</v>
      </c>
    </row>
    <row r="164" spans="1:69" x14ac:dyDescent="0.25">
      <c r="A164" t="str">
        <f>"7285332"</f>
        <v>7285332</v>
      </c>
      <c r="B164" t="str">
        <f t="shared" si="156"/>
        <v>459</v>
      </c>
      <c r="C164" t="str">
        <f>"26/10/2020 12:00:00 a. m."</f>
        <v>26/10/2020 12:00:00 a. m.</v>
      </c>
      <c r="D164" t="str">
        <f>"42"</f>
        <v>42</v>
      </c>
      <c r="E164" t="str">
        <f t="shared" si="157"/>
        <v>2020</v>
      </c>
      <c r="F164" t="str">
        <f>"0500102175"</f>
        <v>0500102175</v>
      </c>
      <c r="G164" t="str">
        <f t="shared" si="181"/>
        <v>01</v>
      </c>
      <c r="H164" t="str">
        <f>"5"</f>
        <v>5</v>
      </c>
      <c r="I164" t="str">
        <f t="shared" si="192"/>
        <v>1</v>
      </c>
      <c r="J164" t="str">
        <f>"F"</f>
        <v>F</v>
      </c>
      <c r="K164" t="str">
        <f t="shared" si="165"/>
        <v>170</v>
      </c>
      <c r="L164" t="str">
        <f>"05"</f>
        <v>05</v>
      </c>
      <c r="M164" t="str">
        <f>"001"</f>
        <v>001</v>
      </c>
      <c r="N164" t="str">
        <f>"1"</f>
        <v>1</v>
      </c>
      <c r="O164" t="str">
        <f t="shared" si="194"/>
        <v>9999</v>
      </c>
      <c r="P164" t="str">
        <f>"C"</f>
        <v>C</v>
      </c>
      <c r="Q164" t="str">
        <f>"EPS010"</f>
        <v>EPS010</v>
      </c>
      <c r="R164" t="str">
        <f t="shared" si="188"/>
        <v>6</v>
      </c>
      <c r="S164" t="str">
        <f>""</f>
        <v/>
      </c>
      <c r="T164" t="str">
        <f t="shared" si="183"/>
        <v xml:space="preserve">                                                                                                    </v>
      </c>
      <c r="U164" t="str">
        <f>"2         "</f>
        <v xml:space="preserve">2         </v>
      </c>
      <c r="V164" t="str">
        <f t="shared" si="190"/>
        <v>2</v>
      </c>
      <c r="W164" t="str">
        <f t="shared" si="190"/>
        <v>2</v>
      </c>
      <c r="X164" t="str">
        <f t="shared" si="166"/>
        <v>2</v>
      </c>
      <c r="Y164" t="str">
        <f t="shared" si="191"/>
        <v>2</v>
      </c>
      <c r="Z164" t="str">
        <f t="shared" si="191"/>
        <v>2</v>
      </c>
      <c r="AA164" t="str">
        <f t="shared" si="159"/>
        <v xml:space="preserve">          </v>
      </c>
      <c r="AB164" t="str">
        <f t="shared" si="148"/>
        <v>2</v>
      </c>
      <c r="AC164" t="str">
        <f t="shared" si="150"/>
        <v>2</v>
      </c>
      <c r="AD164" t="str">
        <f t="shared" si="193"/>
        <v>2</v>
      </c>
      <c r="AE164" t="str">
        <f t="shared" si="193"/>
        <v>2</v>
      </c>
      <c r="AF164" t="str">
        <f t="shared" si="193"/>
        <v>2</v>
      </c>
      <c r="AG164" t="str">
        <f t="shared" si="193"/>
        <v>2</v>
      </c>
      <c r="AH164" t="str">
        <f t="shared" si="167"/>
        <v>1</v>
      </c>
      <c r="AI164" t="str">
        <f t="shared" si="196"/>
        <v xml:space="preserve">1         </v>
      </c>
      <c r="AJ164" t="str">
        <f t="shared" si="168"/>
        <v>170</v>
      </c>
      <c r="AK164" t="str">
        <f>"05"</f>
        <v>05</v>
      </c>
      <c r="AL164" t="str">
        <f>"001"</f>
        <v>001</v>
      </c>
      <c r="AM164" t="str">
        <f>"05"</f>
        <v>05</v>
      </c>
      <c r="AN164" t="str">
        <f>"05001"</f>
        <v>05001</v>
      </c>
      <c r="AO164" t="str">
        <f>"14/10/2020 12:00:00 a. m."</f>
        <v>14/10/2020 12:00:00 a. m.</v>
      </c>
      <c r="AP164" t="str">
        <f>"13/10/2020 12:00:00 a. m."</f>
        <v>13/10/2020 12:00:00 a. m.</v>
      </c>
      <c r="AQ164" t="str">
        <f t="shared" si="195"/>
        <v>3</v>
      </c>
      <c r="AR164" t="str">
        <f>"1"</f>
        <v>1</v>
      </c>
      <c r="AS164" t="str">
        <f>"14/10/2020 12:00:00 a. m."</f>
        <v>14/10/2020 12:00:00 a. m.</v>
      </c>
      <c r="AT164" t="str">
        <f t="shared" si="185"/>
        <v>1</v>
      </c>
      <c r="AU164" t="str">
        <f>""</f>
        <v/>
      </c>
      <c r="AV164" t="str">
        <f>"7"</f>
        <v>7</v>
      </c>
      <c r="AW164" t="str">
        <f>"2/04/2015 12:00:00 a. m."</f>
        <v>2/04/2015 12:00:00 a. m.</v>
      </c>
      <c r="AX164" t="str">
        <f>""</f>
        <v/>
      </c>
      <c r="AY164" t="str">
        <f t="shared" si="160"/>
        <v>30/04/2021 12:00:00 a. m.</v>
      </c>
      <c r="AZ164" t="str">
        <f>"24/11/2020 12:00:00 a. m."</f>
        <v>24/11/2020 12:00:00 a. m.</v>
      </c>
      <c r="BA164" t="str">
        <f>""</f>
        <v/>
      </c>
      <c r="BB164" t="str">
        <f>""</f>
        <v/>
      </c>
      <c r="BC164" t="str">
        <f>""</f>
        <v/>
      </c>
      <c r="BD164" t="str">
        <f t="shared" si="197"/>
        <v>1</v>
      </c>
      <c r="BE164" t="str">
        <f t="shared" si="197"/>
        <v>1</v>
      </c>
      <c r="BF164" t="str">
        <f t="shared" si="161"/>
        <v xml:space="preserve">3         </v>
      </c>
      <c r="BG164" t="str">
        <f t="shared" si="162"/>
        <v>Confirmado por laboratorio</v>
      </c>
      <c r="BH164" t="str">
        <f>"FUNDACION HOSPITALARIA SAN VICENTE DE PAUL"</f>
        <v>FUNDACION HOSPITALARIA SAN VICENTE DE PAUL</v>
      </c>
      <c r="BI164" t="str">
        <f t="shared" si="170"/>
        <v>COLOMBIA</v>
      </c>
      <c r="BJ164" t="str">
        <f t="shared" si="163"/>
        <v>CANCER INFANTIL</v>
      </c>
      <c r="BK164" t="str">
        <f>"ANTIOQUIA"</f>
        <v>ANTIOQUIA</v>
      </c>
      <c r="BL164" t="str">
        <f>"MEDELLIN"</f>
        <v>MEDELLIN</v>
      </c>
      <c r="BM164" t="str">
        <f t="shared" si="171"/>
        <v>COLOMBIA</v>
      </c>
      <c r="BN164" t="str">
        <f>"ANTIOQUIA"</f>
        <v>ANTIOQUIA</v>
      </c>
      <c r="BO164" t="str">
        <f>"MEDELLIN"</f>
        <v>MEDELLIN</v>
      </c>
      <c r="BP164" t="str">
        <f>"ANTIOQUIA"</f>
        <v>ANTIOQUIA</v>
      </c>
      <c r="BQ164" t="str">
        <f>"MEDELLIN"</f>
        <v>MEDELLIN</v>
      </c>
    </row>
    <row r="165" spans="1:69" x14ac:dyDescent="0.25">
      <c r="A165" t="str">
        <f>"7278826"</f>
        <v>7278826</v>
      </c>
      <c r="B165" t="str">
        <f t="shared" si="156"/>
        <v>459</v>
      </c>
      <c r="C165" t="str">
        <f>"2/05/2020 12:00:00 a. m."</f>
        <v>2/05/2020 12:00:00 a. m.</v>
      </c>
      <c r="D165" t="str">
        <f>"14"</f>
        <v>14</v>
      </c>
      <c r="E165" t="str">
        <f t="shared" si="157"/>
        <v>2020</v>
      </c>
      <c r="F165" t="str">
        <f>"7300102417"</f>
        <v>7300102417</v>
      </c>
      <c r="G165" t="str">
        <f t="shared" si="181"/>
        <v>01</v>
      </c>
      <c r="H165" t="str">
        <f>"13"</f>
        <v>13</v>
      </c>
      <c r="I165" t="str">
        <f t="shared" si="192"/>
        <v>1</v>
      </c>
      <c r="J165" t="str">
        <f>"M"</f>
        <v>M</v>
      </c>
      <c r="K165" t="str">
        <f t="shared" si="165"/>
        <v>170</v>
      </c>
      <c r="L165" t="str">
        <f>"73"</f>
        <v>73</v>
      </c>
      <c r="M165" t="str">
        <f>"443"</f>
        <v>443</v>
      </c>
      <c r="N165" t="str">
        <f>"3"</f>
        <v>3</v>
      </c>
      <c r="O165" t="str">
        <f t="shared" si="194"/>
        <v>9999</v>
      </c>
      <c r="P165" t="str">
        <f>"S"</f>
        <v>S</v>
      </c>
      <c r="Q165" t="str">
        <f>"ESS062"</f>
        <v>ESS062</v>
      </c>
      <c r="R165" t="str">
        <f t="shared" si="188"/>
        <v>6</v>
      </c>
      <c r="S165" t="str">
        <f>""</f>
        <v/>
      </c>
      <c r="T165" t="str">
        <f t="shared" si="183"/>
        <v xml:space="preserve">                                                                                                    </v>
      </c>
      <c r="U165" t="str">
        <f>"2         "</f>
        <v xml:space="preserve">2         </v>
      </c>
      <c r="V165" t="str">
        <f t="shared" si="190"/>
        <v>2</v>
      </c>
      <c r="W165" t="str">
        <f t="shared" si="190"/>
        <v>2</v>
      </c>
      <c r="X165" t="str">
        <f t="shared" si="166"/>
        <v>2</v>
      </c>
      <c r="Y165" t="str">
        <f t="shared" si="191"/>
        <v>2</v>
      </c>
      <c r="Z165" t="str">
        <f t="shared" si="191"/>
        <v>2</v>
      </c>
      <c r="AA165" t="str">
        <f t="shared" si="159"/>
        <v xml:space="preserve">          </v>
      </c>
      <c r="AB165" t="str">
        <f t="shared" si="148"/>
        <v>2</v>
      </c>
      <c r="AC165" t="str">
        <f t="shared" si="150"/>
        <v>2</v>
      </c>
      <c r="AD165" t="str">
        <f t="shared" si="193"/>
        <v>2</v>
      </c>
      <c r="AE165" t="str">
        <f t="shared" si="193"/>
        <v>2</v>
      </c>
      <c r="AF165" t="str">
        <f t="shared" si="193"/>
        <v>2</v>
      </c>
      <c r="AG165" t="str">
        <f t="shared" si="193"/>
        <v>2</v>
      </c>
      <c r="AH165" t="str">
        <f t="shared" si="167"/>
        <v>1</v>
      </c>
      <c r="AI165" t="str">
        <f t="shared" si="196"/>
        <v xml:space="preserve">1         </v>
      </c>
      <c r="AJ165" t="str">
        <f t="shared" si="168"/>
        <v>170</v>
      </c>
      <c r="AK165" t="str">
        <f>"73"</f>
        <v>73</v>
      </c>
      <c r="AL165" t="str">
        <f>"443"</f>
        <v>443</v>
      </c>
      <c r="AM165" t="str">
        <f>"73"</f>
        <v>73</v>
      </c>
      <c r="AN165" t="str">
        <f>"73001"</f>
        <v>73001</v>
      </c>
      <c r="AO165" t="str">
        <f>"31/03/2020 12:00:00 a. m."</f>
        <v>31/03/2020 12:00:00 a. m.</v>
      </c>
      <c r="AP165" t="str">
        <f>"30/01/2020 12:00:00 a. m."</f>
        <v>30/01/2020 12:00:00 a. m.</v>
      </c>
      <c r="AQ165" t="str">
        <f t="shared" si="195"/>
        <v>3</v>
      </c>
      <c r="AR165" t="str">
        <f>"1"</f>
        <v>1</v>
      </c>
      <c r="AS165" t="str">
        <f>"31/03/2020 12:00:00 a. m."</f>
        <v>31/03/2020 12:00:00 a. m.</v>
      </c>
      <c r="AT165" t="str">
        <f t="shared" si="185"/>
        <v>1</v>
      </c>
      <c r="AU165" t="str">
        <f>""</f>
        <v/>
      </c>
      <c r="AV165" t="str">
        <f>"0"</f>
        <v>0</v>
      </c>
      <c r="AW165" t="str">
        <f>"6/03/2007 12:00:00 a. m."</f>
        <v>6/03/2007 12:00:00 a. m.</v>
      </c>
      <c r="AX165" t="str">
        <f>""</f>
        <v/>
      </c>
      <c r="AY165" t="str">
        <f t="shared" si="160"/>
        <v>30/04/2021 12:00:00 a. m.</v>
      </c>
      <c r="AZ165" t="str">
        <f>"4/05/2020 12:00:00 a. m."</f>
        <v>4/05/2020 12:00:00 a. m.</v>
      </c>
      <c r="BA165" t="str">
        <f>""</f>
        <v/>
      </c>
      <c r="BB165" t="str">
        <f>""</f>
        <v/>
      </c>
      <c r="BC165" t="str">
        <f>""</f>
        <v/>
      </c>
      <c r="BD165" t="str">
        <f t="shared" si="197"/>
        <v>1</v>
      </c>
      <c r="BE165" t="str">
        <f t="shared" si="197"/>
        <v>1</v>
      </c>
      <c r="BF165" t="str">
        <f t="shared" si="161"/>
        <v xml:space="preserve">3         </v>
      </c>
      <c r="BG165" t="str">
        <f t="shared" si="162"/>
        <v>Confirmado por laboratorio</v>
      </c>
      <c r="BH165" t="str">
        <f>"CLINICA INTERNACIONAL DE ALTA TECNOLOGIA SAS"</f>
        <v>CLINICA INTERNACIONAL DE ALTA TECNOLOGIA SAS</v>
      </c>
      <c r="BI165" t="str">
        <f t="shared" si="170"/>
        <v>COLOMBIA</v>
      </c>
      <c r="BJ165" t="str">
        <f t="shared" si="163"/>
        <v>CANCER INFANTIL</v>
      </c>
      <c r="BK165" t="str">
        <f>"TOLIMA"</f>
        <v>TOLIMA</v>
      </c>
      <c r="BL165" t="str">
        <f>"MARIQUITA"</f>
        <v>MARIQUITA</v>
      </c>
      <c r="BM165" t="str">
        <f t="shared" si="171"/>
        <v>COLOMBIA</v>
      </c>
      <c r="BN165" t="str">
        <f>"TOLIMA"</f>
        <v>TOLIMA</v>
      </c>
      <c r="BO165" t="str">
        <f>"MARIQUITA"</f>
        <v>MARIQUITA</v>
      </c>
      <c r="BP165" t="str">
        <f>"TOLIMA"</f>
        <v>TOLIMA</v>
      </c>
      <c r="BQ165" t="str">
        <f>"IBAGUE"</f>
        <v>IBAGUE</v>
      </c>
    </row>
    <row r="166" spans="1:69" x14ac:dyDescent="0.25">
      <c r="A166" t="str">
        <f>"7278862"</f>
        <v>7278862</v>
      </c>
      <c r="B166" t="str">
        <f t="shared" si="156"/>
        <v>459</v>
      </c>
      <c r="C166" t="str">
        <f>"7/02/2020 12:00:00 a. m."</f>
        <v>7/02/2020 12:00:00 a. m.</v>
      </c>
      <c r="D166" t="str">
        <f>"06"</f>
        <v>06</v>
      </c>
      <c r="E166" t="str">
        <f t="shared" si="157"/>
        <v>2020</v>
      </c>
      <c r="F166" t="str">
        <f>"0500102104"</f>
        <v>0500102104</v>
      </c>
      <c r="G166" t="str">
        <f t="shared" si="181"/>
        <v>01</v>
      </c>
      <c r="H166" t="str">
        <f>"8"</f>
        <v>8</v>
      </c>
      <c r="I166" t="str">
        <f t="shared" si="192"/>
        <v>1</v>
      </c>
      <c r="J166" t="str">
        <f>"M"</f>
        <v>M</v>
      </c>
      <c r="K166" t="str">
        <f t="shared" ref="K166:K197" si="198">"170"</f>
        <v>170</v>
      </c>
      <c r="L166" t="str">
        <f>"05"</f>
        <v>05</v>
      </c>
      <c r="M166" t="str">
        <f>"147"</f>
        <v>147</v>
      </c>
      <c r="N166" t="str">
        <f>"1"</f>
        <v>1</v>
      </c>
      <c r="O166" t="str">
        <f t="shared" si="194"/>
        <v>9999</v>
      </c>
      <c r="P166" t="str">
        <f>"C"</f>
        <v>C</v>
      </c>
      <c r="Q166" t="str">
        <f>"EPS037"</f>
        <v>EPS037</v>
      </c>
      <c r="R166" t="str">
        <f t="shared" si="188"/>
        <v>6</v>
      </c>
      <c r="S166" t="str">
        <f>""</f>
        <v/>
      </c>
      <c r="T166" t="str">
        <f t="shared" si="183"/>
        <v xml:space="preserve">                                                                                                    </v>
      </c>
      <c r="U166" t="str">
        <f>"2         "</f>
        <v xml:space="preserve">2         </v>
      </c>
      <c r="V166" t="str">
        <f t="shared" si="190"/>
        <v>2</v>
      </c>
      <c r="W166" t="str">
        <f t="shared" si="190"/>
        <v>2</v>
      </c>
      <c r="X166" t="str">
        <f t="shared" ref="X166:X172" si="199">"2"</f>
        <v>2</v>
      </c>
      <c r="Y166" t="str">
        <f t="shared" si="191"/>
        <v>2</v>
      </c>
      <c r="Z166" t="str">
        <f t="shared" si="191"/>
        <v>2</v>
      </c>
      <c r="AA166" t="str">
        <f t="shared" si="159"/>
        <v xml:space="preserve">          </v>
      </c>
      <c r="AB166" t="str">
        <f t="shared" si="148"/>
        <v>2</v>
      </c>
      <c r="AC166" t="str">
        <f t="shared" si="150"/>
        <v>2</v>
      </c>
      <c r="AD166" t="str">
        <f t="shared" si="193"/>
        <v>2</v>
      </c>
      <c r="AE166" t="str">
        <f t="shared" si="193"/>
        <v>2</v>
      </c>
      <c r="AF166" t="str">
        <f t="shared" si="193"/>
        <v>2</v>
      </c>
      <c r="AG166" t="str">
        <f t="shared" si="193"/>
        <v>2</v>
      </c>
      <c r="AH166" t="str">
        <f t="shared" ref="AH166:AH172" si="200">"1"</f>
        <v>1</v>
      </c>
      <c r="AI166" t="str">
        <f t="shared" si="196"/>
        <v xml:space="preserve">1         </v>
      </c>
      <c r="AJ166" t="str">
        <f t="shared" ref="AJ166:AJ197" si="201">"170"</f>
        <v>170</v>
      </c>
      <c r="AK166" t="str">
        <f>"05"</f>
        <v>05</v>
      </c>
      <c r="AL166" t="str">
        <f>"147"</f>
        <v>147</v>
      </c>
      <c r="AM166" t="str">
        <f>"05"</f>
        <v>05</v>
      </c>
      <c r="AN166" t="str">
        <f>"05001"</f>
        <v>05001</v>
      </c>
      <c r="AO166" t="str">
        <f>"7/02/2020 12:00:00 a. m."</f>
        <v>7/02/2020 12:00:00 a. m.</v>
      </c>
      <c r="AP166" t="str">
        <f>"1/01/2020 12:00:00 a. m."</f>
        <v>1/01/2020 12:00:00 a. m.</v>
      </c>
      <c r="AQ166" t="str">
        <f t="shared" si="195"/>
        <v>3</v>
      </c>
      <c r="AR166" t="str">
        <f>"2"</f>
        <v>2</v>
      </c>
      <c r="AS166" t="str">
        <f>""</f>
        <v/>
      </c>
      <c r="AT166" t="str">
        <f t="shared" si="185"/>
        <v>1</v>
      </c>
      <c r="AU166" t="str">
        <f>""</f>
        <v/>
      </c>
      <c r="AV166" t="str">
        <f>"0"</f>
        <v>0</v>
      </c>
      <c r="AW166" t="str">
        <f>"19/11/2011 12:00:00 a. m."</f>
        <v>19/11/2011 12:00:00 a. m.</v>
      </c>
      <c r="AX166" t="str">
        <f>""</f>
        <v/>
      </c>
      <c r="AY166" t="str">
        <f t="shared" si="160"/>
        <v>30/04/2021 12:00:00 a. m.</v>
      </c>
      <c r="AZ166" t="str">
        <f>"25/02/2020 12:00:00 a. m."</f>
        <v>25/02/2020 12:00:00 a. m.</v>
      </c>
      <c r="BA166" t="str">
        <f>""</f>
        <v/>
      </c>
      <c r="BB166" t="str">
        <f>""</f>
        <v/>
      </c>
      <c r="BC166" t="str">
        <f>""</f>
        <v/>
      </c>
      <c r="BD166" t="str">
        <f t="shared" si="197"/>
        <v>1</v>
      </c>
      <c r="BE166" t="str">
        <f t="shared" si="197"/>
        <v>1</v>
      </c>
      <c r="BF166" t="str">
        <f t="shared" si="161"/>
        <v xml:space="preserve">3         </v>
      </c>
      <c r="BG166" t="str">
        <f t="shared" si="162"/>
        <v>Confirmado por laboratorio</v>
      </c>
      <c r="BH166" t="str">
        <f>"HOSPITAL PABLO TOBON URIBE"</f>
        <v>HOSPITAL PABLO TOBON URIBE</v>
      </c>
      <c r="BI166" t="str">
        <f t="shared" ref="BI166:BI197" si="202">"COLOMBIA"</f>
        <v>COLOMBIA</v>
      </c>
      <c r="BJ166" t="str">
        <f t="shared" si="163"/>
        <v>CANCER INFANTIL</v>
      </c>
      <c r="BK166" t="str">
        <f>"ANTIOQUIA"</f>
        <v>ANTIOQUIA</v>
      </c>
      <c r="BL166" t="str">
        <f>"CAREPA"</f>
        <v>CAREPA</v>
      </c>
      <c r="BM166" t="str">
        <f t="shared" ref="BM166:BM197" si="203">"COLOMBIA"</f>
        <v>COLOMBIA</v>
      </c>
      <c r="BN166" t="str">
        <f>"ANTIOQUIA"</f>
        <v>ANTIOQUIA</v>
      </c>
      <c r="BO166" t="str">
        <f>"CAREPA"</f>
        <v>CAREPA</v>
      </c>
      <c r="BP166" t="str">
        <f>"ANTIOQUIA"</f>
        <v>ANTIOQUIA</v>
      </c>
      <c r="BQ166" t="str">
        <f>"MEDELLIN"</f>
        <v>MEDELLIN</v>
      </c>
    </row>
    <row r="167" spans="1:69" x14ac:dyDescent="0.25">
      <c r="A167" t="str">
        <f>"7285345"</f>
        <v>7285345</v>
      </c>
      <c r="B167" t="str">
        <f t="shared" si="156"/>
        <v>459</v>
      </c>
      <c r="C167" t="str">
        <f>"27/06/2020 12:00:00 a. m."</f>
        <v>27/06/2020 12:00:00 a. m.</v>
      </c>
      <c r="D167" t="str">
        <f>"25"</f>
        <v>25</v>
      </c>
      <c r="E167" t="str">
        <f t="shared" si="157"/>
        <v>2020</v>
      </c>
      <c r="F167" t="str">
        <f>"7300102417"</f>
        <v>7300102417</v>
      </c>
      <c r="G167" t="str">
        <f t="shared" si="181"/>
        <v>01</v>
      </c>
      <c r="H167" t="str">
        <f>"9"</f>
        <v>9</v>
      </c>
      <c r="I167" t="str">
        <f t="shared" si="192"/>
        <v>1</v>
      </c>
      <c r="J167" t="str">
        <f>"M"</f>
        <v>M</v>
      </c>
      <c r="K167" t="str">
        <f t="shared" si="198"/>
        <v>170</v>
      </c>
      <c r="L167" t="str">
        <f>"73"</f>
        <v>73</v>
      </c>
      <c r="M167" t="str">
        <f>"001"</f>
        <v>001</v>
      </c>
      <c r="N167" t="str">
        <f>"1"</f>
        <v>1</v>
      </c>
      <c r="O167" t="str">
        <f t="shared" si="194"/>
        <v>9999</v>
      </c>
      <c r="P167" t="str">
        <f>"C"</f>
        <v>C</v>
      </c>
      <c r="Q167" t="str">
        <f>"EPS002"</f>
        <v>EPS002</v>
      </c>
      <c r="R167" t="str">
        <f t="shared" si="188"/>
        <v>6</v>
      </c>
      <c r="S167" t="str">
        <f>""</f>
        <v/>
      </c>
      <c r="T167" t="str">
        <f t="shared" si="183"/>
        <v xml:space="preserve">                                                                                                    </v>
      </c>
      <c r="U167" t="str">
        <f>"1         "</f>
        <v xml:space="preserve">1         </v>
      </c>
      <c r="V167" t="str">
        <f t="shared" si="190"/>
        <v>2</v>
      </c>
      <c r="W167" t="str">
        <f t="shared" si="190"/>
        <v>2</v>
      </c>
      <c r="X167" t="str">
        <f t="shared" si="199"/>
        <v>2</v>
      </c>
      <c r="Y167" t="str">
        <f t="shared" si="191"/>
        <v>2</v>
      </c>
      <c r="Z167" t="str">
        <f t="shared" si="191"/>
        <v>2</v>
      </c>
      <c r="AA167" t="str">
        <f t="shared" si="159"/>
        <v xml:space="preserve">          </v>
      </c>
      <c r="AB167" t="str">
        <f t="shared" si="148"/>
        <v>2</v>
      </c>
      <c r="AC167" t="str">
        <f t="shared" si="150"/>
        <v>2</v>
      </c>
      <c r="AD167" t="str">
        <f t="shared" si="193"/>
        <v>2</v>
      </c>
      <c r="AE167" t="str">
        <f t="shared" si="193"/>
        <v>2</v>
      </c>
      <c r="AF167" t="str">
        <f t="shared" si="193"/>
        <v>2</v>
      </c>
      <c r="AG167" t="str">
        <f t="shared" si="193"/>
        <v>2</v>
      </c>
      <c r="AH167" t="str">
        <f t="shared" si="200"/>
        <v>1</v>
      </c>
      <c r="AI167" t="str">
        <f t="shared" si="196"/>
        <v xml:space="preserve">1         </v>
      </c>
      <c r="AJ167" t="str">
        <f t="shared" si="201"/>
        <v>170</v>
      </c>
      <c r="AK167" t="str">
        <f>"73"</f>
        <v>73</v>
      </c>
      <c r="AL167" t="str">
        <f>"001"</f>
        <v>001</v>
      </c>
      <c r="AM167" t="str">
        <f>"73"</f>
        <v>73</v>
      </c>
      <c r="AN167" t="str">
        <f>"73001"</f>
        <v>73001</v>
      </c>
      <c r="AO167" t="str">
        <f>"15/06/2020 12:00:00 a. m."</f>
        <v>15/06/2020 12:00:00 a. m.</v>
      </c>
      <c r="AP167" t="str">
        <f>"7/06/2020 12:00:00 a. m."</f>
        <v>7/06/2020 12:00:00 a. m.</v>
      </c>
      <c r="AQ167" t="str">
        <f t="shared" si="195"/>
        <v>3</v>
      </c>
      <c r="AR167" t="str">
        <f>"1"</f>
        <v>1</v>
      </c>
      <c r="AS167" t="str">
        <f>"15/06/2020 12:00:00 a. m."</f>
        <v>15/06/2020 12:00:00 a. m.</v>
      </c>
      <c r="AT167" t="str">
        <f>"2"</f>
        <v>2</v>
      </c>
      <c r="AU167" t="str">
        <f>"5/02/2021 12:00:00 a. m."</f>
        <v>5/02/2021 12:00:00 a. m.</v>
      </c>
      <c r="AV167" t="str">
        <f>"7"</f>
        <v>7</v>
      </c>
      <c r="AW167" t="str">
        <f>"9/03/2011 12:00:00 a. m."</f>
        <v>9/03/2011 12:00:00 a. m.</v>
      </c>
      <c r="AX167" t="str">
        <f>"C919"</f>
        <v>C919</v>
      </c>
      <c r="AY167" t="str">
        <f t="shared" si="160"/>
        <v>30/04/2021 12:00:00 a. m.</v>
      </c>
      <c r="AZ167" t="str">
        <f>"22/02/2021 12:00:00 a. m."</f>
        <v>22/02/2021 12:00:00 a. m.</v>
      </c>
      <c r="BA167" t="str">
        <f>""</f>
        <v/>
      </c>
      <c r="BB167" t="str">
        <f>""</f>
        <v/>
      </c>
      <c r="BC167" t="str">
        <f>""</f>
        <v/>
      </c>
      <c r="BD167" t="str">
        <f t="shared" si="197"/>
        <v>1</v>
      </c>
      <c r="BE167" t="str">
        <f t="shared" si="197"/>
        <v>1</v>
      </c>
      <c r="BF167" t="str">
        <f t="shared" si="161"/>
        <v xml:space="preserve">3         </v>
      </c>
      <c r="BG167" t="str">
        <f t="shared" si="162"/>
        <v>Confirmado por laboratorio</v>
      </c>
      <c r="BH167" t="str">
        <f>"CLINICA INTERNACIONAL DE ALTA TECNOLOGIA SAS"</f>
        <v>CLINICA INTERNACIONAL DE ALTA TECNOLOGIA SAS</v>
      </c>
      <c r="BI167" t="str">
        <f t="shared" si="202"/>
        <v>COLOMBIA</v>
      </c>
      <c r="BJ167" t="str">
        <f t="shared" si="163"/>
        <v>CANCER INFANTIL</v>
      </c>
      <c r="BK167" t="str">
        <f>"TOLIMA"</f>
        <v>TOLIMA</v>
      </c>
      <c r="BL167" t="str">
        <f>"IBAGUE"</f>
        <v>IBAGUE</v>
      </c>
      <c r="BM167" t="str">
        <f t="shared" si="203"/>
        <v>COLOMBIA</v>
      </c>
      <c r="BN167" t="str">
        <f>"TOLIMA"</f>
        <v>TOLIMA</v>
      </c>
      <c r="BO167" t="str">
        <f>"IBAGUE"</f>
        <v>IBAGUE</v>
      </c>
      <c r="BP167" t="str">
        <f>"TOLIMA"</f>
        <v>TOLIMA</v>
      </c>
      <c r="BQ167" t="str">
        <f>"IBAGUE"</f>
        <v>IBAGUE</v>
      </c>
    </row>
    <row r="168" spans="1:69" x14ac:dyDescent="0.25">
      <c r="A168" t="str">
        <f>"7285583"</f>
        <v>7285583</v>
      </c>
      <c r="B168" t="str">
        <f t="shared" si="156"/>
        <v>459</v>
      </c>
      <c r="C168" t="str">
        <f>"14/01/2021 12:00:00 a. m."</f>
        <v>14/01/2021 12:00:00 a. m.</v>
      </c>
      <c r="D168" t="str">
        <f>"43"</f>
        <v>43</v>
      </c>
      <c r="E168" t="str">
        <f t="shared" si="157"/>
        <v>2020</v>
      </c>
      <c r="F168" t="str">
        <f>"1900107025"</f>
        <v>1900107025</v>
      </c>
      <c r="G168" t="str">
        <f>"04"</f>
        <v>04</v>
      </c>
      <c r="H168" t="str">
        <f>"17"</f>
        <v>17</v>
      </c>
      <c r="I168" t="str">
        <f t="shared" si="192"/>
        <v>1</v>
      </c>
      <c r="J168" t="str">
        <f>"M"</f>
        <v>M</v>
      </c>
      <c r="K168" t="str">
        <f t="shared" si="198"/>
        <v>170</v>
      </c>
      <c r="L168" t="str">
        <f>"19"</f>
        <v>19</v>
      </c>
      <c r="M168" t="str">
        <f>"001"</f>
        <v>001</v>
      </c>
      <c r="N168" t="str">
        <f>"1"</f>
        <v>1</v>
      </c>
      <c r="O168" t="str">
        <f>"9997"</f>
        <v>9997</v>
      </c>
      <c r="P168" t="str">
        <f>"S"</f>
        <v>S</v>
      </c>
      <c r="Q168" t="str">
        <f>"ESS062"</f>
        <v>ESS062</v>
      </c>
      <c r="R168" t="str">
        <f t="shared" si="188"/>
        <v>6</v>
      </c>
      <c r="S168" t="str">
        <f>""</f>
        <v/>
      </c>
      <c r="T168" t="str">
        <f t="shared" si="183"/>
        <v xml:space="preserve">                                                                                                    </v>
      </c>
      <c r="U168" t="str">
        <f>"2         "</f>
        <v xml:space="preserve">2         </v>
      </c>
      <c r="V168" t="str">
        <f t="shared" si="190"/>
        <v>2</v>
      </c>
      <c r="W168" t="str">
        <f t="shared" si="190"/>
        <v>2</v>
      </c>
      <c r="X168" t="str">
        <f t="shared" si="199"/>
        <v>2</v>
      </c>
      <c r="Y168" t="str">
        <f t="shared" si="191"/>
        <v>2</v>
      </c>
      <c r="Z168" t="str">
        <f t="shared" si="191"/>
        <v>2</v>
      </c>
      <c r="AA168" t="str">
        <f t="shared" si="159"/>
        <v xml:space="preserve">          </v>
      </c>
      <c r="AB168" t="str">
        <f t="shared" si="148"/>
        <v>2</v>
      </c>
      <c r="AC168" t="str">
        <f t="shared" si="150"/>
        <v>2</v>
      </c>
      <c r="AD168" t="str">
        <f t="shared" si="193"/>
        <v>2</v>
      </c>
      <c r="AE168" t="str">
        <f t="shared" si="193"/>
        <v>2</v>
      </c>
      <c r="AF168" t="str">
        <f t="shared" si="193"/>
        <v>2</v>
      </c>
      <c r="AG168" t="str">
        <f t="shared" si="193"/>
        <v>2</v>
      </c>
      <c r="AH168" t="str">
        <f t="shared" si="200"/>
        <v>1</v>
      </c>
      <c r="AI168" t="str">
        <f t="shared" si="196"/>
        <v xml:space="preserve">1         </v>
      </c>
      <c r="AJ168" t="str">
        <f t="shared" si="201"/>
        <v>170</v>
      </c>
      <c r="AK168" t="str">
        <f>"19"</f>
        <v>19</v>
      </c>
      <c r="AL168" t="str">
        <f>"001"</f>
        <v>001</v>
      </c>
      <c r="AM168" t="str">
        <f>"19"</f>
        <v>19</v>
      </c>
      <c r="AN168" t="str">
        <f>"19001"</f>
        <v>19001</v>
      </c>
      <c r="AO168" t="str">
        <f>"19/10/2020 12:00:00 a. m."</f>
        <v>19/10/2020 12:00:00 a. m.</v>
      </c>
      <c r="AP168" t="str">
        <f>"19/10/2020 12:00:00 a. m."</f>
        <v>19/10/2020 12:00:00 a. m.</v>
      </c>
      <c r="AQ168" t="str">
        <f t="shared" si="195"/>
        <v>3</v>
      </c>
      <c r="AR168" t="str">
        <f>"2"</f>
        <v>2</v>
      </c>
      <c r="AS168" t="str">
        <f>""</f>
        <v/>
      </c>
      <c r="AT168" t="str">
        <f t="shared" ref="AT168:AT181" si="204">"1"</f>
        <v>1</v>
      </c>
      <c r="AU168" t="str">
        <f>""</f>
        <v/>
      </c>
      <c r="AV168" t="str">
        <f>"0"</f>
        <v>0</v>
      </c>
      <c r="AW168" t="str">
        <f>"27/07/2003 12:00:00 a. m."</f>
        <v>27/07/2003 12:00:00 a. m.</v>
      </c>
      <c r="AX168" t="str">
        <f>""</f>
        <v/>
      </c>
      <c r="AY168" t="str">
        <f t="shared" si="160"/>
        <v>30/04/2021 12:00:00 a. m.</v>
      </c>
      <c r="AZ168" t="str">
        <f>"14/01/2021 12:00:00 a. m."</f>
        <v>14/01/2021 12:00:00 a. m.</v>
      </c>
      <c r="BA168" t="str">
        <f>""</f>
        <v/>
      </c>
      <c r="BB168" t="str">
        <f>""</f>
        <v/>
      </c>
      <c r="BC168" t="str">
        <f>""</f>
        <v/>
      </c>
      <c r="BD168" t="str">
        <f t="shared" si="197"/>
        <v>1</v>
      </c>
      <c r="BE168" t="str">
        <f t="shared" si="197"/>
        <v>1</v>
      </c>
      <c r="BF168" t="str">
        <f t="shared" si="161"/>
        <v xml:space="preserve">3         </v>
      </c>
      <c r="BG168" t="str">
        <f t="shared" si="162"/>
        <v>Confirmado por laboratorio</v>
      </c>
      <c r="BH168" t="str">
        <f>"CLÍNICA LA ESTANCIA S A"</f>
        <v>CLÍNICA LA ESTANCIA S A</v>
      </c>
      <c r="BI168" t="str">
        <f t="shared" si="202"/>
        <v>COLOMBIA</v>
      </c>
      <c r="BJ168" t="str">
        <f t="shared" si="163"/>
        <v>CANCER INFANTIL</v>
      </c>
      <c r="BK168" t="str">
        <f>"CAUCA"</f>
        <v>CAUCA</v>
      </c>
      <c r="BL168" t="str">
        <f>"POPAYAN"</f>
        <v>POPAYAN</v>
      </c>
      <c r="BM168" t="str">
        <f t="shared" si="203"/>
        <v>COLOMBIA</v>
      </c>
      <c r="BN168" t="str">
        <f>"CAUCA"</f>
        <v>CAUCA</v>
      </c>
      <c r="BO168" t="str">
        <f>"POPAYAN"</f>
        <v>POPAYAN</v>
      </c>
      <c r="BP168" t="str">
        <f>"CAUCA"</f>
        <v>CAUCA</v>
      </c>
      <c r="BQ168" t="str">
        <f>"POPAYAN"</f>
        <v>POPAYAN</v>
      </c>
    </row>
    <row r="169" spans="1:69" x14ac:dyDescent="0.25">
      <c r="A169" t="str">
        <f>"7285499"</f>
        <v>7285499</v>
      </c>
      <c r="B169" t="str">
        <f t="shared" si="156"/>
        <v>459</v>
      </c>
      <c r="C169" t="str">
        <f>"16/11/2020 12:00:00 a. m."</f>
        <v>16/11/2020 12:00:00 a. m.</v>
      </c>
      <c r="D169" t="str">
        <f>"46"</f>
        <v>46</v>
      </c>
      <c r="E169" t="str">
        <f t="shared" si="157"/>
        <v>2020</v>
      </c>
      <c r="F169" t="str">
        <f>"1100109456"</f>
        <v>1100109456</v>
      </c>
      <c r="G169" t="str">
        <f>"01"</f>
        <v>01</v>
      </c>
      <c r="H169" t="str">
        <f>"6"</f>
        <v>6</v>
      </c>
      <c r="I169" t="str">
        <f t="shared" si="192"/>
        <v>1</v>
      </c>
      <c r="J169" t="str">
        <f>"F"</f>
        <v>F</v>
      </c>
      <c r="K169" t="str">
        <f t="shared" si="198"/>
        <v>170</v>
      </c>
      <c r="L169" t="str">
        <f>"63"</f>
        <v>63</v>
      </c>
      <c r="M169" t="str">
        <f>"190"</f>
        <v>190</v>
      </c>
      <c r="N169" t="str">
        <f>"1"</f>
        <v>1</v>
      </c>
      <c r="O169" t="str">
        <f>"9999"</f>
        <v>9999</v>
      </c>
      <c r="P169" t="str">
        <f>"S"</f>
        <v>S</v>
      </c>
      <c r="Q169" t="str">
        <f>"ESS062"</f>
        <v>ESS062</v>
      </c>
      <c r="R169" t="str">
        <f t="shared" si="188"/>
        <v>6</v>
      </c>
      <c r="S169" t="str">
        <f>""</f>
        <v/>
      </c>
      <c r="T169" t="str">
        <f t="shared" si="183"/>
        <v xml:space="preserve">                                                                                                    </v>
      </c>
      <c r="U169" t="str">
        <f>"1         "</f>
        <v xml:space="preserve">1         </v>
      </c>
      <c r="V169" t="str">
        <f t="shared" si="190"/>
        <v>2</v>
      </c>
      <c r="W169" t="str">
        <f t="shared" si="190"/>
        <v>2</v>
      </c>
      <c r="X169" t="str">
        <f t="shared" si="199"/>
        <v>2</v>
      </c>
      <c r="Y169" t="str">
        <f t="shared" si="191"/>
        <v>2</v>
      </c>
      <c r="Z169" t="str">
        <f t="shared" si="191"/>
        <v>2</v>
      </c>
      <c r="AA169" t="str">
        <f t="shared" si="159"/>
        <v xml:space="preserve">          </v>
      </c>
      <c r="AB169" t="str">
        <f t="shared" si="148"/>
        <v>2</v>
      </c>
      <c r="AC169" t="str">
        <f t="shared" si="150"/>
        <v>2</v>
      </c>
      <c r="AD169" t="str">
        <f t="shared" si="193"/>
        <v>2</v>
      </c>
      <c r="AE169" t="str">
        <f t="shared" si="193"/>
        <v>2</v>
      </c>
      <c r="AF169" t="str">
        <f t="shared" si="193"/>
        <v>2</v>
      </c>
      <c r="AG169" t="str">
        <f t="shared" si="193"/>
        <v>2</v>
      </c>
      <c r="AH169" t="str">
        <f t="shared" si="200"/>
        <v>1</v>
      </c>
      <c r="AI169" t="str">
        <f t="shared" si="196"/>
        <v xml:space="preserve">1         </v>
      </c>
      <c r="AJ169" t="str">
        <f t="shared" si="201"/>
        <v>170</v>
      </c>
      <c r="AK169" t="str">
        <f>"63"</f>
        <v>63</v>
      </c>
      <c r="AL169" t="str">
        <f>"190"</f>
        <v>190</v>
      </c>
      <c r="AM169" t="str">
        <f>"11"</f>
        <v>11</v>
      </c>
      <c r="AN169" t="str">
        <f>"11001"</f>
        <v>11001</v>
      </c>
      <c r="AO169" t="str">
        <f>"14/11/2020 12:00:00 a. m."</f>
        <v>14/11/2020 12:00:00 a. m.</v>
      </c>
      <c r="AP169" t="str">
        <f>"15/10/2020 12:00:00 a. m."</f>
        <v>15/10/2020 12:00:00 a. m.</v>
      </c>
      <c r="AQ169" t="str">
        <f t="shared" si="195"/>
        <v>3</v>
      </c>
      <c r="AR169" t="str">
        <f>"1"</f>
        <v>1</v>
      </c>
      <c r="AS169" t="str">
        <f>"14/11/2020 12:00:00 a. m."</f>
        <v>14/11/2020 12:00:00 a. m.</v>
      </c>
      <c r="AT169" t="str">
        <f t="shared" si="204"/>
        <v>1</v>
      </c>
      <c r="AU169" t="str">
        <f>""</f>
        <v/>
      </c>
      <c r="AV169" t="str">
        <f>"0"</f>
        <v>0</v>
      </c>
      <c r="AW169" t="str">
        <f>"10/04/2014 12:00:00 a. m."</f>
        <v>10/04/2014 12:00:00 a. m.</v>
      </c>
      <c r="AX169" t="str">
        <f>""</f>
        <v/>
      </c>
      <c r="AY169" t="str">
        <f t="shared" si="160"/>
        <v>30/04/2021 12:00:00 a. m.</v>
      </c>
      <c r="AZ169" t="str">
        <f>"20/11/2020 12:00:00 a. m."</f>
        <v>20/11/2020 12:00:00 a. m.</v>
      </c>
      <c r="BA169" t="str">
        <f>""</f>
        <v/>
      </c>
      <c r="BB169" t="str">
        <f>""</f>
        <v/>
      </c>
      <c r="BC169" t="str">
        <f>""</f>
        <v/>
      </c>
      <c r="BD169" t="str">
        <f t="shared" si="197"/>
        <v>1</v>
      </c>
      <c r="BE169" t="str">
        <f t="shared" si="197"/>
        <v>1</v>
      </c>
      <c r="BF169" t="str">
        <f t="shared" si="161"/>
        <v xml:space="preserve">3         </v>
      </c>
      <c r="BG169" t="str">
        <f t="shared" si="162"/>
        <v>Confirmado por laboratorio</v>
      </c>
      <c r="BH169" t="str">
        <f>"HOSPITAL UNIVERSITARIO SAN IGNACIO"</f>
        <v>HOSPITAL UNIVERSITARIO SAN IGNACIO</v>
      </c>
      <c r="BI169" t="str">
        <f t="shared" si="202"/>
        <v>COLOMBIA</v>
      </c>
      <c r="BJ169" t="str">
        <f t="shared" si="163"/>
        <v>CANCER INFANTIL</v>
      </c>
      <c r="BK169" t="str">
        <f>"QUINDIO"</f>
        <v>QUINDIO</v>
      </c>
      <c r="BL169" t="str">
        <f>"CIRCASIA"</f>
        <v>CIRCASIA</v>
      </c>
      <c r="BM169" t="str">
        <f t="shared" si="203"/>
        <v>COLOMBIA</v>
      </c>
      <c r="BN169" t="str">
        <f>"QUINDIO"</f>
        <v>QUINDIO</v>
      </c>
      <c r="BO169" t="str">
        <f>"CIRCASIA"</f>
        <v>CIRCASIA</v>
      </c>
      <c r="BP169" t="str">
        <f>"BOGOTA"</f>
        <v>BOGOTA</v>
      </c>
      <c r="BQ169" t="str">
        <f>"BOGOTA"</f>
        <v>BOGOTA</v>
      </c>
    </row>
    <row r="170" spans="1:69" x14ac:dyDescent="0.25">
      <c r="A170" t="str">
        <f>"7285434"</f>
        <v>7285434</v>
      </c>
      <c r="B170" t="str">
        <f t="shared" si="156"/>
        <v>459</v>
      </c>
      <c r="C170" t="str">
        <f>"24/11/2020 12:00:00 a. m."</f>
        <v>24/11/2020 12:00:00 a. m.</v>
      </c>
      <c r="D170" t="str">
        <f>"35"</f>
        <v>35</v>
      </c>
      <c r="E170" t="str">
        <f t="shared" si="157"/>
        <v>2020</v>
      </c>
      <c r="F170" t="str">
        <f>"0500102175"</f>
        <v>0500102175</v>
      </c>
      <c r="G170" t="str">
        <f>"01"</f>
        <v>01</v>
      </c>
      <c r="H170" t="str">
        <f>"1"</f>
        <v>1</v>
      </c>
      <c r="I170" t="str">
        <f t="shared" si="192"/>
        <v>1</v>
      </c>
      <c r="J170" t="str">
        <f>"F"</f>
        <v>F</v>
      </c>
      <c r="K170" t="str">
        <f t="shared" si="198"/>
        <v>170</v>
      </c>
      <c r="L170" t="str">
        <f>"05"</f>
        <v>05</v>
      </c>
      <c r="M170" t="str">
        <f>"679"</f>
        <v>679</v>
      </c>
      <c r="N170" t="str">
        <f>"3"</f>
        <v>3</v>
      </c>
      <c r="O170" t="str">
        <f>"9999"</f>
        <v>9999</v>
      </c>
      <c r="P170" t="str">
        <f>"S"</f>
        <v>S</v>
      </c>
      <c r="Q170" t="str">
        <f>"EPSS40"</f>
        <v>EPSS40</v>
      </c>
      <c r="R170" t="str">
        <f t="shared" si="188"/>
        <v>6</v>
      </c>
      <c r="S170" t="str">
        <f>""</f>
        <v/>
      </c>
      <c r="T170" t="str">
        <f t="shared" si="183"/>
        <v xml:space="preserve">                                                                                                    </v>
      </c>
      <c r="U170" t="str">
        <f>"2         "</f>
        <v xml:space="preserve">2         </v>
      </c>
      <c r="V170" t="str">
        <f t="shared" si="190"/>
        <v>2</v>
      </c>
      <c r="W170" t="str">
        <f t="shared" si="190"/>
        <v>2</v>
      </c>
      <c r="X170" t="str">
        <f t="shared" si="199"/>
        <v>2</v>
      </c>
      <c r="Y170" t="str">
        <f t="shared" si="191"/>
        <v>2</v>
      </c>
      <c r="Z170" t="str">
        <f t="shared" si="191"/>
        <v>2</v>
      </c>
      <c r="AA170" t="str">
        <f t="shared" si="159"/>
        <v xml:space="preserve">          </v>
      </c>
      <c r="AB170" t="str">
        <f t="shared" si="148"/>
        <v>2</v>
      </c>
      <c r="AC170" t="str">
        <f t="shared" si="150"/>
        <v>2</v>
      </c>
      <c r="AD170" t="str">
        <f t="shared" si="193"/>
        <v>2</v>
      </c>
      <c r="AE170" t="str">
        <f t="shared" si="193"/>
        <v>2</v>
      </c>
      <c r="AF170" t="str">
        <f t="shared" si="193"/>
        <v>2</v>
      </c>
      <c r="AG170" t="str">
        <f t="shared" si="193"/>
        <v>2</v>
      </c>
      <c r="AH170" t="str">
        <f t="shared" si="200"/>
        <v>1</v>
      </c>
      <c r="AI170" t="str">
        <f t="shared" si="196"/>
        <v xml:space="preserve">1         </v>
      </c>
      <c r="AJ170" t="str">
        <f t="shared" si="201"/>
        <v>170</v>
      </c>
      <c r="AK170" t="str">
        <f>"05"</f>
        <v>05</v>
      </c>
      <c r="AL170" t="str">
        <f>"679"</f>
        <v>679</v>
      </c>
      <c r="AM170" t="str">
        <f>"05"</f>
        <v>05</v>
      </c>
      <c r="AN170" t="str">
        <f>"05001"</f>
        <v>05001</v>
      </c>
      <c r="AO170" t="str">
        <f>"28/08/2020 12:00:00 a. m."</f>
        <v>28/08/2020 12:00:00 a. m.</v>
      </c>
      <c r="AP170" t="str">
        <f>"28/05/2020 12:00:00 a. m."</f>
        <v>28/05/2020 12:00:00 a. m.</v>
      </c>
      <c r="AQ170" t="str">
        <f t="shared" si="195"/>
        <v>3</v>
      </c>
      <c r="AR170" t="str">
        <f>"1"</f>
        <v>1</v>
      </c>
      <c r="AS170" t="str">
        <f>"2/09/2020 12:00:00 a. m."</f>
        <v>2/09/2020 12:00:00 a. m.</v>
      </c>
      <c r="AT170" t="str">
        <f t="shared" si="204"/>
        <v>1</v>
      </c>
      <c r="AU170" t="str">
        <f>""</f>
        <v/>
      </c>
      <c r="AV170" t="str">
        <f>"0"</f>
        <v>0</v>
      </c>
      <c r="AW170" t="str">
        <f>"5/05/2019 12:00:00 a. m."</f>
        <v>5/05/2019 12:00:00 a. m.</v>
      </c>
      <c r="AX170" t="str">
        <f>""</f>
        <v/>
      </c>
      <c r="AY170" t="str">
        <f t="shared" si="160"/>
        <v>30/04/2021 12:00:00 a. m.</v>
      </c>
      <c r="AZ170" t="str">
        <f>"24/11/2020 12:00:00 a. m."</f>
        <v>24/11/2020 12:00:00 a. m.</v>
      </c>
      <c r="BA170" t="str">
        <f>""</f>
        <v/>
      </c>
      <c r="BB170" t="str">
        <f>""</f>
        <v/>
      </c>
      <c r="BC170" t="str">
        <f>""</f>
        <v/>
      </c>
      <c r="BD170" t="str">
        <f t="shared" si="197"/>
        <v>1</v>
      </c>
      <c r="BE170" t="str">
        <f t="shared" si="197"/>
        <v>1</v>
      </c>
      <c r="BF170" t="str">
        <f t="shared" si="161"/>
        <v xml:space="preserve">3         </v>
      </c>
      <c r="BG170" t="str">
        <f t="shared" si="162"/>
        <v>Confirmado por laboratorio</v>
      </c>
      <c r="BH170" t="str">
        <f>"FUNDACION HOSPITALARIA SAN VICENTE DE PAUL"</f>
        <v>FUNDACION HOSPITALARIA SAN VICENTE DE PAUL</v>
      </c>
      <c r="BI170" t="str">
        <f t="shared" si="202"/>
        <v>COLOMBIA</v>
      </c>
      <c r="BJ170" t="str">
        <f t="shared" si="163"/>
        <v>CANCER INFANTIL</v>
      </c>
      <c r="BK170" t="str">
        <f>"ANTIOQUIA"</f>
        <v>ANTIOQUIA</v>
      </c>
      <c r="BL170" t="str">
        <f>"SANTA BARBARA"</f>
        <v>SANTA BARBARA</v>
      </c>
      <c r="BM170" t="str">
        <f t="shared" si="203"/>
        <v>COLOMBIA</v>
      </c>
      <c r="BN170" t="str">
        <f>"ANTIOQUIA"</f>
        <v>ANTIOQUIA</v>
      </c>
      <c r="BO170" t="str">
        <f>"SANTA BARBARA"</f>
        <v>SANTA BARBARA</v>
      </c>
      <c r="BP170" t="str">
        <f>"ANTIOQUIA"</f>
        <v>ANTIOQUIA</v>
      </c>
      <c r="BQ170" t="str">
        <f>"MEDELLIN"</f>
        <v>MEDELLIN</v>
      </c>
    </row>
    <row r="171" spans="1:69" x14ac:dyDescent="0.25">
      <c r="A171" t="str">
        <f>"7285437"</f>
        <v>7285437</v>
      </c>
      <c r="B171" t="str">
        <f t="shared" si="156"/>
        <v>459</v>
      </c>
      <c r="C171" t="str">
        <f>"14/09/2020 12:00:00 a. m."</f>
        <v>14/09/2020 12:00:00 a. m.</v>
      </c>
      <c r="D171" t="str">
        <f>"36"</f>
        <v>36</v>
      </c>
      <c r="E171" t="str">
        <f t="shared" si="157"/>
        <v>2020</v>
      </c>
      <c r="F171" t="str">
        <f>"0500102175"</f>
        <v>0500102175</v>
      </c>
      <c r="G171" t="str">
        <f>"01"</f>
        <v>01</v>
      </c>
      <c r="H171" t="str">
        <f>"8"</f>
        <v>8</v>
      </c>
      <c r="I171" t="str">
        <f t="shared" si="192"/>
        <v>1</v>
      </c>
      <c r="J171" t="str">
        <f>"F"</f>
        <v>F</v>
      </c>
      <c r="K171" t="str">
        <f t="shared" si="198"/>
        <v>170</v>
      </c>
      <c r="L171" t="str">
        <f>"05"</f>
        <v>05</v>
      </c>
      <c r="M171" t="str">
        <f>"887"</f>
        <v>887</v>
      </c>
      <c r="N171" t="str">
        <f>"3"</f>
        <v>3</v>
      </c>
      <c r="O171" t="str">
        <f>"9997"</f>
        <v>9997</v>
      </c>
      <c r="P171" t="str">
        <f>"S"</f>
        <v>S</v>
      </c>
      <c r="Q171" t="str">
        <f>"ESS024"</f>
        <v>ESS024</v>
      </c>
      <c r="R171" t="str">
        <f t="shared" si="188"/>
        <v>6</v>
      </c>
      <c r="S171" t="str">
        <f>""</f>
        <v/>
      </c>
      <c r="T171" t="str">
        <f t="shared" si="183"/>
        <v xml:space="preserve">                                                                                                    </v>
      </c>
      <c r="U171" t="str">
        <f>"2         "</f>
        <v xml:space="preserve">2         </v>
      </c>
      <c r="V171" t="str">
        <f t="shared" si="190"/>
        <v>2</v>
      </c>
      <c r="W171" t="str">
        <f t="shared" si="190"/>
        <v>2</v>
      </c>
      <c r="X171" t="str">
        <f t="shared" si="199"/>
        <v>2</v>
      </c>
      <c r="Y171" t="str">
        <f t="shared" si="191"/>
        <v>2</v>
      </c>
      <c r="Z171" t="str">
        <f t="shared" si="191"/>
        <v>2</v>
      </c>
      <c r="AA171" t="str">
        <f t="shared" si="159"/>
        <v xml:space="preserve">          </v>
      </c>
      <c r="AB171" t="str">
        <f t="shared" si="148"/>
        <v>2</v>
      </c>
      <c r="AC171" t="str">
        <f t="shared" si="150"/>
        <v>2</v>
      </c>
      <c r="AD171" t="str">
        <f t="shared" si="193"/>
        <v>2</v>
      </c>
      <c r="AE171" t="str">
        <f t="shared" si="193"/>
        <v>2</v>
      </c>
      <c r="AF171" t="str">
        <f t="shared" si="193"/>
        <v>2</v>
      </c>
      <c r="AG171" t="str">
        <f t="shared" si="193"/>
        <v>2</v>
      </c>
      <c r="AH171" t="str">
        <f t="shared" si="200"/>
        <v>1</v>
      </c>
      <c r="AI171" t="str">
        <f t="shared" si="196"/>
        <v xml:space="preserve">1         </v>
      </c>
      <c r="AJ171" t="str">
        <f t="shared" si="201"/>
        <v>170</v>
      </c>
      <c r="AK171" t="str">
        <f>"05"</f>
        <v>05</v>
      </c>
      <c r="AL171" t="str">
        <f>"887"</f>
        <v>887</v>
      </c>
      <c r="AM171" t="str">
        <f>"05"</f>
        <v>05</v>
      </c>
      <c r="AN171" t="str">
        <f>"05001"</f>
        <v>05001</v>
      </c>
      <c r="AO171" t="str">
        <f>"1/09/2020 12:00:00 a. m."</f>
        <v>1/09/2020 12:00:00 a. m.</v>
      </c>
      <c r="AP171" t="str">
        <f>"23/07/2020 12:00:00 a. m."</f>
        <v>23/07/2020 12:00:00 a. m.</v>
      </c>
      <c r="AQ171" t="str">
        <f t="shared" si="195"/>
        <v>3</v>
      </c>
      <c r="AR171" t="str">
        <f>"1"</f>
        <v>1</v>
      </c>
      <c r="AS171" t="str">
        <f>"1/09/2020 12:00:00 a. m."</f>
        <v>1/09/2020 12:00:00 a. m.</v>
      </c>
      <c r="AT171" t="str">
        <f t="shared" si="204"/>
        <v>1</v>
      </c>
      <c r="AU171" t="str">
        <f>""</f>
        <v/>
      </c>
      <c r="AV171" t="str">
        <f>"0"</f>
        <v>0</v>
      </c>
      <c r="AW171" t="str">
        <f>"30/03/2012 12:00:00 a. m."</f>
        <v>30/03/2012 12:00:00 a. m.</v>
      </c>
      <c r="AX171" t="str">
        <f>""</f>
        <v/>
      </c>
      <c r="AY171" t="str">
        <f t="shared" si="160"/>
        <v>30/04/2021 12:00:00 a. m.</v>
      </c>
      <c r="AZ171" t="str">
        <f>"14/09/2020 12:00:00 a. m."</f>
        <v>14/09/2020 12:00:00 a. m.</v>
      </c>
      <c r="BA171" t="str">
        <f>""</f>
        <v/>
      </c>
      <c r="BB171" t="str">
        <f>""</f>
        <v/>
      </c>
      <c r="BC171" t="str">
        <f>""</f>
        <v/>
      </c>
      <c r="BD171" t="str">
        <f t="shared" si="197"/>
        <v>1</v>
      </c>
      <c r="BE171" t="str">
        <f t="shared" si="197"/>
        <v>1</v>
      </c>
      <c r="BF171" t="str">
        <f t="shared" si="161"/>
        <v xml:space="preserve">3         </v>
      </c>
      <c r="BG171" t="str">
        <f t="shared" si="162"/>
        <v>Confirmado por laboratorio</v>
      </c>
      <c r="BH171" t="str">
        <f>"FUNDACION HOSPITALARIA SAN VICENTE DE PAUL"</f>
        <v>FUNDACION HOSPITALARIA SAN VICENTE DE PAUL</v>
      </c>
      <c r="BI171" t="str">
        <f t="shared" si="202"/>
        <v>COLOMBIA</v>
      </c>
      <c r="BJ171" t="str">
        <f t="shared" si="163"/>
        <v>CANCER INFANTIL</v>
      </c>
      <c r="BK171" t="str">
        <f>"ANTIOQUIA"</f>
        <v>ANTIOQUIA</v>
      </c>
      <c r="BL171" t="str">
        <f>"YARUMAL"</f>
        <v>YARUMAL</v>
      </c>
      <c r="BM171" t="str">
        <f t="shared" si="203"/>
        <v>COLOMBIA</v>
      </c>
      <c r="BN171" t="str">
        <f>"ANTIOQUIA"</f>
        <v>ANTIOQUIA</v>
      </c>
      <c r="BO171" t="str">
        <f>"YARUMAL"</f>
        <v>YARUMAL</v>
      </c>
      <c r="BP171" t="str">
        <f>"ANTIOQUIA"</f>
        <v>ANTIOQUIA</v>
      </c>
      <c r="BQ171" t="str">
        <f>"MEDELLIN"</f>
        <v>MEDELLIN</v>
      </c>
    </row>
    <row r="172" spans="1:69" x14ac:dyDescent="0.25">
      <c r="A172" t="str">
        <f>"7285388"</f>
        <v>7285388</v>
      </c>
      <c r="B172" t="str">
        <f t="shared" si="156"/>
        <v>459</v>
      </c>
      <c r="C172" t="str">
        <f>"10/07/2020 12:00:00 a. m."</f>
        <v>10/07/2020 12:00:00 a. m.</v>
      </c>
      <c r="D172" t="str">
        <f>"28"</f>
        <v>28</v>
      </c>
      <c r="E172" t="str">
        <f t="shared" si="157"/>
        <v>2020</v>
      </c>
      <c r="F172" t="str">
        <f>"0500102092"</f>
        <v>0500102092</v>
      </c>
      <c r="G172" t="str">
        <f>"02"</f>
        <v>02</v>
      </c>
      <c r="H172" t="str">
        <f>"6"</f>
        <v>6</v>
      </c>
      <c r="I172" t="str">
        <f t="shared" si="192"/>
        <v>1</v>
      </c>
      <c r="J172" t="str">
        <f>"F"</f>
        <v>F</v>
      </c>
      <c r="K172" t="str">
        <f t="shared" si="198"/>
        <v>170</v>
      </c>
      <c r="L172" t="str">
        <f>"05"</f>
        <v>05</v>
      </c>
      <c r="M172" t="str">
        <f>"138"</f>
        <v>138</v>
      </c>
      <c r="N172" t="str">
        <f t="shared" ref="N172:N177" si="205">"1"</f>
        <v>1</v>
      </c>
      <c r="O172" t="str">
        <f>"9999"</f>
        <v>9999</v>
      </c>
      <c r="P172" t="str">
        <f>"S"</f>
        <v>S</v>
      </c>
      <c r="Q172" t="str">
        <f>"EPSS40"</f>
        <v>EPSS40</v>
      </c>
      <c r="R172" t="str">
        <f t="shared" si="188"/>
        <v>6</v>
      </c>
      <c r="S172" t="str">
        <f>""</f>
        <v/>
      </c>
      <c r="T172" t="str">
        <f t="shared" si="183"/>
        <v xml:space="preserve">                                                                                                    </v>
      </c>
      <c r="U172" t="str">
        <f>"2         "</f>
        <v xml:space="preserve">2         </v>
      </c>
      <c r="V172" t="str">
        <f t="shared" si="190"/>
        <v>2</v>
      </c>
      <c r="W172" t="str">
        <f t="shared" si="190"/>
        <v>2</v>
      </c>
      <c r="X172" t="str">
        <f t="shared" si="199"/>
        <v>2</v>
      </c>
      <c r="Y172" t="str">
        <f t="shared" si="191"/>
        <v>2</v>
      </c>
      <c r="Z172" t="str">
        <f t="shared" si="191"/>
        <v>2</v>
      </c>
      <c r="AA172" t="str">
        <f t="shared" si="159"/>
        <v xml:space="preserve">          </v>
      </c>
      <c r="AB172" t="str">
        <f t="shared" si="148"/>
        <v>2</v>
      </c>
      <c r="AC172" t="str">
        <f t="shared" si="150"/>
        <v>2</v>
      </c>
      <c r="AD172" t="str">
        <f t="shared" si="193"/>
        <v>2</v>
      </c>
      <c r="AE172" t="str">
        <f t="shared" si="193"/>
        <v>2</v>
      </c>
      <c r="AF172" t="str">
        <f t="shared" si="193"/>
        <v>2</v>
      </c>
      <c r="AG172" t="str">
        <f t="shared" si="193"/>
        <v>2</v>
      </c>
      <c r="AH172" t="str">
        <f t="shared" si="200"/>
        <v>1</v>
      </c>
      <c r="AI172" t="str">
        <f t="shared" si="196"/>
        <v xml:space="preserve">1         </v>
      </c>
      <c r="AJ172" t="str">
        <f t="shared" si="201"/>
        <v>170</v>
      </c>
      <c r="AK172" t="str">
        <f>"05"</f>
        <v>05</v>
      </c>
      <c r="AL172" t="str">
        <f>"138"</f>
        <v>138</v>
      </c>
      <c r="AM172" t="str">
        <f>"05"</f>
        <v>05</v>
      </c>
      <c r="AN172" t="str">
        <f>"05001"</f>
        <v>05001</v>
      </c>
      <c r="AO172" t="str">
        <f>"9/07/2020 12:00:00 a. m."</f>
        <v>9/07/2020 12:00:00 a. m.</v>
      </c>
      <c r="AP172" t="str">
        <f>"7/07/2020 12:00:00 a. m."</f>
        <v>7/07/2020 12:00:00 a. m.</v>
      </c>
      <c r="AQ172" t="str">
        <f>"2"</f>
        <v>2</v>
      </c>
      <c r="AR172" t="str">
        <f>"1"</f>
        <v>1</v>
      </c>
      <c r="AS172" t="str">
        <f>"9/07/2020 12:00:00 a. m."</f>
        <v>9/07/2020 12:00:00 a. m.</v>
      </c>
      <c r="AT172" t="str">
        <f t="shared" si="204"/>
        <v>1</v>
      </c>
      <c r="AU172" t="str">
        <f>""</f>
        <v/>
      </c>
      <c r="AV172" t="str">
        <f>"3"</f>
        <v>3</v>
      </c>
      <c r="AW172" t="str">
        <f>"8/06/2014 12:00:00 a. m."</f>
        <v>8/06/2014 12:00:00 a. m.</v>
      </c>
      <c r="AX172" t="str">
        <f>""</f>
        <v/>
      </c>
      <c r="AY172" t="str">
        <f t="shared" si="160"/>
        <v>30/04/2021 12:00:00 a. m.</v>
      </c>
      <c r="AZ172" t="str">
        <f>"30/07/2020 12:00:00 a. m."</f>
        <v>30/07/2020 12:00:00 a. m.</v>
      </c>
      <c r="BA172" t="str">
        <f>""</f>
        <v/>
      </c>
      <c r="BB172" t="str">
        <f>""</f>
        <v/>
      </c>
      <c r="BC172" t="str">
        <f>""</f>
        <v/>
      </c>
      <c r="BD172" t="str">
        <f t="shared" si="197"/>
        <v>1</v>
      </c>
      <c r="BE172" t="str">
        <f t="shared" si="197"/>
        <v>1</v>
      </c>
      <c r="BF172" t="str">
        <f t="shared" si="161"/>
        <v xml:space="preserve">3         </v>
      </c>
      <c r="BG172" t="str">
        <f t="shared" si="162"/>
        <v>Confirmado por laboratorio</v>
      </c>
      <c r="BH172" t="str">
        <f>"COMUNIDAD DE HERMANAS DOMINICAS DE LA PRESENTACION"</f>
        <v>COMUNIDAD DE HERMANAS DOMINICAS DE LA PRESENTACION</v>
      </c>
      <c r="BI172" t="str">
        <f t="shared" si="202"/>
        <v>COLOMBIA</v>
      </c>
      <c r="BJ172" t="str">
        <f t="shared" si="163"/>
        <v>CANCER INFANTIL</v>
      </c>
      <c r="BK172" t="str">
        <f>"ANTIOQUIA"</f>
        <v>ANTIOQUIA</v>
      </c>
      <c r="BL172" t="str">
        <f>"CAÑASGORDAS"</f>
        <v>CAÑASGORDAS</v>
      </c>
      <c r="BM172" t="str">
        <f t="shared" si="203"/>
        <v>COLOMBIA</v>
      </c>
      <c r="BN172" t="str">
        <f>"ANTIOQUIA"</f>
        <v>ANTIOQUIA</v>
      </c>
      <c r="BO172" t="str">
        <f>"CAÑASGORDAS"</f>
        <v>CAÑASGORDAS</v>
      </c>
      <c r="BP172" t="str">
        <f>"ANTIOQUIA"</f>
        <v>ANTIOQUIA</v>
      </c>
      <c r="BQ172" t="str">
        <f>"MEDELLIN"</f>
        <v>MEDELLIN</v>
      </c>
    </row>
    <row r="173" spans="1:69" x14ac:dyDescent="0.25">
      <c r="A173" t="str">
        <f>"7285777"</f>
        <v>7285777</v>
      </c>
      <c r="B173" t="str">
        <f t="shared" si="156"/>
        <v>459</v>
      </c>
      <c r="C173" t="str">
        <f>"14/03/2020 12:00:00 a. m."</f>
        <v>14/03/2020 12:00:00 a. m.</v>
      </c>
      <c r="D173" t="str">
        <f>"11"</f>
        <v>11</v>
      </c>
      <c r="E173" t="str">
        <f t="shared" si="157"/>
        <v>2020</v>
      </c>
      <c r="F173" t="str">
        <f>"1100130289"</f>
        <v>1100130289</v>
      </c>
      <c r="G173" t="str">
        <f t="shared" ref="G173:G182" si="206">"01"</f>
        <v>01</v>
      </c>
      <c r="H173" t="str">
        <f>"16"</f>
        <v>16</v>
      </c>
      <c r="I173" t="str">
        <f t="shared" si="192"/>
        <v>1</v>
      </c>
      <c r="J173" t="str">
        <f>"M"</f>
        <v>M</v>
      </c>
      <c r="K173" t="str">
        <f t="shared" si="198"/>
        <v>170</v>
      </c>
      <c r="L173" t="str">
        <f>"11"</f>
        <v>11</v>
      </c>
      <c r="M173" t="str">
        <f>"001"</f>
        <v>001</v>
      </c>
      <c r="N173" t="str">
        <f t="shared" si="205"/>
        <v>1</v>
      </c>
      <c r="O173" t="str">
        <f>"9998"</f>
        <v>9998</v>
      </c>
      <c r="P173" t="str">
        <f>"N"</f>
        <v>N</v>
      </c>
      <c r="Q173" t="str">
        <f>""</f>
        <v/>
      </c>
      <c r="R173" t="str">
        <f t="shared" si="188"/>
        <v>6</v>
      </c>
      <c r="S173" t="str">
        <f>""</f>
        <v/>
      </c>
      <c r="T173" t="str">
        <f t="shared" si="183"/>
        <v xml:space="preserve">                                                                                                    </v>
      </c>
      <c r="U173" t="str">
        <f>"1         "</f>
        <v xml:space="preserve">1         </v>
      </c>
      <c r="V173" t="str">
        <f t="shared" si="190"/>
        <v>2</v>
      </c>
      <c r="W173" t="str">
        <f t="shared" si="190"/>
        <v>2</v>
      </c>
      <c r="X173" t="str">
        <f>"1"</f>
        <v>1</v>
      </c>
      <c r="Y173" t="str">
        <f t="shared" si="191"/>
        <v>2</v>
      </c>
      <c r="Z173" t="str">
        <f t="shared" si="191"/>
        <v>2</v>
      </c>
      <c r="AA173" t="str">
        <f t="shared" si="159"/>
        <v xml:space="preserve">          </v>
      </c>
      <c r="AB173" t="str">
        <f t="shared" si="148"/>
        <v>2</v>
      </c>
      <c r="AC173" t="str">
        <f t="shared" si="150"/>
        <v>2</v>
      </c>
      <c r="AD173" t="str">
        <f t="shared" si="193"/>
        <v>2</v>
      </c>
      <c r="AE173" t="str">
        <f t="shared" si="193"/>
        <v>2</v>
      </c>
      <c r="AF173" t="str">
        <f t="shared" si="193"/>
        <v>2</v>
      </c>
      <c r="AG173" t="str">
        <f t="shared" si="193"/>
        <v>2</v>
      </c>
      <c r="AH173" t="str">
        <f>"2"</f>
        <v>2</v>
      </c>
      <c r="AI173" t="str">
        <f t="shared" si="196"/>
        <v xml:space="preserve">1         </v>
      </c>
      <c r="AJ173" t="str">
        <f t="shared" si="201"/>
        <v>170</v>
      </c>
      <c r="AK173" t="str">
        <f>"11"</f>
        <v>11</v>
      </c>
      <c r="AL173" t="str">
        <f>"001"</f>
        <v>001</v>
      </c>
      <c r="AM173" t="str">
        <f>"11"</f>
        <v>11</v>
      </c>
      <c r="AN173" t="str">
        <f>"11001"</f>
        <v>11001</v>
      </c>
      <c r="AO173" t="str">
        <f>"8/03/2020 12:00:00 a. m."</f>
        <v>8/03/2020 12:00:00 a. m.</v>
      </c>
      <c r="AP173" t="str">
        <f>"1/03/2020 12:00:00 a. m."</f>
        <v>1/03/2020 12:00:00 a. m.</v>
      </c>
      <c r="AQ173" t="str">
        <f>"2"</f>
        <v>2</v>
      </c>
      <c r="AR173" t="str">
        <f>"1"</f>
        <v>1</v>
      </c>
      <c r="AS173" t="str">
        <f>"8/03/2020 12:00:00 a. m."</f>
        <v>8/03/2020 12:00:00 a. m.</v>
      </c>
      <c r="AT173" t="str">
        <f t="shared" si="204"/>
        <v>1</v>
      </c>
      <c r="AU173" t="str">
        <f>""</f>
        <v/>
      </c>
      <c r="AV173" t="str">
        <f>"3"</f>
        <v>3</v>
      </c>
      <c r="AW173" t="str">
        <f>"16/03/2004 12:00:00 a. m."</f>
        <v>16/03/2004 12:00:00 a. m.</v>
      </c>
      <c r="AX173" t="str">
        <f>""</f>
        <v/>
      </c>
      <c r="AY173" t="str">
        <f t="shared" si="160"/>
        <v>30/04/2021 12:00:00 a. m.</v>
      </c>
      <c r="AZ173" t="str">
        <f>"7/04/2021 12:00:00 a. m."</f>
        <v>7/04/2021 12:00:00 a. m.</v>
      </c>
      <c r="BA173" t="str">
        <f>""</f>
        <v/>
      </c>
      <c r="BB173" t="str">
        <f>""</f>
        <v/>
      </c>
      <c r="BC173" t="str">
        <f>""</f>
        <v/>
      </c>
      <c r="BD173" t="str">
        <f t="shared" si="197"/>
        <v>1</v>
      </c>
      <c r="BE173" t="str">
        <f t="shared" si="197"/>
        <v>1</v>
      </c>
      <c r="BF173" t="str">
        <f t="shared" si="161"/>
        <v xml:space="preserve">3         </v>
      </c>
      <c r="BG173" t="str">
        <f t="shared" si="162"/>
        <v>Confirmado por laboratorio</v>
      </c>
      <c r="BH173" t="str">
        <f>"UPSS SANTA CLARA SUBRED INTEGRADA CENTRO ORIENTE"</f>
        <v>UPSS SANTA CLARA SUBRED INTEGRADA CENTRO ORIENTE</v>
      </c>
      <c r="BI173" t="str">
        <f t="shared" si="202"/>
        <v>COLOMBIA</v>
      </c>
      <c r="BJ173" t="str">
        <f t="shared" si="163"/>
        <v>CANCER INFANTIL</v>
      </c>
      <c r="BK173" t="str">
        <f>"BOGOTA"</f>
        <v>BOGOTA</v>
      </c>
      <c r="BL173" t="str">
        <f>"BOGOTA"</f>
        <v>BOGOTA</v>
      </c>
      <c r="BM173" t="str">
        <f t="shared" si="203"/>
        <v>COLOMBIA</v>
      </c>
      <c r="BN173" t="str">
        <f>"BOGOTA"</f>
        <v>BOGOTA</v>
      </c>
      <c r="BO173" t="str">
        <f>"BOGOTA"</f>
        <v>BOGOTA</v>
      </c>
      <c r="BP173" t="str">
        <f>"BOGOTA"</f>
        <v>BOGOTA</v>
      </c>
      <c r="BQ173" t="str">
        <f>"BOGOTA"</f>
        <v>BOGOTA</v>
      </c>
    </row>
    <row r="174" spans="1:69" x14ac:dyDescent="0.25">
      <c r="A174" t="str">
        <f>"7285951"</f>
        <v>7285951</v>
      </c>
      <c r="B174" t="str">
        <f t="shared" si="156"/>
        <v>459</v>
      </c>
      <c r="C174" t="str">
        <f>"10/08/2020 12:00:00 a. m."</f>
        <v>10/08/2020 12:00:00 a. m.</v>
      </c>
      <c r="D174" t="str">
        <f>"21"</f>
        <v>21</v>
      </c>
      <c r="E174" t="str">
        <f t="shared" si="157"/>
        <v>2020</v>
      </c>
      <c r="F174" t="str">
        <f>"6854704947"</f>
        <v>6854704947</v>
      </c>
      <c r="G174" t="str">
        <f t="shared" si="206"/>
        <v>01</v>
      </c>
      <c r="H174" t="str">
        <f>"5"</f>
        <v>5</v>
      </c>
      <c r="I174" t="str">
        <f t="shared" si="192"/>
        <v>1</v>
      </c>
      <c r="J174" t="str">
        <f>"M"</f>
        <v>M</v>
      </c>
      <c r="K174" t="str">
        <f t="shared" si="198"/>
        <v>170</v>
      </c>
      <c r="L174" t="str">
        <f>"68"</f>
        <v>68</v>
      </c>
      <c r="M174" t="str">
        <f>"770"</f>
        <v>770</v>
      </c>
      <c r="N174" t="str">
        <f t="shared" si="205"/>
        <v>1</v>
      </c>
      <c r="O174" t="str">
        <f>"9997"</f>
        <v>9997</v>
      </c>
      <c r="P174" t="str">
        <f>"S"</f>
        <v>S</v>
      </c>
      <c r="Q174" t="str">
        <f>"EPSS41"</f>
        <v>EPSS41</v>
      </c>
      <c r="R174" t="str">
        <f t="shared" si="188"/>
        <v>6</v>
      </c>
      <c r="S174" t="str">
        <f>""</f>
        <v/>
      </c>
      <c r="T174" t="str">
        <f t="shared" si="183"/>
        <v xml:space="preserve">                                                                                                    </v>
      </c>
      <c r="U174" t="str">
        <f>"1         "</f>
        <v xml:space="preserve">1         </v>
      </c>
      <c r="V174" t="str">
        <f t="shared" si="190"/>
        <v>2</v>
      </c>
      <c r="W174" t="str">
        <f t="shared" si="190"/>
        <v>2</v>
      </c>
      <c r="X174" t="str">
        <f>"2"</f>
        <v>2</v>
      </c>
      <c r="Y174" t="str">
        <f t="shared" si="191"/>
        <v>2</v>
      </c>
      <c r="Z174" t="str">
        <f t="shared" si="191"/>
        <v>2</v>
      </c>
      <c r="AA174" t="str">
        <f t="shared" si="159"/>
        <v xml:space="preserve">          </v>
      </c>
      <c r="AB174" t="str">
        <f t="shared" si="148"/>
        <v>2</v>
      </c>
      <c r="AC174" t="str">
        <f t="shared" si="150"/>
        <v>2</v>
      </c>
      <c r="AD174" t="str">
        <f t="shared" si="193"/>
        <v>2</v>
      </c>
      <c r="AE174" t="str">
        <f t="shared" si="193"/>
        <v>2</v>
      </c>
      <c r="AF174" t="str">
        <f t="shared" si="193"/>
        <v>2</v>
      </c>
      <c r="AG174" t="str">
        <f t="shared" si="193"/>
        <v>2</v>
      </c>
      <c r="AH174" t="str">
        <f>"1"</f>
        <v>1</v>
      </c>
      <c r="AI174" t="str">
        <f t="shared" si="196"/>
        <v xml:space="preserve">1         </v>
      </c>
      <c r="AJ174" t="str">
        <f t="shared" si="201"/>
        <v>170</v>
      </c>
      <c r="AK174" t="str">
        <f>"68"</f>
        <v>68</v>
      </c>
      <c r="AL174" t="str">
        <f>"770"</f>
        <v>770</v>
      </c>
      <c r="AM174" t="str">
        <f>"68"</f>
        <v>68</v>
      </c>
      <c r="AN174" t="str">
        <f>"68547"</f>
        <v>68547</v>
      </c>
      <c r="AO174" t="str">
        <f>"21/05/2020 12:00:00 a. m."</f>
        <v>21/05/2020 12:00:00 a. m.</v>
      </c>
      <c r="AP174" t="str">
        <f>"10/04/2020 12:00:00 a. m."</f>
        <v>10/04/2020 12:00:00 a. m.</v>
      </c>
      <c r="AQ174" t="str">
        <f t="shared" ref="AQ174:AQ179" si="207">"3"</f>
        <v>3</v>
      </c>
      <c r="AR174" t="str">
        <f>"2"</f>
        <v>2</v>
      </c>
      <c r="AS174" t="str">
        <f>""</f>
        <v/>
      </c>
      <c r="AT174" t="str">
        <f t="shared" si="204"/>
        <v>1</v>
      </c>
      <c r="AU174" t="str">
        <f>""</f>
        <v/>
      </c>
      <c r="AV174" t="str">
        <f>"0"</f>
        <v>0</v>
      </c>
      <c r="AW174" t="str">
        <f>"28/06/2015 12:00:00 a. m."</f>
        <v>28/06/2015 12:00:00 a. m.</v>
      </c>
      <c r="AX174" t="str">
        <f>""</f>
        <v/>
      </c>
      <c r="AY174" t="str">
        <f t="shared" si="160"/>
        <v>30/04/2021 12:00:00 a. m.</v>
      </c>
      <c r="AZ174" t="str">
        <f>"10/08/2020 12:00:00 a. m."</f>
        <v>10/08/2020 12:00:00 a. m.</v>
      </c>
      <c r="BA174" t="str">
        <f>""</f>
        <v/>
      </c>
      <c r="BB174" t="str">
        <f>""</f>
        <v/>
      </c>
      <c r="BC174" t="str">
        <f>""</f>
        <v/>
      </c>
      <c r="BD174" t="str">
        <f t="shared" si="197"/>
        <v>1</v>
      </c>
      <c r="BE174" t="str">
        <f t="shared" si="197"/>
        <v>1</v>
      </c>
      <c r="BF174" t="str">
        <f t="shared" si="161"/>
        <v xml:space="preserve">3         </v>
      </c>
      <c r="BG174" t="str">
        <f t="shared" si="162"/>
        <v>Confirmado por laboratorio</v>
      </c>
      <c r="BH174" t="str">
        <f>"HOSPITAL INTERNACIONAL DE COLOMBIA"</f>
        <v>HOSPITAL INTERNACIONAL DE COLOMBIA</v>
      </c>
      <c r="BI174" t="str">
        <f t="shared" si="202"/>
        <v>COLOMBIA</v>
      </c>
      <c r="BJ174" t="str">
        <f t="shared" si="163"/>
        <v>CANCER INFANTIL</v>
      </c>
      <c r="BK174" t="str">
        <f>"SANTANDER"</f>
        <v>SANTANDER</v>
      </c>
      <c r="BL174" t="str">
        <f>"SUAITA"</f>
        <v>SUAITA</v>
      </c>
      <c r="BM174" t="str">
        <f t="shared" si="203"/>
        <v>COLOMBIA</v>
      </c>
      <c r="BN174" t="str">
        <f>"SANTANDER"</f>
        <v>SANTANDER</v>
      </c>
      <c r="BO174" t="str">
        <f>"SUAITA"</f>
        <v>SUAITA</v>
      </c>
      <c r="BP174" t="str">
        <f>"SANTANDER"</f>
        <v>SANTANDER</v>
      </c>
      <c r="BQ174" t="str">
        <f>"PIEDECUESTA"</f>
        <v>PIEDECUESTA</v>
      </c>
    </row>
    <row r="175" spans="1:69" x14ac:dyDescent="0.25">
      <c r="A175" t="str">
        <f>"7285798"</f>
        <v>7285798</v>
      </c>
      <c r="B175" t="str">
        <f t="shared" si="156"/>
        <v>459</v>
      </c>
      <c r="C175" t="str">
        <f>"11/01/2020 12:00:00 a. m."</f>
        <v>11/01/2020 12:00:00 a. m.</v>
      </c>
      <c r="D175" t="str">
        <f>"02"</f>
        <v>02</v>
      </c>
      <c r="E175" t="str">
        <f t="shared" si="157"/>
        <v>2020</v>
      </c>
      <c r="F175" t="str">
        <f>"1100105681"</f>
        <v>1100105681</v>
      </c>
      <c r="G175" t="str">
        <f t="shared" si="206"/>
        <v>01</v>
      </c>
      <c r="H175" t="str">
        <f>"11"</f>
        <v>11</v>
      </c>
      <c r="I175" t="str">
        <f t="shared" si="192"/>
        <v>1</v>
      </c>
      <c r="J175" t="str">
        <f>"M"</f>
        <v>M</v>
      </c>
      <c r="K175" t="str">
        <f t="shared" si="198"/>
        <v>170</v>
      </c>
      <c r="L175" t="str">
        <f>"11"</f>
        <v>11</v>
      </c>
      <c r="M175" t="str">
        <f>"001"</f>
        <v>001</v>
      </c>
      <c r="N175" t="str">
        <f t="shared" si="205"/>
        <v>1</v>
      </c>
      <c r="O175" t="str">
        <f>"9997"</f>
        <v>9997</v>
      </c>
      <c r="P175" t="str">
        <f>"I"</f>
        <v>I</v>
      </c>
      <c r="Q175" t="str">
        <f>""</f>
        <v/>
      </c>
      <c r="R175" t="str">
        <f t="shared" si="188"/>
        <v>6</v>
      </c>
      <c r="S175" t="str">
        <f>""</f>
        <v/>
      </c>
      <c r="T175" t="str">
        <f t="shared" si="183"/>
        <v xml:space="preserve">                                                                                                    </v>
      </c>
      <c r="U175" t="str">
        <f>"2         "</f>
        <v xml:space="preserve">2         </v>
      </c>
      <c r="V175" t="str">
        <f t="shared" si="190"/>
        <v>2</v>
      </c>
      <c r="W175" t="str">
        <f t="shared" si="190"/>
        <v>2</v>
      </c>
      <c r="X175" t="str">
        <f>"1"</f>
        <v>1</v>
      </c>
      <c r="Y175" t="str">
        <f t="shared" si="191"/>
        <v>2</v>
      </c>
      <c r="Z175" t="str">
        <f t="shared" si="191"/>
        <v>2</v>
      </c>
      <c r="AA175" t="str">
        <f t="shared" si="159"/>
        <v xml:space="preserve">          </v>
      </c>
      <c r="AB175" t="str">
        <f t="shared" si="148"/>
        <v>2</v>
      </c>
      <c r="AC175" t="str">
        <f t="shared" si="150"/>
        <v>2</v>
      </c>
      <c r="AD175" t="str">
        <f t="shared" si="193"/>
        <v>2</v>
      </c>
      <c r="AE175" t="str">
        <f t="shared" si="193"/>
        <v>2</v>
      </c>
      <c r="AF175" t="str">
        <f t="shared" si="193"/>
        <v>2</v>
      </c>
      <c r="AG175" t="str">
        <f t="shared" si="193"/>
        <v>2</v>
      </c>
      <c r="AH175" t="str">
        <f>"2"</f>
        <v>2</v>
      </c>
      <c r="AI175" t="str">
        <f t="shared" si="196"/>
        <v xml:space="preserve">1         </v>
      </c>
      <c r="AJ175" t="str">
        <f t="shared" si="201"/>
        <v>170</v>
      </c>
      <c r="AK175" t="str">
        <f>"11"</f>
        <v>11</v>
      </c>
      <c r="AL175" t="str">
        <f>"001"</f>
        <v>001</v>
      </c>
      <c r="AM175" t="str">
        <f>"11"</f>
        <v>11</v>
      </c>
      <c r="AN175" t="str">
        <f>"11001"</f>
        <v>11001</v>
      </c>
      <c r="AO175" t="str">
        <f>"7/01/2020 12:00:00 a. m."</f>
        <v>7/01/2020 12:00:00 a. m.</v>
      </c>
      <c r="AP175" t="str">
        <f>"1/08/2019 12:00:00 a. m."</f>
        <v>1/08/2019 12:00:00 a. m.</v>
      </c>
      <c r="AQ175" t="str">
        <f t="shared" si="207"/>
        <v>3</v>
      </c>
      <c r="AR175" t="str">
        <f t="shared" ref="AR175:AR186" si="208">"1"</f>
        <v>1</v>
      </c>
      <c r="AS175" t="str">
        <f>"7/01/2020 12:00:00 a. m."</f>
        <v>7/01/2020 12:00:00 a. m.</v>
      </c>
      <c r="AT175" t="str">
        <f t="shared" si="204"/>
        <v>1</v>
      </c>
      <c r="AU175" t="str">
        <f>""</f>
        <v/>
      </c>
      <c r="AV175" t="str">
        <f>"7"</f>
        <v>7</v>
      </c>
      <c r="AW175" t="str">
        <f>"1/02/2009 12:00:00 a. m."</f>
        <v>1/02/2009 12:00:00 a. m.</v>
      </c>
      <c r="AX175" t="str">
        <f>""</f>
        <v/>
      </c>
      <c r="AY175" t="str">
        <f t="shared" si="160"/>
        <v>30/04/2021 12:00:00 a. m.</v>
      </c>
      <c r="AZ175" t="str">
        <f>"7/07/2020 12:00:00 a. m."</f>
        <v>7/07/2020 12:00:00 a. m.</v>
      </c>
      <c r="BA175" t="str">
        <f>""</f>
        <v/>
      </c>
      <c r="BB175" t="str">
        <f>""</f>
        <v/>
      </c>
      <c r="BC175" t="str">
        <f>""</f>
        <v/>
      </c>
      <c r="BD175" t="str">
        <f t="shared" si="197"/>
        <v>1</v>
      </c>
      <c r="BE175" t="str">
        <f t="shared" si="197"/>
        <v>1</v>
      </c>
      <c r="BF175" t="str">
        <f t="shared" si="161"/>
        <v xml:space="preserve">3         </v>
      </c>
      <c r="BG175" t="str">
        <f t="shared" si="162"/>
        <v>Confirmado por laboratorio</v>
      </c>
      <c r="BH175" t="str">
        <f>"FUNDACION HOSPITAL DE LA MISERICORDIA"</f>
        <v>FUNDACION HOSPITAL DE LA MISERICORDIA</v>
      </c>
      <c r="BI175" t="str">
        <f t="shared" si="202"/>
        <v>COLOMBIA</v>
      </c>
      <c r="BJ175" t="str">
        <f t="shared" si="163"/>
        <v>CANCER INFANTIL</v>
      </c>
      <c r="BK175" t="str">
        <f t="shared" ref="BK175:BL177" si="209">"BOGOTA"</f>
        <v>BOGOTA</v>
      </c>
      <c r="BL175" t="str">
        <f t="shared" si="209"/>
        <v>BOGOTA</v>
      </c>
      <c r="BM175" t="str">
        <f t="shared" si="203"/>
        <v>COLOMBIA</v>
      </c>
      <c r="BN175" t="str">
        <f t="shared" ref="BN175:BQ177" si="210">"BOGOTA"</f>
        <v>BOGOTA</v>
      </c>
      <c r="BO175" t="str">
        <f t="shared" si="210"/>
        <v>BOGOTA</v>
      </c>
      <c r="BP175" t="str">
        <f t="shared" si="210"/>
        <v>BOGOTA</v>
      </c>
      <c r="BQ175" t="str">
        <f t="shared" si="210"/>
        <v>BOGOTA</v>
      </c>
    </row>
    <row r="176" spans="1:69" x14ac:dyDescent="0.25">
      <c r="A176" t="str">
        <f>"7285324"</f>
        <v>7285324</v>
      </c>
      <c r="B176" t="str">
        <f t="shared" si="156"/>
        <v>459</v>
      </c>
      <c r="C176" t="str">
        <f>"20/02/2020 12:00:00 a. m."</f>
        <v>20/02/2020 12:00:00 a. m.</v>
      </c>
      <c r="D176" t="str">
        <f>"08"</f>
        <v>08</v>
      </c>
      <c r="E176" t="str">
        <f t="shared" si="157"/>
        <v>2020</v>
      </c>
      <c r="F176" t="str">
        <f>"1100109456"</f>
        <v>1100109456</v>
      </c>
      <c r="G176" t="str">
        <f t="shared" si="206"/>
        <v>01</v>
      </c>
      <c r="H176" t="str">
        <f>"1"</f>
        <v>1</v>
      </c>
      <c r="I176" t="str">
        <f t="shared" si="192"/>
        <v>1</v>
      </c>
      <c r="J176" t="str">
        <f>"F"</f>
        <v>F</v>
      </c>
      <c r="K176" t="str">
        <f t="shared" si="198"/>
        <v>170</v>
      </c>
      <c r="L176" t="str">
        <f>"11"</f>
        <v>11</v>
      </c>
      <c r="M176" t="str">
        <f>"001"</f>
        <v>001</v>
      </c>
      <c r="N176" t="str">
        <f t="shared" si="205"/>
        <v>1</v>
      </c>
      <c r="O176" t="str">
        <f>"9999"</f>
        <v>9999</v>
      </c>
      <c r="P176" t="str">
        <f>"C"</f>
        <v>C</v>
      </c>
      <c r="Q176" t="str">
        <f>"EPS005"</f>
        <v>EPS005</v>
      </c>
      <c r="R176" t="str">
        <f t="shared" si="188"/>
        <v>6</v>
      </c>
      <c r="S176" t="str">
        <f>""</f>
        <v/>
      </c>
      <c r="T176" t="str">
        <f t="shared" si="183"/>
        <v xml:space="preserve">                                                                                                    </v>
      </c>
      <c r="U176" t="str">
        <f>"4         "</f>
        <v xml:space="preserve">4         </v>
      </c>
      <c r="V176" t="str">
        <f t="shared" si="190"/>
        <v>2</v>
      </c>
      <c r="W176" t="str">
        <f t="shared" si="190"/>
        <v>2</v>
      </c>
      <c r="X176" t="str">
        <f t="shared" ref="X176:X181" si="211">"2"</f>
        <v>2</v>
      </c>
      <c r="Y176" t="str">
        <f t="shared" si="191"/>
        <v>2</v>
      </c>
      <c r="Z176" t="str">
        <f t="shared" si="191"/>
        <v>2</v>
      </c>
      <c r="AA176" t="str">
        <f t="shared" si="159"/>
        <v xml:space="preserve">          </v>
      </c>
      <c r="AB176" t="str">
        <f t="shared" si="148"/>
        <v>2</v>
      </c>
      <c r="AC176" t="str">
        <f t="shared" si="150"/>
        <v>2</v>
      </c>
      <c r="AD176" t="str">
        <f t="shared" si="193"/>
        <v>2</v>
      </c>
      <c r="AE176" t="str">
        <f t="shared" si="193"/>
        <v>2</v>
      </c>
      <c r="AF176" t="str">
        <f t="shared" si="193"/>
        <v>2</v>
      </c>
      <c r="AG176" t="str">
        <f t="shared" si="193"/>
        <v>2</v>
      </c>
      <c r="AH176" t="str">
        <f t="shared" ref="AH176:AH181" si="212">"1"</f>
        <v>1</v>
      </c>
      <c r="AI176" t="str">
        <f t="shared" si="196"/>
        <v xml:space="preserve">1         </v>
      </c>
      <c r="AJ176" t="str">
        <f t="shared" si="201"/>
        <v>170</v>
      </c>
      <c r="AK176" t="str">
        <f>"11"</f>
        <v>11</v>
      </c>
      <c r="AL176" t="str">
        <f>"001"</f>
        <v>001</v>
      </c>
      <c r="AM176" t="str">
        <f>"11"</f>
        <v>11</v>
      </c>
      <c r="AN176" t="str">
        <f>"11001"</f>
        <v>11001</v>
      </c>
      <c r="AO176" t="str">
        <f>"19/02/2020 12:00:00 a. m."</f>
        <v>19/02/2020 12:00:00 a. m.</v>
      </c>
      <c r="AP176" t="str">
        <f>"17/02/2020 12:00:00 a. m."</f>
        <v>17/02/2020 12:00:00 a. m.</v>
      </c>
      <c r="AQ176" t="str">
        <f t="shared" si="207"/>
        <v>3</v>
      </c>
      <c r="AR176" t="str">
        <f t="shared" si="208"/>
        <v>1</v>
      </c>
      <c r="AS176" t="str">
        <f>"19/02/2020 12:00:00 a. m."</f>
        <v>19/02/2020 12:00:00 a. m.</v>
      </c>
      <c r="AT176" t="str">
        <f t="shared" si="204"/>
        <v>1</v>
      </c>
      <c r="AU176" t="str">
        <f>""</f>
        <v/>
      </c>
      <c r="AV176" t="str">
        <f>"7"</f>
        <v>7</v>
      </c>
      <c r="AW176" t="str">
        <f>"24/12/2018 12:00:00 a. m."</f>
        <v>24/12/2018 12:00:00 a. m.</v>
      </c>
      <c r="AX176" t="str">
        <f>""</f>
        <v/>
      </c>
      <c r="AY176" t="str">
        <f t="shared" si="160"/>
        <v>30/04/2021 12:00:00 a. m.</v>
      </c>
      <c r="AZ176" t="str">
        <f>"12/03/2020 12:00:00 a. m."</f>
        <v>12/03/2020 12:00:00 a. m.</v>
      </c>
      <c r="BA176" t="str">
        <f>""</f>
        <v/>
      </c>
      <c r="BB176" t="str">
        <f>""</f>
        <v/>
      </c>
      <c r="BC176" t="str">
        <f>""</f>
        <v/>
      </c>
      <c r="BD176" t="str">
        <f t="shared" si="197"/>
        <v>1</v>
      </c>
      <c r="BE176" t="str">
        <f t="shared" si="197"/>
        <v>1</v>
      </c>
      <c r="BF176" t="str">
        <f t="shared" si="161"/>
        <v xml:space="preserve">3         </v>
      </c>
      <c r="BG176" t="str">
        <f t="shared" si="162"/>
        <v>Confirmado por laboratorio</v>
      </c>
      <c r="BH176" t="str">
        <f>"HOSPITAL UNIVERSITARIO SAN IGNACIO"</f>
        <v>HOSPITAL UNIVERSITARIO SAN IGNACIO</v>
      </c>
      <c r="BI176" t="str">
        <f t="shared" si="202"/>
        <v>COLOMBIA</v>
      </c>
      <c r="BJ176" t="str">
        <f t="shared" si="163"/>
        <v>CANCER INFANTIL</v>
      </c>
      <c r="BK176" t="str">
        <f t="shared" si="209"/>
        <v>BOGOTA</v>
      </c>
      <c r="BL176" t="str">
        <f t="shared" si="209"/>
        <v>BOGOTA</v>
      </c>
      <c r="BM176" t="str">
        <f t="shared" si="203"/>
        <v>COLOMBIA</v>
      </c>
      <c r="BN176" t="str">
        <f t="shared" si="210"/>
        <v>BOGOTA</v>
      </c>
      <c r="BO176" t="str">
        <f t="shared" si="210"/>
        <v>BOGOTA</v>
      </c>
      <c r="BP176" t="str">
        <f t="shared" si="210"/>
        <v>BOGOTA</v>
      </c>
      <c r="BQ176" t="str">
        <f t="shared" si="210"/>
        <v>BOGOTA</v>
      </c>
    </row>
    <row r="177" spans="1:69" x14ac:dyDescent="0.25">
      <c r="A177" t="str">
        <f>"7285325"</f>
        <v>7285325</v>
      </c>
      <c r="B177" t="str">
        <f t="shared" si="156"/>
        <v>459</v>
      </c>
      <c r="C177" t="str">
        <f>"29/10/2020 12:00:00 a. m."</f>
        <v>29/10/2020 12:00:00 a. m.</v>
      </c>
      <c r="D177" t="str">
        <f>"44"</f>
        <v>44</v>
      </c>
      <c r="E177" t="str">
        <f t="shared" si="157"/>
        <v>2020</v>
      </c>
      <c r="F177" t="str">
        <f>"1100106065"</f>
        <v>1100106065</v>
      </c>
      <c r="G177" t="str">
        <f t="shared" si="206"/>
        <v>01</v>
      </c>
      <c r="H177" t="str">
        <f>"1"</f>
        <v>1</v>
      </c>
      <c r="I177" t="str">
        <f t="shared" si="192"/>
        <v>1</v>
      </c>
      <c r="J177" t="str">
        <f>"M"</f>
        <v>M</v>
      </c>
      <c r="K177" t="str">
        <f t="shared" si="198"/>
        <v>170</v>
      </c>
      <c r="L177" t="str">
        <f>"11"</f>
        <v>11</v>
      </c>
      <c r="M177" t="str">
        <f>"001"</f>
        <v>001</v>
      </c>
      <c r="N177" t="str">
        <f t="shared" si="205"/>
        <v>1</v>
      </c>
      <c r="O177" t="str">
        <f>"9999"</f>
        <v>9999</v>
      </c>
      <c r="P177" t="str">
        <f>"S"</f>
        <v>S</v>
      </c>
      <c r="Q177" t="str">
        <f>"EPSS34"</f>
        <v>EPSS34</v>
      </c>
      <c r="R177" t="str">
        <f t="shared" si="188"/>
        <v>6</v>
      </c>
      <c r="S177" t="str">
        <f>""</f>
        <v/>
      </c>
      <c r="T177" t="str">
        <f t="shared" si="183"/>
        <v xml:space="preserve">                                                                                                    </v>
      </c>
      <c r="U177" t="str">
        <f>"1         "</f>
        <v xml:space="preserve">1         </v>
      </c>
      <c r="V177" t="str">
        <f t="shared" si="190"/>
        <v>2</v>
      </c>
      <c r="W177" t="str">
        <f t="shared" si="190"/>
        <v>2</v>
      </c>
      <c r="X177" t="str">
        <f t="shared" si="211"/>
        <v>2</v>
      </c>
      <c r="Y177" t="str">
        <f t="shared" si="191"/>
        <v>2</v>
      </c>
      <c r="Z177" t="str">
        <f t="shared" si="191"/>
        <v>2</v>
      </c>
      <c r="AA177" t="str">
        <f t="shared" si="159"/>
        <v xml:space="preserve">          </v>
      </c>
      <c r="AB177" t="str">
        <f t="shared" si="148"/>
        <v>2</v>
      </c>
      <c r="AC177" t="str">
        <f t="shared" si="150"/>
        <v>2</v>
      </c>
      <c r="AD177" t="str">
        <f t="shared" si="193"/>
        <v>2</v>
      </c>
      <c r="AE177" t="str">
        <f t="shared" si="193"/>
        <v>2</v>
      </c>
      <c r="AF177" t="str">
        <f t="shared" si="193"/>
        <v>2</v>
      </c>
      <c r="AG177" t="str">
        <f t="shared" si="193"/>
        <v>2</v>
      </c>
      <c r="AH177" t="str">
        <f t="shared" si="212"/>
        <v>1</v>
      </c>
      <c r="AI177" t="str">
        <f t="shared" si="196"/>
        <v xml:space="preserve">1         </v>
      </c>
      <c r="AJ177" t="str">
        <f t="shared" si="201"/>
        <v>170</v>
      </c>
      <c r="AK177" t="str">
        <f>"11"</f>
        <v>11</v>
      </c>
      <c r="AL177" t="str">
        <f>"001"</f>
        <v>001</v>
      </c>
      <c r="AM177" t="str">
        <f>"11"</f>
        <v>11</v>
      </c>
      <c r="AN177" t="str">
        <f>"11001"</f>
        <v>11001</v>
      </c>
      <c r="AO177" t="str">
        <f>"29/10/2020 12:00:00 a. m."</f>
        <v>29/10/2020 12:00:00 a. m.</v>
      </c>
      <c r="AP177" t="str">
        <f>"6/10/2020 12:00:00 a. m."</f>
        <v>6/10/2020 12:00:00 a. m.</v>
      </c>
      <c r="AQ177" t="str">
        <f t="shared" si="207"/>
        <v>3</v>
      </c>
      <c r="AR177" t="str">
        <f t="shared" si="208"/>
        <v>1</v>
      </c>
      <c r="AS177" t="str">
        <f>"29/10/2020 12:00:00 a. m."</f>
        <v>29/10/2020 12:00:00 a. m.</v>
      </c>
      <c r="AT177" t="str">
        <f t="shared" si="204"/>
        <v>1</v>
      </c>
      <c r="AU177" t="str">
        <f>""</f>
        <v/>
      </c>
      <c r="AV177" t="str">
        <f>"0"</f>
        <v>0</v>
      </c>
      <c r="AW177" t="str">
        <f>"10/02/2019 12:00:00 a. m."</f>
        <v>10/02/2019 12:00:00 a. m.</v>
      </c>
      <c r="AX177" t="str">
        <f>""</f>
        <v/>
      </c>
      <c r="AY177" t="str">
        <f t="shared" si="160"/>
        <v>30/04/2021 12:00:00 a. m.</v>
      </c>
      <c r="AZ177" t="str">
        <f>"11/11/2020 12:00:00 a. m."</f>
        <v>11/11/2020 12:00:00 a. m.</v>
      </c>
      <c r="BA177" t="str">
        <f>""</f>
        <v/>
      </c>
      <c r="BB177" t="str">
        <f>""</f>
        <v/>
      </c>
      <c r="BC177" t="str">
        <f>""</f>
        <v/>
      </c>
      <c r="BD177" t="str">
        <f t="shared" si="197"/>
        <v>1</v>
      </c>
      <c r="BE177" t="str">
        <f t="shared" si="197"/>
        <v>1</v>
      </c>
      <c r="BF177" t="str">
        <f t="shared" si="161"/>
        <v xml:space="preserve">3         </v>
      </c>
      <c r="BG177" t="str">
        <f t="shared" si="162"/>
        <v>Confirmado por laboratorio</v>
      </c>
      <c r="BH177" t="str">
        <f>"ESE INSTITUTO NACIONAL DE CANCEROLOGIA"</f>
        <v>ESE INSTITUTO NACIONAL DE CANCEROLOGIA</v>
      </c>
      <c r="BI177" t="str">
        <f t="shared" si="202"/>
        <v>COLOMBIA</v>
      </c>
      <c r="BJ177" t="str">
        <f t="shared" si="163"/>
        <v>CANCER INFANTIL</v>
      </c>
      <c r="BK177" t="str">
        <f t="shared" si="209"/>
        <v>BOGOTA</v>
      </c>
      <c r="BL177" t="str">
        <f t="shared" si="209"/>
        <v>BOGOTA</v>
      </c>
      <c r="BM177" t="str">
        <f t="shared" si="203"/>
        <v>COLOMBIA</v>
      </c>
      <c r="BN177" t="str">
        <f t="shared" si="210"/>
        <v>BOGOTA</v>
      </c>
      <c r="BO177" t="str">
        <f t="shared" si="210"/>
        <v>BOGOTA</v>
      </c>
      <c r="BP177" t="str">
        <f t="shared" si="210"/>
        <v>BOGOTA</v>
      </c>
      <c r="BQ177" t="str">
        <f t="shared" si="210"/>
        <v>BOGOTA</v>
      </c>
    </row>
    <row r="178" spans="1:69" x14ac:dyDescent="0.25">
      <c r="A178" t="str">
        <f>"7285326"</f>
        <v>7285326</v>
      </c>
      <c r="B178" t="str">
        <f t="shared" si="156"/>
        <v>459</v>
      </c>
      <c r="C178" t="str">
        <f>"19/11/2020 12:00:00 a. m."</f>
        <v>19/11/2020 12:00:00 a. m.</v>
      </c>
      <c r="D178" t="str">
        <f>"47"</f>
        <v>47</v>
      </c>
      <c r="E178" t="str">
        <f t="shared" si="157"/>
        <v>2020</v>
      </c>
      <c r="F178" t="str">
        <f>"0561502129"</f>
        <v>0561502129</v>
      </c>
      <c r="G178" t="str">
        <f t="shared" si="206"/>
        <v>01</v>
      </c>
      <c r="H178" t="str">
        <f>"7"</f>
        <v>7</v>
      </c>
      <c r="I178" t="str">
        <f t="shared" si="192"/>
        <v>1</v>
      </c>
      <c r="J178" t="str">
        <f>"M"</f>
        <v>M</v>
      </c>
      <c r="K178" t="str">
        <f t="shared" si="198"/>
        <v>170</v>
      </c>
      <c r="L178" t="str">
        <f>"05"</f>
        <v>05</v>
      </c>
      <c r="M178" t="str">
        <f>"674"</f>
        <v>674</v>
      </c>
      <c r="N178" t="str">
        <f>"2"</f>
        <v>2</v>
      </c>
      <c r="O178" t="str">
        <f>"9997"</f>
        <v>9997</v>
      </c>
      <c r="P178" t="str">
        <f>"C"</f>
        <v>C</v>
      </c>
      <c r="Q178" t="str">
        <f>"EPS010"</f>
        <v>EPS010</v>
      </c>
      <c r="R178" t="str">
        <f t="shared" si="188"/>
        <v>6</v>
      </c>
      <c r="S178" t="str">
        <f>""</f>
        <v/>
      </c>
      <c r="T178" t="str">
        <f t="shared" si="183"/>
        <v xml:space="preserve">                                                                                                    </v>
      </c>
      <c r="U178" t="str">
        <f>"3         "</f>
        <v xml:space="preserve">3         </v>
      </c>
      <c r="V178" t="str">
        <f t="shared" si="190"/>
        <v>2</v>
      </c>
      <c r="W178" t="str">
        <f t="shared" si="190"/>
        <v>2</v>
      </c>
      <c r="X178" t="str">
        <f t="shared" si="211"/>
        <v>2</v>
      </c>
      <c r="Y178" t="str">
        <f t="shared" si="191"/>
        <v>2</v>
      </c>
      <c r="Z178" t="str">
        <f t="shared" si="191"/>
        <v>2</v>
      </c>
      <c r="AA178" t="str">
        <f t="shared" si="159"/>
        <v xml:space="preserve">          </v>
      </c>
      <c r="AB178" t="str">
        <f t="shared" si="148"/>
        <v>2</v>
      </c>
      <c r="AC178" t="str">
        <f t="shared" si="150"/>
        <v>2</v>
      </c>
      <c r="AD178" t="str">
        <f t="shared" si="193"/>
        <v>2</v>
      </c>
      <c r="AE178" t="str">
        <f t="shared" si="193"/>
        <v>2</v>
      </c>
      <c r="AF178" t="str">
        <f t="shared" si="193"/>
        <v>2</v>
      </c>
      <c r="AG178" t="str">
        <f t="shared" si="193"/>
        <v>2</v>
      </c>
      <c r="AH178" t="str">
        <f t="shared" si="212"/>
        <v>1</v>
      </c>
      <c r="AI178" t="str">
        <f t="shared" si="196"/>
        <v xml:space="preserve">1         </v>
      </c>
      <c r="AJ178" t="str">
        <f t="shared" si="201"/>
        <v>170</v>
      </c>
      <c r="AK178" t="str">
        <f>"05"</f>
        <v>05</v>
      </c>
      <c r="AL178" t="str">
        <f>"674"</f>
        <v>674</v>
      </c>
      <c r="AM178" t="str">
        <f>"05"</f>
        <v>05</v>
      </c>
      <c r="AN178" t="str">
        <f>"05615"</f>
        <v>05615</v>
      </c>
      <c r="AO178" t="str">
        <f>"19/11/2020 12:00:00 a. m."</f>
        <v>19/11/2020 12:00:00 a. m.</v>
      </c>
      <c r="AP178" t="str">
        <f>""</f>
        <v/>
      </c>
      <c r="AQ178" t="str">
        <f t="shared" si="207"/>
        <v>3</v>
      </c>
      <c r="AR178" t="str">
        <f t="shared" si="208"/>
        <v>1</v>
      </c>
      <c r="AS178" t="str">
        <f>"19/11/2020 12:00:00 a. m."</f>
        <v>19/11/2020 12:00:00 a. m.</v>
      </c>
      <c r="AT178" t="str">
        <f t="shared" si="204"/>
        <v>1</v>
      </c>
      <c r="AU178" t="str">
        <f>""</f>
        <v/>
      </c>
      <c r="AV178" t="str">
        <f>"0"</f>
        <v>0</v>
      </c>
      <c r="AW178" t="str">
        <f>"7/06/2013 12:00:00 a. m."</f>
        <v>7/06/2013 12:00:00 a. m.</v>
      </c>
      <c r="AX178" t="str">
        <f>""</f>
        <v/>
      </c>
      <c r="AY178" t="str">
        <f t="shared" si="160"/>
        <v>30/04/2021 12:00:00 a. m.</v>
      </c>
      <c r="AZ178" t="str">
        <f>"22/11/2020 12:00:00 a. m."</f>
        <v>22/11/2020 12:00:00 a. m.</v>
      </c>
      <c r="BA178" t="str">
        <f>""</f>
        <v/>
      </c>
      <c r="BB178" t="str">
        <f>""</f>
        <v/>
      </c>
      <c r="BC178" t="str">
        <f>""</f>
        <v/>
      </c>
      <c r="BD178" t="str">
        <f t="shared" si="197"/>
        <v>1</v>
      </c>
      <c r="BE178" t="str">
        <f t="shared" si="197"/>
        <v>1</v>
      </c>
      <c r="BF178" t="str">
        <f t="shared" si="161"/>
        <v xml:space="preserve">3         </v>
      </c>
      <c r="BG178" t="str">
        <f t="shared" si="162"/>
        <v>Confirmado por laboratorio</v>
      </c>
      <c r="BH178" t="str">
        <f>"SOCIEDAD MEDICA DE RIONEGRO SA SOMER SA"</f>
        <v>SOCIEDAD MEDICA DE RIONEGRO SA SOMER SA</v>
      </c>
      <c r="BI178" t="str">
        <f t="shared" si="202"/>
        <v>COLOMBIA</v>
      </c>
      <c r="BJ178" t="str">
        <f t="shared" si="163"/>
        <v>CANCER INFANTIL</v>
      </c>
      <c r="BK178" t="str">
        <f>"ANTIOQUIA"</f>
        <v>ANTIOQUIA</v>
      </c>
      <c r="BL178" t="str">
        <f>"SAN VICENTE"</f>
        <v>SAN VICENTE</v>
      </c>
      <c r="BM178" t="str">
        <f t="shared" si="203"/>
        <v>COLOMBIA</v>
      </c>
      <c r="BN178" t="str">
        <f>"ANTIOQUIA"</f>
        <v>ANTIOQUIA</v>
      </c>
      <c r="BO178" t="str">
        <f>"SAN VICENTE"</f>
        <v>SAN VICENTE</v>
      </c>
      <c r="BP178" t="str">
        <f>"ANTIOQUIA"</f>
        <v>ANTIOQUIA</v>
      </c>
      <c r="BQ178" t="str">
        <f>"RIONEGRO"</f>
        <v>RIONEGRO</v>
      </c>
    </row>
    <row r="179" spans="1:69" x14ac:dyDescent="0.25">
      <c r="A179" t="str">
        <f>"7285338"</f>
        <v>7285338</v>
      </c>
      <c r="B179" t="str">
        <f t="shared" si="156"/>
        <v>459</v>
      </c>
      <c r="C179" t="str">
        <f>"26/10/2020 12:00:00 a. m."</f>
        <v>26/10/2020 12:00:00 a. m.</v>
      </c>
      <c r="D179" t="str">
        <f>"40"</f>
        <v>40</v>
      </c>
      <c r="E179" t="str">
        <f t="shared" si="157"/>
        <v>2020</v>
      </c>
      <c r="F179" t="str">
        <f>"0500102175"</f>
        <v>0500102175</v>
      </c>
      <c r="G179" t="str">
        <f t="shared" si="206"/>
        <v>01</v>
      </c>
      <c r="H179" t="str">
        <f>"11"</f>
        <v>11</v>
      </c>
      <c r="I179" t="str">
        <f t="shared" si="192"/>
        <v>1</v>
      </c>
      <c r="J179" t="str">
        <f>"F"</f>
        <v>F</v>
      </c>
      <c r="K179" t="str">
        <f t="shared" si="198"/>
        <v>170</v>
      </c>
      <c r="L179" t="str">
        <f>"05"</f>
        <v>05</v>
      </c>
      <c r="M179" t="str">
        <f>"134"</f>
        <v>134</v>
      </c>
      <c r="N179" t="str">
        <f>"3"</f>
        <v>3</v>
      </c>
      <c r="O179" t="str">
        <f>"9997"</f>
        <v>9997</v>
      </c>
      <c r="P179" t="str">
        <f>"S"</f>
        <v>S</v>
      </c>
      <c r="Q179" t="str">
        <f>"EPSS40"</f>
        <v>EPSS40</v>
      </c>
      <c r="R179" t="str">
        <f t="shared" si="188"/>
        <v>6</v>
      </c>
      <c r="S179" t="str">
        <f>""</f>
        <v/>
      </c>
      <c r="T179" t="str">
        <f t="shared" si="183"/>
        <v xml:space="preserve">                                                                                                    </v>
      </c>
      <c r="U179" t="str">
        <f>"2         "</f>
        <v xml:space="preserve">2         </v>
      </c>
      <c r="V179" t="str">
        <f t="shared" ref="V179:W198" si="213">"2"</f>
        <v>2</v>
      </c>
      <c r="W179" t="str">
        <f t="shared" si="213"/>
        <v>2</v>
      </c>
      <c r="X179" t="str">
        <f t="shared" si="211"/>
        <v>2</v>
      </c>
      <c r="Y179" t="str">
        <f t="shared" ref="Y179:Z198" si="214">"2"</f>
        <v>2</v>
      </c>
      <c r="Z179" t="str">
        <f t="shared" si="214"/>
        <v>2</v>
      </c>
      <c r="AA179" t="str">
        <f t="shared" si="159"/>
        <v xml:space="preserve">          </v>
      </c>
      <c r="AB179" t="str">
        <f t="shared" si="148"/>
        <v>2</v>
      </c>
      <c r="AC179" t="str">
        <f t="shared" si="150"/>
        <v>2</v>
      </c>
      <c r="AD179" t="str">
        <f t="shared" si="193"/>
        <v>2</v>
      </c>
      <c r="AE179" t="str">
        <f t="shared" si="193"/>
        <v>2</v>
      </c>
      <c r="AF179" t="str">
        <f t="shared" si="193"/>
        <v>2</v>
      </c>
      <c r="AG179" t="str">
        <f t="shared" si="193"/>
        <v>2</v>
      </c>
      <c r="AH179" t="str">
        <f t="shared" si="212"/>
        <v>1</v>
      </c>
      <c r="AI179" t="str">
        <f t="shared" si="196"/>
        <v xml:space="preserve">1         </v>
      </c>
      <c r="AJ179" t="str">
        <f t="shared" si="201"/>
        <v>170</v>
      </c>
      <c r="AK179" t="str">
        <f>"05"</f>
        <v>05</v>
      </c>
      <c r="AL179" t="str">
        <f>"134"</f>
        <v>134</v>
      </c>
      <c r="AM179" t="str">
        <f>"05"</f>
        <v>05</v>
      </c>
      <c r="AN179" t="str">
        <f>"05001"</f>
        <v>05001</v>
      </c>
      <c r="AO179" t="str">
        <f>"30/09/2020 12:00:00 a. m."</f>
        <v>30/09/2020 12:00:00 a. m.</v>
      </c>
      <c r="AP179" t="str">
        <f>"30/06/2020 12:00:00 a. m."</f>
        <v>30/06/2020 12:00:00 a. m.</v>
      </c>
      <c r="AQ179" t="str">
        <f t="shared" si="207"/>
        <v>3</v>
      </c>
      <c r="AR179" t="str">
        <f t="shared" si="208"/>
        <v>1</v>
      </c>
      <c r="AS179" t="str">
        <f>"30/09/2020 12:00:00 a. m."</f>
        <v>30/09/2020 12:00:00 a. m.</v>
      </c>
      <c r="AT179" t="str">
        <f t="shared" si="204"/>
        <v>1</v>
      </c>
      <c r="AU179" t="str">
        <f>""</f>
        <v/>
      </c>
      <c r="AV179" t="str">
        <f>"0"</f>
        <v>0</v>
      </c>
      <c r="AW179" t="str">
        <f>"14/09/2009 12:00:00 a. m."</f>
        <v>14/09/2009 12:00:00 a. m.</v>
      </c>
      <c r="AX179" t="str">
        <f>""</f>
        <v/>
      </c>
      <c r="AY179" t="str">
        <f t="shared" si="160"/>
        <v>30/04/2021 12:00:00 a. m.</v>
      </c>
      <c r="AZ179" t="str">
        <f>"26/10/2020 12:00:00 a. m."</f>
        <v>26/10/2020 12:00:00 a. m.</v>
      </c>
      <c r="BA179" t="str">
        <f>""</f>
        <v/>
      </c>
      <c r="BB179" t="str">
        <f>""</f>
        <v/>
      </c>
      <c r="BC179" t="str">
        <f>""</f>
        <v/>
      </c>
      <c r="BD179" t="str">
        <f t="shared" si="197"/>
        <v>1</v>
      </c>
      <c r="BE179" t="str">
        <f t="shared" si="197"/>
        <v>1</v>
      </c>
      <c r="BF179" t="str">
        <f t="shared" si="161"/>
        <v xml:space="preserve">3         </v>
      </c>
      <c r="BG179" t="str">
        <f t="shared" si="162"/>
        <v>Confirmado por laboratorio</v>
      </c>
      <c r="BH179" t="str">
        <f>"FUNDACION HOSPITALARIA SAN VICENTE DE PAUL"</f>
        <v>FUNDACION HOSPITALARIA SAN VICENTE DE PAUL</v>
      </c>
      <c r="BI179" t="str">
        <f t="shared" si="202"/>
        <v>COLOMBIA</v>
      </c>
      <c r="BJ179" t="str">
        <f t="shared" si="163"/>
        <v>CANCER INFANTIL</v>
      </c>
      <c r="BK179" t="str">
        <f>"ANTIOQUIA"</f>
        <v>ANTIOQUIA</v>
      </c>
      <c r="BL179" t="str">
        <f>"CAMPAMENTO"</f>
        <v>CAMPAMENTO</v>
      </c>
      <c r="BM179" t="str">
        <f t="shared" si="203"/>
        <v>COLOMBIA</v>
      </c>
      <c r="BN179" t="str">
        <f>"ANTIOQUIA"</f>
        <v>ANTIOQUIA</v>
      </c>
      <c r="BO179" t="str">
        <f>"CAMPAMENTO"</f>
        <v>CAMPAMENTO</v>
      </c>
      <c r="BP179" t="str">
        <f>"ANTIOQUIA"</f>
        <v>ANTIOQUIA</v>
      </c>
      <c r="BQ179" t="str">
        <f>"MEDELLIN"</f>
        <v>MEDELLIN</v>
      </c>
    </row>
    <row r="180" spans="1:69" x14ac:dyDescent="0.25">
      <c r="A180" t="str">
        <f>"7291564"</f>
        <v>7291564</v>
      </c>
      <c r="B180" t="str">
        <f t="shared" si="156"/>
        <v>459</v>
      </c>
      <c r="C180" t="str">
        <f>"21/12/2020 12:00:00 a. m."</f>
        <v>21/12/2020 12:00:00 a. m.</v>
      </c>
      <c r="D180" t="str">
        <f>"51"</f>
        <v>51</v>
      </c>
      <c r="E180" t="str">
        <f t="shared" si="157"/>
        <v>2020</v>
      </c>
      <c r="F180" t="str">
        <f>"7600102870"</f>
        <v>7600102870</v>
      </c>
      <c r="G180" t="str">
        <f t="shared" si="206"/>
        <v>01</v>
      </c>
      <c r="H180" t="str">
        <f>"4"</f>
        <v>4</v>
      </c>
      <c r="I180" t="str">
        <f>"2"</f>
        <v>2</v>
      </c>
      <c r="J180" t="str">
        <f>"M"</f>
        <v>M</v>
      </c>
      <c r="K180" t="str">
        <f t="shared" si="198"/>
        <v>170</v>
      </c>
      <c r="L180" t="str">
        <f>"19"</f>
        <v>19</v>
      </c>
      <c r="M180" t="str">
        <f>"100"</f>
        <v>100</v>
      </c>
      <c r="N180" t="str">
        <f t="shared" ref="N180:N187" si="215">"1"</f>
        <v>1</v>
      </c>
      <c r="O180" t="str">
        <f>"9999"</f>
        <v>9999</v>
      </c>
      <c r="P180" t="str">
        <f>"S"</f>
        <v>S</v>
      </c>
      <c r="Q180" t="str">
        <f>"EPSS37"</f>
        <v>EPSS37</v>
      </c>
      <c r="R180" t="str">
        <f t="shared" si="188"/>
        <v>6</v>
      </c>
      <c r="S180" t="str">
        <f>""</f>
        <v/>
      </c>
      <c r="T180" t="str">
        <f t="shared" si="183"/>
        <v xml:space="preserve">                                                                                                    </v>
      </c>
      <c r="U180" t="str">
        <f>"          "</f>
        <v xml:space="preserve">          </v>
      </c>
      <c r="V180" t="str">
        <f t="shared" si="213"/>
        <v>2</v>
      </c>
      <c r="W180" t="str">
        <f t="shared" si="213"/>
        <v>2</v>
      </c>
      <c r="X180" t="str">
        <f t="shared" si="211"/>
        <v>2</v>
      </c>
      <c r="Y180" t="str">
        <f t="shared" si="214"/>
        <v>2</v>
      </c>
      <c r="Z180" t="str">
        <f t="shared" si="214"/>
        <v>2</v>
      </c>
      <c r="AA180" t="str">
        <f t="shared" si="159"/>
        <v xml:space="preserve">          </v>
      </c>
      <c r="AB180" t="str">
        <f t="shared" si="148"/>
        <v>2</v>
      </c>
      <c r="AC180" t="str">
        <f t="shared" si="150"/>
        <v>2</v>
      </c>
      <c r="AD180" t="str">
        <f t="shared" ref="AD180:AG199" si="216">"2"</f>
        <v>2</v>
      </c>
      <c r="AE180" t="str">
        <f t="shared" si="216"/>
        <v>2</v>
      </c>
      <c r="AF180" t="str">
        <f t="shared" si="216"/>
        <v>2</v>
      </c>
      <c r="AG180" t="str">
        <f t="shared" si="216"/>
        <v>2</v>
      </c>
      <c r="AH180" t="str">
        <f t="shared" si="212"/>
        <v>1</v>
      </c>
      <c r="AI180" t="str">
        <f t="shared" si="196"/>
        <v xml:space="preserve">1         </v>
      </c>
      <c r="AJ180" t="str">
        <f t="shared" si="201"/>
        <v>170</v>
      </c>
      <c r="AK180" t="str">
        <f>"19"</f>
        <v>19</v>
      </c>
      <c r="AL180" t="str">
        <f>"100"</f>
        <v>100</v>
      </c>
      <c r="AM180" t="str">
        <f>"76"</f>
        <v>76</v>
      </c>
      <c r="AN180" t="str">
        <f>"76001"</f>
        <v>76001</v>
      </c>
      <c r="AO180" t="str">
        <f>"15/12/2020 12:00:00 a. m."</f>
        <v>15/12/2020 12:00:00 a. m.</v>
      </c>
      <c r="AP180" t="str">
        <f>"5/12/2020 12:00:00 a. m."</f>
        <v>5/12/2020 12:00:00 a. m.</v>
      </c>
      <c r="AQ180" t="str">
        <f>"2"</f>
        <v>2</v>
      </c>
      <c r="AR180" t="str">
        <f t="shared" si="208"/>
        <v>1</v>
      </c>
      <c r="AS180" t="str">
        <f>"15/12/2020 12:00:00 a. m."</f>
        <v>15/12/2020 12:00:00 a. m.</v>
      </c>
      <c r="AT180" t="str">
        <f t="shared" si="204"/>
        <v>1</v>
      </c>
      <c r="AU180" t="str">
        <f>""</f>
        <v/>
      </c>
      <c r="AV180" t="str">
        <f>"3"</f>
        <v>3</v>
      </c>
      <c r="AW180" t="str">
        <f>"6/08/2020 12:00:00 a. m."</f>
        <v>6/08/2020 12:00:00 a. m.</v>
      </c>
      <c r="AX180" t="str">
        <f>""</f>
        <v/>
      </c>
      <c r="AY180" t="str">
        <f t="shared" si="160"/>
        <v>30/04/2021 12:00:00 a. m.</v>
      </c>
      <c r="AZ180" t="str">
        <f>"6/01/2021 12:00:00 a. m."</f>
        <v>6/01/2021 12:00:00 a. m.</v>
      </c>
      <c r="BA180" t="str">
        <f>""</f>
        <v/>
      </c>
      <c r="BB180" t="str">
        <f>""</f>
        <v/>
      </c>
      <c r="BC180" t="str">
        <f>""</f>
        <v/>
      </c>
      <c r="BD180" t="str">
        <f t="shared" si="197"/>
        <v>1</v>
      </c>
      <c r="BE180" t="str">
        <f t="shared" si="197"/>
        <v>1</v>
      </c>
      <c r="BF180" t="str">
        <f t="shared" si="161"/>
        <v xml:space="preserve">3         </v>
      </c>
      <c r="BG180" t="str">
        <f t="shared" si="162"/>
        <v>Confirmado por laboratorio</v>
      </c>
      <c r="BH180" t="str">
        <f>"FUNDACION VALLE DEL LILI"</f>
        <v>FUNDACION VALLE DEL LILI</v>
      </c>
      <c r="BI180" t="str">
        <f t="shared" si="202"/>
        <v>COLOMBIA</v>
      </c>
      <c r="BJ180" t="str">
        <f t="shared" si="163"/>
        <v>CANCER INFANTIL</v>
      </c>
      <c r="BK180" t="str">
        <f>"CAUCA"</f>
        <v>CAUCA</v>
      </c>
      <c r="BL180" t="str">
        <f>"BOLIVAR"</f>
        <v>BOLIVAR</v>
      </c>
      <c r="BM180" t="str">
        <f t="shared" si="203"/>
        <v>COLOMBIA</v>
      </c>
      <c r="BN180" t="str">
        <f>"CAUCA"</f>
        <v>CAUCA</v>
      </c>
      <c r="BO180" t="str">
        <f>"BOLIVAR"</f>
        <v>BOLIVAR</v>
      </c>
      <c r="BP180" t="str">
        <f>"VALLE"</f>
        <v>VALLE</v>
      </c>
      <c r="BQ180" t="str">
        <f>"CALI"</f>
        <v>CALI</v>
      </c>
    </row>
    <row r="181" spans="1:69" x14ac:dyDescent="0.25">
      <c r="A181" t="str">
        <f>"7291553"</f>
        <v>7291553</v>
      </c>
      <c r="B181" t="str">
        <f t="shared" si="156"/>
        <v>459</v>
      </c>
      <c r="C181" t="str">
        <f>"27/07/2020 12:00:00 a. m."</f>
        <v>27/07/2020 12:00:00 a. m.</v>
      </c>
      <c r="D181" t="str">
        <f>"27"</f>
        <v>27</v>
      </c>
      <c r="E181" t="str">
        <f t="shared" si="157"/>
        <v>2020</v>
      </c>
      <c r="F181" t="str">
        <f>"6854704947"</f>
        <v>6854704947</v>
      </c>
      <c r="G181" t="str">
        <f t="shared" si="206"/>
        <v>01</v>
      </c>
      <c r="H181" t="str">
        <f>"11"</f>
        <v>11</v>
      </c>
      <c r="I181" t="str">
        <f t="shared" ref="I181:I215" si="217">"1"</f>
        <v>1</v>
      </c>
      <c r="J181" t="str">
        <f>"F"</f>
        <v>F</v>
      </c>
      <c r="K181" t="str">
        <f t="shared" si="198"/>
        <v>170</v>
      </c>
      <c r="L181" t="str">
        <f>"20"</f>
        <v>20</v>
      </c>
      <c r="M181" t="str">
        <f>"400"</f>
        <v>400</v>
      </c>
      <c r="N181" t="str">
        <f t="shared" si="215"/>
        <v>1</v>
      </c>
      <c r="O181" t="str">
        <f>"9997"</f>
        <v>9997</v>
      </c>
      <c r="P181" t="str">
        <f>"S"</f>
        <v>S</v>
      </c>
      <c r="Q181" t="str">
        <f>"EPSS02"</f>
        <v>EPSS02</v>
      </c>
      <c r="R181" t="str">
        <f t="shared" si="188"/>
        <v>6</v>
      </c>
      <c r="S181" t="str">
        <f>""</f>
        <v/>
      </c>
      <c r="T181" t="str">
        <f t="shared" si="183"/>
        <v xml:space="preserve">                                                                                                    </v>
      </c>
      <c r="U181" t="str">
        <f>"2         "</f>
        <v xml:space="preserve">2         </v>
      </c>
      <c r="V181" t="str">
        <f t="shared" si="213"/>
        <v>2</v>
      </c>
      <c r="W181" t="str">
        <f t="shared" si="213"/>
        <v>2</v>
      </c>
      <c r="X181" t="str">
        <f t="shared" si="211"/>
        <v>2</v>
      </c>
      <c r="Y181" t="str">
        <f t="shared" si="214"/>
        <v>2</v>
      </c>
      <c r="Z181" t="str">
        <f t="shared" si="214"/>
        <v>2</v>
      </c>
      <c r="AA181" t="str">
        <f t="shared" si="159"/>
        <v xml:space="preserve">          </v>
      </c>
      <c r="AB181" t="str">
        <f t="shared" si="148"/>
        <v>2</v>
      </c>
      <c r="AC181" t="str">
        <f t="shared" si="150"/>
        <v>2</v>
      </c>
      <c r="AD181" t="str">
        <f t="shared" si="216"/>
        <v>2</v>
      </c>
      <c r="AE181" t="str">
        <f t="shared" si="216"/>
        <v>2</v>
      </c>
      <c r="AF181" t="str">
        <f t="shared" si="216"/>
        <v>2</v>
      </c>
      <c r="AG181" t="str">
        <f t="shared" si="216"/>
        <v>2</v>
      </c>
      <c r="AH181" t="str">
        <f t="shared" si="212"/>
        <v>1</v>
      </c>
      <c r="AI181" t="str">
        <f t="shared" si="196"/>
        <v xml:space="preserve">1         </v>
      </c>
      <c r="AJ181" t="str">
        <f t="shared" si="201"/>
        <v>170</v>
      </c>
      <c r="AK181" t="str">
        <f>"20"</f>
        <v>20</v>
      </c>
      <c r="AL181" t="str">
        <f>"400"</f>
        <v>400</v>
      </c>
      <c r="AM181" t="str">
        <f>"68"</f>
        <v>68</v>
      </c>
      <c r="AN181" t="str">
        <f>"68547"</f>
        <v>68547</v>
      </c>
      <c r="AO181" t="str">
        <f>"3/07/2020 12:00:00 a. m."</f>
        <v>3/07/2020 12:00:00 a. m.</v>
      </c>
      <c r="AP181" t="str">
        <f>"3/06/2020 12:00:00 a. m."</f>
        <v>3/06/2020 12:00:00 a. m.</v>
      </c>
      <c r="AQ181" t="str">
        <f t="shared" ref="AQ181:AQ186" si="218">"3"</f>
        <v>3</v>
      </c>
      <c r="AR181" t="str">
        <f t="shared" si="208"/>
        <v>1</v>
      </c>
      <c r="AS181" t="str">
        <f>"3/07/2020 12:00:00 a. m."</f>
        <v>3/07/2020 12:00:00 a. m.</v>
      </c>
      <c r="AT181" t="str">
        <f t="shared" si="204"/>
        <v>1</v>
      </c>
      <c r="AU181" t="str">
        <f>""</f>
        <v/>
      </c>
      <c r="AV181" t="str">
        <f>"0"</f>
        <v>0</v>
      </c>
      <c r="AW181" t="str">
        <f>"2/07/2009 12:00:00 a. m."</f>
        <v>2/07/2009 12:00:00 a. m.</v>
      </c>
      <c r="AX181" t="str">
        <f>""</f>
        <v/>
      </c>
      <c r="AY181" t="str">
        <f t="shared" si="160"/>
        <v>30/04/2021 12:00:00 a. m.</v>
      </c>
      <c r="AZ181" t="str">
        <f>"27/07/2020 12:00:00 a. m."</f>
        <v>27/07/2020 12:00:00 a. m.</v>
      </c>
      <c r="BA181" t="str">
        <f>""</f>
        <v/>
      </c>
      <c r="BB181" t="str">
        <f>""</f>
        <v/>
      </c>
      <c r="BC181" t="str">
        <f>""</f>
        <v/>
      </c>
      <c r="BD181" t="str">
        <f t="shared" si="197"/>
        <v>1</v>
      </c>
      <c r="BE181" t="str">
        <f t="shared" si="197"/>
        <v>1</v>
      </c>
      <c r="BF181" t="str">
        <f t="shared" si="161"/>
        <v xml:space="preserve">3         </v>
      </c>
      <c r="BG181" t="str">
        <f t="shared" si="162"/>
        <v>Confirmado por laboratorio</v>
      </c>
      <c r="BH181" t="str">
        <f>"HOSPITAL INTERNACIONAL DE COLOMBIA"</f>
        <v>HOSPITAL INTERNACIONAL DE COLOMBIA</v>
      </c>
      <c r="BI181" t="str">
        <f t="shared" si="202"/>
        <v>COLOMBIA</v>
      </c>
      <c r="BJ181" t="str">
        <f t="shared" si="163"/>
        <v>CANCER INFANTIL</v>
      </c>
      <c r="BK181" t="str">
        <f>"CESAR"</f>
        <v>CESAR</v>
      </c>
      <c r="BL181" t="str">
        <f>"LA JAGUA DE IBIRICO"</f>
        <v>LA JAGUA DE IBIRICO</v>
      </c>
      <c r="BM181" t="str">
        <f t="shared" si="203"/>
        <v>COLOMBIA</v>
      </c>
      <c r="BN181" t="str">
        <f>"CESAR"</f>
        <v>CESAR</v>
      </c>
      <c r="BO181" t="str">
        <f>"LA JAGUA DE IBIRICO"</f>
        <v>LA JAGUA DE IBIRICO</v>
      </c>
      <c r="BP181" t="str">
        <f>"SANTANDER"</f>
        <v>SANTANDER</v>
      </c>
      <c r="BQ181" t="str">
        <f>"PIEDECUESTA"</f>
        <v>PIEDECUESTA</v>
      </c>
    </row>
    <row r="182" spans="1:69" x14ac:dyDescent="0.25">
      <c r="A182" t="str">
        <f>"7285802"</f>
        <v>7285802</v>
      </c>
      <c r="B182" t="str">
        <f t="shared" si="156"/>
        <v>459</v>
      </c>
      <c r="C182" t="str">
        <f>"21/11/2020 12:00:00 a. m."</f>
        <v>21/11/2020 12:00:00 a. m.</v>
      </c>
      <c r="D182" t="str">
        <f>"33"</f>
        <v>33</v>
      </c>
      <c r="E182" t="str">
        <f t="shared" si="157"/>
        <v>2020</v>
      </c>
      <c r="F182" t="str">
        <f>"1100130289"</f>
        <v>1100130289</v>
      </c>
      <c r="G182" t="str">
        <f t="shared" si="206"/>
        <v>01</v>
      </c>
      <c r="H182" t="str">
        <f>"7"</f>
        <v>7</v>
      </c>
      <c r="I182" t="str">
        <f t="shared" si="217"/>
        <v>1</v>
      </c>
      <c r="J182" t="str">
        <f>"F"</f>
        <v>F</v>
      </c>
      <c r="K182" t="str">
        <f t="shared" si="198"/>
        <v>170</v>
      </c>
      <c r="L182" t="str">
        <f>"11"</f>
        <v>11</v>
      </c>
      <c r="M182" t="str">
        <f>"001"</f>
        <v>001</v>
      </c>
      <c r="N182" t="str">
        <f t="shared" si="215"/>
        <v>1</v>
      </c>
      <c r="O182" t="str">
        <f>"9998"</f>
        <v>9998</v>
      </c>
      <c r="P182" t="str">
        <f>"S"</f>
        <v>S</v>
      </c>
      <c r="Q182" t="str">
        <f>"EPSS34"</f>
        <v>EPSS34</v>
      </c>
      <c r="R182" t="str">
        <f t="shared" si="188"/>
        <v>6</v>
      </c>
      <c r="S182" t="str">
        <f>""</f>
        <v/>
      </c>
      <c r="T182" t="str">
        <f t="shared" si="183"/>
        <v xml:space="preserve">                                                                                                    </v>
      </c>
      <c r="U182" t="str">
        <f>"1         "</f>
        <v xml:space="preserve">1         </v>
      </c>
      <c r="V182" t="str">
        <f t="shared" si="213"/>
        <v>2</v>
      </c>
      <c r="W182" t="str">
        <f t="shared" si="213"/>
        <v>2</v>
      </c>
      <c r="X182" t="str">
        <f>"1"</f>
        <v>1</v>
      </c>
      <c r="Y182" t="str">
        <f t="shared" si="214"/>
        <v>2</v>
      </c>
      <c r="Z182" t="str">
        <f t="shared" si="214"/>
        <v>2</v>
      </c>
      <c r="AA182" t="str">
        <f t="shared" si="159"/>
        <v xml:space="preserve">          </v>
      </c>
      <c r="AB182" t="str">
        <f t="shared" si="148"/>
        <v>2</v>
      </c>
      <c r="AC182" t="str">
        <f t="shared" si="150"/>
        <v>2</v>
      </c>
      <c r="AD182" t="str">
        <f t="shared" si="216"/>
        <v>2</v>
      </c>
      <c r="AE182" t="str">
        <f t="shared" si="216"/>
        <v>2</v>
      </c>
      <c r="AF182" t="str">
        <f t="shared" si="216"/>
        <v>2</v>
      </c>
      <c r="AG182" t="str">
        <f t="shared" si="216"/>
        <v>2</v>
      </c>
      <c r="AH182" t="str">
        <f>"2"</f>
        <v>2</v>
      </c>
      <c r="AI182" t="str">
        <f t="shared" si="196"/>
        <v xml:space="preserve">1         </v>
      </c>
      <c r="AJ182" t="str">
        <f t="shared" si="201"/>
        <v>170</v>
      </c>
      <c r="AK182" t="str">
        <f>"11"</f>
        <v>11</v>
      </c>
      <c r="AL182" t="str">
        <f>"001"</f>
        <v>001</v>
      </c>
      <c r="AM182" t="str">
        <f>"11"</f>
        <v>11</v>
      </c>
      <c r="AN182" t="str">
        <f>"11001"</f>
        <v>11001</v>
      </c>
      <c r="AO182" t="str">
        <f>"10/08/2020 12:00:00 a. m."</f>
        <v>10/08/2020 12:00:00 a. m.</v>
      </c>
      <c r="AP182" t="str">
        <f>"10/08/2020 12:00:00 a. m."</f>
        <v>10/08/2020 12:00:00 a. m.</v>
      </c>
      <c r="AQ182" t="str">
        <f t="shared" si="218"/>
        <v>3</v>
      </c>
      <c r="AR182" t="str">
        <f t="shared" si="208"/>
        <v>1</v>
      </c>
      <c r="AS182" t="str">
        <f>"10/08/2020 12:00:00 a. m."</f>
        <v>10/08/2020 12:00:00 a. m.</v>
      </c>
      <c r="AT182" t="str">
        <f>"2"</f>
        <v>2</v>
      </c>
      <c r="AU182" t="str">
        <f>"28/08/2020 12:00:00 a. m."</f>
        <v>28/08/2020 12:00:00 a. m.</v>
      </c>
      <c r="AV182" t="str">
        <f>"7"</f>
        <v>7</v>
      </c>
      <c r="AW182" t="str">
        <f>"1/09/2013 12:00:00 a. m."</f>
        <v>1/09/2013 12:00:00 a. m.</v>
      </c>
      <c r="AX182" t="str">
        <f>"D444"</f>
        <v>D444</v>
      </c>
      <c r="AY182" t="str">
        <f t="shared" si="160"/>
        <v>30/04/2021 12:00:00 a. m.</v>
      </c>
      <c r="AZ182" t="str">
        <f>"26/02/2021 12:00:00 a. m."</f>
        <v>26/02/2021 12:00:00 a. m.</v>
      </c>
      <c r="BA182" t="str">
        <f>""</f>
        <v/>
      </c>
      <c r="BB182" t="str">
        <f>""</f>
        <v/>
      </c>
      <c r="BC182" t="str">
        <f>""</f>
        <v/>
      </c>
      <c r="BD182" t="str">
        <f t="shared" ref="BD182:BE201" si="219">"1"</f>
        <v>1</v>
      </c>
      <c r="BE182" t="str">
        <f t="shared" si="219"/>
        <v>1</v>
      </c>
      <c r="BF182" t="str">
        <f t="shared" si="161"/>
        <v xml:space="preserve">3         </v>
      </c>
      <c r="BG182" t="str">
        <f t="shared" si="162"/>
        <v>Confirmado por laboratorio</v>
      </c>
      <c r="BH182" t="str">
        <f>"UPSS SANTA CLARA SUBRED INTEGRADA CENTRO ORIENTE"</f>
        <v>UPSS SANTA CLARA SUBRED INTEGRADA CENTRO ORIENTE</v>
      </c>
      <c r="BI182" t="str">
        <f t="shared" si="202"/>
        <v>COLOMBIA</v>
      </c>
      <c r="BJ182" t="str">
        <f t="shared" si="163"/>
        <v>CANCER INFANTIL</v>
      </c>
      <c r="BK182" t="str">
        <f>"BOGOTA"</f>
        <v>BOGOTA</v>
      </c>
      <c r="BL182" t="str">
        <f>"BOGOTA"</f>
        <v>BOGOTA</v>
      </c>
      <c r="BM182" t="str">
        <f t="shared" si="203"/>
        <v>COLOMBIA</v>
      </c>
      <c r="BN182" t="str">
        <f t="shared" ref="BN182:BQ183" si="220">"BOGOTA"</f>
        <v>BOGOTA</v>
      </c>
      <c r="BO182" t="str">
        <f t="shared" si="220"/>
        <v>BOGOTA</v>
      </c>
      <c r="BP182" t="str">
        <f t="shared" si="220"/>
        <v>BOGOTA</v>
      </c>
      <c r="BQ182" t="str">
        <f t="shared" si="220"/>
        <v>BOGOTA</v>
      </c>
    </row>
    <row r="183" spans="1:69" x14ac:dyDescent="0.25">
      <c r="A183" t="str">
        <f>"7285766"</f>
        <v>7285766</v>
      </c>
      <c r="B183" t="str">
        <f t="shared" si="156"/>
        <v>459</v>
      </c>
      <c r="C183" t="str">
        <f>"4/12/2020 12:00:00 a. m."</f>
        <v>4/12/2020 12:00:00 a. m.</v>
      </c>
      <c r="D183" t="str">
        <f>"49"</f>
        <v>49</v>
      </c>
      <c r="E183" t="str">
        <f t="shared" si="157"/>
        <v>2020</v>
      </c>
      <c r="F183" t="str">
        <f>"1100130296"</f>
        <v>1100130296</v>
      </c>
      <c r="G183" t="str">
        <f>"03"</f>
        <v>03</v>
      </c>
      <c r="H183" t="str">
        <f>"17"</f>
        <v>17</v>
      </c>
      <c r="I183" t="str">
        <f t="shared" si="217"/>
        <v>1</v>
      </c>
      <c r="J183" t="str">
        <f>"F"</f>
        <v>F</v>
      </c>
      <c r="K183" t="str">
        <f t="shared" si="198"/>
        <v>170</v>
      </c>
      <c r="L183" t="str">
        <f>"11"</f>
        <v>11</v>
      </c>
      <c r="M183" t="str">
        <f>"001"</f>
        <v>001</v>
      </c>
      <c r="N183" t="str">
        <f t="shared" si="215"/>
        <v>1</v>
      </c>
      <c r="O183" t="str">
        <f>"9997"</f>
        <v>9997</v>
      </c>
      <c r="P183" t="str">
        <f>"N"</f>
        <v>N</v>
      </c>
      <c r="Q183" t="str">
        <f>""</f>
        <v/>
      </c>
      <c r="R183" t="str">
        <f t="shared" si="188"/>
        <v>6</v>
      </c>
      <c r="S183" t="str">
        <f>""</f>
        <v/>
      </c>
      <c r="T183" t="str">
        <f t="shared" si="183"/>
        <v xml:space="preserve">                                                                                                    </v>
      </c>
      <c r="U183" t="str">
        <f>"1         "</f>
        <v xml:space="preserve">1         </v>
      </c>
      <c r="V183" t="str">
        <f t="shared" si="213"/>
        <v>2</v>
      </c>
      <c r="W183" t="str">
        <f t="shared" si="213"/>
        <v>2</v>
      </c>
      <c r="X183" t="str">
        <f>"1"</f>
        <v>1</v>
      </c>
      <c r="Y183" t="str">
        <f t="shared" si="214"/>
        <v>2</v>
      </c>
      <c r="Z183" t="str">
        <f t="shared" si="214"/>
        <v>2</v>
      </c>
      <c r="AA183" t="str">
        <f t="shared" si="159"/>
        <v xml:space="preserve">          </v>
      </c>
      <c r="AB183" t="str">
        <f t="shared" si="148"/>
        <v>2</v>
      </c>
      <c r="AC183" t="str">
        <f t="shared" si="150"/>
        <v>2</v>
      </c>
      <c r="AD183" t="str">
        <f t="shared" si="216"/>
        <v>2</v>
      </c>
      <c r="AE183" t="str">
        <f t="shared" si="216"/>
        <v>2</v>
      </c>
      <c r="AF183" t="str">
        <f t="shared" si="216"/>
        <v>2</v>
      </c>
      <c r="AG183" t="str">
        <f t="shared" si="216"/>
        <v>2</v>
      </c>
      <c r="AH183" t="str">
        <f>"2"</f>
        <v>2</v>
      </c>
      <c r="AI183" t="str">
        <f t="shared" si="196"/>
        <v xml:space="preserve">1         </v>
      </c>
      <c r="AJ183" t="str">
        <f t="shared" si="201"/>
        <v>170</v>
      </c>
      <c r="AK183" t="str">
        <f>"11"</f>
        <v>11</v>
      </c>
      <c r="AL183" t="str">
        <f>"001"</f>
        <v>001</v>
      </c>
      <c r="AM183" t="str">
        <f>"11"</f>
        <v>11</v>
      </c>
      <c r="AN183" t="str">
        <f>"11001"</f>
        <v>11001</v>
      </c>
      <c r="AO183" t="str">
        <f>"21/11/2020 12:00:00 a. m."</f>
        <v>21/11/2020 12:00:00 a. m.</v>
      </c>
      <c r="AP183" t="str">
        <f>"1/06/2020 12:00:00 a. m."</f>
        <v>1/06/2020 12:00:00 a. m.</v>
      </c>
      <c r="AQ183" t="str">
        <f t="shared" si="218"/>
        <v>3</v>
      </c>
      <c r="AR183" t="str">
        <f t="shared" si="208"/>
        <v>1</v>
      </c>
      <c r="AS183" t="str">
        <f>"3/12/2020 12:00:00 a. m."</f>
        <v>3/12/2020 12:00:00 a. m.</v>
      </c>
      <c r="AT183" t="str">
        <f t="shared" ref="AT183:AT192" si="221">"1"</f>
        <v>1</v>
      </c>
      <c r="AU183" t="str">
        <f>""</f>
        <v/>
      </c>
      <c r="AV183" t="str">
        <f>"7"</f>
        <v>7</v>
      </c>
      <c r="AW183" t="str">
        <f>"17/08/2003 12:00:00 a. m."</f>
        <v>17/08/2003 12:00:00 a. m.</v>
      </c>
      <c r="AX183" t="str">
        <f>""</f>
        <v/>
      </c>
      <c r="AY183" t="str">
        <f t="shared" si="160"/>
        <v>30/04/2021 12:00:00 a. m.</v>
      </c>
      <c r="AZ183" t="str">
        <f>"22/02/2021 12:00:00 a. m."</f>
        <v>22/02/2021 12:00:00 a. m.</v>
      </c>
      <c r="BA183" t="str">
        <f>""</f>
        <v/>
      </c>
      <c r="BB183" t="str">
        <f>""</f>
        <v/>
      </c>
      <c r="BC183" t="str">
        <f>""</f>
        <v/>
      </c>
      <c r="BD183" t="str">
        <f t="shared" si="219"/>
        <v>1</v>
      </c>
      <c r="BE183" t="str">
        <f t="shared" si="219"/>
        <v>1</v>
      </c>
      <c r="BF183" t="str">
        <f t="shared" si="161"/>
        <v xml:space="preserve">3         </v>
      </c>
      <c r="BG183" t="str">
        <f t="shared" si="162"/>
        <v>Confirmado por laboratorio</v>
      </c>
      <c r="BH183" t="str">
        <f>"UNIDAD DE SERVICIOS DE SALUD PATIO BONITO TINTAL"</f>
        <v>UNIDAD DE SERVICIOS DE SALUD PATIO BONITO TINTAL</v>
      </c>
      <c r="BI183" t="str">
        <f t="shared" si="202"/>
        <v>COLOMBIA</v>
      </c>
      <c r="BJ183" t="str">
        <f t="shared" si="163"/>
        <v>CANCER INFANTIL</v>
      </c>
      <c r="BK183" t="str">
        <f>"BOGOTA"</f>
        <v>BOGOTA</v>
      </c>
      <c r="BL183" t="str">
        <f>"BOGOTA"</f>
        <v>BOGOTA</v>
      </c>
      <c r="BM183" t="str">
        <f t="shared" si="203"/>
        <v>COLOMBIA</v>
      </c>
      <c r="BN183" t="str">
        <f t="shared" si="220"/>
        <v>BOGOTA</v>
      </c>
      <c r="BO183" t="str">
        <f t="shared" si="220"/>
        <v>BOGOTA</v>
      </c>
      <c r="BP183" t="str">
        <f t="shared" si="220"/>
        <v>BOGOTA</v>
      </c>
      <c r="BQ183" t="str">
        <f t="shared" si="220"/>
        <v>BOGOTA</v>
      </c>
    </row>
    <row r="184" spans="1:69" x14ac:dyDescent="0.25">
      <c r="A184" t="str">
        <f>"7285699"</f>
        <v>7285699</v>
      </c>
      <c r="B184" t="str">
        <f t="shared" si="156"/>
        <v>459</v>
      </c>
      <c r="C184" t="str">
        <f>"30/05/2020 12:00:00 a. m."</f>
        <v>30/05/2020 12:00:00 a. m.</v>
      </c>
      <c r="D184" t="str">
        <f>"19"</f>
        <v>19</v>
      </c>
      <c r="E184" t="str">
        <f t="shared" si="157"/>
        <v>2020</v>
      </c>
      <c r="F184" t="str">
        <f>"1100105681"</f>
        <v>1100105681</v>
      </c>
      <c r="G184" t="str">
        <f>"01"</f>
        <v>01</v>
      </c>
      <c r="H184" t="str">
        <f>"5"</f>
        <v>5</v>
      </c>
      <c r="I184" t="str">
        <f t="shared" si="217"/>
        <v>1</v>
      </c>
      <c r="J184" t="str">
        <f>"M"</f>
        <v>M</v>
      </c>
      <c r="K184" t="str">
        <f t="shared" si="198"/>
        <v>170</v>
      </c>
      <c r="L184" t="str">
        <f>"73"</f>
        <v>73</v>
      </c>
      <c r="M184" t="str">
        <f>"001"</f>
        <v>001</v>
      </c>
      <c r="N184" t="str">
        <f t="shared" si="215"/>
        <v>1</v>
      </c>
      <c r="O184" t="str">
        <f>"9999"</f>
        <v>9999</v>
      </c>
      <c r="P184" t="str">
        <f t="shared" ref="P184:P190" si="222">"C"</f>
        <v>C</v>
      </c>
      <c r="Q184" t="str">
        <f>"EPS002"</f>
        <v>EPS002</v>
      </c>
      <c r="R184" t="str">
        <f t="shared" si="188"/>
        <v>6</v>
      </c>
      <c r="S184" t="str">
        <f>""</f>
        <v/>
      </c>
      <c r="T184" t="str">
        <f t="shared" si="183"/>
        <v xml:space="preserve">                                                                                                    </v>
      </c>
      <c r="U184" t="str">
        <f>"2         "</f>
        <v xml:space="preserve">2         </v>
      </c>
      <c r="V184" t="str">
        <f t="shared" si="213"/>
        <v>2</v>
      </c>
      <c r="W184" t="str">
        <f t="shared" si="213"/>
        <v>2</v>
      </c>
      <c r="X184" t="str">
        <f t="shared" ref="X184:X197" si="223">"2"</f>
        <v>2</v>
      </c>
      <c r="Y184" t="str">
        <f t="shared" si="214"/>
        <v>2</v>
      </c>
      <c r="Z184" t="str">
        <f t="shared" si="214"/>
        <v>2</v>
      </c>
      <c r="AA184" t="str">
        <f t="shared" si="159"/>
        <v xml:space="preserve">          </v>
      </c>
      <c r="AB184" t="str">
        <f t="shared" si="148"/>
        <v>2</v>
      </c>
      <c r="AC184" t="str">
        <f t="shared" si="150"/>
        <v>2</v>
      </c>
      <c r="AD184" t="str">
        <f t="shared" si="216"/>
        <v>2</v>
      </c>
      <c r="AE184" t="str">
        <f t="shared" si="216"/>
        <v>2</v>
      </c>
      <c r="AF184" t="str">
        <f t="shared" si="216"/>
        <v>2</v>
      </c>
      <c r="AG184" t="str">
        <f t="shared" si="216"/>
        <v>2</v>
      </c>
      <c r="AH184" t="str">
        <f t="shared" ref="AH184:AH197" si="224">"1"</f>
        <v>1</v>
      </c>
      <c r="AI184" t="str">
        <f t="shared" si="196"/>
        <v xml:space="preserve">1         </v>
      </c>
      <c r="AJ184" t="str">
        <f t="shared" si="201"/>
        <v>170</v>
      </c>
      <c r="AK184" t="str">
        <f>"73"</f>
        <v>73</v>
      </c>
      <c r="AL184" t="str">
        <f>"001"</f>
        <v>001</v>
      </c>
      <c r="AM184" t="str">
        <f>"11"</f>
        <v>11</v>
      </c>
      <c r="AN184" t="str">
        <f>"11001"</f>
        <v>11001</v>
      </c>
      <c r="AO184" t="str">
        <f>"9/05/2020 12:00:00 a. m."</f>
        <v>9/05/2020 12:00:00 a. m.</v>
      </c>
      <c r="AP184" t="str">
        <f>"4/05/2020 12:00:00 a. m."</f>
        <v>4/05/2020 12:00:00 a. m.</v>
      </c>
      <c r="AQ184" t="str">
        <f t="shared" si="218"/>
        <v>3</v>
      </c>
      <c r="AR184" t="str">
        <f t="shared" si="208"/>
        <v>1</v>
      </c>
      <c r="AS184" t="str">
        <f>"9/05/2020 12:00:00 a. m."</f>
        <v>9/05/2020 12:00:00 a. m.</v>
      </c>
      <c r="AT184" t="str">
        <f t="shared" si="221"/>
        <v>1</v>
      </c>
      <c r="AU184" t="str">
        <f>""</f>
        <v/>
      </c>
      <c r="AV184" t="str">
        <f>"0"</f>
        <v>0</v>
      </c>
      <c r="AW184" t="str">
        <f>"26/02/2015 12:00:00 a. m."</f>
        <v>26/02/2015 12:00:00 a. m.</v>
      </c>
      <c r="AX184" t="str">
        <f>""</f>
        <v/>
      </c>
      <c r="AY184" t="str">
        <f t="shared" si="160"/>
        <v>30/04/2021 12:00:00 a. m.</v>
      </c>
      <c r="AZ184" t="str">
        <f>"3/09/2020 12:00:00 a. m."</f>
        <v>3/09/2020 12:00:00 a. m.</v>
      </c>
      <c r="BA184" t="str">
        <f>""</f>
        <v/>
      </c>
      <c r="BB184" t="str">
        <f>""</f>
        <v/>
      </c>
      <c r="BC184" t="str">
        <f>""</f>
        <v/>
      </c>
      <c r="BD184" t="str">
        <f t="shared" si="219"/>
        <v>1</v>
      </c>
      <c r="BE184" t="str">
        <f t="shared" si="219"/>
        <v>1</v>
      </c>
      <c r="BF184" t="str">
        <f t="shared" si="161"/>
        <v xml:space="preserve">3         </v>
      </c>
      <c r="BG184" t="str">
        <f t="shared" si="162"/>
        <v>Confirmado por laboratorio</v>
      </c>
      <c r="BH184" t="str">
        <f>"FUNDACION HOSPITAL DE LA MISERICORDIA"</f>
        <v>FUNDACION HOSPITAL DE LA MISERICORDIA</v>
      </c>
      <c r="BI184" t="str">
        <f t="shared" si="202"/>
        <v>COLOMBIA</v>
      </c>
      <c r="BJ184" t="str">
        <f t="shared" si="163"/>
        <v>CANCER INFANTIL</v>
      </c>
      <c r="BK184" t="str">
        <f>"TOLIMA"</f>
        <v>TOLIMA</v>
      </c>
      <c r="BL184" t="str">
        <f>"IBAGUE"</f>
        <v>IBAGUE</v>
      </c>
      <c r="BM184" t="str">
        <f t="shared" si="203"/>
        <v>COLOMBIA</v>
      </c>
      <c r="BN184" t="str">
        <f>"TOLIMA"</f>
        <v>TOLIMA</v>
      </c>
      <c r="BO184" t="str">
        <f>"IBAGUE"</f>
        <v>IBAGUE</v>
      </c>
      <c r="BP184" t="str">
        <f>"BOGOTA"</f>
        <v>BOGOTA</v>
      </c>
      <c r="BQ184" t="str">
        <f>"BOGOTA"</f>
        <v>BOGOTA</v>
      </c>
    </row>
    <row r="185" spans="1:69" x14ac:dyDescent="0.25">
      <c r="A185" t="str">
        <f>"7285522"</f>
        <v>7285522</v>
      </c>
      <c r="B185" t="str">
        <f t="shared" si="156"/>
        <v>459</v>
      </c>
      <c r="C185" t="str">
        <f>"11/05/2020 12:00:00 a. m."</f>
        <v>11/05/2020 12:00:00 a. m.</v>
      </c>
      <c r="D185" t="str">
        <f>"11"</f>
        <v>11</v>
      </c>
      <c r="E185" t="str">
        <f t="shared" si="157"/>
        <v>2020</v>
      </c>
      <c r="F185" t="str">
        <f>"6800100431"</f>
        <v>6800100431</v>
      </c>
      <c r="G185" t="str">
        <f>"01"</f>
        <v>01</v>
      </c>
      <c r="H185" t="str">
        <f>"3"</f>
        <v>3</v>
      </c>
      <c r="I185" t="str">
        <f t="shared" si="217"/>
        <v>1</v>
      </c>
      <c r="J185" t="str">
        <f>"F"</f>
        <v>F</v>
      </c>
      <c r="K185" t="str">
        <f t="shared" si="198"/>
        <v>170</v>
      </c>
      <c r="L185" t="str">
        <f>"68"</f>
        <v>68</v>
      </c>
      <c r="M185" t="str">
        <f>"001"</f>
        <v>001</v>
      </c>
      <c r="N185" t="str">
        <f t="shared" si="215"/>
        <v>1</v>
      </c>
      <c r="O185" t="str">
        <f>"9999"</f>
        <v>9999</v>
      </c>
      <c r="P185" t="str">
        <f t="shared" si="222"/>
        <v>C</v>
      </c>
      <c r="Q185" t="str">
        <f>"EPS005"</f>
        <v>EPS005</v>
      </c>
      <c r="R185" t="str">
        <f t="shared" si="188"/>
        <v>6</v>
      </c>
      <c r="S185" t="str">
        <f>""</f>
        <v/>
      </c>
      <c r="T185" t="str">
        <f t="shared" si="183"/>
        <v xml:space="preserve">                                                                                                    </v>
      </c>
      <c r="U185" t="str">
        <f>"          "</f>
        <v xml:space="preserve">          </v>
      </c>
      <c r="V185" t="str">
        <f t="shared" si="213"/>
        <v>2</v>
      </c>
      <c r="W185" t="str">
        <f t="shared" si="213"/>
        <v>2</v>
      </c>
      <c r="X185" t="str">
        <f t="shared" si="223"/>
        <v>2</v>
      </c>
      <c r="Y185" t="str">
        <f t="shared" si="214"/>
        <v>2</v>
      </c>
      <c r="Z185" t="str">
        <f t="shared" si="214"/>
        <v>2</v>
      </c>
      <c r="AA185" t="str">
        <f t="shared" si="159"/>
        <v xml:space="preserve">          </v>
      </c>
      <c r="AB185" t="str">
        <f t="shared" si="148"/>
        <v>2</v>
      </c>
      <c r="AC185" t="str">
        <f t="shared" si="150"/>
        <v>2</v>
      </c>
      <c r="AD185" t="str">
        <f t="shared" si="216"/>
        <v>2</v>
      </c>
      <c r="AE185" t="str">
        <f t="shared" si="216"/>
        <v>2</v>
      </c>
      <c r="AF185" t="str">
        <f t="shared" si="216"/>
        <v>2</v>
      </c>
      <c r="AG185" t="str">
        <f t="shared" si="216"/>
        <v>2</v>
      </c>
      <c r="AH185" t="str">
        <f t="shared" si="224"/>
        <v>1</v>
      </c>
      <c r="AI185" t="str">
        <f t="shared" si="196"/>
        <v xml:space="preserve">1         </v>
      </c>
      <c r="AJ185" t="str">
        <f t="shared" si="201"/>
        <v>170</v>
      </c>
      <c r="AK185" t="str">
        <f>"68"</f>
        <v>68</v>
      </c>
      <c r="AL185" t="str">
        <f>"001"</f>
        <v>001</v>
      </c>
      <c r="AM185" t="str">
        <f>"68"</f>
        <v>68</v>
      </c>
      <c r="AN185" t="str">
        <f>"68001"</f>
        <v>68001</v>
      </c>
      <c r="AO185" t="str">
        <f>"9/03/2020 12:00:00 a. m."</f>
        <v>9/03/2020 12:00:00 a. m.</v>
      </c>
      <c r="AP185" t="str">
        <f>"6/03/2020 12:00:00 a. m."</f>
        <v>6/03/2020 12:00:00 a. m.</v>
      </c>
      <c r="AQ185" t="str">
        <f t="shared" si="218"/>
        <v>3</v>
      </c>
      <c r="AR185" t="str">
        <f t="shared" si="208"/>
        <v>1</v>
      </c>
      <c r="AS185" t="str">
        <f>"9/03/2020 12:00:00 a. m."</f>
        <v>9/03/2020 12:00:00 a. m.</v>
      </c>
      <c r="AT185" t="str">
        <f t="shared" si="221"/>
        <v>1</v>
      </c>
      <c r="AU185" t="str">
        <f>""</f>
        <v/>
      </c>
      <c r="AV185" t="str">
        <f>"0"</f>
        <v>0</v>
      </c>
      <c r="AW185" t="str">
        <f>"4/05/2017 12:00:00 a. m."</f>
        <v>4/05/2017 12:00:00 a. m.</v>
      </c>
      <c r="AX185" t="str">
        <f>""</f>
        <v/>
      </c>
      <c r="AY185" t="str">
        <f t="shared" si="160"/>
        <v>30/04/2021 12:00:00 a. m.</v>
      </c>
      <c r="AZ185" t="str">
        <f>"10/10/2020 12:00:00 a. m."</f>
        <v>10/10/2020 12:00:00 a. m.</v>
      </c>
      <c r="BA185" t="str">
        <f>""</f>
        <v/>
      </c>
      <c r="BB185" t="str">
        <f>""</f>
        <v/>
      </c>
      <c r="BC185" t="str">
        <f>""</f>
        <v/>
      </c>
      <c r="BD185" t="str">
        <f t="shared" si="219"/>
        <v>1</v>
      </c>
      <c r="BE185" t="str">
        <f t="shared" si="219"/>
        <v>1</v>
      </c>
      <c r="BF185" t="str">
        <f t="shared" si="161"/>
        <v xml:space="preserve">3         </v>
      </c>
      <c r="BG185" t="str">
        <f t="shared" si="162"/>
        <v>Confirmado por laboratorio</v>
      </c>
      <c r="BH185" t="str">
        <f>"CLINICA MATERNO INFANTEL SAN LUIS SA"</f>
        <v>CLINICA MATERNO INFANTEL SAN LUIS SA</v>
      </c>
      <c r="BI185" t="str">
        <f t="shared" si="202"/>
        <v>COLOMBIA</v>
      </c>
      <c r="BJ185" t="str">
        <f t="shared" si="163"/>
        <v>CANCER INFANTIL</v>
      </c>
      <c r="BK185" t="str">
        <f>"SANTANDER"</f>
        <v>SANTANDER</v>
      </c>
      <c r="BL185" t="str">
        <f>"BUCARAMANGA"</f>
        <v>BUCARAMANGA</v>
      </c>
      <c r="BM185" t="str">
        <f t="shared" si="203"/>
        <v>COLOMBIA</v>
      </c>
      <c r="BN185" t="str">
        <f>"SANTANDER"</f>
        <v>SANTANDER</v>
      </c>
      <c r="BO185" t="str">
        <f>"BUCARAMANGA"</f>
        <v>BUCARAMANGA</v>
      </c>
      <c r="BP185" t="str">
        <f>"SANTANDER"</f>
        <v>SANTANDER</v>
      </c>
      <c r="BQ185" t="str">
        <f>"BUCARAMANGA"</f>
        <v>BUCARAMANGA</v>
      </c>
    </row>
    <row r="186" spans="1:69" x14ac:dyDescent="0.25">
      <c r="A186" t="str">
        <f>"7285524"</f>
        <v>7285524</v>
      </c>
      <c r="B186" t="str">
        <f t="shared" si="156"/>
        <v>459</v>
      </c>
      <c r="C186" t="str">
        <f>"6/04/2020 12:00:00 a. m."</f>
        <v>6/04/2020 12:00:00 a. m.</v>
      </c>
      <c r="D186" t="str">
        <f>"05"</f>
        <v>05</v>
      </c>
      <c r="E186" t="str">
        <f t="shared" si="157"/>
        <v>2020</v>
      </c>
      <c r="F186" t="str">
        <f>"6800100431"</f>
        <v>6800100431</v>
      </c>
      <c r="G186" t="str">
        <f>"01"</f>
        <v>01</v>
      </c>
      <c r="H186" t="str">
        <f>"12"</f>
        <v>12</v>
      </c>
      <c r="I186" t="str">
        <f t="shared" si="217"/>
        <v>1</v>
      </c>
      <c r="J186" t="str">
        <f t="shared" ref="J186:J191" si="225">"M"</f>
        <v>M</v>
      </c>
      <c r="K186" t="str">
        <f t="shared" si="198"/>
        <v>170</v>
      </c>
      <c r="L186" t="str">
        <f>"68"</f>
        <v>68</v>
      </c>
      <c r="M186" t="str">
        <f>"001"</f>
        <v>001</v>
      </c>
      <c r="N186" t="str">
        <f t="shared" si="215"/>
        <v>1</v>
      </c>
      <c r="O186" t="str">
        <f>"9997"</f>
        <v>9997</v>
      </c>
      <c r="P186" t="str">
        <f t="shared" si="222"/>
        <v>C</v>
      </c>
      <c r="Q186" t="str">
        <f>"EPS005"</f>
        <v>EPS005</v>
      </c>
      <c r="R186" t="str">
        <f t="shared" si="188"/>
        <v>6</v>
      </c>
      <c r="S186" t="str">
        <f>""</f>
        <v/>
      </c>
      <c r="T186" t="str">
        <f t="shared" si="183"/>
        <v xml:space="preserve">                                                                                                    </v>
      </c>
      <c r="U186" t="str">
        <f>"2         "</f>
        <v xml:space="preserve">2         </v>
      </c>
      <c r="V186" t="str">
        <f t="shared" si="213"/>
        <v>2</v>
      </c>
      <c r="W186" t="str">
        <f t="shared" si="213"/>
        <v>2</v>
      </c>
      <c r="X186" t="str">
        <f t="shared" si="223"/>
        <v>2</v>
      </c>
      <c r="Y186" t="str">
        <f t="shared" si="214"/>
        <v>2</v>
      </c>
      <c r="Z186" t="str">
        <f t="shared" si="214"/>
        <v>2</v>
      </c>
      <c r="AA186" t="str">
        <f t="shared" si="159"/>
        <v xml:space="preserve">          </v>
      </c>
      <c r="AB186" t="str">
        <f t="shared" si="148"/>
        <v>2</v>
      </c>
      <c r="AC186" t="str">
        <f t="shared" si="150"/>
        <v>2</v>
      </c>
      <c r="AD186" t="str">
        <f t="shared" si="216"/>
        <v>2</v>
      </c>
      <c r="AE186" t="str">
        <f t="shared" si="216"/>
        <v>2</v>
      </c>
      <c r="AF186" t="str">
        <f t="shared" si="216"/>
        <v>2</v>
      </c>
      <c r="AG186" t="str">
        <f t="shared" si="216"/>
        <v>2</v>
      </c>
      <c r="AH186" t="str">
        <f t="shared" si="224"/>
        <v>1</v>
      </c>
      <c r="AI186" t="str">
        <f t="shared" si="196"/>
        <v xml:space="preserve">1         </v>
      </c>
      <c r="AJ186" t="str">
        <f t="shared" si="201"/>
        <v>170</v>
      </c>
      <c r="AK186" t="str">
        <f>"68"</f>
        <v>68</v>
      </c>
      <c r="AL186" t="str">
        <f>"001"</f>
        <v>001</v>
      </c>
      <c r="AM186" t="str">
        <f>"68"</f>
        <v>68</v>
      </c>
      <c r="AN186" t="str">
        <f>"68001"</f>
        <v>68001</v>
      </c>
      <c r="AO186" t="str">
        <f>"28/01/2020 12:00:00 a. m."</f>
        <v>28/01/2020 12:00:00 a. m.</v>
      </c>
      <c r="AP186" t="str">
        <f>"25/12/2019 12:00:00 a. m."</f>
        <v>25/12/2019 12:00:00 a. m.</v>
      </c>
      <c r="AQ186" t="str">
        <f t="shared" si="218"/>
        <v>3</v>
      </c>
      <c r="AR186" t="str">
        <f t="shared" si="208"/>
        <v>1</v>
      </c>
      <c r="AS186" t="str">
        <f>"28/01/2020 12:00:00 a. m."</f>
        <v>28/01/2020 12:00:00 a. m.</v>
      </c>
      <c r="AT186" t="str">
        <f t="shared" si="221"/>
        <v>1</v>
      </c>
      <c r="AU186" t="str">
        <f>""</f>
        <v/>
      </c>
      <c r="AV186" t="str">
        <f>"7"</f>
        <v>7</v>
      </c>
      <c r="AW186" t="str">
        <f>"16/09/2007 12:00:00 a. m."</f>
        <v>16/09/2007 12:00:00 a. m.</v>
      </c>
      <c r="AX186" t="str">
        <f>""</f>
        <v/>
      </c>
      <c r="AY186" t="str">
        <f t="shared" si="160"/>
        <v>30/04/2021 12:00:00 a. m.</v>
      </c>
      <c r="AZ186" t="str">
        <f>"6/04/2021 12:00:00 a. m."</f>
        <v>6/04/2021 12:00:00 a. m.</v>
      </c>
      <c r="BA186" t="str">
        <f>""</f>
        <v/>
      </c>
      <c r="BB186" t="str">
        <f>""</f>
        <v/>
      </c>
      <c r="BC186" t="str">
        <f>""</f>
        <v/>
      </c>
      <c r="BD186" t="str">
        <f t="shared" si="219"/>
        <v>1</v>
      </c>
      <c r="BE186" t="str">
        <f t="shared" si="219"/>
        <v>1</v>
      </c>
      <c r="BF186" t="str">
        <f t="shared" si="161"/>
        <v xml:space="preserve">3         </v>
      </c>
      <c r="BG186" t="str">
        <f t="shared" si="162"/>
        <v>Confirmado por laboratorio</v>
      </c>
      <c r="BH186" t="str">
        <f>"CLINICA MATERNO INFANTEL SAN LUIS SA"</f>
        <v>CLINICA MATERNO INFANTEL SAN LUIS SA</v>
      </c>
      <c r="BI186" t="str">
        <f t="shared" si="202"/>
        <v>COLOMBIA</v>
      </c>
      <c r="BJ186" t="str">
        <f t="shared" si="163"/>
        <v>CANCER INFANTIL</v>
      </c>
      <c r="BK186" t="str">
        <f>"SANTANDER"</f>
        <v>SANTANDER</v>
      </c>
      <c r="BL186" t="str">
        <f>"BUCARAMANGA"</f>
        <v>BUCARAMANGA</v>
      </c>
      <c r="BM186" t="str">
        <f t="shared" si="203"/>
        <v>COLOMBIA</v>
      </c>
      <c r="BN186" t="str">
        <f>"SANTANDER"</f>
        <v>SANTANDER</v>
      </c>
      <c r="BO186" t="str">
        <f>"BUCARAMANGA"</f>
        <v>BUCARAMANGA</v>
      </c>
      <c r="BP186" t="str">
        <f>"SANTANDER"</f>
        <v>SANTANDER</v>
      </c>
      <c r="BQ186" t="str">
        <f>"BUCARAMANGA"</f>
        <v>BUCARAMANGA</v>
      </c>
    </row>
    <row r="187" spans="1:69" x14ac:dyDescent="0.25">
      <c r="A187" t="str">
        <f>"7285520"</f>
        <v>7285520</v>
      </c>
      <c r="B187" t="str">
        <f t="shared" si="156"/>
        <v>459</v>
      </c>
      <c r="C187" t="str">
        <f>"3/03/2020 12:00:00 a. m."</f>
        <v>3/03/2020 12:00:00 a. m.</v>
      </c>
      <c r="D187" t="str">
        <f>"10"</f>
        <v>10</v>
      </c>
      <c r="E187" t="str">
        <f t="shared" si="157"/>
        <v>2020</v>
      </c>
      <c r="F187" t="str">
        <f>"6300101415"</f>
        <v>6300101415</v>
      </c>
      <c r="G187" t="str">
        <f>"04"</f>
        <v>04</v>
      </c>
      <c r="H187" t="str">
        <f>"14"</f>
        <v>14</v>
      </c>
      <c r="I187" t="str">
        <f t="shared" si="217"/>
        <v>1</v>
      </c>
      <c r="J187" t="str">
        <f t="shared" si="225"/>
        <v>M</v>
      </c>
      <c r="K187" t="str">
        <f t="shared" si="198"/>
        <v>170</v>
      </c>
      <c r="L187" t="str">
        <f>"63"</f>
        <v>63</v>
      </c>
      <c r="M187" t="str">
        <f>"470"</f>
        <v>470</v>
      </c>
      <c r="N187" t="str">
        <f t="shared" si="215"/>
        <v>1</v>
      </c>
      <c r="O187" t="str">
        <f>"9997"</f>
        <v>9997</v>
      </c>
      <c r="P187" t="str">
        <f t="shared" si="222"/>
        <v>C</v>
      </c>
      <c r="Q187" t="str">
        <f>"EPS037"</f>
        <v>EPS037</v>
      </c>
      <c r="R187" t="str">
        <f t="shared" si="188"/>
        <v>6</v>
      </c>
      <c r="S187" t="str">
        <f>""</f>
        <v/>
      </c>
      <c r="T187" t="str">
        <f t="shared" si="183"/>
        <v xml:space="preserve">                                                                                                    </v>
      </c>
      <c r="U187" t="str">
        <f>"2         "</f>
        <v xml:space="preserve">2         </v>
      </c>
      <c r="V187" t="str">
        <f t="shared" si="213"/>
        <v>2</v>
      </c>
      <c r="W187" t="str">
        <f t="shared" si="213"/>
        <v>2</v>
      </c>
      <c r="X187" t="str">
        <f t="shared" si="223"/>
        <v>2</v>
      </c>
      <c r="Y187" t="str">
        <f t="shared" si="214"/>
        <v>2</v>
      </c>
      <c r="Z187" t="str">
        <f t="shared" si="214"/>
        <v>2</v>
      </c>
      <c r="AA187" t="str">
        <f t="shared" si="159"/>
        <v xml:space="preserve">          </v>
      </c>
      <c r="AB187" t="str">
        <f t="shared" si="148"/>
        <v>2</v>
      </c>
      <c r="AC187" t="str">
        <f t="shared" si="150"/>
        <v>2</v>
      </c>
      <c r="AD187" t="str">
        <f t="shared" si="216"/>
        <v>2</v>
      </c>
      <c r="AE187" t="str">
        <f t="shared" si="216"/>
        <v>2</v>
      </c>
      <c r="AF187" t="str">
        <f t="shared" si="216"/>
        <v>2</v>
      </c>
      <c r="AG187" t="str">
        <f t="shared" si="216"/>
        <v>2</v>
      </c>
      <c r="AH187" t="str">
        <f t="shared" si="224"/>
        <v>1</v>
      </c>
      <c r="AI187" t="str">
        <f>"2         "</f>
        <v xml:space="preserve">2         </v>
      </c>
      <c r="AJ187" t="str">
        <f t="shared" si="201"/>
        <v>170</v>
      </c>
      <c r="AK187" t="str">
        <f>"63"</f>
        <v>63</v>
      </c>
      <c r="AL187" t="str">
        <f>"470"</f>
        <v>470</v>
      </c>
      <c r="AM187" t="str">
        <f>"63"</f>
        <v>63</v>
      </c>
      <c r="AN187" t="str">
        <f>"63001"</f>
        <v>63001</v>
      </c>
      <c r="AO187" t="str">
        <f>"3/03/2020 12:00:00 a. m."</f>
        <v>3/03/2020 12:00:00 a. m.</v>
      </c>
      <c r="AP187" t="str">
        <f>"3/01/2020 12:00:00 a. m."</f>
        <v>3/01/2020 12:00:00 a. m.</v>
      </c>
      <c r="AQ187" t="str">
        <f>"2"</f>
        <v>2</v>
      </c>
      <c r="AR187" t="str">
        <f>"2"</f>
        <v>2</v>
      </c>
      <c r="AS187" t="str">
        <f>""</f>
        <v/>
      </c>
      <c r="AT187" t="str">
        <f t="shared" si="221"/>
        <v>1</v>
      </c>
      <c r="AU187" t="str">
        <f>""</f>
        <v/>
      </c>
      <c r="AV187" t="str">
        <f>"3"</f>
        <v>3</v>
      </c>
      <c r="AW187" t="str">
        <f>"9/08/2006 12:00:00 a. m."</f>
        <v>9/08/2006 12:00:00 a. m.</v>
      </c>
      <c r="AX187" t="str">
        <f>""</f>
        <v/>
      </c>
      <c r="AY187" t="str">
        <f t="shared" si="160"/>
        <v>30/04/2021 12:00:00 a. m.</v>
      </c>
      <c r="AZ187" t="str">
        <f>"14/10/2020 12:00:00 a. m."</f>
        <v>14/10/2020 12:00:00 a. m.</v>
      </c>
      <c r="BA187" t="str">
        <f>""</f>
        <v/>
      </c>
      <c r="BB187" t="str">
        <f>""</f>
        <v/>
      </c>
      <c r="BC187" t="str">
        <f>""</f>
        <v/>
      </c>
      <c r="BD187" t="str">
        <f t="shared" si="219"/>
        <v>1</v>
      </c>
      <c r="BE187" t="str">
        <f t="shared" si="219"/>
        <v>1</v>
      </c>
      <c r="BF187" t="str">
        <f t="shared" si="161"/>
        <v xml:space="preserve">3         </v>
      </c>
      <c r="BG187" t="str">
        <f t="shared" si="162"/>
        <v>Confirmado por laboratorio</v>
      </c>
      <c r="BH187" t="str">
        <f>"INSTITUTO DE DIAGNOSTICO MEDICO SA SEDE ARMENIA NU"</f>
        <v>INSTITUTO DE DIAGNOSTICO MEDICO SA SEDE ARMENIA NU</v>
      </c>
      <c r="BI187" t="str">
        <f t="shared" si="202"/>
        <v>COLOMBIA</v>
      </c>
      <c r="BJ187" t="str">
        <f t="shared" si="163"/>
        <v>CANCER INFANTIL</v>
      </c>
      <c r="BK187" t="str">
        <f>"QUINDIO"</f>
        <v>QUINDIO</v>
      </c>
      <c r="BL187" t="str">
        <f>"MONTENEGRO"</f>
        <v>MONTENEGRO</v>
      </c>
      <c r="BM187" t="str">
        <f t="shared" si="203"/>
        <v>COLOMBIA</v>
      </c>
      <c r="BN187" t="str">
        <f>"QUINDIO"</f>
        <v>QUINDIO</v>
      </c>
      <c r="BO187" t="str">
        <f>"MONTENEGRO"</f>
        <v>MONTENEGRO</v>
      </c>
      <c r="BP187" t="str">
        <f>"QUINDIO"</f>
        <v>QUINDIO</v>
      </c>
      <c r="BQ187" t="str">
        <f>"ARMENIA"</f>
        <v>ARMENIA</v>
      </c>
    </row>
    <row r="188" spans="1:69" x14ac:dyDescent="0.25">
      <c r="A188" t="str">
        <f>"7285443"</f>
        <v>7285443</v>
      </c>
      <c r="B188" t="str">
        <f t="shared" si="156"/>
        <v>459</v>
      </c>
      <c r="C188" t="str">
        <f>"13/04/2020 12:00:00 a. m."</f>
        <v>13/04/2020 12:00:00 a. m.</v>
      </c>
      <c r="D188" t="str">
        <f>"13"</f>
        <v>13</v>
      </c>
      <c r="E188" t="str">
        <f t="shared" si="157"/>
        <v>2020</v>
      </c>
      <c r="F188" t="str">
        <f>"6600100217"</f>
        <v>6600100217</v>
      </c>
      <c r="G188" t="str">
        <f>"10"</f>
        <v>10</v>
      </c>
      <c r="H188" t="str">
        <f>"10"</f>
        <v>10</v>
      </c>
      <c r="I188" t="str">
        <f t="shared" si="217"/>
        <v>1</v>
      </c>
      <c r="J188" t="str">
        <f t="shared" si="225"/>
        <v>M</v>
      </c>
      <c r="K188" t="str">
        <f t="shared" si="198"/>
        <v>170</v>
      </c>
      <c r="L188" t="str">
        <f>"66"</f>
        <v>66</v>
      </c>
      <c r="M188" t="str">
        <f>"001"</f>
        <v>001</v>
      </c>
      <c r="N188" t="str">
        <f>"2"</f>
        <v>2</v>
      </c>
      <c r="O188" t="str">
        <f>"9997"</f>
        <v>9997</v>
      </c>
      <c r="P188" t="str">
        <f t="shared" si="222"/>
        <v>C</v>
      </c>
      <c r="Q188" t="str">
        <f>"EPS005"</f>
        <v>EPS005</v>
      </c>
      <c r="R188" t="str">
        <f t="shared" ref="R188:R219" si="226">"6"</f>
        <v>6</v>
      </c>
      <c r="S188" t="str">
        <f>""</f>
        <v/>
      </c>
      <c r="T188" t="str">
        <f t="shared" si="183"/>
        <v xml:space="preserve">                                                                                                    </v>
      </c>
      <c r="U188" t="str">
        <f>"3         "</f>
        <v xml:space="preserve">3         </v>
      </c>
      <c r="V188" t="str">
        <f t="shared" si="213"/>
        <v>2</v>
      </c>
      <c r="W188" t="str">
        <f t="shared" si="213"/>
        <v>2</v>
      </c>
      <c r="X188" t="str">
        <f t="shared" si="223"/>
        <v>2</v>
      </c>
      <c r="Y188" t="str">
        <f t="shared" si="214"/>
        <v>2</v>
      </c>
      <c r="Z188" t="str">
        <f t="shared" si="214"/>
        <v>2</v>
      </c>
      <c r="AA188" t="str">
        <f t="shared" si="159"/>
        <v xml:space="preserve">          </v>
      </c>
      <c r="AB188" t="str">
        <f t="shared" ref="AB188:AB251" si="227">"2"</f>
        <v>2</v>
      </c>
      <c r="AC188" t="str">
        <f t="shared" si="150"/>
        <v>2</v>
      </c>
      <c r="AD188" t="str">
        <f t="shared" si="216"/>
        <v>2</v>
      </c>
      <c r="AE188" t="str">
        <f t="shared" si="216"/>
        <v>2</v>
      </c>
      <c r="AF188" t="str">
        <f t="shared" si="216"/>
        <v>2</v>
      </c>
      <c r="AG188" t="str">
        <f t="shared" si="216"/>
        <v>2</v>
      </c>
      <c r="AH188" t="str">
        <f t="shared" si="224"/>
        <v>1</v>
      </c>
      <c r="AI188" t="str">
        <f>"1         "</f>
        <v xml:space="preserve">1         </v>
      </c>
      <c r="AJ188" t="str">
        <f t="shared" si="201"/>
        <v>170</v>
      </c>
      <c r="AK188" t="str">
        <f>"66"</f>
        <v>66</v>
      </c>
      <c r="AL188" t="str">
        <f>"001"</f>
        <v>001</v>
      </c>
      <c r="AM188" t="str">
        <f>"66"</f>
        <v>66</v>
      </c>
      <c r="AN188" t="str">
        <f>"66001"</f>
        <v>66001</v>
      </c>
      <c r="AO188" t="str">
        <f>"26/03/2020 12:00:00 a. m."</f>
        <v>26/03/2020 12:00:00 a. m.</v>
      </c>
      <c r="AP188" t="str">
        <f>"26/01/2020 12:00:00 a. m."</f>
        <v>26/01/2020 12:00:00 a. m.</v>
      </c>
      <c r="AQ188" t="str">
        <f>"3"</f>
        <v>3</v>
      </c>
      <c r="AR188" t="str">
        <f>"1"</f>
        <v>1</v>
      </c>
      <c r="AS188" t="str">
        <f>"26/03/2020 12:00:00 a. m."</f>
        <v>26/03/2020 12:00:00 a. m.</v>
      </c>
      <c r="AT188" t="str">
        <f t="shared" si="221"/>
        <v>1</v>
      </c>
      <c r="AU188" t="str">
        <f>""</f>
        <v/>
      </c>
      <c r="AV188" t="str">
        <f>"7"</f>
        <v>7</v>
      </c>
      <c r="AW188" t="str">
        <f>"19/12/2009 12:00:00 a. m."</f>
        <v>19/12/2009 12:00:00 a. m.</v>
      </c>
      <c r="AX188" t="str">
        <f>""</f>
        <v/>
      </c>
      <c r="AY188" t="str">
        <f t="shared" si="160"/>
        <v>30/04/2021 12:00:00 a. m.</v>
      </c>
      <c r="AZ188" t="str">
        <f>"3/08/2020 12:00:00 a. m."</f>
        <v>3/08/2020 12:00:00 a. m.</v>
      </c>
      <c r="BA188" t="str">
        <f>""</f>
        <v/>
      </c>
      <c r="BB188" t="str">
        <f>""</f>
        <v/>
      </c>
      <c r="BC188" t="str">
        <f>""</f>
        <v/>
      </c>
      <c r="BD188" t="str">
        <f t="shared" si="219"/>
        <v>1</v>
      </c>
      <c r="BE188" t="str">
        <f t="shared" si="219"/>
        <v>1</v>
      </c>
      <c r="BF188" t="str">
        <f t="shared" si="161"/>
        <v xml:space="preserve">3         </v>
      </c>
      <c r="BG188" t="str">
        <f t="shared" si="162"/>
        <v>Confirmado por laboratorio</v>
      </c>
      <c r="BH188" t="str">
        <f>"COMFAMILIAR RISARALDA CLINICA COMFAMILIAR"</f>
        <v>COMFAMILIAR RISARALDA CLINICA COMFAMILIAR</v>
      </c>
      <c r="BI188" t="str">
        <f t="shared" si="202"/>
        <v>COLOMBIA</v>
      </c>
      <c r="BJ188" t="str">
        <f t="shared" si="163"/>
        <v>CANCER INFANTIL</v>
      </c>
      <c r="BK188" t="str">
        <f>"RISARALDA"</f>
        <v>RISARALDA</v>
      </c>
      <c r="BL188" t="str">
        <f>"PEREIRA"</f>
        <v>PEREIRA</v>
      </c>
      <c r="BM188" t="str">
        <f t="shared" si="203"/>
        <v>COLOMBIA</v>
      </c>
      <c r="BN188" t="str">
        <f>"RISARALDA"</f>
        <v>RISARALDA</v>
      </c>
      <c r="BO188" t="str">
        <f>"PEREIRA"</f>
        <v>PEREIRA</v>
      </c>
      <c r="BP188" t="str">
        <f>"RISARALDA"</f>
        <v>RISARALDA</v>
      </c>
      <c r="BQ188" t="str">
        <f>"PEREIRA"</f>
        <v>PEREIRA</v>
      </c>
    </row>
    <row r="189" spans="1:69" x14ac:dyDescent="0.25">
      <c r="A189" t="str">
        <f>"7285468"</f>
        <v>7285468</v>
      </c>
      <c r="B189" t="str">
        <f t="shared" si="156"/>
        <v>459</v>
      </c>
      <c r="C189" t="str">
        <f>"16/03/2021 12:00:00 a. m."</f>
        <v>16/03/2021 12:00:00 a. m.</v>
      </c>
      <c r="D189" t="str">
        <f>"49"</f>
        <v>49</v>
      </c>
      <c r="E189" t="str">
        <f t="shared" si="157"/>
        <v>2020</v>
      </c>
      <c r="F189" t="str">
        <f>"5400100371"</f>
        <v>5400100371</v>
      </c>
      <c r="G189" t="str">
        <f t="shared" ref="G189:G205" si="228">"01"</f>
        <v>01</v>
      </c>
      <c r="H189" t="str">
        <f>"5"</f>
        <v>5</v>
      </c>
      <c r="I189" t="str">
        <f t="shared" si="217"/>
        <v>1</v>
      </c>
      <c r="J189" t="str">
        <f t="shared" si="225"/>
        <v>M</v>
      </c>
      <c r="K189" t="str">
        <f t="shared" si="198"/>
        <v>170</v>
      </c>
      <c r="L189" t="str">
        <f>"54"</f>
        <v>54</v>
      </c>
      <c r="M189" t="str">
        <f>"874"</f>
        <v>874</v>
      </c>
      <c r="N189" t="str">
        <f t="shared" ref="N189:N200" si="229">"1"</f>
        <v>1</v>
      </c>
      <c r="O189" t="str">
        <f>"9999"</f>
        <v>9999</v>
      </c>
      <c r="P189" t="str">
        <f t="shared" si="222"/>
        <v>C</v>
      </c>
      <c r="Q189" t="str">
        <f>"EPS045"</f>
        <v>EPS045</v>
      </c>
      <c r="R189" t="str">
        <f t="shared" si="226"/>
        <v>6</v>
      </c>
      <c r="S189" t="str">
        <f>""</f>
        <v/>
      </c>
      <c r="T189" t="str">
        <f t="shared" si="183"/>
        <v xml:space="preserve">                                                                                                    </v>
      </c>
      <c r="U189" t="str">
        <f>"2         "</f>
        <v xml:space="preserve">2         </v>
      </c>
      <c r="V189" t="str">
        <f t="shared" si="213"/>
        <v>2</v>
      </c>
      <c r="W189" t="str">
        <f t="shared" si="213"/>
        <v>2</v>
      </c>
      <c r="X189" t="str">
        <f t="shared" si="223"/>
        <v>2</v>
      </c>
      <c r="Y189" t="str">
        <f t="shared" si="214"/>
        <v>2</v>
      </c>
      <c r="Z189" t="str">
        <f t="shared" si="214"/>
        <v>2</v>
      </c>
      <c r="AA189" t="str">
        <f t="shared" si="159"/>
        <v xml:space="preserve">          </v>
      </c>
      <c r="AB189" t="str">
        <f t="shared" si="227"/>
        <v>2</v>
      </c>
      <c r="AC189" t="str">
        <f t="shared" ref="AC189:AC252" si="230">"2"</f>
        <v>2</v>
      </c>
      <c r="AD189" t="str">
        <f t="shared" si="216"/>
        <v>2</v>
      </c>
      <c r="AE189" t="str">
        <f t="shared" si="216"/>
        <v>2</v>
      </c>
      <c r="AF189" t="str">
        <f t="shared" si="216"/>
        <v>2</v>
      </c>
      <c r="AG189" t="str">
        <f t="shared" si="216"/>
        <v>2</v>
      </c>
      <c r="AH189" t="str">
        <f t="shared" si="224"/>
        <v>1</v>
      </c>
      <c r="AI189" t="str">
        <f>"2         "</f>
        <v xml:space="preserve">2         </v>
      </c>
      <c r="AJ189" t="str">
        <f t="shared" si="201"/>
        <v>170</v>
      </c>
      <c r="AK189" t="str">
        <f>"54"</f>
        <v>54</v>
      </c>
      <c r="AL189" t="str">
        <f>"874"</f>
        <v>874</v>
      </c>
      <c r="AM189" t="str">
        <f>"54"</f>
        <v>54</v>
      </c>
      <c r="AN189" t="str">
        <f>"54001"</f>
        <v>54001</v>
      </c>
      <c r="AO189" t="str">
        <f>"3/12/2020 12:00:00 a. m."</f>
        <v>3/12/2020 12:00:00 a. m.</v>
      </c>
      <c r="AP189" t="str">
        <f>"1/12/2020 12:00:00 a. m."</f>
        <v>1/12/2020 12:00:00 a. m.</v>
      </c>
      <c r="AQ189" t="str">
        <f>"3"</f>
        <v>3</v>
      </c>
      <c r="AR189" t="str">
        <f>"1"</f>
        <v>1</v>
      </c>
      <c r="AS189" t="str">
        <f>"3/12/2020 12:00:00 a. m."</f>
        <v>3/12/2020 12:00:00 a. m.</v>
      </c>
      <c r="AT189" t="str">
        <f t="shared" si="221"/>
        <v>1</v>
      </c>
      <c r="AU189" t="str">
        <f>""</f>
        <v/>
      </c>
      <c r="AV189" t="str">
        <f>"0"</f>
        <v>0</v>
      </c>
      <c r="AW189" t="str">
        <f>"19/02/2016 12:00:00 a. m."</f>
        <v>19/02/2016 12:00:00 a. m.</v>
      </c>
      <c r="AX189" t="str">
        <f>""</f>
        <v/>
      </c>
      <c r="AY189" t="str">
        <f t="shared" si="160"/>
        <v>30/04/2021 12:00:00 a. m.</v>
      </c>
      <c r="AZ189" t="str">
        <f>"17/03/2021 12:00:00 a. m."</f>
        <v>17/03/2021 12:00:00 a. m.</v>
      </c>
      <c r="BA189" t="str">
        <f>""</f>
        <v/>
      </c>
      <c r="BB189" t="str">
        <f>""</f>
        <v/>
      </c>
      <c r="BC189" t="str">
        <f>""</f>
        <v/>
      </c>
      <c r="BD189" t="str">
        <f t="shared" si="219"/>
        <v>1</v>
      </c>
      <c r="BE189" t="str">
        <f t="shared" si="219"/>
        <v>1</v>
      </c>
      <c r="BF189" t="str">
        <f t="shared" si="161"/>
        <v xml:space="preserve">3         </v>
      </c>
      <c r="BG189" t="str">
        <f t="shared" si="162"/>
        <v>Confirmado por laboratorio</v>
      </c>
      <c r="BH189" t="str">
        <f>"EMPRESA SOCIAL DEL ESTADO HOSPITAL UNIVERSITARIO E"</f>
        <v>EMPRESA SOCIAL DEL ESTADO HOSPITAL UNIVERSITARIO E</v>
      </c>
      <c r="BI189" t="str">
        <f t="shared" si="202"/>
        <v>COLOMBIA</v>
      </c>
      <c r="BJ189" t="str">
        <f t="shared" si="163"/>
        <v>CANCER INFANTIL</v>
      </c>
      <c r="BK189" t="str">
        <f>"NORTE SANTANDER"</f>
        <v>NORTE SANTANDER</v>
      </c>
      <c r="BL189" t="str">
        <f>"VILLA DEL ROSARIO"</f>
        <v>VILLA DEL ROSARIO</v>
      </c>
      <c r="BM189" t="str">
        <f t="shared" si="203"/>
        <v>COLOMBIA</v>
      </c>
      <c r="BN189" t="str">
        <f>"NORTE SANTANDER"</f>
        <v>NORTE SANTANDER</v>
      </c>
      <c r="BO189" t="str">
        <f>"VILLA DEL ROSARIO"</f>
        <v>VILLA DEL ROSARIO</v>
      </c>
      <c r="BP189" t="str">
        <f>"NORTE SANTANDER"</f>
        <v>NORTE SANTANDER</v>
      </c>
      <c r="BQ189" t="str">
        <f>"CUCUTA"</f>
        <v>CUCUTA</v>
      </c>
    </row>
    <row r="190" spans="1:69" x14ac:dyDescent="0.25">
      <c r="A190" t="str">
        <f>"7285469"</f>
        <v>7285469</v>
      </c>
      <c r="B190" t="str">
        <f t="shared" si="156"/>
        <v>459</v>
      </c>
      <c r="C190" t="str">
        <f>"18/04/2020 12:00:00 a. m."</f>
        <v>18/04/2020 12:00:00 a. m.</v>
      </c>
      <c r="D190" t="str">
        <f>"14"</f>
        <v>14</v>
      </c>
      <c r="E190" t="str">
        <f t="shared" si="157"/>
        <v>2020</v>
      </c>
      <c r="F190" t="str">
        <f>"1700101096"</f>
        <v>1700101096</v>
      </c>
      <c r="G190" t="str">
        <f t="shared" si="228"/>
        <v>01</v>
      </c>
      <c r="H190" t="str">
        <f>"3"</f>
        <v>3</v>
      </c>
      <c r="I190" t="str">
        <f t="shared" si="217"/>
        <v>1</v>
      </c>
      <c r="J190" t="str">
        <f t="shared" si="225"/>
        <v>M</v>
      </c>
      <c r="K190" t="str">
        <f t="shared" si="198"/>
        <v>170</v>
      </c>
      <c r="L190" t="str">
        <f>"63"</f>
        <v>63</v>
      </c>
      <c r="M190" t="str">
        <f>"001"</f>
        <v>001</v>
      </c>
      <c r="N190" t="str">
        <f t="shared" si="229"/>
        <v>1</v>
      </c>
      <c r="O190" t="str">
        <f>"9999"</f>
        <v>9999</v>
      </c>
      <c r="P190" t="str">
        <f t="shared" si="222"/>
        <v>C</v>
      </c>
      <c r="Q190" t="str">
        <f>"EPS002"</f>
        <v>EPS002</v>
      </c>
      <c r="R190" t="str">
        <f t="shared" si="226"/>
        <v>6</v>
      </c>
      <c r="S190" t="str">
        <f>""</f>
        <v/>
      </c>
      <c r="T190" t="str">
        <f t="shared" si="183"/>
        <v xml:space="preserve">                                                                                                    </v>
      </c>
      <c r="U190" t="str">
        <f>"3         "</f>
        <v xml:space="preserve">3         </v>
      </c>
      <c r="V190" t="str">
        <f t="shared" si="213"/>
        <v>2</v>
      </c>
      <c r="W190" t="str">
        <f t="shared" si="213"/>
        <v>2</v>
      </c>
      <c r="X190" t="str">
        <f t="shared" si="223"/>
        <v>2</v>
      </c>
      <c r="Y190" t="str">
        <f t="shared" si="214"/>
        <v>2</v>
      </c>
      <c r="Z190" t="str">
        <f t="shared" si="214"/>
        <v>2</v>
      </c>
      <c r="AA190" t="str">
        <f t="shared" si="159"/>
        <v xml:space="preserve">          </v>
      </c>
      <c r="AB190" t="str">
        <f t="shared" si="227"/>
        <v>2</v>
      </c>
      <c r="AC190" t="str">
        <f t="shared" si="230"/>
        <v>2</v>
      </c>
      <c r="AD190" t="str">
        <f t="shared" si="216"/>
        <v>2</v>
      </c>
      <c r="AE190" t="str">
        <f t="shared" si="216"/>
        <v>2</v>
      </c>
      <c r="AF190" t="str">
        <f t="shared" si="216"/>
        <v>2</v>
      </c>
      <c r="AG190" t="str">
        <f t="shared" si="216"/>
        <v>2</v>
      </c>
      <c r="AH190" t="str">
        <f t="shared" si="224"/>
        <v>1</v>
      </c>
      <c r="AI190" t="str">
        <f>"1         "</f>
        <v xml:space="preserve">1         </v>
      </c>
      <c r="AJ190" t="str">
        <f t="shared" si="201"/>
        <v>170</v>
      </c>
      <c r="AK190" t="str">
        <f>"63"</f>
        <v>63</v>
      </c>
      <c r="AL190" t="str">
        <f>"001"</f>
        <v>001</v>
      </c>
      <c r="AM190" t="str">
        <f>"17"</f>
        <v>17</v>
      </c>
      <c r="AN190" t="str">
        <f>"17001"</f>
        <v>17001</v>
      </c>
      <c r="AO190" t="str">
        <f>"3/04/2020 12:00:00 a. m."</f>
        <v>3/04/2020 12:00:00 a. m.</v>
      </c>
      <c r="AP190" t="str">
        <f>"3/02/2020 12:00:00 a. m."</f>
        <v>3/02/2020 12:00:00 a. m.</v>
      </c>
      <c r="AQ190" t="str">
        <f>"3"</f>
        <v>3</v>
      </c>
      <c r="AR190" t="str">
        <f>"1"</f>
        <v>1</v>
      </c>
      <c r="AS190" t="str">
        <f>"4/04/2020 12:00:00 a. m."</f>
        <v>4/04/2020 12:00:00 a. m.</v>
      </c>
      <c r="AT190" t="str">
        <f t="shared" si="221"/>
        <v>1</v>
      </c>
      <c r="AU190" t="str">
        <f>""</f>
        <v/>
      </c>
      <c r="AV190" t="str">
        <f>"0"</f>
        <v>0</v>
      </c>
      <c r="AW190" t="str">
        <f>"24/09/2016 12:00:00 a. m."</f>
        <v>24/09/2016 12:00:00 a. m.</v>
      </c>
      <c r="AX190" t="str">
        <f>""</f>
        <v/>
      </c>
      <c r="AY190" t="str">
        <f t="shared" si="160"/>
        <v>30/04/2021 12:00:00 a. m.</v>
      </c>
      <c r="AZ190" t="str">
        <f>"20/04/2020 12:00:00 a. m."</f>
        <v>20/04/2020 12:00:00 a. m.</v>
      </c>
      <c r="BA190" t="str">
        <f>""</f>
        <v/>
      </c>
      <c r="BB190" t="str">
        <f>""</f>
        <v/>
      </c>
      <c r="BC190" t="str">
        <f>""</f>
        <v/>
      </c>
      <c r="BD190" t="str">
        <f t="shared" si="219"/>
        <v>1</v>
      </c>
      <c r="BE190" t="str">
        <f t="shared" si="219"/>
        <v>1</v>
      </c>
      <c r="BF190" t="str">
        <f t="shared" si="161"/>
        <v xml:space="preserve">3         </v>
      </c>
      <c r="BG190" t="str">
        <f t="shared" si="162"/>
        <v>Confirmado por laboratorio</v>
      </c>
      <c r="BH190" t="str">
        <f>"ONCOLOGOS DE OCCIDENTE SA"</f>
        <v>ONCOLOGOS DE OCCIDENTE SA</v>
      </c>
      <c r="BI190" t="str">
        <f t="shared" si="202"/>
        <v>COLOMBIA</v>
      </c>
      <c r="BJ190" t="str">
        <f t="shared" si="163"/>
        <v>CANCER INFANTIL</v>
      </c>
      <c r="BK190" t="str">
        <f>"QUINDIO"</f>
        <v>QUINDIO</v>
      </c>
      <c r="BL190" t="str">
        <f>"ARMENIA"</f>
        <v>ARMENIA</v>
      </c>
      <c r="BM190" t="str">
        <f t="shared" si="203"/>
        <v>COLOMBIA</v>
      </c>
      <c r="BN190" t="str">
        <f>"QUINDIO"</f>
        <v>QUINDIO</v>
      </c>
      <c r="BO190" t="str">
        <f>"ARMENIA"</f>
        <v>ARMENIA</v>
      </c>
      <c r="BP190" t="str">
        <f>"CALDAS"</f>
        <v>CALDAS</v>
      </c>
      <c r="BQ190" t="str">
        <f>"MANIZALES"</f>
        <v>MANIZALES</v>
      </c>
    </row>
    <row r="191" spans="1:69" x14ac:dyDescent="0.25">
      <c r="A191" t="str">
        <f>"7278736"</f>
        <v>7278736</v>
      </c>
      <c r="B191" t="str">
        <f t="shared" si="156"/>
        <v>459</v>
      </c>
      <c r="C191" t="str">
        <f>"21/03/2020 12:00:00 a. m."</f>
        <v>21/03/2020 12:00:00 a. m.</v>
      </c>
      <c r="D191" t="str">
        <f>"12"</f>
        <v>12</v>
      </c>
      <c r="E191" t="str">
        <f t="shared" si="157"/>
        <v>2020</v>
      </c>
      <c r="F191" t="str">
        <f>"1343000492"</f>
        <v>1343000492</v>
      </c>
      <c r="G191" t="str">
        <f t="shared" si="228"/>
        <v>01</v>
      </c>
      <c r="H191" t="str">
        <f>"6"</f>
        <v>6</v>
      </c>
      <c r="I191" t="str">
        <f t="shared" si="217"/>
        <v>1</v>
      </c>
      <c r="J191" t="str">
        <f t="shared" si="225"/>
        <v>M</v>
      </c>
      <c r="K191" t="str">
        <f t="shared" si="198"/>
        <v>170</v>
      </c>
      <c r="L191" t="str">
        <f>"13"</f>
        <v>13</v>
      </c>
      <c r="M191" t="str">
        <f>"468"</f>
        <v>468</v>
      </c>
      <c r="N191" t="str">
        <f t="shared" si="229"/>
        <v>1</v>
      </c>
      <c r="O191" t="str">
        <f>"9997"</f>
        <v>9997</v>
      </c>
      <c r="P191" t="str">
        <f>"S"</f>
        <v>S</v>
      </c>
      <c r="Q191" t="str">
        <f>"EPSS01"</f>
        <v>EPSS01</v>
      </c>
      <c r="R191" t="str">
        <f t="shared" si="226"/>
        <v>6</v>
      </c>
      <c r="S191" t="str">
        <f>""</f>
        <v/>
      </c>
      <c r="T191" t="str">
        <f t="shared" si="183"/>
        <v xml:space="preserve">                                                                                                    </v>
      </c>
      <c r="U191" t="str">
        <f>"1         "</f>
        <v xml:space="preserve">1         </v>
      </c>
      <c r="V191" t="str">
        <f t="shared" si="213"/>
        <v>2</v>
      </c>
      <c r="W191" t="str">
        <f t="shared" si="213"/>
        <v>2</v>
      </c>
      <c r="X191" t="str">
        <f t="shared" si="223"/>
        <v>2</v>
      </c>
      <c r="Y191" t="str">
        <f t="shared" si="214"/>
        <v>2</v>
      </c>
      <c r="Z191" t="str">
        <f t="shared" si="214"/>
        <v>2</v>
      </c>
      <c r="AA191" t="str">
        <f t="shared" si="159"/>
        <v xml:space="preserve">          </v>
      </c>
      <c r="AB191" t="str">
        <f t="shared" si="227"/>
        <v>2</v>
      </c>
      <c r="AC191" t="str">
        <f t="shared" si="230"/>
        <v>2</v>
      </c>
      <c r="AD191" t="str">
        <f t="shared" si="216"/>
        <v>2</v>
      </c>
      <c r="AE191" t="str">
        <f t="shared" si="216"/>
        <v>2</v>
      </c>
      <c r="AF191" t="str">
        <f t="shared" si="216"/>
        <v>2</v>
      </c>
      <c r="AG191" t="str">
        <f t="shared" si="216"/>
        <v>2</v>
      </c>
      <c r="AH191" t="str">
        <f t="shared" si="224"/>
        <v>1</v>
      </c>
      <c r="AI191" t="str">
        <f>"1         "</f>
        <v xml:space="preserve">1         </v>
      </c>
      <c r="AJ191" t="str">
        <f t="shared" si="201"/>
        <v>170</v>
      </c>
      <c r="AK191" t="str">
        <f>"13"</f>
        <v>13</v>
      </c>
      <c r="AL191" t="str">
        <f>"468"</f>
        <v>468</v>
      </c>
      <c r="AM191" t="str">
        <f>"13"</f>
        <v>13</v>
      </c>
      <c r="AN191" t="str">
        <f>"13430"</f>
        <v>13430</v>
      </c>
      <c r="AO191" t="str">
        <f>"21/03/2020 12:00:00 a. m."</f>
        <v>21/03/2020 12:00:00 a. m.</v>
      </c>
      <c r="AP191" t="str">
        <f>"20/02/2020 12:00:00 a. m."</f>
        <v>20/02/2020 12:00:00 a. m.</v>
      </c>
      <c r="AQ191" t="str">
        <f>"2"</f>
        <v>2</v>
      </c>
      <c r="AR191" t="str">
        <f>"2"</f>
        <v>2</v>
      </c>
      <c r="AS191" t="str">
        <f>""</f>
        <v/>
      </c>
      <c r="AT191" t="str">
        <f t="shared" si="221"/>
        <v>1</v>
      </c>
      <c r="AU191" t="str">
        <f>""</f>
        <v/>
      </c>
      <c r="AV191" t="str">
        <f>"3"</f>
        <v>3</v>
      </c>
      <c r="AW191" t="str">
        <f>"2/04/2014 12:00:00 a. m."</f>
        <v>2/04/2014 12:00:00 a. m.</v>
      </c>
      <c r="AX191" t="str">
        <f>""</f>
        <v/>
      </c>
      <c r="AY191" t="str">
        <f t="shared" si="160"/>
        <v>30/04/2021 12:00:00 a. m.</v>
      </c>
      <c r="AZ191" t="str">
        <f>"21/09/2020 12:00:00 a. m."</f>
        <v>21/09/2020 12:00:00 a. m.</v>
      </c>
      <c r="BA191" t="str">
        <f>""</f>
        <v/>
      </c>
      <c r="BB191" t="str">
        <f>""</f>
        <v/>
      </c>
      <c r="BC191" t="str">
        <f>""</f>
        <v/>
      </c>
      <c r="BD191" t="str">
        <f t="shared" si="219"/>
        <v>1</v>
      </c>
      <c r="BE191" t="str">
        <f t="shared" si="219"/>
        <v>1</v>
      </c>
      <c r="BF191" t="str">
        <f t="shared" si="161"/>
        <v xml:space="preserve">3         </v>
      </c>
      <c r="BG191" t="str">
        <f t="shared" si="162"/>
        <v>Confirmado por laboratorio</v>
      </c>
      <c r="BH191" t="str">
        <f>"ESE HOSPITAL LA DIVINA MISERICORDIA"</f>
        <v>ESE HOSPITAL LA DIVINA MISERICORDIA</v>
      </c>
      <c r="BI191" t="str">
        <f t="shared" si="202"/>
        <v>COLOMBIA</v>
      </c>
      <c r="BJ191" t="str">
        <f t="shared" si="163"/>
        <v>CANCER INFANTIL</v>
      </c>
      <c r="BK191" t="str">
        <f>"BOLIVAR"</f>
        <v>BOLIVAR</v>
      </c>
      <c r="BL191" t="str">
        <f>"MOMPOS"</f>
        <v>MOMPOS</v>
      </c>
      <c r="BM191" t="str">
        <f t="shared" si="203"/>
        <v>COLOMBIA</v>
      </c>
      <c r="BN191" t="str">
        <f>"BOLIVAR"</f>
        <v>BOLIVAR</v>
      </c>
      <c r="BO191" t="str">
        <f>"MOMPOS"</f>
        <v>MOMPOS</v>
      </c>
      <c r="BP191" t="str">
        <f>"BOLIVAR"</f>
        <v>BOLIVAR</v>
      </c>
      <c r="BQ191" t="str">
        <f>"MAGANGUE"</f>
        <v>MAGANGUE</v>
      </c>
    </row>
    <row r="192" spans="1:69" x14ac:dyDescent="0.25">
      <c r="A192" t="str">
        <f>"7279290"</f>
        <v>7279290</v>
      </c>
      <c r="B192" t="str">
        <f t="shared" si="156"/>
        <v>459</v>
      </c>
      <c r="C192" t="str">
        <f>"12/06/2020 12:00:00 a. m."</f>
        <v>12/06/2020 12:00:00 a. m.</v>
      </c>
      <c r="D192" t="str">
        <f>"22"</f>
        <v>22</v>
      </c>
      <c r="E192" t="str">
        <f t="shared" si="157"/>
        <v>2020</v>
      </c>
      <c r="F192" t="str">
        <f>"1100130296"</f>
        <v>1100130296</v>
      </c>
      <c r="G192" t="str">
        <f t="shared" si="228"/>
        <v>01</v>
      </c>
      <c r="H192" t="str">
        <f>"17"</f>
        <v>17</v>
      </c>
      <c r="I192" t="str">
        <f t="shared" si="217"/>
        <v>1</v>
      </c>
      <c r="J192" t="str">
        <f>"F"</f>
        <v>F</v>
      </c>
      <c r="K192" t="str">
        <f t="shared" si="198"/>
        <v>170</v>
      </c>
      <c r="L192" t="str">
        <f>"11"</f>
        <v>11</v>
      </c>
      <c r="M192" t="str">
        <f>"001"</f>
        <v>001</v>
      </c>
      <c r="N192" t="str">
        <f t="shared" si="229"/>
        <v>1</v>
      </c>
      <c r="O192" t="str">
        <f>"9997"</f>
        <v>9997</v>
      </c>
      <c r="P192" t="str">
        <f>"S"</f>
        <v>S</v>
      </c>
      <c r="Q192" t="str">
        <f>"EPSS34"</f>
        <v>EPSS34</v>
      </c>
      <c r="R192" t="str">
        <f t="shared" si="226"/>
        <v>6</v>
      </c>
      <c r="S192" t="str">
        <f>""</f>
        <v/>
      </c>
      <c r="T192" t="str">
        <f t="shared" si="183"/>
        <v xml:space="preserve">                                                                                                    </v>
      </c>
      <c r="U192" t="str">
        <f>"2         "</f>
        <v xml:space="preserve">2         </v>
      </c>
      <c r="V192" t="str">
        <f t="shared" si="213"/>
        <v>2</v>
      </c>
      <c r="W192" t="str">
        <f t="shared" si="213"/>
        <v>2</v>
      </c>
      <c r="X192" t="str">
        <f t="shared" si="223"/>
        <v>2</v>
      </c>
      <c r="Y192" t="str">
        <f t="shared" si="214"/>
        <v>2</v>
      </c>
      <c r="Z192" t="str">
        <f t="shared" si="214"/>
        <v>2</v>
      </c>
      <c r="AA192" t="str">
        <f t="shared" si="159"/>
        <v xml:space="preserve">          </v>
      </c>
      <c r="AB192" t="str">
        <f t="shared" si="227"/>
        <v>2</v>
      </c>
      <c r="AC192" t="str">
        <f t="shared" si="230"/>
        <v>2</v>
      </c>
      <c r="AD192" t="str">
        <f t="shared" si="216"/>
        <v>2</v>
      </c>
      <c r="AE192" t="str">
        <f t="shared" si="216"/>
        <v>2</v>
      </c>
      <c r="AF192" t="str">
        <f t="shared" si="216"/>
        <v>2</v>
      </c>
      <c r="AG192" t="str">
        <f t="shared" si="216"/>
        <v>2</v>
      </c>
      <c r="AH192" t="str">
        <f t="shared" si="224"/>
        <v>1</v>
      </c>
      <c r="AI192" t="str">
        <f>"2         "</f>
        <v xml:space="preserve">2         </v>
      </c>
      <c r="AJ192" t="str">
        <f t="shared" si="201"/>
        <v>170</v>
      </c>
      <c r="AK192" t="str">
        <f>"11"</f>
        <v>11</v>
      </c>
      <c r="AL192" t="str">
        <f>"001"</f>
        <v>001</v>
      </c>
      <c r="AM192" t="str">
        <f>"11"</f>
        <v>11</v>
      </c>
      <c r="AN192" t="str">
        <f>"11001"</f>
        <v>11001</v>
      </c>
      <c r="AO192" t="str">
        <f>"17/05/2020 12:00:00 a. m."</f>
        <v>17/05/2020 12:00:00 a. m.</v>
      </c>
      <c r="AP192" t="str">
        <f>"17/04/2020 12:00:00 a. m."</f>
        <v>17/04/2020 12:00:00 a. m.</v>
      </c>
      <c r="AQ192" t="str">
        <f>"2"</f>
        <v>2</v>
      </c>
      <c r="AR192" t="str">
        <f t="shared" ref="AR192:AR206" si="231">"1"</f>
        <v>1</v>
      </c>
      <c r="AS192" t="str">
        <f>"27/05/2020 12:00:00 a. m."</f>
        <v>27/05/2020 12:00:00 a. m.</v>
      </c>
      <c r="AT192" t="str">
        <f t="shared" si="221"/>
        <v>1</v>
      </c>
      <c r="AU192" t="str">
        <f>""</f>
        <v/>
      </c>
      <c r="AV192" t="str">
        <f>"3"</f>
        <v>3</v>
      </c>
      <c r="AW192" t="str">
        <f>"11/03/2003 12:00:00 a. m."</f>
        <v>11/03/2003 12:00:00 a. m.</v>
      </c>
      <c r="AX192" t="str">
        <f>""</f>
        <v/>
      </c>
      <c r="AY192" t="str">
        <f t="shared" si="160"/>
        <v>30/04/2021 12:00:00 a. m.</v>
      </c>
      <c r="AZ192" t="str">
        <f>"17/07/2020 12:00:00 a. m."</f>
        <v>17/07/2020 12:00:00 a. m.</v>
      </c>
      <c r="BA192" t="str">
        <f>""</f>
        <v/>
      </c>
      <c r="BB192" t="str">
        <f>""</f>
        <v/>
      </c>
      <c r="BC192" t="str">
        <f>""</f>
        <v/>
      </c>
      <c r="BD192" t="str">
        <f t="shared" si="219"/>
        <v>1</v>
      </c>
      <c r="BE192" t="str">
        <f t="shared" si="219"/>
        <v>1</v>
      </c>
      <c r="BF192" t="str">
        <f t="shared" si="161"/>
        <v xml:space="preserve">3         </v>
      </c>
      <c r="BG192" t="str">
        <f t="shared" si="162"/>
        <v>Confirmado por laboratorio</v>
      </c>
      <c r="BH192" t="str">
        <f>"UNIDAD DE SERVICIOS DE SALUD OCCIDENTE DE KENNEDY"</f>
        <v>UNIDAD DE SERVICIOS DE SALUD OCCIDENTE DE KENNEDY</v>
      </c>
      <c r="BI192" t="str">
        <f t="shared" si="202"/>
        <v>COLOMBIA</v>
      </c>
      <c r="BJ192" t="str">
        <f t="shared" si="163"/>
        <v>CANCER INFANTIL</v>
      </c>
      <c r="BK192" t="str">
        <f>"BOGOTA"</f>
        <v>BOGOTA</v>
      </c>
      <c r="BL192" t="str">
        <f>"BOGOTA"</f>
        <v>BOGOTA</v>
      </c>
      <c r="BM192" t="str">
        <f t="shared" si="203"/>
        <v>COLOMBIA</v>
      </c>
      <c r="BN192" t="str">
        <f t="shared" ref="BN192:BQ193" si="232">"BOGOTA"</f>
        <v>BOGOTA</v>
      </c>
      <c r="BO192" t="str">
        <f t="shared" si="232"/>
        <v>BOGOTA</v>
      </c>
      <c r="BP192" t="str">
        <f t="shared" si="232"/>
        <v>BOGOTA</v>
      </c>
      <c r="BQ192" t="str">
        <f t="shared" si="232"/>
        <v>BOGOTA</v>
      </c>
    </row>
    <row r="193" spans="1:69" x14ac:dyDescent="0.25">
      <c r="A193" t="str">
        <f>"7279293"</f>
        <v>7279293</v>
      </c>
      <c r="B193" t="str">
        <f t="shared" si="156"/>
        <v>459</v>
      </c>
      <c r="C193" t="str">
        <f>"5/04/2020 12:00:00 a. m."</f>
        <v>5/04/2020 12:00:00 a. m.</v>
      </c>
      <c r="D193" t="str">
        <f>"10"</f>
        <v>10</v>
      </c>
      <c r="E193" t="str">
        <f t="shared" si="157"/>
        <v>2020</v>
      </c>
      <c r="F193" t="str">
        <f>"1100105681"</f>
        <v>1100105681</v>
      </c>
      <c r="G193" t="str">
        <f t="shared" si="228"/>
        <v>01</v>
      </c>
      <c r="H193" t="str">
        <f>"17"</f>
        <v>17</v>
      </c>
      <c r="I193" t="str">
        <f t="shared" si="217"/>
        <v>1</v>
      </c>
      <c r="J193" t="str">
        <f>"M"</f>
        <v>M</v>
      </c>
      <c r="K193" t="str">
        <f t="shared" si="198"/>
        <v>170</v>
      </c>
      <c r="L193" t="str">
        <f>"11"</f>
        <v>11</v>
      </c>
      <c r="M193" t="str">
        <f>"001"</f>
        <v>001</v>
      </c>
      <c r="N193" t="str">
        <f t="shared" si="229"/>
        <v>1</v>
      </c>
      <c r="O193" t="str">
        <f>"9997"</f>
        <v>9997</v>
      </c>
      <c r="P193" t="str">
        <f>"C"</f>
        <v>C</v>
      </c>
      <c r="Q193" t="str">
        <f>"EPS017"</f>
        <v>EPS017</v>
      </c>
      <c r="R193" t="str">
        <f t="shared" si="226"/>
        <v>6</v>
      </c>
      <c r="S193" t="str">
        <f>""</f>
        <v/>
      </c>
      <c r="T193" t="str">
        <f t="shared" si="183"/>
        <v xml:space="preserve">                                                                                                    </v>
      </c>
      <c r="U193" t="str">
        <f>"2         "</f>
        <v xml:space="preserve">2         </v>
      </c>
      <c r="V193" t="str">
        <f t="shared" si="213"/>
        <v>2</v>
      </c>
      <c r="W193" t="str">
        <f t="shared" si="213"/>
        <v>2</v>
      </c>
      <c r="X193" t="str">
        <f t="shared" si="223"/>
        <v>2</v>
      </c>
      <c r="Y193" t="str">
        <f t="shared" si="214"/>
        <v>2</v>
      </c>
      <c r="Z193" t="str">
        <f t="shared" si="214"/>
        <v>2</v>
      </c>
      <c r="AA193" t="str">
        <f t="shared" si="159"/>
        <v xml:space="preserve">          </v>
      </c>
      <c r="AB193" t="str">
        <f t="shared" si="227"/>
        <v>2</v>
      </c>
      <c r="AC193" t="str">
        <f t="shared" si="230"/>
        <v>2</v>
      </c>
      <c r="AD193" t="str">
        <f t="shared" si="216"/>
        <v>2</v>
      </c>
      <c r="AE193" t="str">
        <f t="shared" si="216"/>
        <v>2</v>
      </c>
      <c r="AF193" t="str">
        <f t="shared" si="216"/>
        <v>2</v>
      </c>
      <c r="AG193" t="str">
        <f t="shared" si="216"/>
        <v>2</v>
      </c>
      <c r="AH193" t="str">
        <f t="shared" si="224"/>
        <v>1</v>
      </c>
      <c r="AI193" t="str">
        <f>"1         "</f>
        <v xml:space="preserve">1         </v>
      </c>
      <c r="AJ193" t="str">
        <f t="shared" si="201"/>
        <v>170</v>
      </c>
      <c r="AK193" t="str">
        <f>"11"</f>
        <v>11</v>
      </c>
      <c r="AL193" t="str">
        <f>"001"</f>
        <v>001</v>
      </c>
      <c r="AM193" t="str">
        <f>"11"</f>
        <v>11</v>
      </c>
      <c r="AN193" t="str">
        <f>"11001"</f>
        <v>11001</v>
      </c>
      <c r="AO193" t="str">
        <f>"6/03/2020 12:00:00 a. m."</f>
        <v>6/03/2020 12:00:00 a. m.</v>
      </c>
      <c r="AP193" t="str">
        <f>"6/03/2020 12:00:00 a. m."</f>
        <v>6/03/2020 12:00:00 a. m.</v>
      </c>
      <c r="AQ193" t="str">
        <f t="shared" ref="AQ193:AQ203" si="233">"3"</f>
        <v>3</v>
      </c>
      <c r="AR193" t="str">
        <f t="shared" si="231"/>
        <v>1</v>
      </c>
      <c r="AS193" t="str">
        <f>"6/03/2020 12:00:00 a. m."</f>
        <v>6/03/2020 12:00:00 a. m.</v>
      </c>
      <c r="AT193" t="str">
        <f>"2"</f>
        <v>2</v>
      </c>
      <c r="AU193" t="str">
        <f>"17/04/2020 12:00:00 a. m."</f>
        <v>17/04/2020 12:00:00 a. m.</v>
      </c>
      <c r="AV193" t="str">
        <f t="shared" ref="AV193:AV202" si="234">"0"</f>
        <v>0</v>
      </c>
      <c r="AW193" t="str">
        <f>"19/02/2003 12:00:00 a. m."</f>
        <v>19/02/2003 12:00:00 a. m.</v>
      </c>
      <c r="AX193" t="str">
        <f>"C713"</f>
        <v>C713</v>
      </c>
      <c r="AY193" t="str">
        <f t="shared" si="160"/>
        <v>30/04/2021 12:00:00 a. m.</v>
      </c>
      <c r="AZ193" t="str">
        <f>"21/05/2020 12:00:00 a. m."</f>
        <v>21/05/2020 12:00:00 a. m.</v>
      </c>
      <c r="BA193" t="str">
        <f>""</f>
        <v/>
      </c>
      <c r="BB193" t="str">
        <f>""</f>
        <v/>
      </c>
      <c r="BC193" t="str">
        <f>""</f>
        <v/>
      </c>
      <c r="BD193" t="str">
        <f t="shared" si="219"/>
        <v>1</v>
      </c>
      <c r="BE193" t="str">
        <f t="shared" si="219"/>
        <v>1</v>
      </c>
      <c r="BF193" t="str">
        <f t="shared" si="161"/>
        <v xml:space="preserve">3         </v>
      </c>
      <c r="BG193" t="str">
        <f t="shared" si="162"/>
        <v>Confirmado por laboratorio</v>
      </c>
      <c r="BH193" t="str">
        <f>"FUNDACION HOSPITAL DE LA MISERICORDIA"</f>
        <v>FUNDACION HOSPITAL DE LA MISERICORDIA</v>
      </c>
      <c r="BI193" t="str">
        <f t="shared" si="202"/>
        <v>COLOMBIA</v>
      </c>
      <c r="BJ193" t="str">
        <f t="shared" si="163"/>
        <v>CANCER INFANTIL</v>
      </c>
      <c r="BK193" t="str">
        <f>"BOGOTA"</f>
        <v>BOGOTA</v>
      </c>
      <c r="BL193" t="str">
        <f>"BOGOTA"</f>
        <v>BOGOTA</v>
      </c>
      <c r="BM193" t="str">
        <f t="shared" si="203"/>
        <v>COLOMBIA</v>
      </c>
      <c r="BN193" t="str">
        <f t="shared" si="232"/>
        <v>BOGOTA</v>
      </c>
      <c r="BO193" t="str">
        <f t="shared" si="232"/>
        <v>BOGOTA</v>
      </c>
      <c r="BP193" t="str">
        <f t="shared" si="232"/>
        <v>BOGOTA</v>
      </c>
      <c r="BQ193" t="str">
        <f t="shared" si="232"/>
        <v>BOGOTA</v>
      </c>
    </row>
    <row r="194" spans="1:69" x14ac:dyDescent="0.25">
      <c r="A194" t="str">
        <f>"7285784"</f>
        <v>7285784</v>
      </c>
      <c r="B194" t="str">
        <f t="shared" ref="B194:B257" si="235">"459"</f>
        <v>459</v>
      </c>
      <c r="C194" t="str">
        <f>"1/06/2020 12:00:00 a. m."</f>
        <v>1/06/2020 12:00:00 a. m.</v>
      </c>
      <c r="D194" t="str">
        <f>"23"</f>
        <v>23</v>
      </c>
      <c r="E194" t="str">
        <f t="shared" ref="E194:E257" si="236">"2020"</f>
        <v>2020</v>
      </c>
      <c r="F194" t="str">
        <f>"1100105681"</f>
        <v>1100105681</v>
      </c>
      <c r="G194" t="str">
        <f t="shared" si="228"/>
        <v>01</v>
      </c>
      <c r="H194" t="str">
        <f>"13"</f>
        <v>13</v>
      </c>
      <c r="I194" t="str">
        <f t="shared" si="217"/>
        <v>1</v>
      </c>
      <c r="J194" t="str">
        <f>"M"</f>
        <v>M</v>
      </c>
      <c r="K194" t="str">
        <f t="shared" si="198"/>
        <v>170</v>
      </c>
      <c r="L194" t="str">
        <f>"15"</f>
        <v>15</v>
      </c>
      <c r="M194" t="str">
        <f>"759"</f>
        <v>759</v>
      </c>
      <c r="N194" t="str">
        <f t="shared" si="229"/>
        <v>1</v>
      </c>
      <c r="O194" t="str">
        <f>"9997"</f>
        <v>9997</v>
      </c>
      <c r="P194" t="str">
        <f>"S"</f>
        <v>S</v>
      </c>
      <c r="Q194" t="str">
        <f>"CCF009"</f>
        <v>CCF009</v>
      </c>
      <c r="R194" t="str">
        <f t="shared" si="226"/>
        <v>6</v>
      </c>
      <c r="S194" t="str">
        <f>""</f>
        <v/>
      </c>
      <c r="T194" t="str">
        <f t="shared" si="183"/>
        <v xml:space="preserve">                                                                                                    </v>
      </c>
      <c r="U194" t="str">
        <f>"2         "</f>
        <v xml:space="preserve">2         </v>
      </c>
      <c r="V194" t="str">
        <f t="shared" si="213"/>
        <v>2</v>
      </c>
      <c r="W194" t="str">
        <f t="shared" si="213"/>
        <v>2</v>
      </c>
      <c r="X194" t="str">
        <f t="shared" si="223"/>
        <v>2</v>
      </c>
      <c r="Y194" t="str">
        <f t="shared" si="214"/>
        <v>2</v>
      </c>
      <c r="Z194" t="str">
        <f t="shared" si="214"/>
        <v>2</v>
      </c>
      <c r="AA194" t="str">
        <f t="shared" ref="AA194:AA257" si="237">"          "</f>
        <v xml:space="preserve">          </v>
      </c>
      <c r="AB194" t="str">
        <f t="shared" si="227"/>
        <v>2</v>
      </c>
      <c r="AC194" t="str">
        <f t="shared" si="230"/>
        <v>2</v>
      </c>
      <c r="AD194" t="str">
        <f t="shared" si="216"/>
        <v>2</v>
      </c>
      <c r="AE194" t="str">
        <f t="shared" si="216"/>
        <v>2</v>
      </c>
      <c r="AF194" t="str">
        <f t="shared" si="216"/>
        <v>2</v>
      </c>
      <c r="AG194" t="str">
        <f t="shared" si="216"/>
        <v>2</v>
      </c>
      <c r="AH194" t="str">
        <f t="shared" si="224"/>
        <v>1</v>
      </c>
      <c r="AI194" t="str">
        <f>"1         "</f>
        <v xml:space="preserve">1         </v>
      </c>
      <c r="AJ194" t="str">
        <f t="shared" si="201"/>
        <v>170</v>
      </c>
      <c r="AK194" t="str">
        <f>"15"</f>
        <v>15</v>
      </c>
      <c r="AL194" t="str">
        <f>"759"</f>
        <v>759</v>
      </c>
      <c r="AM194" t="str">
        <f>"11"</f>
        <v>11</v>
      </c>
      <c r="AN194" t="str">
        <f>"11001"</f>
        <v>11001</v>
      </c>
      <c r="AO194" t="str">
        <f>"31/05/2020 12:00:00 a. m."</f>
        <v>31/05/2020 12:00:00 a. m.</v>
      </c>
      <c r="AP194" t="str">
        <f>"30/04/2020 12:00:00 a. m."</f>
        <v>30/04/2020 12:00:00 a. m.</v>
      </c>
      <c r="AQ194" t="str">
        <f t="shared" si="233"/>
        <v>3</v>
      </c>
      <c r="AR194" t="str">
        <f t="shared" si="231"/>
        <v>1</v>
      </c>
      <c r="AS194" t="str">
        <f>"31/05/2020 12:00:00 a. m."</f>
        <v>31/05/2020 12:00:00 a. m.</v>
      </c>
      <c r="AT194" t="str">
        <f t="shared" ref="AT194:AT202" si="238">"1"</f>
        <v>1</v>
      </c>
      <c r="AU194" t="str">
        <f>""</f>
        <v/>
      </c>
      <c r="AV194" t="str">
        <f t="shared" si="234"/>
        <v>0</v>
      </c>
      <c r="AW194" t="str">
        <f>"2/02/2007 12:00:00 a. m."</f>
        <v>2/02/2007 12:00:00 a. m.</v>
      </c>
      <c r="AX194" t="str">
        <f>""</f>
        <v/>
      </c>
      <c r="AY194" t="str">
        <f t="shared" ref="AY194:AY257" si="239">"30/04/2021 12:00:00 a. m."</f>
        <v>30/04/2021 12:00:00 a. m.</v>
      </c>
      <c r="AZ194" t="str">
        <f>"17/06/2020 12:00:00 a. m."</f>
        <v>17/06/2020 12:00:00 a. m.</v>
      </c>
      <c r="BA194" t="str">
        <f>""</f>
        <v/>
      </c>
      <c r="BB194" t="str">
        <f>""</f>
        <v/>
      </c>
      <c r="BC194" t="str">
        <f>""</f>
        <v/>
      </c>
      <c r="BD194" t="str">
        <f t="shared" si="219"/>
        <v>1</v>
      </c>
      <c r="BE194" t="str">
        <f t="shared" si="219"/>
        <v>1</v>
      </c>
      <c r="BF194" t="str">
        <f t="shared" ref="BF194:BF257" si="240">"3         "</f>
        <v xml:space="preserve">3         </v>
      </c>
      <c r="BG194" t="str">
        <f t="shared" ref="BG194:BG257" si="241">"Confirmado por laboratorio"</f>
        <v>Confirmado por laboratorio</v>
      </c>
      <c r="BH194" t="str">
        <f>"FUNDACION HOSPITAL DE LA MISERICORDIA"</f>
        <v>FUNDACION HOSPITAL DE LA MISERICORDIA</v>
      </c>
      <c r="BI194" t="str">
        <f t="shared" si="202"/>
        <v>COLOMBIA</v>
      </c>
      <c r="BJ194" t="str">
        <f t="shared" ref="BJ194:BJ257" si="242">"CANCER INFANTIL"</f>
        <v>CANCER INFANTIL</v>
      </c>
      <c r="BK194" t="str">
        <f>"BOYACA"</f>
        <v>BOYACA</v>
      </c>
      <c r="BL194" t="str">
        <f>"SOGAMOSO"</f>
        <v>SOGAMOSO</v>
      </c>
      <c r="BM194" t="str">
        <f t="shared" si="203"/>
        <v>COLOMBIA</v>
      </c>
      <c r="BN194" t="str">
        <f>"BOYACA"</f>
        <v>BOYACA</v>
      </c>
      <c r="BO194" t="str">
        <f>"SOGAMOSO"</f>
        <v>SOGAMOSO</v>
      </c>
      <c r="BP194" t="str">
        <f>"BOGOTA"</f>
        <v>BOGOTA</v>
      </c>
      <c r="BQ194" t="str">
        <f>"BOGOTA"</f>
        <v>BOGOTA</v>
      </c>
    </row>
    <row r="195" spans="1:69" x14ac:dyDescent="0.25">
      <c r="A195" t="str">
        <f>"7285831"</f>
        <v>7285831</v>
      </c>
      <c r="B195" t="str">
        <f t="shared" si="235"/>
        <v>459</v>
      </c>
      <c r="C195" t="str">
        <f>"5/02/2021 12:00:00 a. m."</f>
        <v>5/02/2021 12:00:00 a. m.</v>
      </c>
      <c r="D195" t="str">
        <f>"45"</f>
        <v>45</v>
      </c>
      <c r="E195" t="str">
        <f t="shared" si="236"/>
        <v>2020</v>
      </c>
      <c r="F195" t="str">
        <f>"1300100568"</f>
        <v>1300100568</v>
      </c>
      <c r="G195" t="str">
        <f t="shared" si="228"/>
        <v>01</v>
      </c>
      <c r="H195" t="str">
        <f>"14"</f>
        <v>14</v>
      </c>
      <c r="I195" t="str">
        <f t="shared" si="217"/>
        <v>1</v>
      </c>
      <c r="J195" t="str">
        <f>"M"</f>
        <v>M</v>
      </c>
      <c r="K195" t="str">
        <f t="shared" si="198"/>
        <v>170</v>
      </c>
      <c r="L195" t="str">
        <f>"13"</f>
        <v>13</v>
      </c>
      <c r="M195" t="str">
        <f>"001"</f>
        <v>001</v>
      </c>
      <c r="N195" t="str">
        <f t="shared" si="229"/>
        <v>1</v>
      </c>
      <c r="O195" t="str">
        <f>"9998"</f>
        <v>9998</v>
      </c>
      <c r="P195" t="str">
        <f>"S"</f>
        <v>S</v>
      </c>
      <c r="Q195" t="str">
        <f>"EPSS10"</f>
        <v>EPSS10</v>
      </c>
      <c r="R195" t="str">
        <f t="shared" si="226"/>
        <v>6</v>
      </c>
      <c r="S195" t="str">
        <f>""</f>
        <v/>
      </c>
      <c r="T195" t="str">
        <f t="shared" si="183"/>
        <v xml:space="preserve">                                                                                                    </v>
      </c>
      <c r="U195" t="str">
        <f>"3         "</f>
        <v xml:space="preserve">3         </v>
      </c>
      <c r="V195" t="str">
        <f t="shared" si="213"/>
        <v>2</v>
      </c>
      <c r="W195" t="str">
        <f t="shared" si="213"/>
        <v>2</v>
      </c>
      <c r="X195" t="str">
        <f t="shared" si="223"/>
        <v>2</v>
      </c>
      <c r="Y195" t="str">
        <f t="shared" si="214"/>
        <v>2</v>
      </c>
      <c r="Z195" t="str">
        <f t="shared" si="214"/>
        <v>2</v>
      </c>
      <c r="AA195" t="str">
        <f t="shared" si="237"/>
        <v xml:space="preserve">          </v>
      </c>
      <c r="AB195" t="str">
        <f t="shared" si="227"/>
        <v>2</v>
      </c>
      <c r="AC195" t="str">
        <f t="shared" si="230"/>
        <v>2</v>
      </c>
      <c r="AD195" t="str">
        <f t="shared" si="216"/>
        <v>2</v>
      </c>
      <c r="AE195" t="str">
        <f t="shared" si="216"/>
        <v>2</v>
      </c>
      <c r="AF195" t="str">
        <f t="shared" si="216"/>
        <v>2</v>
      </c>
      <c r="AG195" t="str">
        <f t="shared" si="216"/>
        <v>2</v>
      </c>
      <c r="AH195" t="str">
        <f t="shared" si="224"/>
        <v>1</v>
      </c>
      <c r="AI195" t="str">
        <f>"1         "</f>
        <v xml:space="preserve">1         </v>
      </c>
      <c r="AJ195" t="str">
        <f t="shared" si="201"/>
        <v>170</v>
      </c>
      <c r="AK195" t="str">
        <f>"13"</f>
        <v>13</v>
      </c>
      <c r="AL195" t="str">
        <f>"001"</f>
        <v>001</v>
      </c>
      <c r="AM195" t="str">
        <f>"13"</f>
        <v>13</v>
      </c>
      <c r="AN195" t="str">
        <f>"13001"</f>
        <v>13001</v>
      </c>
      <c r="AO195" t="str">
        <f>"5/11/2020 12:00:00 a. m."</f>
        <v>5/11/2020 12:00:00 a. m.</v>
      </c>
      <c r="AP195" t="str">
        <f>"4/10/2020 12:00:00 a. m."</f>
        <v>4/10/2020 12:00:00 a. m.</v>
      </c>
      <c r="AQ195" t="str">
        <f t="shared" si="233"/>
        <v>3</v>
      </c>
      <c r="AR195" t="str">
        <f t="shared" si="231"/>
        <v>1</v>
      </c>
      <c r="AS195" t="str">
        <f>"5/11/2020 12:00:00 a. m."</f>
        <v>5/11/2020 12:00:00 a. m.</v>
      </c>
      <c r="AT195" t="str">
        <f t="shared" si="238"/>
        <v>1</v>
      </c>
      <c r="AU195" t="str">
        <f>""</f>
        <v/>
      </c>
      <c r="AV195" t="str">
        <f t="shared" si="234"/>
        <v>0</v>
      </c>
      <c r="AW195" t="str">
        <f>"25/09/2006 12:00:00 a. m."</f>
        <v>25/09/2006 12:00:00 a. m.</v>
      </c>
      <c r="AX195" t="str">
        <f>""</f>
        <v/>
      </c>
      <c r="AY195" t="str">
        <f t="shared" si="239"/>
        <v>30/04/2021 12:00:00 a. m.</v>
      </c>
      <c r="AZ195" t="str">
        <f>"5/02/2021 12:00:00 a. m."</f>
        <v>5/02/2021 12:00:00 a. m.</v>
      </c>
      <c r="BA195" t="str">
        <f>""</f>
        <v/>
      </c>
      <c r="BB195" t="str">
        <f>""</f>
        <v/>
      </c>
      <c r="BC195" t="str">
        <f>""</f>
        <v/>
      </c>
      <c r="BD195" t="str">
        <f t="shared" si="219"/>
        <v>1</v>
      </c>
      <c r="BE195" t="str">
        <f t="shared" si="219"/>
        <v>1</v>
      </c>
      <c r="BF195" t="str">
        <f t="shared" si="240"/>
        <v xml:space="preserve">3         </v>
      </c>
      <c r="BG195" t="str">
        <f t="shared" si="241"/>
        <v>Confirmado por laboratorio</v>
      </c>
      <c r="BH195" t="str">
        <f>"CLINICA BLAS DE LEZO S.A."</f>
        <v>CLINICA BLAS DE LEZO S.A.</v>
      </c>
      <c r="BI195" t="str">
        <f t="shared" si="202"/>
        <v>COLOMBIA</v>
      </c>
      <c r="BJ195" t="str">
        <f t="shared" si="242"/>
        <v>CANCER INFANTIL</v>
      </c>
      <c r="BK195" t="str">
        <f>"BOLIVAR"</f>
        <v>BOLIVAR</v>
      </c>
      <c r="BL195" t="str">
        <f>"CARTAGENA"</f>
        <v>CARTAGENA</v>
      </c>
      <c r="BM195" t="str">
        <f t="shared" si="203"/>
        <v>COLOMBIA</v>
      </c>
      <c r="BN195" t="str">
        <f>"BOLIVAR"</f>
        <v>BOLIVAR</v>
      </c>
      <c r="BO195" t="str">
        <f>"CARTAGENA"</f>
        <v>CARTAGENA</v>
      </c>
      <c r="BP195" t="str">
        <f>"BOLIVAR"</f>
        <v>BOLIVAR</v>
      </c>
      <c r="BQ195" t="str">
        <f>"CARTAGENA"</f>
        <v>CARTAGENA</v>
      </c>
    </row>
    <row r="196" spans="1:69" x14ac:dyDescent="0.25">
      <c r="A196" t="str">
        <f>"7285833"</f>
        <v>7285833</v>
      </c>
      <c r="B196" t="str">
        <f t="shared" si="235"/>
        <v>459</v>
      </c>
      <c r="C196" t="str">
        <f>"8/10/2020 12:00:00 a. m."</f>
        <v>8/10/2020 12:00:00 a. m.</v>
      </c>
      <c r="D196" t="str">
        <f>"39"</f>
        <v>39</v>
      </c>
      <c r="E196" t="str">
        <f t="shared" si="236"/>
        <v>2020</v>
      </c>
      <c r="F196" t="str">
        <f>"1300100568"</f>
        <v>1300100568</v>
      </c>
      <c r="G196" t="str">
        <f t="shared" si="228"/>
        <v>01</v>
      </c>
      <c r="H196" t="str">
        <f>"9"</f>
        <v>9</v>
      </c>
      <c r="I196" t="str">
        <f t="shared" si="217"/>
        <v>1</v>
      </c>
      <c r="J196" t="str">
        <f>"M"</f>
        <v>M</v>
      </c>
      <c r="K196" t="str">
        <f t="shared" si="198"/>
        <v>170</v>
      </c>
      <c r="L196" t="str">
        <f>"13"</f>
        <v>13</v>
      </c>
      <c r="M196" t="str">
        <f>"001"</f>
        <v>001</v>
      </c>
      <c r="N196" t="str">
        <f t="shared" si="229"/>
        <v>1</v>
      </c>
      <c r="O196" t="str">
        <f>"9998"</f>
        <v>9998</v>
      </c>
      <c r="P196" t="str">
        <f>"C"</f>
        <v>C</v>
      </c>
      <c r="Q196" t="str">
        <f>"EPS002"</f>
        <v>EPS002</v>
      </c>
      <c r="R196" t="str">
        <f t="shared" si="226"/>
        <v>6</v>
      </c>
      <c r="S196" t="str">
        <f>""</f>
        <v/>
      </c>
      <c r="T196" t="str">
        <f t="shared" si="183"/>
        <v xml:space="preserve">                                                                                                    </v>
      </c>
      <c r="U196" t="str">
        <f>"3         "</f>
        <v xml:space="preserve">3         </v>
      </c>
      <c r="V196" t="str">
        <f t="shared" si="213"/>
        <v>2</v>
      </c>
      <c r="W196" t="str">
        <f t="shared" si="213"/>
        <v>2</v>
      </c>
      <c r="X196" t="str">
        <f t="shared" si="223"/>
        <v>2</v>
      </c>
      <c r="Y196" t="str">
        <f t="shared" si="214"/>
        <v>2</v>
      </c>
      <c r="Z196" t="str">
        <f t="shared" si="214"/>
        <v>2</v>
      </c>
      <c r="AA196" t="str">
        <f t="shared" si="237"/>
        <v xml:space="preserve">          </v>
      </c>
      <c r="AB196" t="str">
        <f t="shared" si="227"/>
        <v>2</v>
      </c>
      <c r="AC196" t="str">
        <f t="shared" si="230"/>
        <v>2</v>
      </c>
      <c r="AD196" t="str">
        <f t="shared" si="216"/>
        <v>2</v>
      </c>
      <c r="AE196" t="str">
        <f t="shared" si="216"/>
        <v>2</v>
      </c>
      <c r="AF196" t="str">
        <f t="shared" si="216"/>
        <v>2</v>
      </c>
      <c r="AG196" t="str">
        <f t="shared" si="216"/>
        <v>2</v>
      </c>
      <c r="AH196" t="str">
        <f t="shared" si="224"/>
        <v>1</v>
      </c>
      <c r="AI196" t="str">
        <f>"1         "</f>
        <v xml:space="preserve">1         </v>
      </c>
      <c r="AJ196" t="str">
        <f t="shared" si="201"/>
        <v>170</v>
      </c>
      <c r="AK196" t="str">
        <f>"13"</f>
        <v>13</v>
      </c>
      <c r="AL196" t="str">
        <f>"001"</f>
        <v>001</v>
      </c>
      <c r="AM196" t="str">
        <f>"13"</f>
        <v>13</v>
      </c>
      <c r="AN196" t="str">
        <f>"13001"</f>
        <v>13001</v>
      </c>
      <c r="AO196" t="str">
        <f>"24/09/2020 12:00:00 a. m."</f>
        <v>24/09/2020 12:00:00 a. m.</v>
      </c>
      <c r="AP196" t="str">
        <f>"21/09/2020 12:00:00 a. m."</f>
        <v>21/09/2020 12:00:00 a. m.</v>
      </c>
      <c r="AQ196" t="str">
        <f t="shared" si="233"/>
        <v>3</v>
      </c>
      <c r="AR196" t="str">
        <f t="shared" si="231"/>
        <v>1</v>
      </c>
      <c r="AS196" t="str">
        <f>"24/09/2020 12:00:00 a. m."</f>
        <v>24/09/2020 12:00:00 a. m.</v>
      </c>
      <c r="AT196" t="str">
        <f t="shared" si="238"/>
        <v>1</v>
      </c>
      <c r="AU196" t="str">
        <f>""</f>
        <v/>
      </c>
      <c r="AV196" t="str">
        <f t="shared" si="234"/>
        <v>0</v>
      </c>
      <c r="AW196" t="str">
        <f>"5/08/2011 12:00:00 a. m."</f>
        <v>5/08/2011 12:00:00 a. m.</v>
      </c>
      <c r="AX196" t="str">
        <f>""</f>
        <v/>
      </c>
      <c r="AY196" t="str">
        <f t="shared" si="239"/>
        <v>30/04/2021 12:00:00 a. m.</v>
      </c>
      <c r="AZ196" t="str">
        <f>"9/10/2020 12:00:00 a. m."</f>
        <v>9/10/2020 12:00:00 a. m.</v>
      </c>
      <c r="BA196" t="str">
        <f>""</f>
        <v/>
      </c>
      <c r="BB196" t="str">
        <f>""</f>
        <v/>
      </c>
      <c r="BC196" t="str">
        <f>""</f>
        <v/>
      </c>
      <c r="BD196" t="str">
        <f t="shared" si="219"/>
        <v>1</v>
      </c>
      <c r="BE196" t="str">
        <f t="shared" si="219"/>
        <v>1</v>
      </c>
      <c r="BF196" t="str">
        <f t="shared" si="240"/>
        <v xml:space="preserve">3         </v>
      </c>
      <c r="BG196" t="str">
        <f t="shared" si="241"/>
        <v>Confirmado por laboratorio</v>
      </c>
      <c r="BH196" t="str">
        <f>"CLINICA BLAS DE LEZO S.A."</f>
        <v>CLINICA BLAS DE LEZO S.A.</v>
      </c>
      <c r="BI196" t="str">
        <f t="shared" si="202"/>
        <v>COLOMBIA</v>
      </c>
      <c r="BJ196" t="str">
        <f t="shared" si="242"/>
        <v>CANCER INFANTIL</v>
      </c>
      <c r="BK196" t="str">
        <f>"BOLIVAR"</f>
        <v>BOLIVAR</v>
      </c>
      <c r="BL196" t="str">
        <f>"CARTAGENA"</f>
        <v>CARTAGENA</v>
      </c>
      <c r="BM196" t="str">
        <f t="shared" si="203"/>
        <v>COLOMBIA</v>
      </c>
      <c r="BN196" t="str">
        <f>"BOLIVAR"</f>
        <v>BOLIVAR</v>
      </c>
      <c r="BO196" t="str">
        <f>"CARTAGENA"</f>
        <v>CARTAGENA</v>
      </c>
      <c r="BP196" t="str">
        <f>"BOLIVAR"</f>
        <v>BOLIVAR</v>
      </c>
      <c r="BQ196" t="str">
        <f>"CARTAGENA"</f>
        <v>CARTAGENA</v>
      </c>
    </row>
    <row r="197" spans="1:69" x14ac:dyDescent="0.25">
      <c r="A197" t="str">
        <f>"7285835"</f>
        <v>7285835</v>
      </c>
      <c r="B197" t="str">
        <f t="shared" si="235"/>
        <v>459</v>
      </c>
      <c r="C197" t="str">
        <f>"5/09/2020 12:00:00 a. m."</f>
        <v>5/09/2020 12:00:00 a. m.</v>
      </c>
      <c r="D197" t="str">
        <f>"26"</f>
        <v>26</v>
      </c>
      <c r="E197" t="str">
        <f t="shared" si="236"/>
        <v>2020</v>
      </c>
      <c r="F197" t="str">
        <f>"1300100568"</f>
        <v>1300100568</v>
      </c>
      <c r="G197" t="str">
        <f t="shared" si="228"/>
        <v>01</v>
      </c>
      <c r="H197" t="str">
        <f>"1"</f>
        <v>1</v>
      </c>
      <c r="I197" t="str">
        <f t="shared" si="217"/>
        <v>1</v>
      </c>
      <c r="J197" t="str">
        <f>"F"</f>
        <v>F</v>
      </c>
      <c r="K197" t="str">
        <f t="shared" si="198"/>
        <v>170</v>
      </c>
      <c r="L197" t="str">
        <f>"13"</f>
        <v>13</v>
      </c>
      <c r="M197" t="str">
        <f>"001"</f>
        <v>001</v>
      </c>
      <c r="N197" t="str">
        <f t="shared" si="229"/>
        <v>1</v>
      </c>
      <c r="O197" t="str">
        <f>"9999"</f>
        <v>9999</v>
      </c>
      <c r="P197" t="str">
        <f>"C"</f>
        <v>C</v>
      </c>
      <c r="Q197" t="str">
        <f>"EPS002"</f>
        <v>EPS002</v>
      </c>
      <c r="R197" t="str">
        <f t="shared" si="226"/>
        <v>6</v>
      </c>
      <c r="S197" t="str">
        <f>""</f>
        <v/>
      </c>
      <c r="T197" t="str">
        <f t="shared" si="183"/>
        <v xml:space="preserve">                                                                                                    </v>
      </c>
      <c r="U197" t="str">
        <f>"2         "</f>
        <v xml:space="preserve">2         </v>
      </c>
      <c r="V197" t="str">
        <f t="shared" si="213"/>
        <v>2</v>
      </c>
      <c r="W197" t="str">
        <f t="shared" si="213"/>
        <v>2</v>
      </c>
      <c r="X197" t="str">
        <f t="shared" si="223"/>
        <v>2</v>
      </c>
      <c r="Y197" t="str">
        <f t="shared" si="214"/>
        <v>2</v>
      </c>
      <c r="Z197" t="str">
        <f t="shared" si="214"/>
        <v>2</v>
      </c>
      <c r="AA197" t="str">
        <f t="shared" si="237"/>
        <v xml:space="preserve">          </v>
      </c>
      <c r="AB197" t="str">
        <f t="shared" si="227"/>
        <v>2</v>
      </c>
      <c r="AC197" t="str">
        <f t="shared" si="230"/>
        <v>2</v>
      </c>
      <c r="AD197" t="str">
        <f t="shared" si="216"/>
        <v>2</v>
      </c>
      <c r="AE197" t="str">
        <f t="shared" si="216"/>
        <v>2</v>
      </c>
      <c r="AF197" t="str">
        <f t="shared" si="216"/>
        <v>2</v>
      </c>
      <c r="AG197" t="str">
        <f t="shared" si="216"/>
        <v>2</v>
      </c>
      <c r="AH197" t="str">
        <f t="shared" si="224"/>
        <v>1</v>
      </c>
      <c r="AI197" t="str">
        <f>"1         "</f>
        <v xml:space="preserve">1         </v>
      </c>
      <c r="AJ197" t="str">
        <f t="shared" si="201"/>
        <v>170</v>
      </c>
      <c r="AK197" t="str">
        <f>"13"</f>
        <v>13</v>
      </c>
      <c r="AL197" t="str">
        <f>"001"</f>
        <v>001</v>
      </c>
      <c r="AM197" t="str">
        <f>"13"</f>
        <v>13</v>
      </c>
      <c r="AN197" t="str">
        <f>"13001"</f>
        <v>13001</v>
      </c>
      <c r="AO197" t="str">
        <f>"27/06/2020 12:00:00 a. m."</f>
        <v>27/06/2020 12:00:00 a. m.</v>
      </c>
      <c r="AP197" t="str">
        <f>"24/06/2020 12:00:00 a. m."</f>
        <v>24/06/2020 12:00:00 a. m.</v>
      </c>
      <c r="AQ197" t="str">
        <f t="shared" si="233"/>
        <v>3</v>
      </c>
      <c r="AR197" t="str">
        <f t="shared" si="231"/>
        <v>1</v>
      </c>
      <c r="AS197" t="str">
        <f>"27/06/2020 12:00:00 a. m."</f>
        <v>27/06/2020 12:00:00 a. m.</v>
      </c>
      <c r="AT197" t="str">
        <f t="shared" si="238"/>
        <v>1</v>
      </c>
      <c r="AU197" t="str">
        <f>""</f>
        <v/>
      </c>
      <c r="AV197" t="str">
        <f t="shared" si="234"/>
        <v>0</v>
      </c>
      <c r="AW197" t="str">
        <f>"22/03/2019 12:00:00 a. m."</f>
        <v>22/03/2019 12:00:00 a. m.</v>
      </c>
      <c r="AX197" t="str">
        <f>""</f>
        <v/>
      </c>
      <c r="AY197" t="str">
        <f t="shared" si="239"/>
        <v>30/04/2021 12:00:00 a. m.</v>
      </c>
      <c r="AZ197" t="str">
        <f>"7/09/2020 12:00:00 a. m."</f>
        <v>7/09/2020 12:00:00 a. m.</v>
      </c>
      <c r="BA197" t="str">
        <f>""</f>
        <v/>
      </c>
      <c r="BB197" t="str">
        <f>""</f>
        <v/>
      </c>
      <c r="BC197" t="str">
        <f>""</f>
        <v/>
      </c>
      <c r="BD197" t="str">
        <f t="shared" si="219"/>
        <v>1</v>
      </c>
      <c r="BE197" t="str">
        <f t="shared" si="219"/>
        <v>1</v>
      </c>
      <c r="BF197" t="str">
        <f t="shared" si="240"/>
        <v xml:space="preserve">3         </v>
      </c>
      <c r="BG197" t="str">
        <f t="shared" si="241"/>
        <v>Confirmado por laboratorio</v>
      </c>
      <c r="BH197" t="str">
        <f>"CLINICA BLAS DE LEZO S.A."</f>
        <v>CLINICA BLAS DE LEZO S.A.</v>
      </c>
      <c r="BI197" t="str">
        <f t="shared" si="202"/>
        <v>COLOMBIA</v>
      </c>
      <c r="BJ197" t="str">
        <f t="shared" si="242"/>
        <v>CANCER INFANTIL</v>
      </c>
      <c r="BK197" t="str">
        <f>"BOLIVAR"</f>
        <v>BOLIVAR</v>
      </c>
      <c r="BL197" t="str">
        <f>"CARTAGENA"</f>
        <v>CARTAGENA</v>
      </c>
      <c r="BM197" t="str">
        <f t="shared" si="203"/>
        <v>COLOMBIA</v>
      </c>
      <c r="BN197" t="str">
        <f>"BOLIVAR"</f>
        <v>BOLIVAR</v>
      </c>
      <c r="BO197" t="str">
        <f>"CARTAGENA"</f>
        <v>CARTAGENA</v>
      </c>
      <c r="BP197" t="str">
        <f>"BOLIVAR"</f>
        <v>BOLIVAR</v>
      </c>
      <c r="BQ197" t="str">
        <f>"CARTAGENA"</f>
        <v>CARTAGENA</v>
      </c>
    </row>
    <row r="198" spans="1:69" x14ac:dyDescent="0.25">
      <c r="A198" t="str">
        <f>"7285776"</f>
        <v>7285776</v>
      </c>
      <c r="B198" t="str">
        <f t="shared" si="235"/>
        <v>459</v>
      </c>
      <c r="C198" t="str">
        <f>"25/08/2020 12:00:00 a. m."</f>
        <v>25/08/2020 12:00:00 a. m.</v>
      </c>
      <c r="D198" t="str">
        <f>"27"</f>
        <v>27</v>
      </c>
      <c r="E198" t="str">
        <f t="shared" si="236"/>
        <v>2020</v>
      </c>
      <c r="F198" t="str">
        <f>"5400100371"</f>
        <v>5400100371</v>
      </c>
      <c r="G198" t="str">
        <f t="shared" si="228"/>
        <v>01</v>
      </c>
      <c r="H198" t="str">
        <f>"3"</f>
        <v>3</v>
      </c>
      <c r="I198" t="str">
        <f t="shared" si="217"/>
        <v>1</v>
      </c>
      <c r="J198" t="str">
        <f>"F"</f>
        <v>F</v>
      </c>
      <c r="K198" t="str">
        <f t="shared" ref="K198:K229" si="243">"170"</f>
        <v>170</v>
      </c>
      <c r="L198" t="str">
        <f>"54"</f>
        <v>54</v>
      </c>
      <c r="M198" t="str">
        <f>"874"</f>
        <v>874</v>
      </c>
      <c r="N198" t="str">
        <f t="shared" si="229"/>
        <v>1</v>
      </c>
      <c r="O198" t="str">
        <f>"9999"</f>
        <v>9999</v>
      </c>
      <c r="P198" t="str">
        <f>"N"</f>
        <v>N</v>
      </c>
      <c r="Q198" t="str">
        <f>""</f>
        <v/>
      </c>
      <c r="R198" t="str">
        <f t="shared" si="226"/>
        <v>6</v>
      </c>
      <c r="S198" t="str">
        <f>""</f>
        <v/>
      </c>
      <c r="T198" t="str">
        <f t="shared" si="183"/>
        <v xml:space="preserve">                                                                                                    </v>
      </c>
      <c r="U198" t="str">
        <f>"2         "</f>
        <v xml:space="preserve">2         </v>
      </c>
      <c r="V198" t="str">
        <f t="shared" si="213"/>
        <v>2</v>
      </c>
      <c r="W198" t="str">
        <f t="shared" si="213"/>
        <v>2</v>
      </c>
      <c r="X198" t="str">
        <f>"1"</f>
        <v>1</v>
      </c>
      <c r="Y198" t="str">
        <f t="shared" si="214"/>
        <v>2</v>
      </c>
      <c r="Z198" t="str">
        <f t="shared" si="214"/>
        <v>2</v>
      </c>
      <c r="AA198" t="str">
        <f t="shared" si="237"/>
        <v xml:space="preserve">          </v>
      </c>
      <c r="AB198" t="str">
        <f t="shared" si="227"/>
        <v>2</v>
      </c>
      <c r="AC198" t="str">
        <f t="shared" si="230"/>
        <v>2</v>
      </c>
      <c r="AD198" t="str">
        <f t="shared" si="216"/>
        <v>2</v>
      </c>
      <c r="AE198" t="str">
        <f t="shared" si="216"/>
        <v>2</v>
      </c>
      <c r="AF198" t="str">
        <f t="shared" si="216"/>
        <v>2</v>
      </c>
      <c r="AG198" t="str">
        <f t="shared" si="216"/>
        <v>2</v>
      </c>
      <c r="AH198" t="str">
        <f>"2"</f>
        <v>2</v>
      </c>
      <c r="AI198" t="str">
        <f>"2         "</f>
        <v xml:space="preserve">2         </v>
      </c>
      <c r="AJ198" t="str">
        <f t="shared" ref="AJ198:AJ229" si="244">"170"</f>
        <v>170</v>
      </c>
      <c r="AK198" t="str">
        <f>"54"</f>
        <v>54</v>
      </c>
      <c r="AL198" t="str">
        <f>"874"</f>
        <v>874</v>
      </c>
      <c r="AM198" t="str">
        <f>"54"</f>
        <v>54</v>
      </c>
      <c r="AN198" t="str">
        <f>"54001"</f>
        <v>54001</v>
      </c>
      <c r="AO198" t="str">
        <f>"2/07/2020 12:00:00 a. m."</f>
        <v>2/07/2020 12:00:00 a. m.</v>
      </c>
      <c r="AP198" t="str">
        <f>"18/06/2020 12:00:00 a. m."</f>
        <v>18/06/2020 12:00:00 a. m.</v>
      </c>
      <c r="AQ198" t="str">
        <f t="shared" si="233"/>
        <v>3</v>
      </c>
      <c r="AR198" t="str">
        <f t="shared" si="231"/>
        <v>1</v>
      </c>
      <c r="AS198" t="str">
        <f>"2/07/2020 12:00:00 a. m."</f>
        <v>2/07/2020 12:00:00 a. m.</v>
      </c>
      <c r="AT198" t="str">
        <f t="shared" si="238"/>
        <v>1</v>
      </c>
      <c r="AU198" t="str">
        <f>""</f>
        <v/>
      </c>
      <c r="AV198" t="str">
        <f t="shared" si="234"/>
        <v>0</v>
      </c>
      <c r="AW198" t="str">
        <f>"21/12/2016 12:00:00 a. m."</f>
        <v>21/12/2016 12:00:00 a. m.</v>
      </c>
      <c r="AX198" t="str">
        <f>""</f>
        <v/>
      </c>
      <c r="AY198" t="str">
        <f t="shared" si="239"/>
        <v>30/04/2021 12:00:00 a. m.</v>
      </c>
      <c r="AZ198" t="str">
        <f>"28/08/2020 12:00:00 a. m."</f>
        <v>28/08/2020 12:00:00 a. m.</v>
      </c>
      <c r="BA198" t="str">
        <f>""</f>
        <v/>
      </c>
      <c r="BB198" t="str">
        <f>""</f>
        <v/>
      </c>
      <c r="BC198" t="str">
        <f>""</f>
        <v/>
      </c>
      <c r="BD198" t="str">
        <f t="shared" si="219"/>
        <v>1</v>
      </c>
      <c r="BE198" t="str">
        <f t="shared" si="219"/>
        <v>1</v>
      </c>
      <c r="BF198" t="str">
        <f t="shared" si="240"/>
        <v xml:space="preserve">3         </v>
      </c>
      <c r="BG198" t="str">
        <f t="shared" si="241"/>
        <v>Confirmado por laboratorio</v>
      </c>
      <c r="BH198" t="str">
        <f>"EMPRESA SOCIAL DEL ESTADO HOSPITAL UNIVERSITARIO E"</f>
        <v>EMPRESA SOCIAL DEL ESTADO HOSPITAL UNIVERSITARIO E</v>
      </c>
      <c r="BI198" t="str">
        <f t="shared" ref="BI198:BI229" si="245">"COLOMBIA"</f>
        <v>COLOMBIA</v>
      </c>
      <c r="BJ198" t="str">
        <f t="shared" si="242"/>
        <v>CANCER INFANTIL</v>
      </c>
      <c r="BK198" t="str">
        <f>"NORTE SANTANDER"</f>
        <v>NORTE SANTANDER</v>
      </c>
      <c r="BL198" t="str">
        <f>"VILLA DEL ROSARIO"</f>
        <v>VILLA DEL ROSARIO</v>
      </c>
      <c r="BM198" t="str">
        <f t="shared" ref="BM198:BM229" si="246">"COLOMBIA"</f>
        <v>COLOMBIA</v>
      </c>
      <c r="BN198" t="str">
        <f>"NORTE SANTANDER"</f>
        <v>NORTE SANTANDER</v>
      </c>
      <c r="BO198" t="str">
        <f>"VILLA DEL ROSARIO"</f>
        <v>VILLA DEL ROSARIO</v>
      </c>
      <c r="BP198" t="str">
        <f>"NORTE SANTANDER"</f>
        <v>NORTE SANTANDER</v>
      </c>
      <c r="BQ198" t="str">
        <f>"CUCUTA"</f>
        <v>CUCUTA</v>
      </c>
    </row>
    <row r="199" spans="1:69" x14ac:dyDescent="0.25">
      <c r="A199" t="str">
        <f>"7285854"</f>
        <v>7285854</v>
      </c>
      <c r="B199" t="str">
        <f t="shared" si="235"/>
        <v>459</v>
      </c>
      <c r="C199" t="str">
        <f>"7/09/2020 12:00:00 a. m."</f>
        <v>7/09/2020 12:00:00 a. m.</v>
      </c>
      <c r="D199" t="str">
        <f>"31"</f>
        <v>31</v>
      </c>
      <c r="E199" t="str">
        <f t="shared" si="236"/>
        <v>2020</v>
      </c>
      <c r="F199" t="str">
        <f>"1300100568"</f>
        <v>1300100568</v>
      </c>
      <c r="G199" t="str">
        <f t="shared" si="228"/>
        <v>01</v>
      </c>
      <c r="H199" t="str">
        <f>"2"</f>
        <v>2</v>
      </c>
      <c r="I199" t="str">
        <f t="shared" si="217"/>
        <v>1</v>
      </c>
      <c r="J199" t="str">
        <f>"M"</f>
        <v>M</v>
      </c>
      <c r="K199" t="str">
        <f t="shared" si="243"/>
        <v>170</v>
      </c>
      <c r="L199" t="str">
        <f>"13"</f>
        <v>13</v>
      </c>
      <c r="M199" t="str">
        <f>"001"</f>
        <v>001</v>
      </c>
      <c r="N199" t="str">
        <f t="shared" si="229"/>
        <v>1</v>
      </c>
      <c r="O199" t="str">
        <f>"9999"</f>
        <v>9999</v>
      </c>
      <c r="P199" t="str">
        <f>"C"</f>
        <v>C</v>
      </c>
      <c r="Q199" t="str">
        <f>"EPS037"</f>
        <v>EPS037</v>
      </c>
      <c r="R199" t="str">
        <f t="shared" si="226"/>
        <v>6</v>
      </c>
      <c r="S199" t="str">
        <f>""</f>
        <v/>
      </c>
      <c r="T199" t="str">
        <f t="shared" si="183"/>
        <v xml:space="preserve">                                                                                                    </v>
      </c>
      <c r="U199" t="str">
        <f>"2         "</f>
        <v xml:space="preserve">2         </v>
      </c>
      <c r="V199" t="str">
        <f t="shared" ref="V199:W218" si="247">"2"</f>
        <v>2</v>
      </c>
      <c r="W199" t="str">
        <f t="shared" si="247"/>
        <v>2</v>
      </c>
      <c r="X199" t="str">
        <f t="shared" ref="X199:X211" si="248">"2"</f>
        <v>2</v>
      </c>
      <c r="Y199" t="str">
        <f t="shared" ref="Y199:Z218" si="249">"2"</f>
        <v>2</v>
      </c>
      <c r="Z199" t="str">
        <f t="shared" si="249"/>
        <v>2</v>
      </c>
      <c r="AA199" t="str">
        <f t="shared" si="237"/>
        <v xml:space="preserve">          </v>
      </c>
      <c r="AB199" t="str">
        <f t="shared" si="227"/>
        <v>2</v>
      </c>
      <c r="AC199" t="str">
        <f t="shared" si="230"/>
        <v>2</v>
      </c>
      <c r="AD199" t="str">
        <f t="shared" si="216"/>
        <v>2</v>
      </c>
      <c r="AE199" t="str">
        <f t="shared" si="216"/>
        <v>2</v>
      </c>
      <c r="AF199" t="str">
        <f t="shared" si="216"/>
        <v>2</v>
      </c>
      <c r="AG199" t="str">
        <f t="shared" si="216"/>
        <v>2</v>
      </c>
      <c r="AH199" t="str">
        <f t="shared" ref="AH199:AH211" si="250">"1"</f>
        <v>1</v>
      </c>
      <c r="AI199" t="str">
        <f t="shared" ref="AI199:AI206" si="251">"1         "</f>
        <v xml:space="preserve">1         </v>
      </c>
      <c r="AJ199" t="str">
        <f t="shared" si="244"/>
        <v>170</v>
      </c>
      <c r="AK199" t="str">
        <f>"13"</f>
        <v>13</v>
      </c>
      <c r="AL199" t="str">
        <f>"001"</f>
        <v>001</v>
      </c>
      <c r="AM199" t="str">
        <f>"13"</f>
        <v>13</v>
      </c>
      <c r="AN199" t="str">
        <f>"13001"</f>
        <v>13001</v>
      </c>
      <c r="AO199" t="str">
        <f>"29/07/2020 12:00:00 a. m."</f>
        <v>29/07/2020 12:00:00 a. m.</v>
      </c>
      <c r="AP199" t="str">
        <f>"8/07/2020 12:00:00 a. m."</f>
        <v>8/07/2020 12:00:00 a. m.</v>
      </c>
      <c r="AQ199" t="str">
        <f t="shared" si="233"/>
        <v>3</v>
      </c>
      <c r="AR199" t="str">
        <f t="shared" si="231"/>
        <v>1</v>
      </c>
      <c r="AS199" t="str">
        <f>"29/07/2020 12:00:00 a. m."</f>
        <v>29/07/2020 12:00:00 a. m.</v>
      </c>
      <c r="AT199" t="str">
        <f t="shared" si="238"/>
        <v>1</v>
      </c>
      <c r="AU199" t="str">
        <f>""</f>
        <v/>
      </c>
      <c r="AV199" t="str">
        <f t="shared" si="234"/>
        <v>0</v>
      </c>
      <c r="AW199" t="str">
        <f>"24/01/2018 12:00:00 a. m."</f>
        <v>24/01/2018 12:00:00 a. m.</v>
      </c>
      <c r="AX199" t="str">
        <f>""</f>
        <v/>
      </c>
      <c r="AY199" t="str">
        <f t="shared" si="239"/>
        <v>30/04/2021 12:00:00 a. m.</v>
      </c>
      <c r="AZ199" t="str">
        <f>"7/09/2020 12:00:00 a. m."</f>
        <v>7/09/2020 12:00:00 a. m.</v>
      </c>
      <c r="BA199" t="str">
        <f>""</f>
        <v/>
      </c>
      <c r="BB199" t="str">
        <f>""</f>
        <v/>
      </c>
      <c r="BC199" t="str">
        <f>""</f>
        <v/>
      </c>
      <c r="BD199" t="str">
        <f t="shared" si="219"/>
        <v>1</v>
      </c>
      <c r="BE199" t="str">
        <f t="shared" si="219"/>
        <v>1</v>
      </c>
      <c r="BF199" t="str">
        <f t="shared" si="240"/>
        <v xml:space="preserve">3         </v>
      </c>
      <c r="BG199" t="str">
        <f t="shared" si="241"/>
        <v>Confirmado por laboratorio</v>
      </c>
      <c r="BH199" t="str">
        <f>"CLINICA BLAS DE LEZO S.A."</f>
        <v>CLINICA BLAS DE LEZO S.A.</v>
      </c>
      <c r="BI199" t="str">
        <f t="shared" si="245"/>
        <v>COLOMBIA</v>
      </c>
      <c r="BJ199" t="str">
        <f t="shared" si="242"/>
        <v>CANCER INFANTIL</v>
      </c>
      <c r="BK199" t="str">
        <f>"BOLIVAR"</f>
        <v>BOLIVAR</v>
      </c>
      <c r="BL199" t="str">
        <f>"CARTAGENA"</f>
        <v>CARTAGENA</v>
      </c>
      <c r="BM199" t="str">
        <f t="shared" si="246"/>
        <v>COLOMBIA</v>
      </c>
      <c r="BN199" t="str">
        <f>"BOLIVAR"</f>
        <v>BOLIVAR</v>
      </c>
      <c r="BO199" t="str">
        <f>"CARTAGENA"</f>
        <v>CARTAGENA</v>
      </c>
      <c r="BP199" t="str">
        <f>"BOLIVAR"</f>
        <v>BOLIVAR</v>
      </c>
      <c r="BQ199" t="str">
        <f>"CARTAGENA"</f>
        <v>CARTAGENA</v>
      </c>
    </row>
    <row r="200" spans="1:69" x14ac:dyDescent="0.25">
      <c r="A200" t="str">
        <f>"7285614"</f>
        <v>7285614</v>
      </c>
      <c r="B200" t="str">
        <f t="shared" si="235"/>
        <v>459</v>
      </c>
      <c r="C200" t="str">
        <f>"18/12/2020 12:00:00 a. m."</f>
        <v>18/12/2020 12:00:00 a. m.</v>
      </c>
      <c r="D200" t="str">
        <f>"50"</f>
        <v>50</v>
      </c>
      <c r="E200" t="str">
        <f t="shared" si="236"/>
        <v>2020</v>
      </c>
      <c r="F200" t="str">
        <f>"2300100949"</f>
        <v>2300100949</v>
      </c>
      <c r="G200" t="str">
        <f t="shared" si="228"/>
        <v>01</v>
      </c>
      <c r="H200" t="str">
        <f>"17"</f>
        <v>17</v>
      </c>
      <c r="I200" t="str">
        <f t="shared" si="217"/>
        <v>1</v>
      </c>
      <c r="J200" t="str">
        <f>"M"</f>
        <v>M</v>
      </c>
      <c r="K200" t="str">
        <f t="shared" si="243"/>
        <v>170</v>
      </c>
      <c r="L200" t="str">
        <f>"70"</f>
        <v>70</v>
      </c>
      <c r="M200" t="str">
        <f>"001"</f>
        <v>001</v>
      </c>
      <c r="N200" t="str">
        <f t="shared" si="229"/>
        <v>1</v>
      </c>
      <c r="O200" t="str">
        <f>"9997"</f>
        <v>9997</v>
      </c>
      <c r="P200" t="str">
        <f>"C"</f>
        <v>C</v>
      </c>
      <c r="Q200" t="str">
        <f>"EPS041"</f>
        <v>EPS041</v>
      </c>
      <c r="R200" t="str">
        <f t="shared" si="226"/>
        <v>6</v>
      </c>
      <c r="S200" t="str">
        <f>""</f>
        <v/>
      </c>
      <c r="T200" t="str">
        <f t="shared" si="183"/>
        <v xml:space="preserve">                                                                                                    </v>
      </c>
      <c r="U200" t="str">
        <f>"2         "</f>
        <v xml:space="preserve">2         </v>
      </c>
      <c r="V200" t="str">
        <f t="shared" si="247"/>
        <v>2</v>
      </c>
      <c r="W200" t="str">
        <f t="shared" si="247"/>
        <v>2</v>
      </c>
      <c r="X200" t="str">
        <f t="shared" si="248"/>
        <v>2</v>
      </c>
      <c r="Y200" t="str">
        <f t="shared" si="249"/>
        <v>2</v>
      </c>
      <c r="Z200" t="str">
        <f t="shared" si="249"/>
        <v>2</v>
      </c>
      <c r="AA200" t="str">
        <f t="shared" si="237"/>
        <v xml:space="preserve">          </v>
      </c>
      <c r="AB200" t="str">
        <f t="shared" si="227"/>
        <v>2</v>
      </c>
      <c r="AC200" t="str">
        <f t="shared" si="230"/>
        <v>2</v>
      </c>
      <c r="AD200" t="str">
        <f t="shared" ref="AD200:AG219" si="252">"2"</f>
        <v>2</v>
      </c>
      <c r="AE200" t="str">
        <f t="shared" si="252"/>
        <v>2</v>
      </c>
      <c r="AF200" t="str">
        <f t="shared" si="252"/>
        <v>2</v>
      </c>
      <c r="AG200" t="str">
        <f t="shared" si="252"/>
        <v>2</v>
      </c>
      <c r="AH200" t="str">
        <f t="shared" si="250"/>
        <v>1</v>
      </c>
      <c r="AI200" t="str">
        <f t="shared" si="251"/>
        <v xml:space="preserve">1         </v>
      </c>
      <c r="AJ200" t="str">
        <f t="shared" si="244"/>
        <v>170</v>
      </c>
      <c r="AK200" t="str">
        <f>"70"</f>
        <v>70</v>
      </c>
      <c r="AL200" t="str">
        <f>"001"</f>
        <v>001</v>
      </c>
      <c r="AM200" t="str">
        <f>"23"</f>
        <v>23</v>
      </c>
      <c r="AN200" t="str">
        <f>"23001"</f>
        <v>23001</v>
      </c>
      <c r="AO200" t="str">
        <f>"6/12/2020 12:00:00 a. m."</f>
        <v>6/12/2020 12:00:00 a. m.</v>
      </c>
      <c r="AP200" t="str">
        <f>"28/11/2020 12:00:00 a. m."</f>
        <v>28/11/2020 12:00:00 a. m.</v>
      </c>
      <c r="AQ200" t="str">
        <f t="shared" si="233"/>
        <v>3</v>
      </c>
      <c r="AR200" t="str">
        <f t="shared" si="231"/>
        <v>1</v>
      </c>
      <c r="AS200" t="str">
        <f>"6/12/2020 12:00:00 a. m."</f>
        <v>6/12/2020 12:00:00 a. m.</v>
      </c>
      <c r="AT200" t="str">
        <f t="shared" si="238"/>
        <v>1</v>
      </c>
      <c r="AU200" t="str">
        <f>""</f>
        <v/>
      </c>
      <c r="AV200" t="str">
        <f t="shared" si="234"/>
        <v>0</v>
      </c>
      <c r="AW200" t="str">
        <f>"3/10/2003 12:00:00 a. m."</f>
        <v>3/10/2003 12:00:00 a. m.</v>
      </c>
      <c r="AX200" t="str">
        <f>""</f>
        <v/>
      </c>
      <c r="AY200" t="str">
        <f t="shared" si="239"/>
        <v>30/04/2021 12:00:00 a. m.</v>
      </c>
      <c r="AZ200" t="str">
        <f>"18/12/2020 12:00:00 a. m."</f>
        <v>18/12/2020 12:00:00 a. m.</v>
      </c>
      <c r="BA200" t="str">
        <f>""</f>
        <v/>
      </c>
      <c r="BB200" t="str">
        <f>""</f>
        <v/>
      </c>
      <c r="BC200" t="str">
        <f>""</f>
        <v/>
      </c>
      <c r="BD200" t="str">
        <f t="shared" si="219"/>
        <v>1</v>
      </c>
      <c r="BE200" t="str">
        <f t="shared" si="219"/>
        <v>1</v>
      </c>
      <c r="BF200" t="str">
        <f t="shared" si="240"/>
        <v xml:space="preserve">3         </v>
      </c>
      <c r="BG200" t="str">
        <f t="shared" si="241"/>
        <v>Confirmado por laboratorio</v>
      </c>
      <c r="BH200" t="str">
        <f>"ONCOMEDICA S A"</f>
        <v>ONCOMEDICA S A</v>
      </c>
      <c r="BI200" t="str">
        <f t="shared" si="245"/>
        <v>COLOMBIA</v>
      </c>
      <c r="BJ200" t="str">
        <f t="shared" si="242"/>
        <v>CANCER INFANTIL</v>
      </c>
      <c r="BK200" t="str">
        <f>"SUCRE"</f>
        <v>SUCRE</v>
      </c>
      <c r="BL200" t="str">
        <f>"SINCELEJO"</f>
        <v>SINCELEJO</v>
      </c>
      <c r="BM200" t="str">
        <f t="shared" si="246"/>
        <v>COLOMBIA</v>
      </c>
      <c r="BN200" t="str">
        <f>"SUCRE"</f>
        <v>SUCRE</v>
      </c>
      <c r="BO200" t="str">
        <f>"SINCELEJO"</f>
        <v>SINCELEJO</v>
      </c>
      <c r="BP200" t="str">
        <f>"CORDOBA"</f>
        <v>CORDOBA</v>
      </c>
      <c r="BQ200" t="str">
        <f>"MONTERIA"</f>
        <v>MONTERIA</v>
      </c>
    </row>
    <row r="201" spans="1:69" x14ac:dyDescent="0.25">
      <c r="A201" t="str">
        <f>"7279010"</f>
        <v>7279010</v>
      </c>
      <c r="B201" t="str">
        <f t="shared" si="235"/>
        <v>459</v>
      </c>
      <c r="C201" t="str">
        <f>"1/03/2021 12:00:00 a. m."</f>
        <v>1/03/2021 12:00:00 a. m.</v>
      </c>
      <c r="D201" t="str">
        <f>"29"</f>
        <v>29</v>
      </c>
      <c r="E201" t="str">
        <f t="shared" si="236"/>
        <v>2020</v>
      </c>
      <c r="F201" t="str">
        <f>"7600101111"</f>
        <v>7600101111</v>
      </c>
      <c r="G201" t="str">
        <f t="shared" si="228"/>
        <v>01</v>
      </c>
      <c r="H201" t="str">
        <f>"6"</f>
        <v>6</v>
      </c>
      <c r="I201" t="str">
        <f t="shared" si="217"/>
        <v>1</v>
      </c>
      <c r="J201" t="str">
        <f>"F"</f>
        <v>F</v>
      </c>
      <c r="K201" t="str">
        <f t="shared" si="243"/>
        <v>170</v>
      </c>
      <c r="L201" t="str">
        <f>"52"</f>
        <v>52</v>
      </c>
      <c r="M201" t="str">
        <f>"083"</f>
        <v>083</v>
      </c>
      <c r="N201" t="str">
        <f>"3"</f>
        <v>3</v>
      </c>
      <c r="O201" t="str">
        <f>"9999"</f>
        <v>9999</v>
      </c>
      <c r="P201" t="str">
        <f>"S"</f>
        <v>S</v>
      </c>
      <c r="Q201" t="str">
        <f>"CCF027"</f>
        <v>CCF027</v>
      </c>
      <c r="R201" t="str">
        <f t="shared" si="226"/>
        <v>6</v>
      </c>
      <c r="S201" t="str">
        <f>""</f>
        <v/>
      </c>
      <c r="T201" t="str">
        <f t="shared" si="183"/>
        <v xml:space="preserve">                                                                                                    </v>
      </c>
      <c r="U201" t="str">
        <f>"          "</f>
        <v xml:space="preserve">          </v>
      </c>
      <c r="V201" t="str">
        <f t="shared" si="247"/>
        <v>2</v>
      </c>
      <c r="W201" t="str">
        <f t="shared" si="247"/>
        <v>2</v>
      </c>
      <c r="X201" t="str">
        <f t="shared" si="248"/>
        <v>2</v>
      </c>
      <c r="Y201" t="str">
        <f t="shared" si="249"/>
        <v>2</v>
      </c>
      <c r="Z201" t="str">
        <f t="shared" si="249"/>
        <v>2</v>
      </c>
      <c r="AA201" t="str">
        <f t="shared" si="237"/>
        <v xml:space="preserve">          </v>
      </c>
      <c r="AB201" t="str">
        <f t="shared" si="227"/>
        <v>2</v>
      </c>
      <c r="AC201" t="str">
        <f t="shared" si="230"/>
        <v>2</v>
      </c>
      <c r="AD201" t="str">
        <f t="shared" si="252"/>
        <v>2</v>
      </c>
      <c r="AE201" t="str">
        <f t="shared" si="252"/>
        <v>2</v>
      </c>
      <c r="AF201" t="str">
        <f t="shared" si="252"/>
        <v>2</v>
      </c>
      <c r="AG201" t="str">
        <f t="shared" si="252"/>
        <v>2</v>
      </c>
      <c r="AH201" t="str">
        <f t="shared" si="250"/>
        <v>1</v>
      </c>
      <c r="AI201" t="str">
        <f t="shared" si="251"/>
        <v xml:space="preserve">1         </v>
      </c>
      <c r="AJ201" t="str">
        <f t="shared" si="244"/>
        <v>170</v>
      </c>
      <c r="AK201" t="str">
        <f>"52"</f>
        <v>52</v>
      </c>
      <c r="AL201" t="str">
        <f>"083"</f>
        <v>083</v>
      </c>
      <c r="AM201" t="str">
        <f>"76"</f>
        <v>76</v>
      </c>
      <c r="AN201" t="str">
        <f>"76001"</f>
        <v>76001</v>
      </c>
      <c r="AO201" t="str">
        <f>"15/07/2020 12:00:00 a. m."</f>
        <v>15/07/2020 12:00:00 a. m.</v>
      </c>
      <c r="AP201" t="str">
        <f>"15/07/2020 12:00:00 a. m."</f>
        <v>15/07/2020 12:00:00 a. m.</v>
      </c>
      <c r="AQ201" t="str">
        <f t="shared" si="233"/>
        <v>3</v>
      </c>
      <c r="AR201" t="str">
        <f t="shared" si="231"/>
        <v>1</v>
      </c>
      <c r="AS201" t="str">
        <f>"15/07/2020 12:00:00 a. m."</f>
        <v>15/07/2020 12:00:00 a. m.</v>
      </c>
      <c r="AT201" t="str">
        <f t="shared" si="238"/>
        <v>1</v>
      </c>
      <c r="AU201" t="str">
        <f>""</f>
        <v/>
      </c>
      <c r="AV201" t="str">
        <f t="shared" si="234"/>
        <v>0</v>
      </c>
      <c r="AW201" t="str">
        <f>"29/09/2014 12:00:00 a. m."</f>
        <v>29/09/2014 12:00:00 a. m.</v>
      </c>
      <c r="AX201" t="str">
        <f>""</f>
        <v/>
      </c>
      <c r="AY201" t="str">
        <f t="shared" si="239"/>
        <v>30/04/2021 12:00:00 a. m.</v>
      </c>
      <c r="AZ201" t="str">
        <f>"1/03/2021 12:00:00 a. m."</f>
        <v>1/03/2021 12:00:00 a. m.</v>
      </c>
      <c r="BA201" t="str">
        <f>""</f>
        <v/>
      </c>
      <c r="BB201" t="str">
        <f>""</f>
        <v/>
      </c>
      <c r="BC201" t="str">
        <f>""</f>
        <v/>
      </c>
      <c r="BD201" t="str">
        <f t="shared" si="219"/>
        <v>1</v>
      </c>
      <c r="BE201" t="str">
        <f t="shared" si="219"/>
        <v>1</v>
      </c>
      <c r="BF201" t="str">
        <f t="shared" si="240"/>
        <v xml:space="preserve">3         </v>
      </c>
      <c r="BG201" t="str">
        <f t="shared" si="241"/>
        <v>Confirmado por laboratorio</v>
      </c>
      <c r="BH201" t="str">
        <f>"CENTRO MEDICO IMBANACO CMI"</f>
        <v>CENTRO MEDICO IMBANACO CMI</v>
      </c>
      <c r="BI201" t="str">
        <f t="shared" si="245"/>
        <v>COLOMBIA</v>
      </c>
      <c r="BJ201" t="str">
        <f t="shared" si="242"/>
        <v>CANCER INFANTIL</v>
      </c>
      <c r="BK201" t="str">
        <f>"NARIÑO"</f>
        <v>NARIÑO</v>
      </c>
      <c r="BL201" t="str">
        <f>"BELEN"</f>
        <v>BELEN</v>
      </c>
      <c r="BM201" t="str">
        <f t="shared" si="246"/>
        <v>COLOMBIA</v>
      </c>
      <c r="BN201" t="str">
        <f>"NARIÑO"</f>
        <v>NARIÑO</v>
      </c>
      <c r="BO201" t="str">
        <f>"BELEN"</f>
        <v>BELEN</v>
      </c>
      <c r="BP201" t="str">
        <f>"VALLE"</f>
        <v>VALLE</v>
      </c>
      <c r="BQ201" t="str">
        <f>"CALI"</f>
        <v>CALI</v>
      </c>
    </row>
    <row r="202" spans="1:69" x14ac:dyDescent="0.25">
      <c r="A202" t="str">
        <f>"7279049"</f>
        <v>7279049</v>
      </c>
      <c r="B202" t="str">
        <f t="shared" si="235"/>
        <v>459</v>
      </c>
      <c r="C202" t="str">
        <f>"24/08/2020 12:00:00 a. m."</f>
        <v>24/08/2020 12:00:00 a. m.</v>
      </c>
      <c r="D202" t="str">
        <f>"23"</f>
        <v>23</v>
      </c>
      <c r="E202" t="str">
        <f t="shared" si="236"/>
        <v>2020</v>
      </c>
      <c r="F202" t="str">
        <f>"7600101111"</f>
        <v>7600101111</v>
      </c>
      <c r="G202" t="str">
        <f t="shared" si="228"/>
        <v>01</v>
      </c>
      <c r="H202" t="str">
        <f>"14"</f>
        <v>14</v>
      </c>
      <c r="I202" t="str">
        <f t="shared" si="217"/>
        <v>1</v>
      </c>
      <c r="J202" t="str">
        <f>"M"</f>
        <v>M</v>
      </c>
      <c r="K202" t="str">
        <f t="shared" si="243"/>
        <v>170</v>
      </c>
      <c r="L202" t="str">
        <f>"76"</f>
        <v>76</v>
      </c>
      <c r="M202" t="str">
        <f t="shared" ref="M202:M210" si="253">"001"</f>
        <v>001</v>
      </c>
      <c r="N202" t="str">
        <f t="shared" ref="N202:N212" si="254">"1"</f>
        <v>1</v>
      </c>
      <c r="O202" t="str">
        <f>"9997"</f>
        <v>9997</v>
      </c>
      <c r="P202" t="str">
        <f>"C"</f>
        <v>C</v>
      </c>
      <c r="Q202" t="str">
        <f>"EMP023"</f>
        <v>EMP023</v>
      </c>
      <c r="R202" t="str">
        <f t="shared" si="226"/>
        <v>6</v>
      </c>
      <c r="S202" t="str">
        <f>""</f>
        <v/>
      </c>
      <c r="T202" t="str">
        <f t="shared" si="183"/>
        <v xml:space="preserve">                                                                                                    </v>
      </c>
      <c r="U202" t="str">
        <f>"5         "</f>
        <v xml:space="preserve">5         </v>
      </c>
      <c r="V202" t="str">
        <f t="shared" si="247"/>
        <v>2</v>
      </c>
      <c r="W202" t="str">
        <f t="shared" si="247"/>
        <v>2</v>
      </c>
      <c r="X202" t="str">
        <f t="shared" si="248"/>
        <v>2</v>
      </c>
      <c r="Y202" t="str">
        <f t="shared" si="249"/>
        <v>2</v>
      </c>
      <c r="Z202" t="str">
        <f t="shared" si="249"/>
        <v>2</v>
      </c>
      <c r="AA202" t="str">
        <f t="shared" si="237"/>
        <v xml:space="preserve">          </v>
      </c>
      <c r="AB202" t="str">
        <f t="shared" si="227"/>
        <v>2</v>
      </c>
      <c r="AC202" t="str">
        <f t="shared" si="230"/>
        <v>2</v>
      </c>
      <c r="AD202" t="str">
        <f t="shared" si="252"/>
        <v>2</v>
      </c>
      <c r="AE202" t="str">
        <f t="shared" si="252"/>
        <v>2</v>
      </c>
      <c r="AF202" t="str">
        <f t="shared" si="252"/>
        <v>2</v>
      </c>
      <c r="AG202" t="str">
        <f t="shared" si="252"/>
        <v>2</v>
      </c>
      <c r="AH202" t="str">
        <f t="shared" si="250"/>
        <v>1</v>
      </c>
      <c r="AI202" t="str">
        <f t="shared" si="251"/>
        <v xml:space="preserve">1         </v>
      </c>
      <c r="AJ202" t="str">
        <f t="shared" si="244"/>
        <v>170</v>
      </c>
      <c r="AK202" t="str">
        <f>"76"</f>
        <v>76</v>
      </c>
      <c r="AL202" t="str">
        <f t="shared" ref="AL202:AL210" si="255">"001"</f>
        <v>001</v>
      </c>
      <c r="AM202" t="str">
        <f>"76"</f>
        <v>76</v>
      </c>
      <c r="AN202" t="str">
        <f>"76001"</f>
        <v>76001</v>
      </c>
      <c r="AO202" t="str">
        <f>"5/06/2020 12:00:00 a. m."</f>
        <v>5/06/2020 12:00:00 a. m.</v>
      </c>
      <c r="AP202" t="str">
        <f>"26/05/2020 12:00:00 a. m."</f>
        <v>26/05/2020 12:00:00 a. m.</v>
      </c>
      <c r="AQ202" t="str">
        <f t="shared" si="233"/>
        <v>3</v>
      </c>
      <c r="AR202" t="str">
        <f t="shared" si="231"/>
        <v>1</v>
      </c>
      <c r="AS202" t="str">
        <f>"5/06/2020 12:00:00 a. m."</f>
        <v>5/06/2020 12:00:00 a. m.</v>
      </c>
      <c r="AT202" t="str">
        <f t="shared" si="238"/>
        <v>1</v>
      </c>
      <c r="AU202" t="str">
        <f>""</f>
        <v/>
      </c>
      <c r="AV202" t="str">
        <f t="shared" si="234"/>
        <v>0</v>
      </c>
      <c r="AW202" t="str">
        <f>"3/10/2005 12:00:00 a. m."</f>
        <v>3/10/2005 12:00:00 a. m.</v>
      </c>
      <c r="AX202" t="str">
        <f>""</f>
        <v/>
      </c>
      <c r="AY202" t="str">
        <f t="shared" si="239"/>
        <v>30/04/2021 12:00:00 a. m.</v>
      </c>
      <c r="AZ202" t="str">
        <f>"24/08/2020 12:00:00 a. m."</f>
        <v>24/08/2020 12:00:00 a. m.</v>
      </c>
      <c r="BA202" t="str">
        <f>""</f>
        <v/>
      </c>
      <c r="BB202" t="str">
        <f>""</f>
        <v/>
      </c>
      <c r="BC202" t="str">
        <f>""</f>
        <v/>
      </c>
      <c r="BD202" t="str">
        <f t="shared" ref="BD202:BE221" si="256">"1"</f>
        <v>1</v>
      </c>
      <c r="BE202" t="str">
        <f t="shared" si="256"/>
        <v>1</v>
      </c>
      <c r="BF202" t="str">
        <f t="shared" si="240"/>
        <v xml:space="preserve">3         </v>
      </c>
      <c r="BG202" t="str">
        <f t="shared" si="241"/>
        <v>Confirmado por laboratorio</v>
      </c>
      <c r="BH202" t="str">
        <f>"CENTRO MEDICO IMBANACO CMI"</f>
        <v>CENTRO MEDICO IMBANACO CMI</v>
      </c>
      <c r="BI202" t="str">
        <f t="shared" si="245"/>
        <v>COLOMBIA</v>
      </c>
      <c r="BJ202" t="str">
        <f t="shared" si="242"/>
        <v>CANCER INFANTIL</v>
      </c>
      <c r="BK202" t="str">
        <f>"VALLE"</f>
        <v>VALLE</v>
      </c>
      <c r="BL202" t="str">
        <f>"CALI"</f>
        <v>CALI</v>
      </c>
      <c r="BM202" t="str">
        <f t="shared" si="246"/>
        <v>COLOMBIA</v>
      </c>
      <c r="BN202" t="str">
        <f>"VALLE"</f>
        <v>VALLE</v>
      </c>
      <c r="BO202" t="str">
        <f>"CALI"</f>
        <v>CALI</v>
      </c>
      <c r="BP202" t="str">
        <f>"VALLE"</f>
        <v>VALLE</v>
      </c>
      <c r="BQ202" t="str">
        <f>"CALI"</f>
        <v>CALI</v>
      </c>
    </row>
    <row r="203" spans="1:69" x14ac:dyDescent="0.25">
      <c r="A203" t="str">
        <f>"7279054"</f>
        <v>7279054</v>
      </c>
      <c r="B203" t="str">
        <f t="shared" si="235"/>
        <v>459</v>
      </c>
      <c r="C203" t="str">
        <f>"26/09/2020 12:00:00 a. m."</f>
        <v>26/09/2020 12:00:00 a. m.</v>
      </c>
      <c r="D203" t="str">
        <f>"35"</f>
        <v>35</v>
      </c>
      <c r="E203" t="str">
        <f t="shared" si="236"/>
        <v>2020</v>
      </c>
      <c r="F203" t="str">
        <f>"7300101047"</f>
        <v>7300101047</v>
      </c>
      <c r="G203" t="str">
        <f t="shared" si="228"/>
        <v>01</v>
      </c>
      <c r="H203" t="str">
        <f>"10"</f>
        <v>10</v>
      </c>
      <c r="I203" t="str">
        <f t="shared" si="217"/>
        <v>1</v>
      </c>
      <c r="J203" t="str">
        <f>"M"</f>
        <v>M</v>
      </c>
      <c r="K203" t="str">
        <f t="shared" si="243"/>
        <v>170</v>
      </c>
      <c r="L203" t="str">
        <f>"73"</f>
        <v>73</v>
      </c>
      <c r="M203" t="str">
        <f t="shared" si="253"/>
        <v>001</v>
      </c>
      <c r="N203" t="str">
        <f t="shared" si="254"/>
        <v>1</v>
      </c>
      <c r="O203" t="str">
        <f>"9997"</f>
        <v>9997</v>
      </c>
      <c r="P203" t="str">
        <f>"S"</f>
        <v>S</v>
      </c>
      <c r="Q203" t="str">
        <f>"EPSS45"</f>
        <v>EPSS45</v>
      </c>
      <c r="R203" t="str">
        <f t="shared" si="226"/>
        <v>6</v>
      </c>
      <c r="S203" t="str">
        <f>""</f>
        <v/>
      </c>
      <c r="T203" t="str">
        <f t="shared" si="183"/>
        <v xml:space="preserve">                                                                                                    </v>
      </c>
      <c r="U203" t="str">
        <f>"1         "</f>
        <v xml:space="preserve">1         </v>
      </c>
      <c r="V203" t="str">
        <f t="shared" si="247"/>
        <v>2</v>
      </c>
      <c r="W203" t="str">
        <f t="shared" si="247"/>
        <v>2</v>
      </c>
      <c r="X203" t="str">
        <f t="shared" si="248"/>
        <v>2</v>
      </c>
      <c r="Y203" t="str">
        <f t="shared" si="249"/>
        <v>2</v>
      </c>
      <c r="Z203" t="str">
        <f t="shared" si="249"/>
        <v>2</v>
      </c>
      <c r="AA203" t="str">
        <f t="shared" si="237"/>
        <v xml:space="preserve">          </v>
      </c>
      <c r="AB203" t="str">
        <f t="shared" si="227"/>
        <v>2</v>
      </c>
      <c r="AC203" t="str">
        <f t="shared" si="230"/>
        <v>2</v>
      </c>
      <c r="AD203" t="str">
        <f t="shared" si="252"/>
        <v>2</v>
      </c>
      <c r="AE203" t="str">
        <f t="shared" si="252"/>
        <v>2</v>
      </c>
      <c r="AF203" t="str">
        <f t="shared" si="252"/>
        <v>2</v>
      </c>
      <c r="AG203" t="str">
        <f t="shared" si="252"/>
        <v>2</v>
      </c>
      <c r="AH203" t="str">
        <f t="shared" si="250"/>
        <v>1</v>
      </c>
      <c r="AI203" t="str">
        <f t="shared" si="251"/>
        <v xml:space="preserve">1         </v>
      </c>
      <c r="AJ203" t="str">
        <f t="shared" si="244"/>
        <v>170</v>
      </c>
      <c r="AK203" t="str">
        <f>"73"</f>
        <v>73</v>
      </c>
      <c r="AL203" t="str">
        <f t="shared" si="255"/>
        <v>001</v>
      </c>
      <c r="AM203" t="str">
        <f>"73"</f>
        <v>73</v>
      </c>
      <c r="AN203" t="str">
        <f>"73001"</f>
        <v>73001</v>
      </c>
      <c r="AO203" t="str">
        <f>"26/08/2020 12:00:00 a. m."</f>
        <v>26/08/2020 12:00:00 a. m.</v>
      </c>
      <c r="AP203" t="str">
        <f>"19/08/2020 12:00:00 a. m."</f>
        <v>19/08/2020 12:00:00 a. m.</v>
      </c>
      <c r="AQ203" t="str">
        <f t="shared" si="233"/>
        <v>3</v>
      </c>
      <c r="AR203" t="str">
        <f t="shared" si="231"/>
        <v>1</v>
      </c>
      <c r="AS203" t="str">
        <f>"26/08/2020 12:00:00 a. m."</f>
        <v>26/08/2020 12:00:00 a. m.</v>
      </c>
      <c r="AT203" t="str">
        <f>"2"</f>
        <v>2</v>
      </c>
      <c r="AU203" t="str">
        <f>"10/10/2020 12:00:00 a. m."</f>
        <v>10/10/2020 12:00:00 a. m.</v>
      </c>
      <c r="AV203" t="str">
        <f>"7"</f>
        <v>7</v>
      </c>
      <c r="AW203" t="str">
        <f>"21/05/2010 12:00:00 a. m."</f>
        <v>21/05/2010 12:00:00 a. m.</v>
      </c>
      <c r="AX203" t="str">
        <f>"C91X"</f>
        <v>C91X</v>
      </c>
      <c r="AY203" t="str">
        <f t="shared" si="239"/>
        <v>30/04/2021 12:00:00 a. m.</v>
      </c>
      <c r="AZ203" t="str">
        <f>"7/04/2021 12:00:00 a. m."</f>
        <v>7/04/2021 12:00:00 a. m.</v>
      </c>
      <c r="BA203" t="str">
        <f>""</f>
        <v/>
      </c>
      <c r="BB203" t="str">
        <f>""</f>
        <v/>
      </c>
      <c r="BC203" t="str">
        <f>""</f>
        <v/>
      </c>
      <c r="BD203" t="str">
        <f t="shared" si="256"/>
        <v>1</v>
      </c>
      <c r="BE203" t="str">
        <f t="shared" si="256"/>
        <v>1</v>
      </c>
      <c r="BF203" t="str">
        <f t="shared" si="240"/>
        <v xml:space="preserve">3         </v>
      </c>
      <c r="BG203" t="str">
        <f t="shared" si="241"/>
        <v>Confirmado por laboratorio</v>
      </c>
      <c r="BH203" t="str">
        <f>"HOSPITAL FEDERICO LLERAS ACOSTA ESE SEDE LA FRANC"</f>
        <v>HOSPITAL FEDERICO LLERAS ACOSTA ESE SEDE LA FRANC</v>
      </c>
      <c r="BI203" t="str">
        <f t="shared" si="245"/>
        <v>COLOMBIA</v>
      </c>
      <c r="BJ203" t="str">
        <f t="shared" si="242"/>
        <v>CANCER INFANTIL</v>
      </c>
      <c r="BK203" t="str">
        <f>"TOLIMA"</f>
        <v>TOLIMA</v>
      </c>
      <c r="BL203" t="str">
        <f>"IBAGUE"</f>
        <v>IBAGUE</v>
      </c>
      <c r="BM203" t="str">
        <f t="shared" si="246"/>
        <v>COLOMBIA</v>
      </c>
      <c r="BN203" t="str">
        <f>"TOLIMA"</f>
        <v>TOLIMA</v>
      </c>
      <c r="BO203" t="str">
        <f>"IBAGUE"</f>
        <v>IBAGUE</v>
      </c>
      <c r="BP203" t="str">
        <f>"TOLIMA"</f>
        <v>TOLIMA</v>
      </c>
      <c r="BQ203" t="str">
        <f>"IBAGUE"</f>
        <v>IBAGUE</v>
      </c>
    </row>
    <row r="204" spans="1:69" x14ac:dyDescent="0.25">
      <c r="A204" t="str">
        <f>"7279227"</f>
        <v>7279227</v>
      </c>
      <c r="B204" t="str">
        <f t="shared" si="235"/>
        <v>459</v>
      </c>
      <c r="C204" t="str">
        <f>"30/10/2020 12:00:00 a. m."</f>
        <v>30/10/2020 12:00:00 a. m.</v>
      </c>
      <c r="D204" t="str">
        <f>"44"</f>
        <v>44</v>
      </c>
      <c r="E204" t="str">
        <f t="shared" si="236"/>
        <v>2020</v>
      </c>
      <c r="F204" t="str">
        <f>"7600102870"</f>
        <v>7600102870</v>
      </c>
      <c r="G204" t="str">
        <f t="shared" si="228"/>
        <v>01</v>
      </c>
      <c r="H204" t="str">
        <f>"3"</f>
        <v>3</v>
      </c>
      <c r="I204" t="str">
        <f t="shared" si="217"/>
        <v>1</v>
      </c>
      <c r="J204" t="str">
        <f>"M"</f>
        <v>M</v>
      </c>
      <c r="K204" t="str">
        <f t="shared" si="243"/>
        <v>170</v>
      </c>
      <c r="L204" t="str">
        <f>"76"</f>
        <v>76</v>
      </c>
      <c r="M204" t="str">
        <f t="shared" si="253"/>
        <v>001</v>
      </c>
      <c r="N204" t="str">
        <f t="shared" si="254"/>
        <v>1</v>
      </c>
      <c r="O204" t="str">
        <f>"9999"</f>
        <v>9999</v>
      </c>
      <c r="P204" t="str">
        <f>"S"</f>
        <v>S</v>
      </c>
      <c r="Q204" t="str">
        <f>"ESS118"</f>
        <v>ESS118</v>
      </c>
      <c r="R204" t="str">
        <f t="shared" si="226"/>
        <v>6</v>
      </c>
      <c r="S204" t="str">
        <f>""</f>
        <v/>
      </c>
      <c r="T204" t="str">
        <f t="shared" si="183"/>
        <v xml:space="preserve">                                                                                                    </v>
      </c>
      <c r="U204" t="str">
        <f>"1         "</f>
        <v xml:space="preserve">1         </v>
      </c>
      <c r="V204" t="str">
        <f t="shared" si="247"/>
        <v>2</v>
      </c>
      <c r="W204" t="str">
        <f t="shared" si="247"/>
        <v>2</v>
      </c>
      <c r="X204" t="str">
        <f t="shared" si="248"/>
        <v>2</v>
      </c>
      <c r="Y204" t="str">
        <f t="shared" si="249"/>
        <v>2</v>
      </c>
      <c r="Z204" t="str">
        <f t="shared" si="249"/>
        <v>2</v>
      </c>
      <c r="AA204" t="str">
        <f t="shared" si="237"/>
        <v xml:space="preserve">          </v>
      </c>
      <c r="AB204" t="str">
        <f t="shared" si="227"/>
        <v>2</v>
      </c>
      <c r="AC204" t="str">
        <f t="shared" si="230"/>
        <v>2</v>
      </c>
      <c r="AD204" t="str">
        <f t="shared" si="252"/>
        <v>2</v>
      </c>
      <c r="AE204" t="str">
        <f t="shared" si="252"/>
        <v>2</v>
      </c>
      <c r="AF204" t="str">
        <f t="shared" si="252"/>
        <v>2</v>
      </c>
      <c r="AG204" t="str">
        <f t="shared" si="252"/>
        <v>2</v>
      </c>
      <c r="AH204" t="str">
        <f t="shared" si="250"/>
        <v>1</v>
      </c>
      <c r="AI204" t="str">
        <f t="shared" si="251"/>
        <v xml:space="preserve">1         </v>
      </c>
      <c r="AJ204" t="str">
        <f t="shared" si="244"/>
        <v>170</v>
      </c>
      <c r="AK204" t="str">
        <f>"76"</f>
        <v>76</v>
      </c>
      <c r="AL204" t="str">
        <f t="shared" si="255"/>
        <v>001</v>
      </c>
      <c r="AM204" t="str">
        <f>"76"</f>
        <v>76</v>
      </c>
      <c r="AN204" t="str">
        <f>"76001"</f>
        <v>76001</v>
      </c>
      <c r="AO204" t="str">
        <f>"28/10/2020 12:00:00 a. m."</f>
        <v>28/10/2020 12:00:00 a. m.</v>
      </c>
      <c r="AP204" t="str">
        <f>"24/10/2020 12:00:00 a. m."</f>
        <v>24/10/2020 12:00:00 a. m.</v>
      </c>
      <c r="AQ204" t="str">
        <f>"2"</f>
        <v>2</v>
      </c>
      <c r="AR204" t="str">
        <f t="shared" si="231"/>
        <v>1</v>
      </c>
      <c r="AS204" t="str">
        <f>"28/10/2020 12:00:00 a. m."</f>
        <v>28/10/2020 12:00:00 a. m.</v>
      </c>
      <c r="AT204" t="str">
        <f>"1"</f>
        <v>1</v>
      </c>
      <c r="AU204" t="str">
        <f>""</f>
        <v/>
      </c>
      <c r="AV204" t="str">
        <f>"3"</f>
        <v>3</v>
      </c>
      <c r="AW204" t="str">
        <f>"7/09/2017 12:00:00 a. m."</f>
        <v>7/09/2017 12:00:00 a. m.</v>
      </c>
      <c r="AX204" t="str">
        <f>""</f>
        <v/>
      </c>
      <c r="AY204" t="str">
        <f t="shared" si="239"/>
        <v>30/04/2021 12:00:00 a. m.</v>
      </c>
      <c r="AZ204" t="str">
        <f>"13/11/2020 12:00:00 a. m."</f>
        <v>13/11/2020 12:00:00 a. m.</v>
      </c>
      <c r="BA204" t="str">
        <f>""</f>
        <v/>
      </c>
      <c r="BB204" t="str">
        <f>""</f>
        <v/>
      </c>
      <c r="BC204" t="str">
        <f>""</f>
        <v/>
      </c>
      <c r="BD204" t="str">
        <f t="shared" si="256"/>
        <v>1</v>
      </c>
      <c r="BE204" t="str">
        <f t="shared" si="256"/>
        <v>1</v>
      </c>
      <c r="BF204" t="str">
        <f t="shared" si="240"/>
        <v xml:space="preserve">3         </v>
      </c>
      <c r="BG204" t="str">
        <f t="shared" si="241"/>
        <v>Confirmado por laboratorio</v>
      </c>
      <c r="BH204" t="str">
        <f>"FUNDACION VALLE DEL LILI"</f>
        <v>FUNDACION VALLE DEL LILI</v>
      </c>
      <c r="BI204" t="str">
        <f t="shared" si="245"/>
        <v>COLOMBIA</v>
      </c>
      <c r="BJ204" t="str">
        <f t="shared" si="242"/>
        <v>CANCER INFANTIL</v>
      </c>
      <c r="BK204" t="str">
        <f>"VALLE"</f>
        <v>VALLE</v>
      </c>
      <c r="BL204" t="str">
        <f>"CALI"</f>
        <v>CALI</v>
      </c>
      <c r="BM204" t="str">
        <f t="shared" si="246"/>
        <v>COLOMBIA</v>
      </c>
      <c r="BN204" t="str">
        <f>"VALLE"</f>
        <v>VALLE</v>
      </c>
      <c r="BO204" t="str">
        <f>"CALI"</f>
        <v>CALI</v>
      </c>
      <c r="BP204" t="str">
        <f>"VALLE"</f>
        <v>VALLE</v>
      </c>
      <c r="BQ204" t="str">
        <f>"CALI"</f>
        <v>CALI</v>
      </c>
    </row>
    <row r="205" spans="1:69" x14ac:dyDescent="0.25">
      <c r="A205" t="str">
        <f>"7279229"</f>
        <v>7279229</v>
      </c>
      <c r="B205" t="str">
        <f t="shared" si="235"/>
        <v>459</v>
      </c>
      <c r="C205" t="str">
        <f>"22/01/2021 12:00:00 a. m."</f>
        <v>22/01/2021 12:00:00 a. m.</v>
      </c>
      <c r="D205" t="str">
        <f>"48"</f>
        <v>48</v>
      </c>
      <c r="E205" t="str">
        <f t="shared" si="236"/>
        <v>2020</v>
      </c>
      <c r="F205" t="str">
        <f>"7600102870"</f>
        <v>7600102870</v>
      </c>
      <c r="G205" t="str">
        <f t="shared" si="228"/>
        <v>01</v>
      </c>
      <c r="H205" t="str">
        <f>"7"</f>
        <v>7</v>
      </c>
      <c r="I205" t="str">
        <f t="shared" si="217"/>
        <v>1</v>
      </c>
      <c r="J205" t="str">
        <f>"M"</f>
        <v>M</v>
      </c>
      <c r="K205" t="str">
        <f t="shared" si="243"/>
        <v>170</v>
      </c>
      <c r="L205" t="str">
        <f>"76"</f>
        <v>76</v>
      </c>
      <c r="M205" t="str">
        <f t="shared" si="253"/>
        <v>001</v>
      </c>
      <c r="N205" t="str">
        <f t="shared" si="254"/>
        <v>1</v>
      </c>
      <c r="O205" t="str">
        <f>"9999"</f>
        <v>9999</v>
      </c>
      <c r="P205" t="str">
        <f>"S"</f>
        <v>S</v>
      </c>
      <c r="Q205" t="str">
        <f>"ESS118"</f>
        <v>ESS118</v>
      </c>
      <c r="R205" t="str">
        <f t="shared" si="226"/>
        <v>6</v>
      </c>
      <c r="S205" t="str">
        <f>""</f>
        <v/>
      </c>
      <c r="T205" t="str">
        <f t="shared" si="183"/>
        <v xml:space="preserve">                                                                                                    </v>
      </c>
      <c r="U205" t="str">
        <f>"1         "</f>
        <v xml:space="preserve">1         </v>
      </c>
      <c r="V205" t="str">
        <f t="shared" si="247"/>
        <v>2</v>
      </c>
      <c r="W205" t="str">
        <f t="shared" si="247"/>
        <v>2</v>
      </c>
      <c r="X205" t="str">
        <f t="shared" si="248"/>
        <v>2</v>
      </c>
      <c r="Y205" t="str">
        <f t="shared" si="249"/>
        <v>2</v>
      </c>
      <c r="Z205" t="str">
        <f t="shared" si="249"/>
        <v>2</v>
      </c>
      <c r="AA205" t="str">
        <f t="shared" si="237"/>
        <v xml:space="preserve">          </v>
      </c>
      <c r="AB205" t="str">
        <f t="shared" si="227"/>
        <v>2</v>
      </c>
      <c r="AC205" t="str">
        <f t="shared" si="230"/>
        <v>2</v>
      </c>
      <c r="AD205" t="str">
        <f t="shared" si="252"/>
        <v>2</v>
      </c>
      <c r="AE205" t="str">
        <f t="shared" si="252"/>
        <v>2</v>
      </c>
      <c r="AF205" t="str">
        <f t="shared" si="252"/>
        <v>2</v>
      </c>
      <c r="AG205" t="str">
        <f t="shared" si="252"/>
        <v>2</v>
      </c>
      <c r="AH205" t="str">
        <f t="shared" si="250"/>
        <v>1</v>
      </c>
      <c r="AI205" t="str">
        <f t="shared" si="251"/>
        <v xml:space="preserve">1         </v>
      </c>
      <c r="AJ205" t="str">
        <f t="shared" si="244"/>
        <v>170</v>
      </c>
      <c r="AK205" t="str">
        <f>"76"</f>
        <v>76</v>
      </c>
      <c r="AL205" t="str">
        <f t="shared" si="255"/>
        <v>001</v>
      </c>
      <c r="AM205" t="str">
        <f>"76"</f>
        <v>76</v>
      </c>
      <c r="AN205" t="str">
        <f>"76001"</f>
        <v>76001</v>
      </c>
      <c r="AO205" t="str">
        <f>"25/11/2020 12:00:00 a. m."</f>
        <v>25/11/2020 12:00:00 a. m.</v>
      </c>
      <c r="AP205" t="str">
        <f>"21/10/2020 12:00:00 a. m."</f>
        <v>21/10/2020 12:00:00 a. m.</v>
      </c>
      <c r="AQ205" t="str">
        <f>"3"</f>
        <v>3</v>
      </c>
      <c r="AR205" t="str">
        <f t="shared" si="231"/>
        <v>1</v>
      </c>
      <c r="AS205" t="str">
        <f>"25/11/2020 12:00:00 a. m."</f>
        <v>25/11/2020 12:00:00 a. m.</v>
      </c>
      <c r="AT205" t="str">
        <f>"1"</f>
        <v>1</v>
      </c>
      <c r="AU205" t="str">
        <f>""</f>
        <v/>
      </c>
      <c r="AV205" t="str">
        <f>"0"</f>
        <v>0</v>
      </c>
      <c r="AW205" t="str">
        <f>"10/01/2014 12:00:00 a. m."</f>
        <v>10/01/2014 12:00:00 a. m.</v>
      </c>
      <c r="AX205" t="str">
        <f>""</f>
        <v/>
      </c>
      <c r="AY205" t="str">
        <f t="shared" si="239"/>
        <v>30/04/2021 12:00:00 a. m.</v>
      </c>
      <c r="AZ205" t="str">
        <f>"22/01/2021 12:00:00 a. m."</f>
        <v>22/01/2021 12:00:00 a. m.</v>
      </c>
      <c r="BA205" t="str">
        <f>""</f>
        <v/>
      </c>
      <c r="BB205" t="str">
        <f>""</f>
        <v/>
      </c>
      <c r="BC205" t="str">
        <f>""</f>
        <v/>
      </c>
      <c r="BD205" t="str">
        <f t="shared" si="256"/>
        <v>1</v>
      </c>
      <c r="BE205" t="str">
        <f t="shared" si="256"/>
        <v>1</v>
      </c>
      <c r="BF205" t="str">
        <f t="shared" si="240"/>
        <v xml:space="preserve">3         </v>
      </c>
      <c r="BG205" t="str">
        <f t="shared" si="241"/>
        <v>Confirmado por laboratorio</v>
      </c>
      <c r="BH205" t="str">
        <f>"FUNDACION VALLE DEL LILI"</f>
        <v>FUNDACION VALLE DEL LILI</v>
      </c>
      <c r="BI205" t="str">
        <f t="shared" si="245"/>
        <v>COLOMBIA</v>
      </c>
      <c r="BJ205" t="str">
        <f t="shared" si="242"/>
        <v>CANCER INFANTIL</v>
      </c>
      <c r="BK205" t="str">
        <f>"VALLE"</f>
        <v>VALLE</v>
      </c>
      <c r="BL205" t="str">
        <f>"CALI"</f>
        <v>CALI</v>
      </c>
      <c r="BM205" t="str">
        <f t="shared" si="246"/>
        <v>COLOMBIA</v>
      </c>
      <c r="BN205" t="str">
        <f>"VALLE"</f>
        <v>VALLE</v>
      </c>
      <c r="BO205" t="str">
        <f>"CALI"</f>
        <v>CALI</v>
      </c>
      <c r="BP205" t="str">
        <f>"VALLE"</f>
        <v>VALLE</v>
      </c>
      <c r="BQ205" t="str">
        <f>"CALI"</f>
        <v>CALI</v>
      </c>
    </row>
    <row r="206" spans="1:69" x14ac:dyDescent="0.25">
      <c r="A206" t="str">
        <f>"7279286"</f>
        <v>7279286</v>
      </c>
      <c r="B206" t="str">
        <f t="shared" si="235"/>
        <v>459</v>
      </c>
      <c r="C206" t="str">
        <f>"14/07/2020 12:00:00 a. m."</f>
        <v>14/07/2020 12:00:00 a. m.</v>
      </c>
      <c r="D206" t="str">
        <f>"28"</f>
        <v>28</v>
      </c>
      <c r="E206" t="str">
        <f t="shared" si="236"/>
        <v>2020</v>
      </c>
      <c r="F206" t="str">
        <f>"1100116338"</f>
        <v>1100116338</v>
      </c>
      <c r="G206" t="str">
        <f>"83"</f>
        <v>83</v>
      </c>
      <c r="H206" t="str">
        <f>"17"</f>
        <v>17</v>
      </c>
      <c r="I206" t="str">
        <f t="shared" si="217"/>
        <v>1</v>
      </c>
      <c r="J206" t="str">
        <f>"M"</f>
        <v>M</v>
      </c>
      <c r="K206" t="str">
        <f t="shared" si="243"/>
        <v>170</v>
      </c>
      <c r="L206" t="str">
        <f>"11"</f>
        <v>11</v>
      </c>
      <c r="M206" t="str">
        <f t="shared" si="253"/>
        <v>001</v>
      </c>
      <c r="N206" t="str">
        <f t="shared" si="254"/>
        <v>1</v>
      </c>
      <c r="O206" t="str">
        <f>"9997"</f>
        <v>9997</v>
      </c>
      <c r="P206" t="str">
        <f>"P"</f>
        <v>P</v>
      </c>
      <c r="Q206" t="str">
        <f>"RES003"</f>
        <v>RES003</v>
      </c>
      <c r="R206" t="str">
        <f t="shared" si="226"/>
        <v>6</v>
      </c>
      <c r="S206" t="str">
        <f>""</f>
        <v/>
      </c>
      <c r="T206" t="str">
        <f t="shared" si="183"/>
        <v xml:space="preserve">                                                                                                    </v>
      </c>
      <c r="U206" t="str">
        <f>"3         "</f>
        <v xml:space="preserve">3         </v>
      </c>
      <c r="V206" t="str">
        <f t="shared" si="247"/>
        <v>2</v>
      </c>
      <c r="W206" t="str">
        <f t="shared" si="247"/>
        <v>2</v>
      </c>
      <c r="X206" t="str">
        <f t="shared" si="248"/>
        <v>2</v>
      </c>
      <c r="Y206" t="str">
        <f t="shared" si="249"/>
        <v>2</v>
      </c>
      <c r="Z206" t="str">
        <f t="shared" si="249"/>
        <v>2</v>
      </c>
      <c r="AA206" t="str">
        <f t="shared" si="237"/>
        <v xml:space="preserve">          </v>
      </c>
      <c r="AB206" t="str">
        <f t="shared" si="227"/>
        <v>2</v>
      </c>
      <c r="AC206" t="str">
        <f t="shared" si="230"/>
        <v>2</v>
      </c>
      <c r="AD206" t="str">
        <f t="shared" si="252"/>
        <v>2</v>
      </c>
      <c r="AE206" t="str">
        <f t="shared" si="252"/>
        <v>2</v>
      </c>
      <c r="AF206" t="str">
        <f t="shared" si="252"/>
        <v>2</v>
      </c>
      <c r="AG206" t="str">
        <f t="shared" si="252"/>
        <v>2</v>
      </c>
      <c r="AH206" t="str">
        <f t="shared" si="250"/>
        <v>1</v>
      </c>
      <c r="AI206" t="str">
        <f t="shared" si="251"/>
        <v xml:space="preserve">1         </v>
      </c>
      <c r="AJ206" t="str">
        <f t="shared" si="244"/>
        <v>170</v>
      </c>
      <c r="AK206" t="str">
        <f>"11"</f>
        <v>11</v>
      </c>
      <c r="AL206" t="str">
        <f t="shared" si="255"/>
        <v>001</v>
      </c>
      <c r="AM206" t="str">
        <f t="shared" ref="AM206:AM212" si="257">"11"</f>
        <v>11</v>
      </c>
      <c r="AN206" t="str">
        <f t="shared" ref="AN206:AN212" si="258">"11001"</f>
        <v>11001</v>
      </c>
      <c r="AO206" t="str">
        <f>"7/07/2020 12:00:00 a. m."</f>
        <v>7/07/2020 12:00:00 a. m.</v>
      </c>
      <c r="AP206" t="str">
        <f>"7/07/2020 12:00:00 a. m."</f>
        <v>7/07/2020 12:00:00 a. m.</v>
      </c>
      <c r="AQ206" t="str">
        <f>"2"</f>
        <v>2</v>
      </c>
      <c r="AR206" t="str">
        <f t="shared" si="231"/>
        <v>1</v>
      </c>
      <c r="AS206" t="str">
        <f>"8/07/2020 12:00:00 a. m."</f>
        <v>8/07/2020 12:00:00 a. m.</v>
      </c>
      <c r="AT206" t="str">
        <f>"2"</f>
        <v>2</v>
      </c>
      <c r="AU206" t="str">
        <f>"20/09/2020 12:00:00 a. m."</f>
        <v>20/09/2020 12:00:00 a. m.</v>
      </c>
      <c r="AV206" t="str">
        <f>"3"</f>
        <v>3</v>
      </c>
      <c r="AW206" t="str">
        <f>"2/02/2003 12:00:00 a. m."</f>
        <v>2/02/2003 12:00:00 a. m.</v>
      </c>
      <c r="AX206" t="str">
        <f>"C961"</f>
        <v>C961</v>
      </c>
      <c r="AY206" t="str">
        <f t="shared" si="239"/>
        <v>30/04/2021 12:00:00 a. m.</v>
      </c>
      <c r="AZ206" t="str">
        <f>"10/08/2020 12:00:00 a. m."</f>
        <v>10/08/2020 12:00:00 a. m.</v>
      </c>
      <c r="BA206" t="str">
        <f>""</f>
        <v/>
      </c>
      <c r="BB206" t="str">
        <f>""</f>
        <v/>
      </c>
      <c r="BC206" t="str">
        <f>""</f>
        <v/>
      </c>
      <c r="BD206" t="str">
        <f t="shared" si="256"/>
        <v>1</v>
      </c>
      <c r="BE206" t="str">
        <f t="shared" si="256"/>
        <v>1</v>
      </c>
      <c r="BF206" t="str">
        <f t="shared" si="240"/>
        <v xml:space="preserve">3         </v>
      </c>
      <c r="BG206" t="str">
        <f t="shared" si="241"/>
        <v>Confirmado por laboratorio</v>
      </c>
      <c r="BH206" t="str">
        <f>"HOSPITAL MILITAR CENTRAL CHAPINERO"</f>
        <v>HOSPITAL MILITAR CENTRAL CHAPINERO</v>
      </c>
      <c r="BI206" t="str">
        <f t="shared" si="245"/>
        <v>COLOMBIA</v>
      </c>
      <c r="BJ206" t="str">
        <f t="shared" si="242"/>
        <v>CANCER INFANTIL</v>
      </c>
      <c r="BK206" t="str">
        <f t="shared" ref="BK206:BL210" si="259">"BOGOTA"</f>
        <v>BOGOTA</v>
      </c>
      <c r="BL206" t="str">
        <f t="shared" si="259"/>
        <v>BOGOTA</v>
      </c>
      <c r="BM206" t="str">
        <f t="shared" si="246"/>
        <v>COLOMBIA</v>
      </c>
      <c r="BN206" t="str">
        <f t="shared" ref="BN206:BQ210" si="260">"BOGOTA"</f>
        <v>BOGOTA</v>
      </c>
      <c r="BO206" t="str">
        <f t="shared" si="260"/>
        <v>BOGOTA</v>
      </c>
      <c r="BP206" t="str">
        <f t="shared" si="260"/>
        <v>BOGOTA</v>
      </c>
      <c r="BQ206" t="str">
        <f t="shared" si="260"/>
        <v>BOGOTA</v>
      </c>
    </row>
    <row r="207" spans="1:69" x14ac:dyDescent="0.25">
      <c r="A207" t="str">
        <f>"7279291"</f>
        <v>7279291</v>
      </c>
      <c r="B207" t="str">
        <f t="shared" si="235"/>
        <v>459</v>
      </c>
      <c r="C207" t="str">
        <f>"29/01/2020 12:00:00 a. m."</f>
        <v>29/01/2020 12:00:00 a. m.</v>
      </c>
      <c r="D207" t="str">
        <f>"05"</f>
        <v>05</v>
      </c>
      <c r="E207" t="str">
        <f t="shared" si="236"/>
        <v>2020</v>
      </c>
      <c r="F207" t="str">
        <f>"1100106065"</f>
        <v>1100106065</v>
      </c>
      <c r="G207" t="str">
        <f t="shared" ref="G207:G218" si="261">"01"</f>
        <v>01</v>
      </c>
      <c r="H207" t="str">
        <f>"16"</f>
        <v>16</v>
      </c>
      <c r="I207" t="str">
        <f t="shared" si="217"/>
        <v>1</v>
      </c>
      <c r="J207" t="str">
        <f>"F"</f>
        <v>F</v>
      </c>
      <c r="K207" t="str">
        <f t="shared" si="243"/>
        <v>170</v>
      </c>
      <c r="L207" t="str">
        <f>"11"</f>
        <v>11</v>
      </c>
      <c r="M207" t="str">
        <f t="shared" si="253"/>
        <v>001</v>
      </c>
      <c r="N207" t="str">
        <f t="shared" si="254"/>
        <v>1</v>
      </c>
      <c r="O207" t="str">
        <f>"9997"</f>
        <v>9997</v>
      </c>
      <c r="P207" t="str">
        <f>"S"</f>
        <v>S</v>
      </c>
      <c r="Q207" t="str">
        <f>"EPSS34"</f>
        <v>EPSS34</v>
      </c>
      <c r="R207" t="str">
        <f t="shared" si="226"/>
        <v>6</v>
      </c>
      <c r="S207" t="str">
        <f>""</f>
        <v/>
      </c>
      <c r="T207" t="str">
        <f t="shared" si="183"/>
        <v xml:space="preserve">                                                                                                    </v>
      </c>
      <c r="U207" t="str">
        <f>"1         "</f>
        <v xml:space="preserve">1         </v>
      </c>
      <c r="V207" t="str">
        <f t="shared" si="247"/>
        <v>2</v>
      </c>
      <c r="W207" t="str">
        <f t="shared" si="247"/>
        <v>2</v>
      </c>
      <c r="X207" t="str">
        <f t="shared" si="248"/>
        <v>2</v>
      </c>
      <c r="Y207" t="str">
        <f t="shared" si="249"/>
        <v>2</v>
      </c>
      <c r="Z207" t="str">
        <f t="shared" si="249"/>
        <v>2</v>
      </c>
      <c r="AA207" t="str">
        <f t="shared" si="237"/>
        <v xml:space="preserve">          </v>
      </c>
      <c r="AB207" t="str">
        <f t="shared" si="227"/>
        <v>2</v>
      </c>
      <c r="AC207" t="str">
        <f t="shared" si="230"/>
        <v>2</v>
      </c>
      <c r="AD207" t="str">
        <f t="shared" si="252"/>
        <v>2</v>
      </c>
      <c r="AE207" t="str">
        <f t="shared" si="252"/>
        <v>2</v>
      </c>
      <c r="AF207" t="str">
        <f t="shared" si="252"/>
        <v>2</v>
      </c>
      <c r="AG207" t="str">
        <f t="shared" si="252"/>
        <v>2</v>
      </c>
      <c r="AH207" t="str">
        <f t="shared" si="250"/>
        <v>1</v>
      </c>
      <c r="AI207" t="str">
        <f>"2         "</f>
        <v xml:space="preserve">2         </v>
      </c>
      <c r="AJ207" t="str">
        <f t="shared" si="244"/>
        <v>170</v>
      </c>
      <c r="AK207" t="str">
        <f>"11"</f>
        <v>11</v>
      </c>
      <c r="AL207" t="str">
        <f t="shared" si="255"/>
        <v>001</v>
      </c>
      <c r="AM207" t="str">
        <f t="shared" si="257"/>
        <v>11</v>
      </c>
      <c r="AN207" t="str">
        <f t="shared" si="258"/>
        <v>11001</v>
      </c>
      <c r="AO207" t="str">
        <f>"29/01/2020 12:00:00 a. m."</f>
        <v>29/01/2020 12:00:00 a. m.</v>
      </c>
      <c r="AP207" t="str">
        <f>"1/06/2019 12:00:00 a. m."</f>
        <v>1/06/2019 12:00:00 a. m.</v>
      </c>
      <c r="AQ207" t="str">
        <f t="shared" ref="AQ207:AQ218" si="262">"3"</f>
        <v>3</v>
      </c>
      <c r="AR207" t="str">
        <f>"2"</f>
        <v>2</v>
      </c>
      <c r="AS207" t="str">
        <f>""</f>
        <v/>
      </c>
      <c r="AT207" t="str">
        <f>"2"</f>
        <v>2</v>
      </c>
      <c r="AU207" t="str">
        <f>"8/05/2020 12:00:00 a. m."</f>
        <v>8/05/2020 12:00:00 a. m.</v>
      </c>
      <c r="AV207" t="str">
        <f>"7"</f>
        <v>7</v>
      </c>
      <c r="AW207" t="str">
        <f>"22/06/2003 12:00:00 a. m."</f>
        <v>22/06/2003 12:00:00 a. m.</v>
      </c>
      <c r="AX207" t="str">
        <f>"D038"</f>
        <v>D038</v>
      </c>
      <c r="AY207" t="str">
        <f t="shared" si="239"/>
        <v>30/04/2021 12:00:00 a. m.</v>
      </c>
      <c r="AZ207" t="str">
        <f>"24/09/2020 12:00:00 a. m."</f>
        <v>24/09/2020 12:00:00 a. m.</v>
      </c>
      <c r="BA207" t="str">
        <f>""</f>
        <v/>
      </c>
      <c r="BB207" t="str">
        <f>""</f>
        <v/>
      </c>
      <c r="BC207" t="str">
        <f>""</f>
        <v/>
      </c>
      <c r="BD207" t="str">
        <f t="shared" si="256"/>
        <v>1</v>
      </c>
      <c r="BE207" t="str">
        <f t="shared" si="256"/>
        <v>1</v>
      </c>
      <c r="BF207" t="str">
        <f t="shared" si="240"/>
        <v xml:space="preserve">3         </v>
      </c>
      <c r="BG207" t="str">
        <f t="shared" si="241"/>
        <v>Confirmado por laboratorio</v>
      </c>
      <c r="BH207" t="str">
        <f>"ESE INSTITUTO NACIONAL DE CANCEROLOGIA"</f>
        <v>ESE INSTITUTO NACIONAL DE CANCEROLOGIA</v>
      </c>
      <c r="BI207" t="str">
        <f t="shared" si="245"/>
        <v>COLOMBIA</v>
      </c>
      <c r="BJ207" t="str">
        <f t="shared" si="242"/>
        <v>CANCER INFANTIL</v>
      </c>
      <c r="BK207" t="str">
        <f t="shared" si="259"/>
        <v>BOGOTA</v>
      </c>
      <c r="BL207" t="str">
        <f t="shared" si="259"/>
        <v>BOGOTA</v>
      </c>
      <c r="BM207" t="str">
        <f t="shared" si="246"/>
        <v>COLOMBIA</v>
      </c>
      <c r="BN207" t="str">
        <f t="shared" si="260"/>
        <v>BOGOTA</v>
      </c>
      <c r="BO207" t="str">
        <f t="shared" si="260"/>
        <v>BOGOTA</v>
      </c>
      <c r="BP207" t="str">
        <f t="shared" si="260"/>
        <v>BOGOTA</v>
      </c>
      <c r="BQ207" t="str">
        <f t="shared" si="260"/>
        <v>BOGOTA</v>
      </c>
    </row>
    <row r="208" spans="1:69" x14ac:dyDescent="0.25">
      <c r="A208" t="str">
        <f>"7285880"</f>
        <v>7285880</v>
      </c>
      <c r="B208" t="str">
        <f t="shared" si="235"/>
        <v>459</v>
      </c>
      <c r="C208" t="str">
        <f>"18/02/2020 12:00:00 a. m."</f>
        <v>18/02/2020 12:00:00 a. m.</v>
      </c>
      <c r="D208" t="str">
        <f>"03"</f>
        <v>03</v>
      </c>
      <c r="E208" t="str">
        <f t="shared" si="236"/>
        <v>2020</v>
      </c>
      <c r="F208" t="str">
        <f>"1100116133"</f>
        <v>1100116133</v>
      </c>
      <c r="G208" t="str">
        <f t="shared" si="261"/>
        <v>01</v>
      </c>
      <c r="H208" t="str">
        <f>"6"</f>
        <v>6</v>
      </c>
      <c r="I208" t="str">
        <f t="shared" si="217"/>
        <v>1</v>
      </c>
      <c r="J208" t="str">
        <f>"F"</f>
        <v>F</v>
      </c>
      <c r="K208" t="str">
        <f t="shared" si="243"/>
        <v>170</v>
      </c>
      <c r="L208" t="str">
        <f>"11"</f>
        <v>11</v>
      </c>
      <c r="M208" t="str">
        <f t="shared" si="253"/>
        <v>001</v>
      </c>
      <c r="N208" t="str">
        <f t="shared" si="254"/>
        <v>1</v>
      </c>
      <c r="O208" t="str">
        <f>"9997"</f>
        <v>9997</v>
      </c>
      <c r="P208" t="str">
        <f>"C"</f>
        <v>C</v>
      </c>
      <c r="Q208" t="str">
        <f>"EPS037"</f>
        <v>EPS037</v>
      </c>
      <c r="R208" t="str">
        <f t="shared" si="226"/>
        <v>6</v>
      </c>
      <c r="S208" t="str">
        <f>""</f>
        <v/>
      </c>
      <c r="T208" t="str">
        <f t="shared" si="183"/>
        <v xml:space="preserve">                                                                                                    </v>
      </c>
      <c r="U208" t="str">
        <f>"2         "</f>
        <v xml:space="preserve">2         </v>
      </c>
      <c r="V208" t="str">
        <f t="shared" si="247"/>
        <v>2</v>
      </c>
      <c r="W208" t="str">
        <f t="shared" si="247"/>
        <v>2</v>
      </c>
      <c r="X208" t="str">
        <f t="shared" si="248"/>
        <v>2</v>
      </c>
      <c r="Y208" t="str">
        <f t="shared" si="249"/>
        <v>2</v>
      </c>
      <c r="Z208" t="str">
        <f t="shared" si="249"/>
        <v>2</v>
      </c>
      <c r="AA208" t="str">
        <f t="shared" si="237"/>
        <v xml:space="preserve">          </v>
      </c>
      <c r="AB208" t="str">
        <f t="shared" si="227"/>
        <v>2</v>
      </c>
      <c r="AC208" t="str">
        <f t="shared" si="230"/>
        <v>2</v>
      </c>
      <c r="AD208" t="str">
        <f t="shared" si="252"/>
        <v>2</v>
      </c>
      <c r="AE208" t="str">
        <f t="shared" si="252"/>
        <v>2</v>
      </c>
      <c r="AF208" t="str">
        <f t="shared" si="252"/>
        <v>2</v>
      </c>
      <c r="AG208" t="str">
        <f t="shared" si="252"/>
        <v>2</v>
      </c>
      <c r="AH208" t="str">
        <f t="shared" si="250"/>
        <v>1</v>
      </c>
      <c r="AI208" t="str">
        <f>"2         "</f>
        <v xml:space="preserve">2         </v>
      </c>
      <c r="AJ208" t="str">
        <f t="shared" si="244"/>
        <v>170</v>
      </c>
      <c r="AK208" t="str">
        <f>"11"</f>
        <v>11</v>
      </c>
      <c r="AL208" t="str">
        <f t="shared" si="255"/>
        <v>001</v>
      </c>
      <c r="AM208" t="str">
        <f t="shared" si="257"/>
        <v>11</v>
      </c>
      <c r="AN208" t="str">
        <f t="shared" si="258"/>
        <v>11001</v>
      </c>
      <c r="AO208" t="str">
        <f>"14/01/2020 12:00:00 a. m."</f>
        <v>14/01/2020 12:00:00 a. m.</v>
      </c>
      <c r="AP208" t="str">
        <f>"25/12/2019 12:00:00 a. m."</f>
        <v>25/12/2019 12:00:00 a. m.</v>
      </c>
      <c r="AQ208" t="str">
        <f t="shared" si="262"/>
        <v>3</v>
      </c>
      <c r="AR208" t="str">
        <f>"1"</f>
        <v>1</v>
      </c>
      <c r="AS208" t="str">
        <f>"14/01/2020 12:00:00 a. m."</f>
        <v>14/01/2020 12:00:00 a. m.</v>
      </c>
      <c r="AT208" t="str">
        <f t="shared" ref="AT208:AT217" si="263">"1"</f>
        <v>1</v>
      </c>
      <c r="AU208" t="str">
        <f>""</f>
        <v/>
      </c>
      <c r="AV208" t="str">
        <f>"0"</f>
        <v>0</v>
      </c>
      <c r="AW208" t="str">
        <f>"29/10/2013 12:00:00 a. m."</f>
        <v>29/10/2013 12:00:00 a. m.</v>
      </c>
      <c r="AX208" t="str">
        <f>""</f>
        <v/>
      </c>
      <c r="AY208" t="str">
        <f t="shared" si="239"/>
        <v>30/04/2021 12:00:00 a. m.</v>
      </c>
      <c r="AZ208" t="str">
        <f>"19/02/2020 12:00:00 a. m."</f>
        <v>19/02/2020 12:00:00 a. m.</v>
      </c>
      <c r="BA208" t="str">
        <f>""</f>
        <v/>
      </c>
      <c r="BB208" t="str">
        <f>""</f>
        <v/>
      </c>
      <c r="BC208" t="str">
        <f>""</f>
        <v/>
      </c>
      <c r="BD208" t="str">
        <f t="shared" si="256"/>
        <v>1</v>
      </c>
      <c r="BE208" t="str">
        <f t="shared" si="256"/>
        <v>1</v>
      </c>
      <c r="BF208" t="str">
        <f t="shared" si="240"/>
        <v xml:space="preserve">3         </v>
      </c>
      <c r="BG208" t="str">
        <f t="shared" si="241"/>
        <v>Confirmado por laboratorio</v>
      </c>
      <c r="BH208" t="str">
        <f>"FUNDACION HOSPITAL INFANTIL UNIVERSITARIO DE SAN"</f>
        <v>FUNDACION HOSPITAL INFANTIL UNIVERSITARIO DE SAN</v>
      </c>
      <c r="BI208" t="str">
        <f t="shared" si="245"/>
        <v>COLOMBIA</v>
      </c>
      <c r="BJ208" t="str">
        <f t="shared" si="242"/>
        <v>CANCER INFANTIL</v>
      </c>
      <c r="BK208" t="str">
        <f t="shared" si="259"/>
        <v>BOGOTA</v>
      </c>
      <c r="BL208" t="str">
        <f t="shared" si="259"/>
        <v>BOGOTA</v>
      </c>
      <c r="BM208" t="str">
        <f t="shared" si="246"/>
        <v>COLOMBIA</v>
      </c>
      <c r="BN208" t="str">
        <f t="shared" si="260"/>
        <v>BOGOTA</v>
      </c>
      <c r="BO208" t="str">
        <f t="shared" si="260"/>
        <v>BOGOTA</v>
      </c>
      <c r="BP208" t="str">
        <f t="shared" si="260"/>
        <v>BOGOTA</v>
      </c>
      <c r="BQ208" t="str">
        <f t="shared" si="260"/>
        <v>BOGOTA</v>
      </c>
    </row>
    <row r="209" spans="1:69" x14ac:dyDescent="0.25">
      <c r="A209" t="str">
        <f>"7285911"</f>
        <v>7285911</v>
      </c>
      <c r="B209" t="str">
        <f t="shared" si="235"/>
        <v>459</v>
      </c>
      <c r="C209" t="str">
        <f>"11/09/2020 12:00:00 a. m."</f>
        <v>11/09/2020 12:00:00 a. m.</v>
      </c>
      <c r="D209" t="str">
        <f>"25"</f>
        <v>25</v>
      </c>
      <c r="E209" t="str">
        <f t="shared" si="236"/>
        <v>2020</v>
      </c>
      <c r="F209" t="str">
        <f>"1100105681"</f>
        <v>1100105681</v>
      </c>
      <c r="G209" t="str">
        <f t="shared" si="261"/>
        <v>01</v>
      </c>
      <c r="H209" t="str">
        <f>"7"</f>
        <v>7</v>
      </c>
      <c r="I209" t="str">
        <f t="shared" si="217"/>
        <v>1</v>
      </c>
      <c r="J209" t="str">
        <f>"M"</f>
        <v>M</v>
      </c>
      <c r="K209" t="str">
        <f t="shared" si="243"/>
        <v>170</v>
      </c>
      <c r="L209" t="str">
        <f>"11"</f>
        <v>11</v>
      </c>
      <c r="M209" t="str">
        <f t="shared" si="253"/>
        <v>001</v>
      </c>
      <c r="N209" t="str">
        <f t="shared" si="254"/>
        <v>1</v>
      </c>
      <c r="O209" t="str">
        <f>"9997"</f>
        <v>9997</v>
      </c>
      <c r="P209" t="str">
        <f>"S"</f>
        <v>S</v>
      </c>
      <c r="Q209" t="str">
        <f>"EPSS41"</f>
        <v>EPSS41</v>
      </c>
      <c r="R209" t="str">
        <f t="shared" si="226"/>
        <v>6</v>
      </c>
      <c r="S209" t="str">
        <f>""</f>
        <v/>
      </c>
      <c r="T209" t="str">
        <f t="shared" si="183"/>
        <v xml:space="preserve">                                                                                                    </v>
      </c>
      <c r="U209" t="str">
        <f>"2         "</f>
        <v xml:space="preserve">2         </v>
      </c>
      <c r="V209" t="str">
        <f t="shared" si="247"/>
        <v>2</v>
      </c>
      <c r="W209" t="str">
        <f t="shared" si="247"/>
        <v>2</v>
      </c>
      <c r="X209" t="str">
        <f t="shared" si="248"/>
        <v>2</v>
      </c>
      <c r="Y209" t="str">
        <f t="shared" si="249"/>
        <v>2</v>
      </c>
      <c r="Z209" t="str">
        <f t="shared" si="249"/>
        <v>2</v>
      </c>
      <c r="AA209" t="str">
        <f t="shared" si="237"/>
        <v xml:space="preserve">          </v>
      </c>
      <c r="AB209" t="str">
        <f t="shared" si="227"/>
        <v>2</v>
      </c>
      <c r="AC209" t="str">
        <f t="shared" si="230"/>
        <v>2</v>
      </c>
      <c r="AD209" t="str">
        <f t="shared" si="252"/>
        <v>2</v>
      </c>
      <c r="AE209" t="str">
        <f t="shared" si="252"/>
        <v>2</v>
      </c>
      <c r="AF209" t="str">
        <f t="shared" si="252"/>
        <v>2</v>
      </c>
      <c r="AG209" t="str">
        <f t="shared" si="252"/>
        <v>2</v>
      </c>
      <c r="AH209" t="str">
        <f t="shared" si="250"/>
        <v>1</v>
      </c>
      <c r="AI209" t="str">
        <f>"1         "</f>
        <v xml:space="preserve">1         </v>
      </c>
      <c r="AJ209" t="str">
        <f t="shared" si="244"/>
        <v>170</v>
      </c>
      <c r="AK209" t="str">
        <f>"11"</f>
        <v>11</v>
      </c>
      <c r="AL209" t="str">
        <f t="shared" si="255"/>
        <v>001</v>
      </c>
      <c r="AM209" t="str">
        <f t="shared" si="257"/>
        <v>11</v>
      </c>
      <c r="AN209" t="str">
        <f t="shared" si="258"/>
        <v>11001</v>
      </c>
      <c r="AO209" t="str">
        <f>"17/06/2020 12:00:00 a. m."</f>
        <v>17/06/2020 12:00:00 a. m.</v>
      </c>
      <c r="AP209" t="str">
        <f>"17/04/2020 12:00:00 a. m."</f>
        <v>17/04/2020 12:00:00 a. m.</v>
      </c>
      <c r="AQ209" t="str">
        <f t="shared" si="262"/>
        <v>3</v>
      </c>
      <c r="AR209" t="str">
        <f>"1"</f>
        <v>1</v>
      </c>
      <c r="AS209" t="str">
        <f>"17/06/2020 12:00:00 a. m."</f>
        <v>17/06/2020 12:00:00 a. m.</v>
      </c>
      <c r="AT209" t="str">
        <f t="shared" si="263"/>
        <v>1</v>
      </c>
      <c r="AU209" t="str">
        <f>""</f>
        <v/>
      </c>
      <c r="AV209" t="str">
        <f>"7"</f>
        <v>7</v>
      </c>
      <c r="AW209" t="str">
        <f>"23/10/2012 12:00:00 a. m."</f>
        <v>23/10/2012 12:00:00 a. m.</v>
      </c>
      <c r="AX209" t="str">
        <f>""</f>
        <v/>
      </c>
      <c r="AY209" t="str">
        <f t="shared" si="239"/>
        <v>30/04/2021 12:00:00 a. m.</v>
      </c>
      <c r="AZ209" t="str">
        <f>"25/09/2020 12:00:00 a. m."</f>
        <v>25/09/2020 12:00:00 a. m.</v>
      </c>
      <c r="BA209" t="str">
        <f>""</f>
        <v/>
      </c>
      <c r="BB209" t="str">
        <f>""</f>
        <v/>
      </c>
      <c r="BC209" t="str">
        <f>""</f>
        <v/>
      </c>
      <c r="BD209" t="str">
        <f t="shared" si="256"/>
        <v>1</v>
      </c>
      <c r="BE209" t="str">
        <f t="shared" si="256"/>
        <v>1</v>
      </c>
      <c r="BF209" t="str">
        <f t="shared" si="240"/>
        <v xml:space="preserve">3         </v>
      </c>
      <c r="BG209" t="str">
        <f t="shared" si="241"/>
        <v>Confirmado por laboratorio</v>
      </c>
      <c r="BH209" t="str">
        <f>"FUNDACION HOSPITAL DE LA MISERICORDIA"</f>
        <v>FUNDACION HOSPITAL DE LA MISERICORDIA</v>
      </c>
      <c r="BI209" t="str">
        <f t="shared" si="245"/>
        <v>COLOMBIA</v>
      </c>
      <c r="BJ209" t="str">
        <f t="shared" si="242"/>
        <v>CANCER INFANTIL</v>
      </c>
      <c r="BK209" t="str">
        <f t="shared" si="259"/>
        <v>BOGOTA</v>
      </c>
      <c r="BL209" t="str">
        <f t="shared" si="259"/>
        <v>BOGOTA</v>
      </c>
      <c r="BM209" t="str">
        <f t="shared" si="246"/>
        <v>COLOMBIA</v>
      </c>
      <c r="BN209" t="str">
        <f t="shared" si="260"/>
        <v>BOGOTA</v>
      </c>
      <c r="BO209" t="str">
        <f t="shared" si="260"/>
        <v>BOGOTA</v>
      </c>
      <c r="BP209" t="str">
        <f t="shared" si="260"/>
        <v>BOGOTA</v>
      </c>
      <c r="BQ209" t="str">
        <f t="shared" si="260"/>
        <v>BOGOTA</v>
      </c>
    </row>
    <row r="210" spans="1:69" x14ac:dyDescent="0.25">
      <c r="A210" t="str">
        <f>"7285895"</f>
        <v>7285895</v>
      </c>
      <c r="B210" t="str">
        <f t="shared" si="235"/>
        <v>459</v>
      </c>
      <c r="C210" t="str">
        <f>"19/03/2021 12:00:00 a. m."</f>
        <v>19/03/2021 12:00:00 a. m.</v>
      </c>
      <c r="D210" t="str">
        <f>"47"</f>
        <v>47</v>
      </c>
      <c r="E210" t="str">
        <f t="shared" si="236"/>
        <v>2020</v>
      </c>
      <c r="F210" t="str">
        <f>"1100123118"</f>
        <v>1100123118</v>
      </c>
      <c r="G210" t="str">
        <f t="shared" si="261"/>
        <v>01</v>
      </c>
      <c r="H210" t="str">
        <f>"16"</f>
        <v>16</v>
      </c>
      <c r="I210" t="str">
        <f t="shared" si="217"/>
        <v>1</v>
      </c>
      <c r="J210" t="str">
        <f>"M"</f>
        <v>M</v>
      </c>
      <c r="K210" t="str">
        <f t="shared" si="243"/>
        <v>170</v>
      </c>
      <c r="L210" t="str">
        <f>"11"</f>
        <v>11</v>
      </c>
      <c r="M210" t="str">
        <f t="shared" si="253"/>
        <v>001</v>
      </c>
      <c r="N210" t="str">
        <f t="shared" si="254"/>
        <v>1</v>
      </c>
      <c r="O210" t="str">
        <f>"9997"</f>
        <v>9997</v>
      </c>
      <c r="P210" t="str">
        <f>"P"</f>
        <v>P</v>
      </c>
      <c r="Q210" t="str">
        <f>"RES001"</f>
        <v>RES001</v>
      </c>
      <c r="R210" t="str">
        <f t="shared" si="226"/>
        <v>6</v>
      </c>
      <c r="S210" t="str">
        <f>""</f>
        <v/>
      </c>
      <c r="T210" t="str">
        <f t="shared" si="183"/>
        <v xml:space="preserve">                                                                                                    </v>
      </c>
      <c r="U210" t="str">
        <f>"3         "</f>
        <v xml:space="preserve">3         </v>
      </c>
      <c r="V210" t="str">
        <f t="shared" si="247"/>
        <v>2</v>
      </c>
      <c r="W210" t="str">
        <f t="shared" si="247"/>
        <v>2</v>
      </c>
      <c r="X210" t="str">
        <f t="shared" si="248"/>
        <v>2</v>
      </c>
      <c r="Y210" t="str">
        <f t="shared" si="249"/>
        <v>2</v>
      </c>
      <c r="Z210" t="str">
        <f t="shared" si="249"/>
        <v>2</v>
      </c>
      <c r="AA210" t="str">
        <f t="shared" si="237"/>
        <v xml:space="preserve">          </v>
      </c>
      <c r="AB210" t="str">
        <f t="shared" si="227"/>
        <v>2</v>
      </c>
      <c r="AC210" t="str">
        <f t="shared" si="230"/>
        <v>2</v>
      </c>
      <c r="AD210" t="str">
        <f t="shared" si="252"/>
        <v>2</v>
      </c>
      <c r="AE210" t="str">
        <f t="shared" si="252"/>
        <v>2</v>
      </c>
      <c r="AF210" t="str">
        <f t="shared" si="252"/>
        <v>2</v>
      </c>
      <c r="AG210" t="str">
        <f t="shared" si="252"/>
        <v>2</v>
      </c>
      <c r="AH210" t="str">
        <f t="shared" si="250"/>
        <v>1</v>
      </c>
      <c r="AI210" t="str">
        <f>"2         "</f>
        <v xml:space="preserve">2         </v>
      </c>
      <c r="AJ210" t="str">
        <f t="shared" si="244"/>
        <v>170</v>
      </c>
      <c r="AK210" t="str">
        <f>"11"</f>
        <v>11</v>
      </c>
      <c r="AL210" t="str">
        <f t="shared" si="255"/>
        <v>001</v>
      </c>
      <c r="AM210" t="str">
        <f t="shared" si="257"/>
        <v>11</v>
      </c>
      <c r="AN210" t="str">
        <f t="shared" si="258"/>
        <v>11001</v>
      </c>
      <c r="AO210" t="str">
        <f>"19/11/2020 12:00:00 a. m."</f>
        <v>19/11/2020 12:00:00 a. m.</v>
      </c>
      <c r="AP210" t="str">
        <f>"11/11/2020 12:00:00 a. m."</f>
        <v>11/11/2020 12:00:00 a. m.</v>
      </c>
      <c r="AQ210" t="str">
        <f t="shared" si="262"/>
        <v>3</v>
      </c>
      <c r="AR210" t="str">
        <f>"2"</f>
        <v>2</v>
      </c>
      <c r="AS210" t="str">
        <f>""</f>
        <v/>
      </c>
      <c r="AT210" t="str">
        <f t="shared" si="263"/>
        <v>1</v>
      </c>
      <c r="AU210" t="str">
        <f>""</f>
        <v/>
      </c>
      <c r="AV210" t="str">
        <f t="shared" ref="AV210:AV216" si="264">"0"</f>
        <v>0</v>
      </c>
      <c r="AW210" t="str">
        <f>"24/11/2004 12:00:00 a. m."</f>
        <v>24/11/2004 12:00:00 a. m.</v>
      </c>
      <c r="AX210" t="str">
        <f>""</f>
        <v/>
      </c>
      <c r="AY210" t="str">
        <f t="shared" si="239"/>
        <v>30/04/2021 12:00:00 a. m.</v>
      </c>
      <c r="AZ210" t="str">
        <f>"19/03/2021 12:00:00 a. m."</f>
        <v>19/03/2021 12:00:00 a. m.</v>
      </c>
      <c r="BA210" t="str">
        <f>""</f>
        <v/>
      </c>
      <c r="BB210" t="str">
        <f>""</f>
        <v/>
      </c>
      <c r="BC210" t="str">
        <f>""</f>
        <v/>
      </c>
      <c r="BD210" t="str">
        <f t="shared" si="256"/>
        <v>1</v>
      </c>
      <c r="BE210" t="str">
        <f t="shared" si="256"/>
        <v>1</v>
      </c>
      <c r="BF210" t="str">
        <f t="shared" si="240"/>
        <v xml:space="preserve">3         </v>
      </c>
      <c r="BG210" t="str">
        <f t="shared" si="241"/>
        <v>Confirmado por laboratorio</v>
      </c>
      <c r="BH210" t="str">
        <f>"HOSPITAL CENTRAL POLICIA"</f>
        <v>HOSPITAL CENTRAL POLICIA</v>
      </c>
      <c r="BI210" t="str">
        <f t="shared" si="245"/>
        <v>COLOMBIA</v>
      </c>
      <c r="BJ210" t="str">
        <f t="shared" si="242"/>
        <v>CANCER INFANTIL</v>
      </c>
      <c r="BK210" t="str">
        <f t="shared" si="259"/>
        <v>BOGOTA</v>
      </c>
      <c r="BL210" t="str">
        <f t="shared" si="259"/>
        <v>BOGOTA</v>
      </c>
      <c r="BM210" t="str">
        <f t="shared" si="246"/>
        <v>COLOMBIA</v>
      </c>
      <c r="BN210" t="str">
        <f t="shared" si="260"/>
        <v>BOGOTA</v>
      </c>
      <c r="BO210" t="str">
        <f t="shared" si="260"/>
        <v>BOGOTA</v>
      </c>
      <c r="BP210" t="str">
        <f t="shared" si="260"/>
        <v>BOGOTA</v>
      </c>
      <c r="BQ210" t="str">
        <f t="shared" si="260"/>
        <v>BOGOTA</v>
      </c>
    </row>
    <row r="211" spans="1:69" x14ac:dyDescent="0.25">
      <c r="A211" t="str">
        <f>"7285889"</f>
        <v>7285889</v>
      </c>
      <c r="B211" t="str">
        <f t="shared" si="235"/>
        <v>459</v>
      </c>
      <c r="C211" t="str">
        <f>"28/08/2020 12:00:00 a. m."</f>
        <v>28/08/2020 12:00:00 a. m.</v>
      </c>
      <c r="D211" t="str">
        <f>"30"</f>
        <v>30</v>
      </c>
      <c r="E211" t="str">
        <f t="shared" si="236"/>
        <v>2020</v>
      </c>
      <c r="F211" t="str">
        <f>"1100105681"</f>
        <v>1100105681</v>
      </c>
      <c r="G211" t="str">
        <f t="shared" si="261"/>
        <v>01</v>
      </c>
      <c r="H211" t="str">
        <f>"3"</f>
        <v>3</v>
      </c>
      <c r="I211" t="str">
        <f t="shared" si="217"/>
        <v>1</v>
      </c>
      <c r="J211" t="str">
        <f>"M"</f>
        <v>M</v>
      </c>
      <c r="K211" t="str">
        <f t="shared" si="243"/>
        <v>170</v>
      </c>
      <c r="L211" t="str">
        <f>"15"</f>
        <v>15</v>
      </c>
      <c r="M211" t="str">
        <f>"087"</f>
        <v>087</v>
      </c>
      <c r="N211" t="str">
        <f t="shared" si="254"/>
        <v>1</v>
      </c>
      <c r="O211" t="str">
        <f>"9999"</f>
        <v>9999</v>
      </c>
      <c r="P211" t="str">
        <f>"C"</f>
        <v>C</v>
      </c>
      <c r="Q211" t="str">
        <f>"EPS037"</f>
        <v>EPS037</v>
      </c>
      <c r="R211" t="str">
        <f t="shared" si="226"/>
        <v>6</v>
      </c>
      <c r="S211" t="str">
        <f>""</f>
        <v/>
      </c>
      <c r="T211" t="str">
        <f t="shared" ref="T211:T274" si="265">"                                                                                                    "</f>
        <v xml:space="preserve">                                                                                                    </v>
      </c>
      <c r="U211" t="str">
        <f>"2         "</f>
        <v xml:space="preserve">2         </v>
      </c>
      <c r="V211" t="str">
        <f t="shared" si="247"/>
        <v>2</v>
      </c>
      <c r="W211" t="str">
        <f t="shared" si="247"/>
        <v>2</v>
      </c>
      <c r="X211" t="str">
        <f t="shared" si="248"/>
        <v>2</v>
      </c>
      <c r="Y211" t="str">
        <f t="shared" si="249"/>
        <v>2</v>
      </c>
      <c r="Z211" t="str">
        <f t="shared" si="249"/>
        <v>2</v>
      </c>
      <c r="AA211" t="str">
        <f t="shared" si="237"/>
        <v xml:space="preserve">          </v>
      </c>
      <c r="AB211" t="str">
        <f t="shared" si="227"/>
        <v>2</v>
      </c>
      <c r="AC211" t="str">
        <f t="shared" si="230"/>
        <v>2</v>
      </c>
      <c r="AD211" t="str">
        <f t="shared" si="252"/>
        <v>2</v>
      </c>
      <c r="AE211" t="str">
        <f t="shared" si="252"/>
        <v>2</v>
      </c>
      <c r="AF211" t="str">
        <f t="shared" si="252"/>
        <v>2</v>
      </c>
      <c r="AG211" t="str">
        <f t="shared" si="252"/>
        <v>2</v>
      </c>
      <c r="AH211" t="str">
        <f t="shared" si="250"/>
        <v>1</v>
      </c>
      <c r="AI211" t="str">
        <f>"1         "</f>
        <v xml:space="preserve">1         </v>
      </c>
      <c r="AJ211" t="str">
        <f t="shared" si="244"/>
        <v>170</v>
      </c>
      <c r="AK211" t="str">
        <f>"15"</f>
        <v>15</v>
      </c>
      <c r="AL211" t="str">
        <f>"087"</f>
        <v>087</v>
      </c>
      <c r="AM211" t="str">
        <f t="shared" si="257"/>
        <v>11</v>
      </c>
      <c r="AN211" t="str">
        <f t="shared" si="258"/>
        <v>11001</v>
      </c>
      <c r="AO211" t="str">
        <f>"24/07/2020 12:00:00 a. m."</f>
        <v>24/07/2020 12:00:00 a. m.</v>
      </c>
      <c r="AP211" t="str">
        <f>"4/07/2020 12:00:00 a. m."</f>
        <v>4/07/2020 12:00:00 a. m.</v>
      </c>
      <c r="AQ211" t="str">
        <f t="shared" si="262"/>
        <v>3</v>
      </c>
      <c r="AR211" t="str">
        <f t="shared" ref="AR211:AR220" si="266">"1"</f>
        <v>1</v>
      </c>
      <c r="AS211" t="str">
        <f>"24/07/2020 12:00:00 a. m."</f>
        <v>24/07/2020 12:00:00 a. m.</v>
      </c>
      <c r="AT211" t="str">
        <f t="shared" si="263"/>
        <v>1</v>
      </c>
      <c r="AU211" t="str">
        <f>""</f>
        <v/>
      </c>
      <c r="AV211" t="str">
        <f t="shared" si="264"/>
        <v>0</v>
      </c>
      <c r="AW211" t="str">
        <f>"21/06/2017 12:00:00 a. m."</f>
        <v>21/06/2017 12:00:00 a. m.</v>
      </c>
      <c r="AX211" t="str">
        <f>""</f>
        <v/>
      </c>
      <c r="AY211" t="str">
        <f t="shared" si="239"/>
        <v>30/04/2021 12:00:00 a. m.</v>
      </c>
      <c r="AZ211" t="str">
        <f>"28/08/2020 12:00:00 a. m."</f>
        <v>28/08/2020 12:00:00 a. m.</v>
      </c>
      <c r="BA211" t="str">
        <f>""</f>
        <v/>
      </c>
      <c r="BB211" t="str">
        <f>""</f>
        <v/>
      </c>
      <c r="BC211" t="str">
        <f>""</f>
        <v/>
      </c>
      <c r="BD211" t="str">
        <f t="shared" si="256"/>
        <v>1</v>
      </c>
      <c r="BE211" t="str">
        <f t="shared" si="256"/>
        <v>1</v>
      </c>
      <c r="BF211" t="str">
        <f t="shared" si="240"/>
        <v xml:space="preserve">3         </v>
      </c>
      <c r="BG211" t="str">
        <f t="shared" si="241"/>
        <v>Confirmado por laboratorio</v>
      </c>
      <c r="BH211" t="str">
        <f>"FUNDACION HOSPITAL DE LA MISERICORDIA"</f>
        <v>FUNDACION HOSPITAL DE LA MISERICORDIA</v>
      </c>
      <c r="BI211" t="str">
        <f t="shared" si="245"/>
        <v>COLOMBIA</v>
      </c>
      <c r="BJ211" t="str">
        <f t="shared" si="242"/>
        <v>CANCER INFANTIL</v>
      </c>
      <c r="BK211" t="str">
        <f>"BOYACA"</f>
        <v>BOYACA</v>
      </c>
      <c r="BL211" t="str">
        <f>"BELEN"</f>
        <v>BELEN</v>
      </c>
      <c r="BM211" t="str">
        <f t="shared" si="246"/>
        <v>COLOMBIA</v>
      </c>
      <c r="BN211" t="str">
        <f>"BOYACA"</f>
        <v>BOYACA</v>
      </c>
      <c r="BO211" t="str">
        <f>"BELEN"</f>
        <v>BELEN</v>
      </c>
      <c r="BP211" t="str">
        <f>"BOGOTA"</f>
        <v>BOGOTA</v>
      </c>
      <c r="BQ211" t="str">
        <f>"BOGOTA"</f>
        <v>BOGOTA</v>
      </c>
    </row>
    <row r="212" spans="1:69" x14ac:dyDescent="0.25">
      <c r="A212" t="str">
        <f>"7285801"</f>
        <v>7285801</v>
      </c>
      <c r="B212" t="str">
        <f t="shared" si="235"/>
        <v>459</v>
      </c>
      <c r="C212" t="str">
        <f>"25/10/2020 12:00:00 a. m."</f>
        <v>25/10/2020 12:00:00 a. m.</v>
      </c>
      <c r="D212" t="str">
        <f>"44"</f>
        <v>44</v>
      </c>
      <c r="E212" t="str">
        <f t="shared" si="236"/>
        <v>2020</v>
      </c>
      <c r="F212" t="str">
        <f>"1100105681"</f>
        <v>1100105681</v>
      </c>
      <c r="G212" t="str">
        <f t="shared" si="261"/>
        <v>01</v>
      </c>
      <c r="H212" t="str">
        <f>"13"</f>
        <v>13</v>
      </c>
      <c r="I212" t="str">
        <f t="shared" si="217"/>
        <v>1</v>
      </c>
      <c r="J212" t="str">
        <f>"F"</f>
        <v>F</v>
      </c>
      <c r="K212" t="str">
        <f t="shared" si="243"/>
        <v>170</v>
      </c>
      <c r="L212" t="str">
        <f>"25"</f>
        <v>25</v>
      </c>
      <c r="M212" t="str">
        <f>"754"</f>
        <v>754</v>
      </c>
      <c r="N212" t="str">
        <f t="shared" si="254"/>
        <v>1</v>
      </c>
      <c r="O212" t="str">
        <f>"9997"</f>
        <v>9997</v>
      </c>
      <c r="P212" t="str">
        <f>"C"</f>
        <v>C</v>
      </c>
      <c r="Q212" t="str">
        <f>"EPS008"</f>
        <v>EPS008</v>
      </c>
      <c r="R212" t="str">
        <f t="shared" si="226"/>
        <v>6</v>
      </c>
      <c r="S212" t="str">
        <f>""</f>
        <v/>
      </c>
      <c r="T212" t="str">
        <f t="shared" si="265"/>
        <v xml:space="preserve">                                                                                                    </v>
      </c>
      <c r="U212" t="str">
        <f>"2         "</f>
        <v xml:space="preserve">2         </v>
      </c>
      <c r="V212" t="str">
        <f t="shared" si="247"/>
        <v>2</v>
      </c>
      <c r="W212" t="str">
        <f t="shared" si="247"/>
        <v>2</v>
      </c>
      <c r="X212" t="str">
        <f>"1"</f>
        <v>1</v>
      </c>
      <c r="Y212" t="str">
        <f t="shared" si="249"/>
        <v>2</v>
      </c>
      <c r="Z212" t="str">
        <f t="shared" si="249"/>
        <v>2</v>
      </c>
      <c r="AA212" t="str">
        <f t="shared" si="237"/>
        <v xml:space="preserve">          </v>
      </c>
      <c r="AB212" t="str">
        <f t="shared" si="227"/>
        <v>2</v>
      </c>
      <c r="AC212" t="str">
        <f t="shared" si="230"/>
        <v>2</v>
      </c>
      <c r="AD212" t="str">
        <f t="shared" si="252"/>
        <v>2</v>
      </c>
      <c r="AE212" t="str">
        <f t="shared" si="252"/>
        <v>2</v>
      </c>
      <c r="AF212" t="str">
        <f t="shared" si="252"/>
        <v>2</v>
      </c>
      <c r="AG212" t="str">
        <f t="shared" si="252"/>
        <v>2</v>
      </c>
      <c r="AH212" t="str">
        <f>"2"</f>
        <v>2</v>
      </c>
      <c r="AI212" t="str">
        <f>"1         "</f>
        <v xml:space="preserve">1         </v>
      </c>
      <c r="AJ212" t="str">
        <f t="shared" si="244"/>
        <v>170</v>
      </c>
      <c r="AK212" t="str">
        <f>"25"</f>
        <v>25</v>
      </c>
      <c r="AL212" t="str">
        <f>"754"</f>
        <v>754</v>
      </c>
      <c r="AM212" t="str">
        <f t="shared" si="257"/>
        <v>11</v>
      </c>
      <c r="AN212" t="str">
        <f t="shared" si="258"/>
        <v>11001</v>
      </c>
      <c r="AO212" t="str">
        <f>"25/10/2020 12:00:00 a. m."</f>
        <v>25/10/2020 12:00:00 a. m.</v>
      </c>
      <c r="AP212" t="str">
        <f>"5/10/2020 12:00:00 a. m."</f>
        <v>5/10/2020 12:00:00 a. m.</v>
      </c>
      <c r="AQ212" t="str">
        <f t="shared" si="262"/>
        <v>3</v>
      </c>
      <c r="AR212" t="str">
        <f t="shared" si="266"/>
        <v>1</v>
      </c>
      <c r="AS212" t="str">
        <f>"25/10/2020 12:00:00 a. m."</f>
        <v>25/10/2020 12:00:00 a. m.</v>
      </c>
      <c r="AT212" t="str">
        <f t="shared" si="263"/>
        <v>1</v>
      </c>
      <c r="AU212" t="str">
        <f>""</f>
        <v/>
      </c>
      <c r="AV212" t="str">
        <f t="shared" si="264"/>
        <v>0</v>
      </c>
      <c r="AW212" t="str">
        <f>"19/10/2007 12:00:00 a. m."</f>
        <v>19/10/2007 12:00:00 a. m.</v>
      </c>
      <c r="AX212" t="str">
        <f>""</f>
        <v/>
      </c>
      <c r="AY212" t="str">
        <f t="shared" si="239"/>
        <v>30/04/2021 12:00:00 a. m.</v>
      </c>
      <c r="AZ212" t="str">
        <f>"10/01/2021 12:00:00 a. m."</f>
        <v>10/01/2021 12:00:00 a. m.</v>
      </c>
      <c r="BA212" t="str">
        <f>""</f>
        <v/>
      </c>
      <c r="BB212" t="str">
        <f>""</f>
        <v/>
      </c>
      <c r="BC212" t="str">
        <f>""</f>
        <v/>
      </c>
      <c r="BD212" t="str">
        <f t="shared" si="256"/>
        <v>1</v>
      </c>
      <c r="BE212" t="str">
        <f t="shared" si="256"/>
        <v>1</v>
      </c>
      <c r="BF212" t="str">
        <f t="shared" si="240"/>
        <v xml:space="preserve">3         </v>
      </c>
      <c r="BG212" t="str">
        <f t="shared" si="241"/>
        <v>Confirmado por laboratorio</v>
      </c>
      <c r="BH212" t="str">
        <f>"FUNDACION HOSPITAL DE LA MISERICORDIA"</f>
        <v>FUNDACION HOSPITAL DE LA MISERICORDIA</v>
      </c>
      <c r="BI212" t="str">
        <f t="shared" si="245"/>
        <v>COLOMBIA</v>
      </c>
      <c r="BJ212" t="str">
        <f t="shared" si="242"/>
        <v>CANCER INFANTIL</v>
      </c>
      <c r="BK212" t="str">
        <f>"CUNDINAMARCA"</f>
        <v>CUNDINAMARCA</v>
      </c>
      <c r="BL212" t="str">
        <f>"SOACHA"</f>
        <v>SOACHA</v>
      </c>
      <c r="BM212" t="str">
        <f t="shared" si="246"/>
        <v>COLOMBIA</v>
      </c>
      <c r="BN212" t="str">
        <f>"CUNDINAMARCA"</f>
        <v>CUNDINAMARCA</v>
      </c>
      <c r="BO212" t="str">
        <f>"SOACHA"</f>
        <v>SOACHA</v>
      </c>
      <c r="BP212" t="str">
        <f>"BOGOTA"</f>
        <v>BOGOTA</v>
      </c>
      <c r="BQ212" t="str">
        <f>"BOGOTA"</f>
        <v>BOGOTA</v>
      </c>
    </row>
    <row r="213" spans="1:69" x14ac:dyDescent="0.25">
      <c r="A213" t="str">
        <f>"7285883"</f>
        <v>7285883</v>
      </c>
      <c r="B213" t="str">
        <f t="shared" si="235"/>
        <v>459</v>
      </c>
      <c r="C213" t="str">
        <f>"15/01/2021 12:00:00 a. m."</f>
        <v>15/01/2021 12:00:00 a. m.</v>
      </c>
      <c r="D213" t="str">
        <f>"48"</f>
        <v>48</v>
      </c>
      <c r="E213" t="str">
        <f t="shared" si="236"/>
        <v>2020</v>
      </c>
      <c r="F213" t="str">
        <f>"1300101187"</f>
        <v>1300101187</v>
      </c>
      <c r="G213" t="str">
        <f t="shared" si="261"/>
        <v>01</v>
      </c>
      <c r="H213" t="str">
        <f>"1"</f>
        <v>1</v>
      </c>
      <c r="I213" t="str">
        <f t="shared" si="217"/>
        <v>1</v>
      </c>
      <c r="J213" t="str">
        <f>"M"</f>
        <v>M</v>
      </c>
      <c r="K213" t="str">
        <f t="shared" si="243"/>
        <v>170</v>
      </c>
      <c r="L213" t="str">
        <f>"13"</f>
        <v>13</v>
      </c>
      <c r="M213" t="str">
        <f>"468"</f>
        <v>468</v>
      </c>
      <c r="N213" t="str">
        <f>"2"</f>
        <v>2</v>
      </c>
      <c r="O213" t="str">
        <f>"9999"</f>
        <v>9999</v>
      </c>
      <c r="P213" t="str">
        <f>"S"</f>
        <v>S</v>
      </c>
      <c r="Q213" t="str">
        <f>"ESS207"</f>
        <v>ESS207</v>
      </c>
      <c r="R213" t="str">
        <f t="shared" si="226"/>
        <v>6</v>
      </c>
      <c r="S213" t="str">
        <f>""</f>
        <v/>
      </c>
      <c r="T213" t="str">
        <f t="shared" si="265"/>
        <v xml:space="preserve">                                                                                                    </v>
      </c>
      <c r="U213" t="str">
        <f>"1         "</f>
        <v xml:space="preserve">1         </v>
      </c>
      <c r="V213" t="str">
        <f t="shared" si="247"/>
        <v>2</v>
      </c>
      <c r="W213" t="str">
        <f t="shared" si="247"/>
        <v>2</v>
      </c>
      <c r="X213" t="str">
        <f t="shared" ref="X213:X244" si="267">"2"</f>
        <v>2</v>
      </c>
      <c r="Y213" t="str">
        <f t="shared" si="249"/>
        <v>2</v>
      </c>
      <c r="Z213" t="str">
        <f t="shared" si="249"/>
        <v>2</v>
      </c>
      <c r="AA213" t="str">
        <f t="shared" si="237"/>
        <v xml:space="preserve">          </v>
      </c>
      <c r="AB213" t="str">
        <f t="shared" si="227"/>
        <v>2</v>
      </c>
      <c r="AC213" t="str">
        <f t="shared" si="230"/>
        <v>2</v>
      </c>
      <c r="AD213" t="str">
        <f t="shared" si="252"/>
        <v>2</v>
      </c>
      <c r="AE213" t="str">
        <f t="shared" si="252"/>
        <v>2</v>
      </c>
      <c r="AF213" t="str">
        <f t="shared" si="252"/>
        <v>2</v>
      </c>
      <c r="AG213" t="str">
        <f t="shared" si="252"/>
        <v>2</v>
      </c>
      <c r="AH213" t="str">
        <f t="shared" ref="AH213:AH244" si="268">"1"</f>
        <v>1</v>
      </c>
      <c r="AI213" t="str">
        <f>"1         "</f>
        <v xml:space="preserve">1         </v>
      </c>
      <c r="AJ213" t="str">
        <f t="shared" si="244"/>
        <v>170</v>
      </c>
      <c r="AK213" t="str">
        <f>"13"</f>
        <v>13</v>
      </c>
      <c r="AL213" t="str">
        <f>"468"</f>
        <v>468</v>
      </c>
      <c r="AM213" t="str">
        <f>"13"</f>
        <v>13</v>
      </c>
      <c r="AN213" t="str">
        <f>"13001"</f>
        <v>13001</v>
      </c>
      <c r="AO213" t="str">
        <f>"24/11/2020 12:00:00 a. m."</f>
        <v>24/11/2020 12:00:00 a. m.</v>
      </c>
      <c r="AP213" t="str">
        <f>"15/09/2020 12:00:00 a. m."</f>
        <v>15/09/2020 12:00:00 a. m.</v>
      </c>
      <c r="AQ213" t="str">
        <f t="shared" si="262"/>
        <v>3</v>
      </c>
      <c r="AR213" t="str">
        <f t="shared" si="266"/>
        <v>1</v>
      </c>
      <c r="AS213" t="str">
        <f>"24/11/2020 12:00:00 a. m."</f>
        <v>24/11/2020 12:00:00 a. m.</v>
      </c>
      <c r="AT213" t="str">
        <f t="shared" si="263"/>
        <v>1</v>
      </c>
      <c r="AU213" t="str">
        <f>""</f>
        <v/>
      </c>
      <c r="AV213" t="str">
        <f t="shared" si="264"/>
        <v>0</v>
      </c>
      <c r="AW213" t="str">
        <f>"6/03/2019 12:00:00 a. m."</f>
        <v>6/03/2019 12:00:00 a. m.</v>
      </c>
      <c r="AX213" t="str">
        <f>""</f>
        <v/>
      </c>
      <c r="AY213" t="str">
        <f t="shared" si="239"/>
        <v>30/04/2021 12:00:00 a. m.</v>
      </c>
      <c r="AZ213" t="str">
        <f>"15/01/2021 12:00:00 a. m."</f>
        <v>15/01/2021 12:00:00 a. m.</v>
      </c>
      <c r="BA213" t="str">
        <f>""</f>
        <v/>
      </c>
      <c r="BB213" t="str">
        <f>""</f>
        <v/>
      </c>
      <c r="BC213" t="str">
        <f>""</f>
        <v/>
      </c>
      <c r="BD213" t="str">
        <f t="shared" si="256"/>
        <v>1</v>
      </c>
      <c r="BE213" t="str">
        <f t="shared" si="256"/>
        <v>1</v>
      </c>
      <c r="BF213" t="str">
        <f t="shared" si="240"/>
        <v xml:space="preserve">3         </v>
      </c>
      <c r="BG213" t="str">
        <f t="shared" si="241"/>
        <v>Confirmado por laboratorio</v>
      </c>
      <c r="BH213" t="str">
        <f>"HOSPITAL INFANTIL NAPOLEON FRANCO PAREJA"</f>
        <v>HOSPITAL INFANTIL NAPOLEON FRANCO PAREJA</v>
      </c>
      <c r="BI213" t="str">
        <f t="shared" si="245"/>
        <v>COLOMBIA</v>
      </c>
      <c r="BJ213" t="str">
        <f t="shared" si="242"/>
        <v>CANCER INFANTIL</v>
      </c>
      <c r="BK213" t="str">
        <f>"BOLIVAR"</f>
        <v>BOLIVAR</v>
      </c>
      <c r="BL213" t="str">
        <f>"MOMPOS"</f>
        <v>MOMPOS</v>
      </c>
      <c r="BM213" t="str">
        <f t="shared" si="246"/>
        <v>COLOMBIA</v>
      </c>
      <c r="BN213" t="str">
        <f>"BOLIVAR"</f>
        <v>BOLIVAR</v>
      </c>
      <c r="BO213" t="str">
        <f>"MOMPOS"</f>
        <v>MOMPOS</v>
      </c>
      <c r="BP213" t="str">
        <f>"BOLIVAR"</f>
        <v>BOLIVAR</v>
      </c>
      <c r="BQ213" t="str">
        <f>"CARTAGENA"</f>
        <v>CARTAGENA</v>
      </c>
    </row>
    <row r="214" spans="1:69" x14ac:dyDescent="0.25">
      <c r="A214" t="str">
        <f>"7285910"</f>
        <v>7285910</v>
      </c>
      <c r="B214" t="str">
        <f t="shared" si="235"/>
        <v>459</v>
      </c>
      <c r="C214" t="str">
        <f>"24/11/2020 12:00:00 a. m."</f>
        <v>24/11/2020 12:00:00 a. m.</v>
      </c>
      <c r="D214" t="str">
        <f>"45"</f>
        <v>45</v>
      </c>
      <c r="E214" t="str">
        <f t="shared" si="236"/>
        <v>2020</v>
      </c>
      <c r="F214" t="str">
        <f>"1100109111"</f>
        <v>1100109111</v>
      </c>
      <c r="G214" t="str">
        <f t="shared" si="261"/>
        <v>01</v>
      </c>
      <c r="H214" t="str">
        <f>"15"</f>
        <v>15</v>
      </c>
      <c r="I214" t="str">
        <f t="shared" si="217"/>
        <v>1</v>
      </c>
      <c r="J214" t="str">
        <f>"M"</f>
        <v>M</v>
      </c>
      <c r="K214" t="str">
        <f t="shared" si="243"/>
        <v>170</v>
      </c>
      <c r="L214" t="str">
        <f>"11"</f>
        <v>11</v>
      </c>
      <c r="M214" t="str">
        <f>"001"</f>
        <v>001</v>
      </c>
      <c r="N214" t="str">
        <f t="shared" ref="N214:N220" si="269">"1"</f>
        <v>1</v>
      </c>
      <c r="O214" t="str">
        <f>"9997"</f>
        <v>9997</v>
      </c>
      <c r="P214" t="str">
        <f>"S"</f>
        <v>S</v>
      </c>
      <c r="Q214" t="str">
        <f>"CCF024"</f>
        <v>CCF024</v>
      </c>
      <c r="R214" t="str">
        <f t="shared" si="226"/>
        <v>6</v>
      </c>
      <c r="S214" t="str">
        <f>""</f>
        <v/>
      </c>
      <c r="T214" t="str">
        <f t="shared" si="265"/>
        <v xml:space="preserve">                                                                                                    </v>
      </c>
      <c r="U214" t="str">
        <f>"1         "</f>
        <v xml:space="preserve">1         </v>
      </c>
      <c r="V214" t="str">
        <f t="shared" si="247"/>
        <v>2</v>
      </c>
      <c r="W214" t="str">
        <f t="shared" si="247"/>
        <v>2</v>
      </c>
      <c r="X214" t="str">
        <f t="shared" si="267"/>
        <v>2</v>
      </c>
      <c r="Y214" t="str">
        <f t="shared" si="249"/>
        <v>2</v>
      </c>
      <c r="Z214" t="str">
        <f t="shared" si="249"/>
        <v>2</v>
      </c>
      <c r="AA214" t="str">
        <f t="shared" si="237"/>
        <v xml:space="preserve">          </v>
      </c>
      <c r="AB214" t="str">
        <f t="shared" si="227"/>
        <v>2</v>
      </c>
      <c r="AC214" t="str">
        <f t="shared" si="230"/>
        <v>2</v>
      </c>
      <c r="AD214" t="str">
        <f t="shared" si="252"/>
        <v>2</v>
      </c>
      <c r="AE214" t="str">
        <f t="shared" si="252"/>
        <v>2</v>
      </c>
      <c r="AF214" t="str">
        <f t="shared" si="252"/>
        <v>2</v>
      </c>
      <c r="AG214" t="str">
        <f t="shared" si="252"/>
        <v>2</v>
      </c>
      <c r="AH214" t="str">
        <f t="shared" si="268"/>
        <v>1</v>
      </c>
      <c r="AI214" t="str">
        <f>"2         "</f>
        <v xml:space="preserve">2         </v>
      </c>
      <c r="AJ214" t="str">
        <f t="shared" si="244"/>
        <v>170</v>
      </c>
      <c r="AK214" t="str">
        <f>"11"</f>
        <v>11</v>
      </c>
      <c r="AL214" t="str">
        <f>"001"</f>
        <v>001</v>
      </c>
      <c r="AM214" t="str">
        <f>"11"</f>
        <v>11</v>
      </c>
      <c r="AN214" t="str">
        <f>"11001"</f>
        <v>11001</v>
      </c>
      <c r="AO214" t="str">
        <f>"6/11/2020 12:00:00 a. m."</f>
        <v>6/11/2020 12:00:00 a. m.</v>
      </c>
      <c r="AP214" t="str">
        <f>"1/10/2020 12:00:00 a. m."</f>
        <v>1/10/2020 12:00:00 a. m.</v>
      </c>
      <c r="AQ214" t="str">
        <f t="shared" si="262"/>
        <v>3</v>
      </c>
      <c r="AR214" t="str">
        <f t="shared" si="266"/>
        <v>1</v>
      </c>
      <c r="AS214" t="str">
        <f>"6/11/2020 12:00:00 a. m."</f>
        <v>6/11/2020 12:00:00 a. m.</v>
      </c>
      <c r="AT214" t="str">
        <f t="shared" si="263"/>
        <v>1</v>
      </c>
      <c r="AU214" t="str">
        <f>""</f>
        <v/>
      </c>
      <c r="AV214" t="str">
        <f t="shared" si="264"/>
        <v>0</v>
      </c>
      <c r="AW214" t="str">
        <f>"8/03/2005 12:00:00 a. m."</f>
        <v>8/03/2005 12:00:00 a. m.</v>
      </c>
      <c r="AX214" t="str">
        <f>""</f>
        <v/>
      </c>
      <c r="AY214" t="str">
        <f t="shared" si="239"/>
        <v>30/04/2021 12:00:00 a. m.</v>
      </c>
      <c r="AZ214" t="str">
        <f>"30/11/2020 12:00:00 a. m."</f>
        <v>30/11/2020 12:00:00 a. m.</v>
      </c>
      <c r="BA214" t="str">
        <f>""</f>
        <v/>
      </c>
      <c r="BB214" t="str">
        <f>""</f>
        <v/>
      </c>
      <c r="BC214" t="str">
        <f>""</f>
        <v/>
      </c>
      <c r="BD214" t="str">
        <f t="shared" si="256"/>
        <v>1</v>
      </c>
      <c r="BE214" t="str">
        <f t="shared" si="256"/>
        <v>1</v>
      </c>
      <c r="BF214" t="str">
        <f t="shared" si="240"/>
        <v xml:space="preserve">3         </v>
      </c>
      <c r="BG214" t="str">
        <f t="shared" si="241"/>
        <v>Confirmado por laboratorio</v>
      </c>
      <c r="BH214" t="str">
        <f>"FUNDACION CARDIOINFANTIL INSTITUTO DE CARDIOLOGIA"</f>
        <v>FUNDACION CARDIOINFANTIL INSTITUTO DE CARDIOLOGIA</v>
      </c>
      <c r="BI214" t="str">
        <f t="shared" si="245"/>
        <v>COLOMBIA</v>
      </c>
      <c r="BJ214" t="str">
        <f t="shared" si="242"/>
        <v>CANCER INFANTIL</v>
      </c>
      <c r="BK214" t="str">
        <f>"BOGOTA"</f>
        <v>BOGOTA</v>
      </c>
      <c r="BL214" t="str">
        <f>"BOGOTA"</f>
        <v>BOGOTA</v>
      </c>
      <c r="BM214" t="str">
        <f t="shared" si="246"/>
        <v>COLOMBIA</v>
      </c>
      <c r="BN214" t="str">
        <f>"BOGOTA"</f>
        <v>BOGOTA</v>
      </c>
      <c r="BO214" t="str">
        <f>"BOGOTA"</f>
        <v>BOGOTA</v>
      </c>
      <c r="BP214" t="str">
        <f>"BOGOTA"</f>
        <v>BOGOTA</v>
      </c>
      <c r="BQ214" t="str">
        <f>"BOGOTA"</f>
        <v>BOGOTA</v>
      </c>
    </row>
    <row r="215" spans="1:69" x14ac:dyDescent="0.25">
      <c r="A215" t="str">
        <f>"7285900"</f>
        <v>7285900</v>
      </c>
      <c r="B215" t="str">
        <f t="shared" si="235"/>
        <v>459</v>
      </c>
      <c r="C215" t="str">
        <f>"3/10/2020 12:00:00 a. m."</f>
        <v>3/10/2020 12:00:00 a. m.</v>
      </c>
      <c r="D215" t="str">
        <f>"33"</f>
        <v>33</v>
      </c>
      <c r="E215" t="str">
        <f t="shared" si="236"/>
        <v>2020</v>
      </c>
      <c r="F215" t="str">
        <f>"1700101096"</f>
        <v>1700101096</v>
      </c>
      <c r="G215" t="str">
        <f t="shared" si="261"/>
        <v>01</v>
      </c>
      <c r="H215" t="str">
        <f>"15"</f>
        <v>15</v>
      </c>
      <c r="I215" t="str">
        <f t="shared" si="217"/>
        <v>1</v>
      </c>
      <c r="J215" t="str">
        <f>"F"</f>
        <v>F</v>
      </c>
      <c r="K215" t="str">
        <f t="shared" si="243"/>
        <v>170</v>
      </c>
      <c r="L215" t="str">
        <f>"17"</f>
        <v>17</v>
      </c>
      <c r="M215" t="str">
        <f>"433"</f>
        <v>433</v>
      </c>
      <c r="N215" t="str">
        <f t="shared" si="269"/>
        <v>1</v>
      </c>
      <c r="O215" t="str">
        <f>"9997"</f>
        <v>9997</v>
      </c>
      <c r="P215" t="str">
        <f t="shared" ref="P215:P220" si="270">"C"</f>
        <v>C</v>
      </c>
      <c r="Q215" t="str">
        <f>"EPS037"</f>
        <v>EPS037</v>
      </c>
      <c r="R215" t="str">
        <f t="shared" si="226"/>
        <v>6</v>
      </c>
      <c r="S215" t="str">
        <f>""</f>
        <v/>
      </c>
      <c r="T215" t="str">
        <f t="shared" si="265"/>
        <v xml:space="preserve">                                                                                                    </v>
      </c>
      <c r="U215" t="str">
        <f>"2         "</f>
        <v xml:space="preserve">2         </v>
      </c>
      <c r="V215" t="str">
        <f t="shared" si="247"/>
        <v>2</v>
      </c>
      <c r="W215" t="str">
        <f t="shared" si="247"/>
        <v>2</v>
      </c>
      <c r="X215" t="str">
        <f t="shared" si="267"/>
        <v>2</v>
      </c>
      <c r="Y215" t="str">
        <f t="shared" si="249"/>
        <v>2</v>
      </c>
      <c r="Z215" t="str">
        <f t="shared" si="249"/>
        <v>2</v>
      </c>
      <c r="AA215" t="str">
        <f t="shared" si="237"/>
        <v xml:space="preserve">          </v>
      </c>
      <c r="AB215" t="str">
        <f t="shared" si="227"/>
        <v>2</v>
      </c>
      <c r="AC215" t="str">
        <f t="shared" si="230"/>
        <v>2</v>
      </c>
      <c r="AD215" t="str">
        <f t="shared" si="252"/>
        <v>2</v>
      </c>
      <c r="AE215" t="str">
        <f t="shared" si="252"/>
        <v>2</v>
      </c>
      <c r="AF215" t="str">
        <f t="shared" si="252"/>
        <v>2</v>
      </c>
      <c r="AG215" t="str">
        <f t="shared" si="252"/>
        <v>2</v>
      </c>
      <c r="AH215" t="str">
        <f t="shared" si="268"/>
        <v>1</v>
      </c>
      <c r="AI215" t="str">
        <f t="shared" ref="AI215:AI223" si="271">"1         "</f>
        <v xml:space="preserve">1         </v>
      </c>
      <c r="AJ215" t="str">
        <f t="shared" si="244"/>
        <v>170</v>
      </c>
      <c r="AK215" t="str">
        <f>"17"</f>
        <v>17</v>
      </c>
      <c r="AL215" t="str">
        <f>"433"</f>
        <v>433</v>
      </c>
      <c r="AM215" t="str">
        <f>"17"</f>
        <v>17</v>
      </c>
      <c r="AN215" t="str">
        <f>"17001"</f>
        <v>17001</v>
      </c>
      <c r="AO215" t="str">
        <f>"12/08/2020 12:00:00 a. m."</f>
        <v>12/08/2020 12:00:00 a. m.</v>
      </c>
      <c r="AP215" t="str">
        <f>"12/08/2020 12:00:00 a. m."</f>
        <v>12/08/2020 12:00:00 a. m.</v>
      </c>
      <c r="AQ215" t="str">
        <f t="shared" si="262"/>
        <v>3</v>
      </c>
      <c r="AR215" t="str">
        <f t="shared" si="266"/>
        <v>1</v>
      </c>
      <c r="AS215" t="str">
        <f>"12/08/2020 12:00:00 a. m."</f>
        <v>12/08/2020 12:00:00 a. m.</v>
      </c>
      <c r="AT215" t="str">
        <f t="shared" si="263"/>
        <v>1</v>
      </c>
      <c r="AU215" t="str">
        <f>""</f>
        <v/>
      </c>
      <c r="AV215" t="str">
        <f t="shared" si="264"/>
        <v>0</v>
      </c>
      <c r="AW215" t="str">
        <f>"7/08/2005 12:00:00 a. m."</f>
        <v>7/08/2005 12:00:00 a. m.</v>
      </c>
      <c r="AX215" t="str">
        <f>""</f>
        <v/>
      </c>
      <c r="AY215" t="str">
        <f t="shared" si="239"/>
        <v>30/04/2021 12:00:00 a. m.</v>
      </c>
      <c r="AZ215" t="str">
        <f>"5/10/2020 12:00:00 a. m."</f>
        <v>5/10/2020 12:00:00 a. m.</v>
      </c>
      <c r="BA215" t="str">
        <f>""</f>
        <v/>
      </c>
      <c r="BB215" t="str">
        <f>""</f>
        <v/>
      </c>
      <c r="BC215" t="str">
        <f>""</f>
        <v/>
      </c>
      <c r="BD215" t="str">
        <f t="shared" si="256"/>
        <v>1</v>
      </c>
      <c r="BE215" t="str">
        <f t="shared" si="256"/>
        <v>1</v>
      </c>
      <c r="BF215" t="str">
        <f t="shared" si="240"/>
        <v xml:space="preserve">3         </v>
      </c>
      <c r="BG215" t="str">
        <f t="shared" si="241"/>
        <v>Confirmado por laboratorio</v>
      </c>
      <c r="BH215" t="str">
        <f>"ONCOLOGOS DE OCCIDENTE SA"</f>
        <v>ONCOLOGOS DE OCCIDENTE SA</v>
      </c>
      <c r="BI215" t="str">
        <f t="shared" si="245"/>
        <v>COLOMBIA</v>
      </c>
      <c r="BJ215" t="str">
        <f t="shared" si="242"/>
        <v>CANCER INFANTIL</v>
      </c>
      <c r="BK215" t="str">
        <f>"CALDAS"</f>
        <v>CALDAS</v>
      </c>
      <c r="BL215" t="str">
        <f>"MANZANARES"</f>
        <v>MANZANARES</v>
      </c>
      <c r="BM215" t="str">
        <f t="shared" si="246"/>
        <v>COLOMBIA</v>
      </c>
      <c r="BN215" t="str">
        <f>"CALDAS"</f>
        <v>CALDAS</v>
      </c>
      <c r="BO215" t="str">
        <f>"MANZANARES"</f>
        <v>MANZANARES</v>
      </c>
      <c r="BP215" t="str">
        <f>"CALDAS"</f>
        <v>CALDAS</v>
      </c>
      <c r="BQ215" t="str">
        <f>"MANIZALES"</f>
        <v>MANIZALES</v>
      </c>
    </row>
    <row r="216" spans="1:69" x14ac:dyDescent="0.25">
      <c r="A216" t="str">
        <f>"7285906"</f>
        <v>7285906</v>
      </c>
      <c r="B216" t="str">
        <f t="shared" si="235"/>
        <v>459</v>
      </c>
      <c r="C216" t="str">
        <f>"14/08/2020 12:00:00 a. m."</f>
        <v>14/08/2020 12:00:00 a. m.</v>
      </c>
      <c r="D216" t="str">
        <f>"31"</f>
        <v>31</v>
      </c>
      <c r="E216" t="str">
        <f t="shared" si="236"/>
        <v>2020</v>
      </c>
      <c r="F216" t="str">
        <f>"1700101096"</f>
        <v>1700101096</v>
      </c>
      <c r="G216" t="str">
        <f t="shared" si="261"/>
        <v>01</v>
      </c>
      <c r="H216" t="str">
        <f>"10"</f>
        <v>10</v>
      </c>
      <c r="I216" t="str">
        <f>"2"</f>
        <v>2</v>
      </c>
      <c r="J216" t="str">
        <f>"M"</f>
        <v>M</v>
      </c>
      <c r="K216" t="str">
        <f t="shared" si="243"/>
        <v>170</v>
      </c>
      <c r="L216" t="str">
        <f>"17"</f>
        <v>17</v>
      </c>
      <c r="M216" t="str">
        <f>"873"</f>
        <v>873</v>
      </c>
      <c r="N216" t="str">
        <f t="shared" si="269"/>
        <v>1</v>
      </c>
      <c r="O216" t="str">
        <f>"9999"</f>
        <v>9999</v>
      </c>
      <c r="P216" t="str">
        <f t="shared" si="270"/>
        <v>C</v>
      </c>
      <c r="Q216" t="str">
        <f>"EPS002"</f>
        <v>EPS002</v>
      </c>
      <c r="R216" t="str">
        <f t="shared" si="226"/>
        <v>6</v>
      </c>
      <c r="S216" t="str">
        <f>""</f>
        <v/>
      </c>
      <c r="T216" t="str">
        <f t="shared" si="265"/>
        <v xml:space="preserve">                                                                                                    </v>
      </c>
      <c r="U216" t="str">
        <f>"2         "</f>
        <v xml:space="preserve">2         </v>
      </c>
      <c r="V216" t="str">
        <f t="shared" si="247"/>
        <v>2</v>
      </c>
      <c r="W216" t="str">
        <f t="shared" si="247"/>
        <v>2</v>
      </c>
      <c r="X216" t="str">
        <f t="shared" si="267"/>
        <v>2</v>
      </c>
      <c r="Y216" t="str">
        <f t="shared" si="249"/>
        <v>2</v>
      </c>
      <c r="Z216" t="str">
        <f t="shared" si="249"/>
        <v>2</v>
      </c>
      <c r="AA216" t="str">
        <f t="shared" si="237"/>
        <v xml:space="preserve">          </v>
      </c>
      <c r="AB216" t="str">
        <f t="shared" si="227"/>
        <v>2</v>
      </c>
      <c r="AC216" t="str">
        <f t="shared" si="230"/>
        <v>2</v>
      </c>
      <c r="AD216" t="str">
        <f t="shared" si="252"/>
        <v>2</v>
      </c>
      <c r="AE216" t="str">
        <f t="shared" si="252"/>
        <v>2</v>
      </c>
      <c r="AF216" t="str">
        <f t="shared" si="252"/>
        <v>2</v>
      </c>
      <c r="AG216" t="str">
        <f t="shared" si="252"/>
        <v>2</v>
      </c>
      <c r="AH216" t="str">
        <f t="shared" si="268"/>
        <v>1</v>
      </c>
      <c r="AI216" t="str">
        <f t="shared" si="271"/>
        <v xml:space="preserve">1         </v>
      </c>
      <c r="AJ216" t="str">
        <f t="shared" si="244"/>
        <v>170</v>
      </c>
      <c r="AK216" t="str">
        <f>"17"</f>
        <v>17</v>
      </c>
      <c r="AL216" t="str">
        <f>"873"</f>
        <v>873</v>
      </c>
      <c r="AM216" t="str">
        <f>"17"</f>
        <v>17</v>
      </c>
      <c r="AN216" t="str">
        <f>"17001"</f>
        <v>17001</v>
      </c>
      <c r="AO216" t="str">
        <f>"30/07/2020 12:00:00 a. m."</f>
        <v>30/07/2020 12:00:00 a. m.</v>
      </c>
      <c r="AP216" t="str">
        <f>"15/07/2020 12:00:00 a. m."</f>
        <v>15/07/2020 12:00:00 a. m.</v>
      </c>
      <c r="AQ216" t="str">
        <f t="shared" si="262"/>
        <v>3</v>
      </c>
      <c r="AR216" t="str">
        <f t="shared" si="266"/>
        <v>1</v>
      </c>
      <c r="AS216" t="str">
        <f>"3/08/2020 12:00:00 a. m."</f>
        <v>3/08/2020 12:00:00 a. m.</v>
      </c>
      <c r="AT216" t="str">
        <f t="shared" si="263"/>
        <v>1</v>
      </c>
      <c r="AU216" t="str">
        <f>""</f>
        <v/>
      </c>
      <c r="AV216" t="str">
        <f t="shared" si="264"/>
        <v>0</v>
      </c>
      <c r="AW216" t="str">
        <f>"10/10/2019 12:00:00 a. m."</f>
        <v>10/10/2019 12:00:00 a. m.</v>
      </c>
      <c r="AX216" t="str">
        <f>""</f>
        <v/>
      </c>
      <c r="AY216" t="str">
        <f t="shared" si="239"/>
        <v>30/04/2021 12:00:00 a. m.</v>
      </c>
      <c r="AZ216" t="str">
        <f>"16/08/2020 12:00:00 a. m."</f>
        <v>16/08/2020 12:00:00 a. m.</v>
      </c>
      <c r="BA216" t="str">
        <f>""</f>
        <v/>
      </c>
      <c r="BB216" t="str">
        <f>""</f>
        <v/>
      </c>
      <c r="BC216" t="str">
        <f>""</f>
        <v/>
      </c>
      <c r="BD216" t="str">
        <f t="shared" si="256"/>
        <v>1</v>
      </c>
      <c r="BE216" t="str">
        <f t="shared" si="256"/>
        <v>1</v>
      </c>
      <c r="BF216" t="str">
        <f t="shared" si="240"/>
        <v xml:space="preserve">3         </v>
      </c>
      <c r="BG216" t="str">
        <f t="shared" si="241"/>
        <v>Confirmado por laboratorio</v>
      </c>
      <c r="BH216" t="str">
        <f>"ONCOLOGOS DE OCCIDENTE SA"</f>
        <v>ONCOLOGOS DE OCCIDENTE SA</v>
      </c>
      <c r="BI216" t="str">
        <f t="shared" si="245"/>
        <v>COLOMBIA</v>
      </c>
      <c r="BJ216" t="str">
        <f t="shared" si="242"/>
        <v>CANCER INFANTIL</v>
      </c>
      <c r="BK216" t="str">
        <f>"CALDAS"</f>
        <v>CALDAS</v>
      </c>
      <c r="BL216" t="str">
        <f>"VILLAMARIA"</f>
        <v>VILLAMARIA</v>
      </c>
      <c r="BM216" t="str">
        <f t="shared" si="246"/>
        <v>COLOMBIA</v>
      </c>
      <c r="BN216" t="str">
        <f>"CALDAS"</f>
        <v>CALDAS</v>
      </c>
      <c r="BO216" t="str">
        <f>"VILLAMARIA"</f>
        <v>VILLAMARIA</v>
      </c>
      <c r="BP216" t="str">
        <f>"CALDAS"</f>
        <v>CALDAS</v>
      </c>
      <c r="BQ216" t="str">
        <f>"MANIZALES"</f>
        <v>MANIZALES</v>
      </c>
    </row>
    <row r="217" spans="1:69" x14ac:dyDescent="0.25">
      <c r="A217" t="str">
        <f>"7285372"</f>
        <v>7285372</v>
      </c>
      <c r="B217" t="str">
        <f t="shared" si="235"/>
        <v>459</v>
      </c>
      <c r="C217" t="str">
        <f>"10/02/2020 12:00:00 a. m."</f>
        <v>10/02/2020 12:00:00 a. m.</v>
      </c>
      <c r="D217" t="str">
        <f>"04"</f>
        <v>04</v>
      </c>
      <c r="E217" t="str">
        <f t="shared" si="236"/>
        <v>2020</v>
      </c>
      <c r="F217" t="str">
        <f>"1100105681"</f>
        <v>1100105681</v>
      </c>
      <c r="G217" t="str">
        <f t="shared" si="261"/>
        <v>01</v>
      </c>
      <c r="H217" t="str">
        <f>"12"</f>
        <v>12</v>
      </c>
      <c r="I217" t="str">
        <f t="shared" ref="I217:I235" si="272">"1"</f>
        <v>1</v>
      </c>
      <c r="J217" t="str">
        <f>"M"</f>
        <v>M</v>
      </c>
      <c r="K217" t="str">
        <f t="shared" si="243"/>
        <v>170</v>
      </c>
      <c r="L217" t="str">
        <f>"11"</f>
        <v>11</v>
      </c>
      <c r="M217" t="str">
        <f>"001"</f>
        <v>001</v>
      </c>
      <c r="N217" t="str">
        <f t="shared" si="269"/>
        <v>1</v>
      </c>
      <c r="O217" t="str">
        <f>"9997"</f>
        <v>9997</v>
      </c>
      <c r="P217" t="str">
        <f t="shared" si="270"/>
        <v>C</v>
      </c>
      <c r="Q217" t="str">
        <f>"EPS017"</f>
        <v>EPS017</v>
      </c>
      <c r="R217" t="str">
        <f t="shared" si="226"/>
        <v>6</v>
      </c>
      <c r="S217" t="str">
        <f>""</f>
        <v/>
      </c>
      <c r="T217" t="str">
        <f t="shared" si="265"/>
        <v xml:space="preserve">                                                                                                    </v>
      </c>
      <c r="U217" t="str">
        <f>"2         "</f>
        <v xml:space="preserve">2         </v>
      </c>
      <c r="V217" t="str">
        <f t="shared" si="247"/>
        <v>2</v>
      </c>
      <c r="W217" t="str">
        <f t="shared" si="247"/>
        <v>2</v>
      </c>
      <c r="X217" t="str">
        <f t="shared" si="267"/>
        <v>2</v>
      </c>
      <c r="Y217" t="str">
        <f t="shared" si="249"/>
        <v>2</v>
      </c>
      <c r="Z217" t="str">
        <f t="shared" si="249"/>
        <v>2</v>
      </c>
      <c r="AA217" t="str">
        <f t="shared" si="237"/>
        <v xml:space="preserve">          </v>
      </c>
      <c r="AB217" t="str">
        <f t="shared" si="227"/>
        <v>2</v>
      </c>
      <c r="AC217" t="str">
        <f t="shared" si="230"/>
        <v>2</v>
      </c>
      <c r="AD217" t="str">
        <f t="shared" si="252"/>
        <v>2</v>
      </c>
      <c r="AE217" t="str">
        <f t="shared" si="252"/>
        <v>2</v>
      </c>
      <c r="AF217" t="str">
        <f t="shared" si="252"/>
        <v>2</v>
      </c>
      <c r="AG217" t="str">
        <f t="shared" si="252"/>
        <v>2</v>
      </c>
      <c r="AH217" t="str">
        <f t="shared" si="268"/>
        <v>1</v>
      </c>
      <c r="AI217" t="str">
        <f t="shared" si="271"/>
        <v xml:space="preserve">1         </v>
      </c>
      <c r="AJ217" t="str">
        <f t="shared" si="244"/>
        <v>170</v>
      </c>
      <c r="AK217" t="str">
        <f>"11"</f>
        <v>11</v>
      </c>
      <c r="AL217" t="str">
        <f>"001"</f>
        <v>001</v>
      </c>
      <c r="AM217" t="str">
        <f>"11"</f>
        <v>11</v>
      </c>
      <c r="AN217" t="str">
        <f>"11001"</f>
        <v>11001</v>
      </c>
      <c r="AO217" t="str">
        <f>"24/01/2020 12:00:00 a. m."</f>
        <v>24/01/2020 12:00:00 a. m.</v>
      </c>
      <c r="AP217" t="str">
        <f>"30/12/2019 12:00:00 a. m."</f>
        <v>30/12/2019 12:00:00 a. m.</v>
      </c>
      <c r="AQ217" t="str">
        <f t="shared" si="262"/>
        <v>3</v>
      </c>
      <c r="AR217" t="str">
        <f t="shared" si="266"/>
        <v>1</v>
      </c>
      <c r="AS217" t="str">
        <f>"24/01/2020 12:00:00 a. m."</f>
        <v>24/01/2020 12:00:00 a. m.</v>
      </c>
      <c r="AT217" t="str">
        <f t="shared" si="263"/>
        <v>1</v>
      </c>
      <c r="AU217" t="str">
        <f>""</f>
        <v/>
      </c>
      <c r="AV217" t="str">
        <f>"7"</f>
        <v>7</v>
      </c>
      <c r="AW217" t="str">
        <f>"18/03/2007 12:00:00 a. m."</f>
        <v>18/03/2007 12:00:00 a. m.</v>
      </c>
      <c r="AX217" t="str">
        <f>""</f>
        <v/>
      </c>
      <c r="AY217" t="str">
        <f t="shared" si="239"/>
        <v>30/04/2021 12:00:00 a. m.</v>
      </c>
      <c r="AZ217" t="str">
        <f>"31/03/2020 12:00:00 a. m."</f>
        <v>31/03/2020 12:00:00 a. m.</v>
      </c>
      <c r="BA217" t="str">
        <f>""</f>
        <v/>
      </c>
      <c r="BB217" t="str">
        <f>""</f>
        <v/>
      </c>
      <c r="BC217" t="str">
        <f>""</f>
        <v/>
      </c>
      <c r="BD217" t="str">
        <f t="shared" si="256"/>
        <v>1</v>
      </c>
      <c r="BE217" t="str">
        <f t="shared" si="256"/>
        <v>1</v>
      </c>
      <c r="BF217" t="str">
        <f t="shared" si="240"/>
        <v xml:space="preserve">3         </v>
      </c>
      <c r="BG217" t="str">
        <f t="shared" si="241"/>
        <v>Confirmado por laboratorio</v>
      </c>
      <c r="BH217" t="str">
        <f>"FUNDACION HOSPITAL DE LA MISERICORDIA"</f>
        <v>FUNDACION HOSPITAL DE LA MISERICORDIA</v>
      </c>
      <c r="BI217" t="str">
        <f t="shared" si="245"/>
        <v>COLOMBIA</v>
      </c>
      <c r="BJ217" t="str">
        <f t="shared" si="242"/>
        <v>CANCER INFANTIL</v>
      </c>
      <c r="BK217" t="str">
        <f t="shared" ref="BK217:BL219" si="273">"BOGOTA"</f>
        <v>BOGOTA</v>
      </c>
      <c r="BL217" t="str">
        <f t="shared" si="273"/>
        <v>BOGOTA</v>
      </c>
      <c r="BM217" t="str">
        <f t="shared" si="246"/>
        <v>COLOMBIA</v>
      </c>
      <c r="BN217" t="str">
        <f t="shared" ref="BN217:BQ219" si="274">"BOGOTA"</f>
        <v>BOGOTA</v>
      </c>
      <c r="BO217" t="str">
        <f t="shared" si="274"/>
        <v>BOGOTA</v>
      </c>
      <c r="BP217" t="str">
        <f t="shared" si="274"/>
        <v>BOGOTA</v>
      </c>
      <c r="BQ217" t="str">
        <f t="shared" si="274"/>
        <v>BOGOTA</v>
      </c>
    </row>
    <row r="218" spans="1:69" x14ac:dyDescent="0.25">
      <c r="A218" t="str">
        <f>"7285375"</f>
        <v>7285375</v>
      </c>
      <c r="B218" t="str">
        <f t="shared" si="235"/>
        <v>459</v>
      </c>
      <c r="C218" t="str">
        <f>"23/09/2020 12:00:00 a. m."</f>
        <v>23/09/2020 12:00:00 a. m.</v>
      </c>
      <c r="D218" t="str">
        <f>"38"</f>
        <v>38</v>
      </c>
      <c r="E218" t="str">
        <f t="shared" si="236"/>
        <v>2020</v>
      </c>
      <c r="F218" t="str">
        <f>"1100105681"</f>
        <v>1100105681</v>
      </c>
      <c r="G218" t="str">
        <f t="shared" si="261"/>
        <v>01</v>
      </c>
      <c r="H218" t="str">
        <f>"12"</f>
        <v>12</v>
      </c>
      <c r="I218" t="str">
        <f t="shared" si="272"/>
        <v>1</v>
      </c>
      <c r="J218" t="str">
        <f>"M"</f>
        <v>M</v>
      </c>
      <c r="K218" t="str">
        <f t="shared" si="243"/>
        <v>170</v>
      </c>
      <c r="L218" t="str">
        <f>"11"</f>
        <v>11</v>
      </c>
      <c r="M218" t="str">
        <f>"001"</f>
        <v>001</v>
      </c>
      <c r="N218" t="str">
        <f t="shared" si="269"/>
        <v>1</v>
      </c>
      <c r="O218" t="str">
        <f>"9997"</f>
        <v>9997</v>
      </c>
      <c r="P218" t="str">
        <f t="shared" si="270"/>
        <v>C</v>
      </c>
      <c r="Q218" t="str">
        <f>"EPS005"</f>
        <v>EPS005</v>
      </c>
      <c r="R218" t="str">
        <f t="shared" si="226"/>
        <v>6</v>
      </c>
      <c r="S218" t="str">
        <f>""</f>
        <v/>
      </c>
      <c r="T218" t="str">
        <f t="shared" si="265"/>
        <v xml:space="preserve">                                                                                                    </v>
      </c>
      <c r="U218" t="str">
        <f>"2         "</f>
        <v xml:space="preserve">2         </v>
      </c>
      <c r="V218" t="str">
        <f t="shared" si="247"/>
        <v>2</v>
      </c>
      <c r="W218" t="str">
        <f t="shared" si="247"/>
        <v>2</v>
      </c>
      <c r="X218" t="str">
        <f t="shared" si="267"/>
        <v>2</v>
      </c>
      <c r="Y218" t="str">
        <f t="shared" si="249"/>
        <v>2</v>
      </c>
      <c r="Z218" t="str">
        <f t="shared" si="249"/>
        <v>2</v>
      </c>
      <c r="AA218" t="str">
        <f t="shared" si="237"/>
        <v xml:space="preserve">          </v>
      </c>
      <c r="AB218" t="str">
        <f t="shared" si="227"/>
        <v>2</v>
      </c>
      <c r="AC218" t="str">
        <f t="shared" si="230"/>
        <v>2</v>
      </c>
      <c r="AD218" t="str">
        <f t="shared" si="252"/>
        <v>2</v>
      </c>
      <c r="AE218" t="str">
        <f t="shared" si="252"/>
        <v>2</v>
      </c>
      <c r="AF218" t="str">
        <f t="shared" si="252"/>
        <v>2</v>
      </c>
      <c r="AG218" t="str">
        <f t="shared" si="252"/>
        <v>2</v>
      </c>
      <c r="AH218" t="str">
        <f t="shared" si="268"/>
        <v>1</v>
      </c>
      <c r="AI218" t="str">
        <f t="shared" si="271"/>
        <v xml:space="preserve">1         </v>
      </c>
      <c r="AJ218" t="str">
        <f t="shared" si="244"/>
        <v>170</v>
      </c>
      <c r="AK218" t="str">
        <f>"11"</f>
        <v>11</v>
      </c>
      <c r="AL218" t="str">
        <f>"001"</f>
        <v>001</v>
      </c>
      <c r="AM218" t="str">
        <f>"11"</f>
        <v>11</v>
      </c>
      <c r="AN218" t="str">
        <f>"11001"</f>
        <v>11001</v>
      </c>
      <c r="AO218" t="str">
        <f>"18/09/2020 12:00:00 a. m."</f>
        <v>18/09/2020 12:00:00 a. m.</v>
      </c>
      <c r="AP218" t="str">
        <f>"10/09/2020 12:00:00 a. m."</f>
        <v>10/09/2020 12:00:00 a. m.</v>
      </c>
      <c r="AQ218" t="str">
        <f t="shared" si="262"/>
        <v>3</v>
      </c>
      <c r="AR218" t="str">
        <f t="shared" si="266"/>
        <v>1</v>
      </c>
      <c r="AS218" t="str">
        <f>"18/09/2020 12:00:00 a. m."</f>
        <v>18/09/2020 12:00:00 a. m.</v>
      </c>
      <c r="AT218" t="str">
        <f>"2"</f>
        <v>2</v>
      </c>
      <c r="AU218" t="str">
        <f>"15/02/2021 12:00:00 a. m."</f>
        <v>15/02/2021 12:00:00 a. m.</v>
      </c>
      <c r="AV218" t="str">
        <f>"7"</f>
        <v>7</v>
      </c>
      <c r="AW218" t="str">
        <f>"28/02/2008 12:00:00 a. m."</f>
        <v>28/02/2008 12:00:00 a. m.</v>
      </c>
      <c r="AX218" t="str">
        <f>"C710"</f>
        <v>C710</v>
      </c>
      <c r="AY218" t="str">
        <f t="shared" si="239"/>
        <v>30/04/2021 12:00:00 a. m.</v>
      </c>
      <c r="AZ218" t="str">
        <f>"15/02/2021 12:00:00 a. m."</f>
        <v>15/02/2021 12:00:00 a. m.</v>
      </c>
      <c r="BA218" t="str">
        <f>""</f>
        <v/>
      </c>
      <c r="BB218" t="str">
        <f>""</f>
        <v/>
      </c>
      <c r="BC218" t="str">
        <f>""</f>
        <v/>
      </c>
      <c r="BD218" t="str">
        <f t="shared" si="256"/>
        <v>1</v>
      </c>
      <c r="BE218" t="str">
        <f t="shared" si="256"/>
        <v>1</v>
      </c>
      <c r="BF218" t="str">
        <f t="shared" si="240"/>
        <v xml:space="preserve">3         </v>
      </c>
      <c r="BG218" t="str">
        <f t="shared" si="241"/>
        <v>Confirmado por laboratorio</v>
      </c>
      <c r="BH218" t="str">
        <f>"FUNDACION HOSPITAL DE LA MISERICORDIA"</f>
        <v>FUNDACION HOSPITAL DE LA MISERICORDIA</v>
      </c>
      <c r="BI218" t="str">
        <f t="shared" si="245"/>
        <v>COLOMBIA</v>
      </c>
      <c r="BJ218" t="str">
        <f t="shared" si="242"/>
        <v>CANCER INFANTIL</v>
      </c>
      <c r="BK218" t="str">
        <f t="shared" si="273"/>
        <v>BOGOTA</v>
      </c>
      <c r="BL218" t="str">
        <f t="shared" si="273"/>
        <v>BOGOTA</v>
      </c>
      <c r="BM218" t="str">
        <f t="shared" si="246"/>
        <v>COLOMBIA</v>
      </c>
      <c r="BN218" t="str">
        <f t="shared" si="274"/>
        <v>BOGOTA</v>
      </c>
      <c r="BO218" t="str">
        <f t="shared" si="274"/>
        <v>BOGOTA</v>
      </c>
      <c r="BP218" t="str">
        <f t="shared" si="274"/>
        <v>BOGOTA</v>
      </c>
      <c r="BQ218" t="str">
        <f t="shared" si="274"/>
        <v>BOGOTA</v>
      </c>
    </row>
    <row r="219" spans="1:69" x14ac:dyDescent="0.25">
      <c r="A219" t="str">
        <f>"7285360"</f>
        <v>7285360</v>
      </c>
      <c r="B219" t="str">
        <f t="shared" si="235"/>
        <v>459</v>
      </c>
      <c r="C219" t="str">
        <f>"29/01/2020 12:00:00 a. m."</f>
        <v>29/01/2020 12:00:00 a. m.</v>
      </c>
      <c r="D219" t="str">
        <f>"04"</f>
        <v>04</v>
      </c>
      <c r="E219" t="str">
        <f t="shared" si="236"/>
        <v>2020</v>
      </c>
      <c r="F219" t="str">
        <f>"1100108171"</f>
        <v>1100108171</v>
      </c>
      <c r="G219" t="str">
        <f>"02"</f>
        <v>02</v>
      </c>
      <c r="H219" t="str">
        <f>"14"</f>
        <v>14</v>
      </c>
      <c r="I219" t="str">
        <f t="shared" si="272"/>
        <v>1</v>
      </c>
      <c r="J219" t="str">
        <f>"M"</f>
        <v>M</v>
      </c>
      <c r="K219" t="str">
        <f t="shared" si="243"/>
        <v>170</v>
      </c>
      <c r="L219" t="str">
        <f>"11"</f>
        <v>11</v>
      </c>
      <c r="M219" t="str">
        <f>"001"</f>
        <v>001</v>
      </c>
      <c r="N219" t="str">
        <f t="shared" si="269"/>
        <v>1</v>
      </c>
      <c r="O219" t="str">
        <f>"9997"</f>
        <v>9997</v>
      </c>
      <c r="P219" t="str">
        <f t="shared" si="270"/>
        <v>C</v>
      </c>
      <c r="Q219" t="str">
        <f>"EPS017"</f>
        <v>EPS017</v>
      </c>
      <c r="R219" t="str">
        <f t="shared" si="226"/>
        <v>6</v>
      </c>
      <c r="S219" t="str">
        <f>""</f>
        <v/>
      </c>
      <c r="T219" t="str">
        <f t="shared" si="265"/>
        <v xml:space="preserve">                                                                                                    </v>
      </c>
      <c r="U219" t="str">
        <f>"3         "</f>
        <v xml:space="preserve">3         </v>
      </c>
      <c r="V219" t="str">
        <f t="shared" ref="V219:W243" si="275">"2"</f>
        <v>2</v>
      </c>
      <c r="W219" t="str">
        <f t="shared" si="275"/>
        <v>2</v>
      </c>
      <c r="X219" t="str">
        <f t="shared" si="267"/>
        <v>2</v>
      </c>
      <c r="Y219" t="str">
        <f t="shared" ref="Y219:Z238" si="276">"2"</f>
        <v>2</v>
      </c>
      <c r="Z219" t="str">
        <f t="shared" si="276"/>
        <v>2</v>
      </c>
      <c r="AA219" t="str">
        <f t="shared" si="237"/>
        <v xml:space="preserve">          </v>
      </c>
      <c r="AB219" t="str">
        <f t="shared" si="227"/>
        <v>2</v>
      </c>
      <c r="AC219" t="str">
        <f t="shared" si="230"/>
        <v>2</v>
      </c>
      <c r="AD219" t="str">
        <f t="shared" si="252"/>
        <v>2</v>
      </c>
      <c r="AE219" t="str">
        <f t="shared" si="252"/>
        <v>2</v>
      </c>
      <c r="AF219" t="str">
        <f t="shared" si="252"/>
        <v>2</v>
      </c>
      <c r="AG219" t="str">
        <f t="shared" si="252"/>
        <v>2</v>
      </c>
      <c r="AH219" t="str">
        <f t="shared" si="268"/>
        <v>1</v>
      </c>
      <c r="AI219" t="str">
        <f t="shared" si="271"/>
        <v xml:space="preserve">1         </v>
      </c>
      <c r="AJ219" t="str">
        <f t="shared" si="244"/>
        <v>170</v>
      </c>
      <c r="AK219" t="str">
        <f>"11"</f>
        <v>11</v>
      </c>
      <c r="AL219" t="str">
        <f>"001"</f>
        <v>001</v>
      </c>
      <c r="AM219" t="str">
        <f>"11"</f>
        <v>11</v>
      </c>
      <c r="AN219" t="str">
        <f>"11001"</f>
        <v>11001</v>
      </c>
      <c r="AO219" t="str">
        <f>"25/01/2020 12:00:00 a. m."</f>
        <v>25/01/2020 12:00:00 a. m.</v>
      </c>
      <c r="AP219" t="str">
        <f>"20/01/2020 12:00:00 a. m."</f>
        <v>20/01/2020 12:00:00 a. m.</v>
      </c>
      <c r="AQ219" t="str">
        <f>"2"</f>
        <v>2</v>
      </c>
      <c r="AR219" t="str">
        <f t="shared" si="266"/>
        <v>1</v>
      </c>
      <c r="AS219" t="str">
        <f>"25/01/2020 12:00:00 a. m."</f>
        <v>25/01/2020 12:00:00 a. m.</v>
      </c>
      <c r="AT219" t="str">
        <f>"1"</f>
        <v>1</v>
      </c>
      <c r="AU219" t="str">
        <f>""</f>
        <v/>
      </c>
      <c r="AV219" t="str">
        <f>"3"</f>
        <v>3</v>
      </c>
      <c r="AW219" t="str">
        <f>"22/07/2005 12:00:00 a. m."</f>
        <v>22/07/2005 12:00:00 a. m.</v>
      </c>
      <c r="AX219" t="str">
        <f>""</f>
        <v/>
      </c>
      <c r="AY219" t="str">
        <f t="shared" si="239"/>
        <v>30/04/2021 12:00:00 a. m.</v>
      </c>
      <c r="AZ219" t="str">
        <f>"8/02/2020 12:00:00 a. m."</f>
        <v>8/02/2020 12:00:00 a. m.</v>
      </c>
      <c r="BA219" t="str">
        <f>""</f>
        <v/>
      </c>
      <c r="BB219" t="str">
        <f>""</f>
        <v/>
      </c>
      <c r="BC219" t="str">
        <f>""</f>
        <v/>
      </c>
      <c r="BD219" t="str">
        <f t="shared" si="256"/>
        <v>1</v>
      </c>
      <c r="BE219" t="str">
        <f t="shared" si="256"/>
        <v>1</v>
      </c>
      <c r="BF219" t="str">
        <f t="shared" si="240"/>
        <v xml:space="preserve">3         </v>
      </c>
      <c r="BG219" t="str">
        <f t="shared" si="241"/>
        <v>Confirmado por laboratorio</v>
      </c>
      <c r="BH219" t="str">
        <f>"CLINICA INFANTIL COLSUBSIDIO"</f>
        <v>CLINICA INFANTIL COLSUBSIDIO</v>
      </c>
      <c r="BI219" t="str">
        <f t="shared" si="245"/>
        <v>COLOMBIA</v>
      </c>
      <c r="BJ219" t="str">
        <f t="shared" si="242"/>
        <v>CANCER INFANTIL</v>
      </c>
      <c r="BK219" t="str">
        <f t="shared" si="273"/>
        <v>BOGOTA</v>
      </c>
      <c r="BL219" t="str">
        <f t="shared" si="273"/>
        <v>BOGOTA</v>
      </c>
      <c r="BM219" t="str">
        <f t="shared" si="246"/>
        <v>COLOMBIA</v>
      </c>
      <c r="BN219" t="str">
        <f t="shared" si="274"/>
        <v>BOGOTA</v>
      </c>
      <c r="BO219" t="str">
        <f t="shared" si="274"/>
        <v>BOGOTA</v>
      </c>
      <c r="BP219" t="str">
        <f t="shared" si="274"/>
        <v>BOGOTA</v>
      </c>
      <c r="BQ219" t="str">
        <f t="shared" si="274"/>
        <v>BOGOTA</v>
      </c>
    </row>
    <row r="220" spans="1:69" x14ac:dyDescent="0.25">
      <c r="A220" t="str">
        <f>"7285805"</f>
        <v>7285805</v>
      </c>
      <c r="B220" t="str">
        <f t="shared" si="235"/>
        <v>459</v>
      </c>
      <c r="C220" t="str">
        <f>"19/09/2020 12:00:00 a. m."</f>
        <v>19/09/2020 12:00:00 a. m.</v>
      </c>
      <c r="D220" t="str">
        <f>"30"</f>
        <v>30</v>
      </c>
      <c r="E220" t="str">
        <f t="shared" si="236"/>
        <v>2020</v>
      </c>
      <c r="F220" t="str">
        <f>"1300100568"</f>
        <v>1300100568</v>
      </c>
      <c r="G220" t="str">
        <f>"01"</f>
        <v>01</v>
      </c>
      <c r="H220" t="str">
        <f>"16"</f>
        <v>16</v>
      </c>
      <c r="I220" t="str">
        <f t="shared" si="272"/>
        <v>1</v>
      </c>
      <c r="J220" t="str">
        <f>"M"</f>
        <v>M</v>
      </c>
      <c r="K220" t="str">
        <f t="shared" si="243"/>
        <v>170</v>
      </c>
      <c r="L220" t="str">
        <f>"13"</f>
        <v>13</v>
      </c>
      <c r="M220" t="str">
        <f>"001"</f>
        <v>001</v>
      </c>
      <c r="N220" t="str">
        <f t="shared" si="269"/>
        <v>1</v>
      </c>
      <c r="O220" t="str">
        <f>"9997"</f>
        <v>9997</v>
      </c>
      <c r="P220" t="str">
        <f t="shared" si="270"/>
        <v>C</v>
      </c>
      <c r="Q220" t="str">
        <f>"EPS002"</f>
        <v>EPS002</v>
      </c>
      <c r="R220" t="str">
        <f t="shared" ref="R220:R249" si="277">"6"</f>
        <v>6</v>
      </c>
      <c r="S220" t="str">
        <f>""</f>
        <v/>
      </c>
      <c r="T220" t="str">
        <f t="shared" si="265"/>
        <v xml:space="preserve">                                                                                                    </v>
      </c>
      <c r="U220" t="str">
        <f>"3         "</f>
        <v xml:space="preserve">3         </v>
      </c>
      <c r="V220" t="str">
        <f t="shared" si="275"/>
        <v>2</v>
      </c>
      <c r="W220" t="str">
        <f t="shared" si="275"/>
        <v>2</v>
      </c>
      <c r="X220" t="str">
        <f t="shared" si="267"/>
        <v>2</v>
      </c>
      <c r="Y220" t="str">
        <f t="shared" si="276"/>
        <v>2</v>
      </c>
      <c r="Z220" t="str">
        <f t="shared" si="276"/>
        <v>2</v>
      </c>
      <c r="AA220" t="str">
        <f t="shared" si="237"/>
        <v xml:space="preserve">          </v>
      </c>
      <c r="AB220" t="str">
        <f t="shared" si="227"/>
        <v>2</v>
      </c>
      <c r="AC220" t="str">
        <f t="shared" si="230"/>
        <v>2</v>
      </c>
      <c r="AD220" t="str">
        <f t="shared" ref="AD220:AG239" si="278">"2"</f>
        <v>2</v>
      </c>
      <c r="AE220" t="str">
        <f t="shared" si="278"/>
        <v>2</v>
      </c>
      <c r="AF220" t="str">
        <f t="shared" si="278"/>
        <v>2</v>
      </c>
      <c r="AG220" t="str">
        <f t="shared" si="278"/>
        <v>2</v>
      </c>
      <c r="AH220" t="str">
        <f t="shared" si="268"/>
        <v>1</v>
      </c>
      <c r="AI220" t="str">
        <f t="shared" si="271"/>
        <v xml:space="preserve">1         </v>
      </c>
      <c r="AJ220" t="str">
        <f t="shared" si="244"/>
        <v>170</v>
      </c>
      <c r="AK220" t="str">
        <f>"13"</f>
        <v>13</v>
      </c>
      <c r="AL220" t="str">
        <f>"001"</f>
        <v>001</v>
      </c>
      <c r="AM220" t="str">
        <f>"13"</f>
        <v>13</v>
      </c>
      <c r="AN220" t="str">
        <f>"13001"</f>
        <v>13001</v>
      </c>
      <c r="AO220" t="str">
        <f>"23/07/2020 12:00:00 a. m."</f>
        <v>23/07/2020 12:00:00 a. m.</v>
      </c>
      <c r="AP220" t="str">
        <f>"23/07/2020 12:00:00 a. m."</f>
        <v>23/07/2020 12:00:00 a. m.</v>
      </c>
      <c r="AQ220" t="str">
        <f>"3"</f>
        <v>3</v>
      </c>
      <c r="AR220" t="str">
        <f t="shared" si="266"/>
        <v>1</v>
      </c>
      <c r="AS220" t="str">
        <f>"23/07/2020 12:00:00 a. m."</f>
        <v>23/07/2020 12:00:00 a. m.</v>
      </c>
      <c r="AT220" t="str">
        <f>"2"</f>
        <v>2</v>
      </c>
      <c r="AU220" t="str">
        <f>"15/09/2020 12:00:00 a. m."</f>
        <v>15/09/2020 12:00:00 a. m.</v>
      </c>
      <c r="AV220" t="str">
        <f>"0"</f>
        <v>0</v>
      </c>
      <c r="AW220" t="str">
        <f>"19/02/2004 12:00:00 a. m."</f>
        <v>19/02/2004 12:00:00 a. m.</v>
      </c>
      <c r="AX220" t="str">
        <f>"J189"</f>
        <v>J189</v>
      </c>
      <c r="AY220" t="str">
        <f t="shared" si="239"/>
        <v>30/04/2021 12:00:00 a. m.</v>
      </c>
      <c r="AZ220" t="str">
        <f>"19/09/2020 12:00:00 a. m."</f>
        <v>19/09/2020 12:00:00 a. m.</v>
      </c>
      <c r="BA220" t="str">
        <f>""</f>
        <v/>
      </c>
      <c r="BB220" t="str">
        <f>""</f>
        <v/>
      </c>
      <c r="BC220" t="str">
        <f>""</f>
        <v/>
      </c>
      <c r="BD220" t="str">
        <f t="shared" si="256"/>
        <v>1</v>
      </c>
      <c r="BE220" t="str">
        <f t="shared" si="256"/>
        <v>1</v>
      </c>
      <c r="BF220" t="str">
        <f t="shared" si="240"/>
        <v xml:space="preserve">3         </v>
      </c>
      <c r="BG220" t="str">
        <f t="shared" si="241"/>
        <v>Confirmado por laboratorio</v>
      </c>
      <c r="BH220" t="str">
        <f>"CLINICA BLAS DE LEZO S.A."</f>
        <v>CLINICA BLAS DE LEZO S.A.</v>
      </c>
      <c r="BI220" t="str">
        <f t="shared" si="245"/>
        <v>COLOMBIA</v>
      </c>
      <c r="BJ220" t="str">
        <f t="shared" si="242"/>
        <v>CANCER INFANTIL</v>
      </c>
      <c r="BK220" t="str">
        <f>"BOLIVAR"</f>
        <v>BOLIVAR</v>
      </c>
      <c r="BL220" t="str">
        <f>"CARTAGENA"</f>
        <v>CARTAGENA</v>
      </c>
      <c r="BM220" t="str">
        <f t="shared" si="246"/>
        <v>COLOMBIA</v>
      </c>
      <c r="BN220" t="str">
        <f>"BOLIVAR"</f>
        <v>BOLIVAR</v>
      </c>
      <c r="BO220" t="str">
        <f>"CARTAGENA"</f>
        <v>CARTAGENA</v>
      </c>
      <c r="BP220" t="str">
        <f>"BOLIVAR"</f>
        <v>BOLIVAR</v>
      </c>
      <c r="BQ220" t="str">
        <f>"CARTAGENA"</f>
        <v>CARTAGENA</v>
      </c>
    </row>
    <row r="221" spans="1:69" x14ac:dyDescent="0.25">
      <c r="A221" t="str">
        <f>"7285584"</f>
        <v>7285584</v>
      </c>
      <c r="B221" t="str">
        <f t="shared" si="235"/>
        <v>459</v>
      </c>
      <c r="C221" t="str">
        <f>"1/01/2020 12:00:00 a. m."</f>
        <v>1/01/2020 12:00:00 a. m.</v>
      </c>
      <c r="D221" t="str">
        <f>"01"</f>
        <v>01</v>
      </c>
      <c r="E221" t="str">
        <f t="shared" si="236"/>
        <v>2020</v>
      </c>
      <c r="F221" t="str">
        <f>"1907500114"</f>
        <v>1907500114</v>
      </c>
      <c r="G221" t="str">
        <f>"09"</f>
        <v>09</v>
      </c>
      <c r="H221" t="str">
        <f>"17"</f>
        <v>17</v>
      </c>
      <c r="I221" t="str">
        <f t="shared" si="272"/>
        <v>1</v>
      </c>
      <c r="J221" t="str">
        <f>"F"</f>
        <v>F</v>
      </c>
      <c r="K221" t="str">
        <f t="shared" si="243"/>
        <v>170</v>
      </c>
      <c r="L221" t="str">
        <f>"52"</f>
        <v>52</v>
      </c>
      <c r="M221" t="str">
        <f>"694"</f>
        <v>694</v>
      </c>
      <c r="N221" t="str">
        <f>"3"</f>
        <v>3</v>
      </c>
      <c r="O221" t="str">
        <f>"9999"</f>
        <v>9999</v>
      </c>
      <c r="P221" t="str">
        <f>"S"</f>
        <v>S</v>
      </c>
      <c r="Q221" t="str">
        <f>"ESS062"</f>
        <v>ESS062</v>
      </c>
      <c r="R221" t="str">
        <f t="shared" si="277"/>
        <v>6</v>
      </c>
      <c r="S221" t="str">
        <f>""</f>
        <v/>
      </c>
      <c r="T221" t="str">
        <f t="shared" si="265"/>
        <v xml:space="preserve">                                                                                                    </v>
      </c>
      <c r="U221" t="str">
        <f>"1         "</f>
        <v xml:space="preserve">1         </v>
      </c>
      <c r="V221" t="str">
        <f t="shared" si="275"/>
        <v>2</v>
      </c>
      <c r="W221" t="str">
        <f t="shared" si="275"/>
        <v>2</v>
      </c>
      <c r="X221" t="str">
        <f t="shared" si="267"/>
        <v>2</v>
      </c>
      <c r="Y221" t="str">
        <f t="shared" si="276"/>
        <v>2</v>
      </c>
      <c r="Z221" t="str">
        <f t="shared" si="276"/>
        <v>2</v>
      </c>
      <c r="AA221" t="str">
        <f t="shared" si="237"/>
        <v xml:space="preserve">          </v>
      </c>
      <c r="AB221" t="str">
        <f t="shared" si="227"/>
        <v>2</v>
      </c>
      <c r="AC221" t="str">
        <f t="shared" si="230"/>
        <v>2</v>
      </c>
      <c r="AD221" t="str">
        <f t="shared" si="278"/>
        <v>2</v>
      </c>
      <c r="AE221" t="str">
        <f t="shared" si="278"/>
        <v>2</v>
      </c>
      <c r="AF221" t="str">
        <f t="shared" si="278"/>
        <v>2</v>
      </c>
      <c r="AG221" t="str">
        <f t="shared" si="278"/>
        <v>2</v>
      </c>
      <c r="AH221" t="str">
        <f t="shared" si="268"/>
        <v>1</v>
      </c>
      <c r="AI221" t="str">
        <f t="shared" si="271"/>
        <v xml:space="preserve">1         </v>
      </c>
      <c r="AJ221" t="str">
        <f t="shared" si="244"/>
        <v>170</v>
      </c>
      <c r="AK221" t="str">
        <f>"52"</f>
        <v>52</v>
      </c>
      <c r="AL221" t="str">
        <f>"694"</f>
        <v>694</v>
      </c>
      <c r="AM221" t="str">
        <f>"19"</f>
        <v>19</v>
      </c>
      <c r="AN221" t="str">
        <f>"19075"</f>
        <v>19075</v>
      </c>
      <c r="AO221" t="str">
        <f>"1/01/2020 12:00:00 a. m."</f>
        <v>1/01/2020 12:00:00 a. m.</v>
      </c>
      <c r="AP221" t="str">
        <f>"1/01/2020 12:00:00 a. m."</f>
        <v>1/01/2020 12:00:00 a. m.</v>
      </c>
      <c r="AQ221" t="str">
        <f>"3"</f>
        <v>3</v>
      </c>
      <c r="AR221" t="str">
        <f>"2"</f>
        <v>2</v>
      </c>
      <c r="AS221" t="str">
        <f>""</f>
        <v/>
      </c>
      <c r="AT221" t="str">
        <f t="shared" ref="AT221:AT230" si="279">"1"</f>
        <v>1</v>
      </c>
      <c r="AU221" t="str">
        <f>""</f>
        <v/>
      </c>
      <c r="AV221" t="str">
        <f>"7"</f>
        <v>7</v>
      </c>
      <c r="AW221" t="str">
        <f>"3/04/2003 12:00:00 a. m."</f>
        <v>3/04/2003 12:00:00 a. m.</v>
      </c>
      <c r="AX221" t="str">
        <f>""</f>
        <v/>
      </c>
      <c r="AY221" t="str">
        <f t="shared" si="239"/>
        <v>30/04/2021 12:00:00 a. m.</v>
      </c>
      <c r="AZ221" t="str">
        <f>"29/03/2021 12:00:00 a. m."</f>
        <v>29/03/2021 12:00:00 a. m.</v>
      </c>
      <c r="BA221" t="str">
        <f>""</f>
        <v/>
      </c>
      <c r="BB221" t="str">
        <f>""</f>
        <v/>
      </c>
      <c r="BC221" t="str">
        <f>""</f>
        <v/>
      </c>
      <c r="BD221" t="str">
        <f t="shared" si="256"/>
        <v>1</v>
      </c>
      <c r="BE221" t="str">
        <f t="shared" si="256"/>
        <v>1</v>
      </c>
      <c r="BF221" t="str">
        <f t="shared" si="240"/>
        <v xml:space="preserve">3         </v>
      </c>
      <c r="BG221" t="str">
        <f t="shared" si="241"/>
        <v>Confirmado por laboratorio</v>
      </c>
      <c r="BH221" t="str">
        <f>"ESE SUROCCIDENTE PUNTO DE ATENCION BALBOA"</f>
        <v>ESE SUROCCIDENTE PUNTO DE ATENCION BALBOA</v>
      </c>
      <c r="BI221" t="str">
        <f t="shared" si="245"/>
        <v>COLOMBIA</v>
      </c>
      <c r="BJ221" t="str">
        <f t="shared" si="242"/>
        <v>CANCER INFANTIL</v>
      </c>
      <c r="BK221" t="str">
        <f>"NARIÑO"</f>
        <v>NARIÑO</v>
      </c>
      <c r="BL221" t="str">
        <f>"SAN PEDRO DE CARTAGO"</f>
        <v>SAN PEDRO DE CARTAGO</v>
      </c>
      <c r="BM221" t="str">
        <f t="shared" si="246"/>
        <v>COLOMBIA</v>
      </c>
      <c r="BN221" t="str">
        <f>"NARIÑO"</f>
        <v>NARIÑO</v>
      </c>
      <c r="BO221" t="str">
        <f>"SAN PEDRO DE CARTAGO"</f>
        <v>SAN PEDRO DE CARTAGO</v>
      </c>
      <c r="BP221" t="str">
        <f>"CAUCA"</f>
        <v>CAUCA</v>
      </c>
      <c r="BQ221" t="str">
        <f>"BALBOA"</f>
        <v>BALBOA</v>
      </c>
    </row>
    <row r="222" spans="1:69" x14ac:dyDescent="0.25">
      <c r="A222" t="str">
        <f>"7285601"</f>
        <v>7285601</v>
      </c>
      <c r="B222" t="str">
        <f t="shared" si="235"/>
        <v>459</v>
      </c>
      <c r="C222" t="str">
        <f>"7/12/2020 12:00:00 a. m."</f>
        <v>7/12/2020 12:00:00 a. m.</v>
      </c>
      <c r="D222" t="str">
        <f>"42"</f>
        <v>42</v>
      </c>
      <c r="E222" t="str">
        <f t="shared" si="236"/>
        <v>2020</v>
      </c>
      <c r="F222" t="str">
        <f>"6300101415"</f>
        <v>6300101415</v>
      </c>
      <c r="G222" t="str">
        <f>"04"</f>
        <v>04</v>
      </c>
      <c r="H222" t="str">
        <f>"17"</f>
        <v>17</v>
      </c>
      <c r="I222" t="str">
        <f t="shared" si="272"/>
        <v>1</v>
      </c>
      <c r="J222" t="str">
        <f>"F"</f>
        <v>F</v>
      </c>
      <c r="K222" t="str">
        <f t="shared" si="243"/>
        <v>170</v>
      </c>
      <c r="L222" t="str">
        <f>"63"</f>
        <v>63</v>
      </c>
      <c r="M222" t="str">
        <f>"001"</f>
        <v>001</v>
      </c>
      <c r="N222" t="str">
        <f>"1"</f>
        <v>1</v>
      </c>
      <c r="O222" t="str">
        <f>"9997"</f>
        <v>9997</v>
      </c>
      <c r="P222" t="str">
        <f>"S"</f>
        <v>S</v>
      </c>
      <c r="Q222" t="str">
        <f>"EPSS37"</f>
        <v>EPSS37</v>
      </c>
      <c r="R222" t="str">
        <f t="shared" si="277"/>
        <v>6</v>
      </c>
      <c r="S222" t="str">
        <f>""</f>
        <v/>
      </c>
      <c r="T222" t="str">
        <f t="shared" si="265"/>
        <v xml:space="preserve">                                                                                                    </v>
      </c>
      <c r="U222" t="str">
        <f>"2         "</f>
        <v xml:space="preserve">2         </v>
      </c>
      <c r="V222" t="str">
        <f t="shared" si="275"/>
        <v>2</v>
      </c>
      <c r="W222" t="str">
        <f t="shared" si="275"/>
        <v>2</v>
      </c>
      <c r="X222" t="str">
        <f t="shared" si="267"/>
        <v>2</v>
      </c>
      <c r="Y222" t="str">
        <f t="shared" si="276"/>
        <v>2</v>
      </c>
      <c r="Z222" t="str">
        <f t="shared" si="276"/>
        <v>2</v>
      </c>
      <c r="AA222" t="str">
        <f t="shared" si="237"/>
        <v xml:space="preserve">          </v>
      </c>
      <c r="AB222" t="str">
        <f t="shared" si="227"/>
        <v>2</v>
      </c>
      <c r="AC222" t="str">
        <f t="shared" si="230"/>
        <v>2</v>
      </c>
      <c r="AD222" t="str">
        <f t="shared" si="278"/>
        <v>2</v>
      </c>
      <c r="AE222" t="str">
        <f t="shared" si="278"/>
        <v>2</v>
      </c>
      <c r="AF222" t="str">
        <f t="shared" si="278"/>
        <v>2</v>
      </c>
      <c r="AG222" t="str">
        <f t="shared" si="278"/>
        <v>2</v>
      </c>
      <c r="AH222" t="str">
        <f t="shared" si="268"/>
        <v>1</v>
      </c>
      <c r="AI222" t="str">
        <f t="shared" si="271"/>
        <v xml:space="preserve">1         </v>
      </c>
      <c r="AJ222" t="str">
        <f t="shared" si="244"/>
        <v>170</v>
      </c>
      <c r="AK222" t="str">
        <f>"63"</f>
        <v>63</v>
      </c>
      <c r="AL222" t="str">
        <f>"001"</f>
        <v>001</v>
      </c>
      <c r="AM222" t="str">
        <f>"63"</f>
        <v>63</v>
      </c>
      <c r="AN222" t="str">
        <f>"63001"</f>
        <v>63001</v>
      </c>
      <c r="AO222" t="str">
        <f>"11/10/2020 12:00:00 a. m."</f>
        <v>11/10/2020 12:00:00 a. m.</v>
      </c>
      <c r="AP222" t="str">
        <f>"11/10/2020 12:00:00 a. m."</f>
        <v>11/10/2020 12:00:00 a. m.</v>
      </c>
      <c r="AQ222" t="str">
        <f>"3"</f>
        <v>3</v>
      </c>
      <c r="AR222" t="str">
        <f>"2"</f>
        <v>2</v>
      </c>
      <c r="AS222" t="str">
        <f>""</f>
        <v/>
      </c>
      <c r="AT222" t="str">
        <f t="shared" si="279"/>
        <v>1</v>
      </c>
      <c r="AU222" t="str">
        <f>""</f>
        <v/>
      </c>
      <c r="AV222" t="str">
        <f>"0"</f>
        <v>0</v>
      </c>
      <c r="AW222" t="str">
        <f>"28/03/2003 12:00:00 a. m."</f>
        <v>28/03/2003 12:00:00 a. m.</v>
      </c>
      <c r="AX222" t="str">
        <f>""</f>
        <v/>
      </c>
      <c r="AY222" t="str">
        <f t="shared" si="239"/>
        <v>30/04/2021 12:00:00 a. m.</v>
      </c>
      <c r="AZ222" t="str">
        <f>"8/02/2021 12:00:00 a. m."</f>
        <v>8/02/2021 12:00:00 a. m.</v>
      </c>
      <c r="BA222" t="str">
        <f>""</f>
        <v/>
      </c>
      <c r="BB222" t="str">
        <f>""</f>
        <v/>
      </c>
      <c r="BC222" t="str">
        <f>""</f>
        <v/>
      </c>
      <c r="BD222" t="str">
        <f t="shared" ref="BD222:BE241" si="280">"1"</f>
        <v>1</v>
      </c>
      <c r="BE222" t="str">
        <f t="shared" si="280"/>
        <v>1</v>
      </c>
      <c r="BF222" t="str">
        <f t="shared" si="240"/>
        <v xml:space="preserve">3         </v>
      </c>
      <c r="BG222" t="str">
        <f t="shared" si="241"/>
        <v>Confirmado por laboratorio</v>
      </c>
      <c r="BH222" t="str">
        <f>"INSTITUTO DE DIAGNOSTICO MEDICO SA SEDE ARMENIA NU"</f>
        <v>INSTITUTO DE DIAGNOSTICO MEDICO SA SEDE ARMENIA NU</v>
      </c>
      <c r="BI222" t="str">
        <f t="shared" si="245"/>
        <v>COLOMBIA</v>
      </c>
      <c r="BJ222" t="str">
        <f t="shared" si="242"/>
        <v>CANCER INFANTIL</v>
      </c>
      <c r="BK222" t="str">
        <f>"QUINDIO"</f>
        <v>QUINDIO</v>
      </c>
      <c r="BL222" t="str">
        <f>"ARMENIA"</f>
        <v>ARMENIA</v>
      </c>
      <c r="BM222" t="str">
        <f t="shared" si="246"/>
        <v>COLOMBIA</v>
      </c>
      <c r="BN222" t="str">
        <f>"QUINDIO"</f>
        <v>QUINDIO</v>
      </c>
      <c r="BO222" t="str">
        <f>"ARMENIA"</f>
        <v>ARMENIA</v>
      </c>
      <c r="BP222" t="str">
        <f>"QUINDIO"</f>
        <v>QUINDIO</v>
      </c>
      <c r="BQ222" t="str">
        <f>"ARMENIA"</f>
        <v>ARMENIA</v>
      </c>
    </row>
    <row r="223" spans="1:69" x14ac:dyDescent="0.25">
      <c r="A223" t="str">
        <f>"7285577"</f>
        <v>7285577</v>
      </c>
      <c r="B223" t="str">
        <f t="shared" si="235"/>
        <v>459</v>
      </c>
      <c r="C223" t="str">
        <f>"8/10/2020 12:00:00 a. m."</f>
        <v>8/10/2020 12:00:00 a. m.</v>
      </c>
      <c r="D223" t="str">
        <f>"37"</f>
        <v>37</v>
      </c>
      <c r="E223" t="str">
        <f t="shared" si="236"/>
        <v>2020</v>
      </c>
      <c r="F223" t="str">
        <f>"1300100568"</f>
        <v>1300100568</v>
      </c>
      <c r="G223" t="str">
        <f t="shared" ref="G223:G236" si="281">"01"</f>
        <v>01</v>
      </c>
      <c r="H223" t="str">
        <f>"17"</f>
        <v>17</v>
      </c>
      <c r="I223" t="str">
        <f t="shared" si="272"/>
        <v>1</v>
      </c>
      <c r="J223" t="str">
        <f>"F"</f>
        <v>F</v>
      </c>
      <c r="K223" t="str">
        <f t="shared" si="243"/>
        <v>170</v>
      </c>
      <c r="L223" t="str">
        <f>"13"</f>
        <v>13</v>
      </c>
      <c r="M223" t="str">
        <f>"001"</f>
        <v>001</v>
      </c>
      <c r="N223" t="str">
        <f>"1"</f>
        <v>1</v>
      </c>
      <c r="O223" t="str">
        <f>"9997"</f>
        <v>9997</v>
      </c>
      <c r="P223" t="str">
        <f>"S"</f>
        <v>S</v>
      </c>
      <c r="Q223" t="str">
        <f>"EPSS02"</f>
        <v>EPSS02</v>
      </c>
      <c r="R223" t="str">
        <f t="shared" si="277"/>
        <v>6</v>
      </c>
      <c r="S223" t="str">
        <f>""</f>
        <v/>
      </c>
      <c r="T223" t="str">
        <f t="shared" si="265"/>
        <v xml:space="preserve">                                                                                                    </v>
      </c>
      <c r="U223" t="str">
        <f>"2         "</f>
        <v xml:space="preserve">2         </v>
      </c>
      <c r="V223" t="str">
        <f t="shared" si="275"/>
        <v>2</v>
      </c>
      <c r="W223" t="str">
        <f t="shared" si="275"/>
        <v>2</v>
      </c>
      <c r="X223" t="str">
        <f t="shared" si="267"/>
        <v>2</v>
      </c>
      <c r="Y223" t="str">
        <f t="shared" si="276"/>
        <v>2</v>
      </c>
      <c r="Z223" t="str">
        <f t="shared" si="276"/>
        <v>2</v>
      </c>
      <c r="AA223" t="str">
        <f t="shared" si="237"/>
        <v xml:space="preserve">          </v>
      </c>
      <c r="AB223" t="str">
        <f t="shared" si="227"/>
        <v>2</v>
      </c>
      <c r="AC223" t="str">
        <f t="shared" si="230"/>
        <v>2</v>
      </c>
      <c r="AD223" t="str">
        <f t="shared" si="278"/>
        <v>2</v>
      </c>
      <c r="AE223" t="str">
        <f t="shared" si="278"/>
        <v>2</v>
      </c>
      <c r="AF223" t="str">
        <f t="shared" si="278"/>
        <v>2</v>
      </c>
      <c r="AG223" t="str">
        <f t="shared" si="278"/>
        <v>2</v>
      </c>
      <c r="AH223" t="str">
        <f t="shared" si="268"/>
        <v>1</v>
      </c>
      <c r="AI223" t="str">
        <f t="shared" si="271"/>
        <v xml:space="preserve">1         </v>
      </c>
      <c r="AJ223" t="str">
        <f t="shared" si="244"/>
        <v>170</v>
      </c>
      <c r="AK223" t="str">
        <f>"13"</f>
        <v>13</v>
      </c>
      <c r="AL223" t="str">
        <f>"001"</f>
        <v>001</v>
      </c>
      <c r="AM223" t="str">
        <f>"13"</f>
        <v>13</v>
      </c>
      <c r="AN223" t="str">
        <f>"13001"</f>
        <v>13001</v>
      </c>
      <c r="AO223" t="str">
        <f>"8/09/2020 12:00:00 a. m."</f>
        <v>8/09/2020 12:00:00 a. m.</v>
      </c>
      <c r="AP223" t="str">
        <f>"5/09/2020 12:00:00 a. m."</f>
        <v>5/09/2020 12:00:00 a. m.</v>
      </c>
      <c r="AQ223" t="str">
        <f>"3"</f>
        <v>3</v>
      </c>
      <c r="AR223" t="str">
        <f t="shared" ref="AR223:AR228" si="282">"1"</f>
        <v>1</v>
      </c>
      <c r="AS223" t="str">
        <f>"8/09/2020 12:00:00 a. m."</f>
        <v>8/09/2020 12:00:00 a. m.</v>
      </c>
      <c r="AT223" t="str">
        <f t="shared" si="279"/>
        <v>1</v>
      </c>
      <c r="AU223" t="str">
        <f>""</f>
        <v/>
      </c>
      <c r="AV223" t="str">
        <f>"0"</f>
        <v>0</v>
      </c>
      <c r="AW223" t="str">
        <f>"29/11/2002 12:00:00 a. m."</f>
        <v>29/11/2002 12:00:00 a. m.</v>
      </c>
      <c r="AX223" t="str">
        <f>""</f>
        <v/>
      </c>
      <c r="AY223" t="str">
        <f t="shared" si="239"/>
        <v>30/04/2021 12:00:00 a. m.</v>
      </c>
      <c r="AZ223" t="str">
        <f>"8/10/2020 12:00:00 a. m."</f>
        <v>8/10/2020 12:00:00 a. m.</v>
      </c>
      <c r="BA223" t="str">
        <f>""</f>
        <v/>
      </c>
      <c r="BB223" t="str">
        <f>""</f>
        <v/>
      </c>
      <c r="BC223" t="str">
        <f>""</f>
        <v/>
      </c>
      <c r="BD223" t="str">
        <f t="shared" si="280"/>
        <v>1</v>
      </c>
      <c r="BE223" t="str">
        <f t="shared" si="280"/>
        <v>1</v>
      </c>
      <c r="BF223" t="str">
        <f t="shared" si="240"/>
        <v xml:space="preserve">3         </v>
      </c>
      <c r="BG223" t="str">
        <f t="shared" si="241"/>
        <v>Confirmado por laboratorio</v>
      </c>
      <c r="BH223" t="str">
        <f>"CLINICA BLAS DE LEZO S.A."</f>
        <v>CLINICA BLAS DE LEZO S.A.</v>
      </c>
      <c r="BI223" t="str">
        <f t="shared" si="245"/>
        <v>COLOMBIA</v>
      </c>
      <c r="BJ223" t="str">
        <f t="shared" si="242"/>
        <v>CANCER INFANTIL</v>
      </c>
      <c r="BK223" t="str">
        <f>"BOLIVAR"</f>
        <v>BOLIVAR</v>
      </c>
      <c r="BL223" t="str">
        <f>"CARTAGENA"</f>
        <v>CARTAGENA</v>
      </c>
      <c r="BM223" t="str">
        <f t="shared" si="246"/>
        <v>COLOMBIA</v>
      </c>
      <c r="BN223" t="str">
        <f>"BOLIVAR"</f>
        <v>BOLIVAR</v>
      </c>
      <c r="BO223" t="str">
        <f>"CARTAGENA"</f>
        <v>CARTAGENA</v>
      </c>
      <c r="BP223" t="str">
        <f>"BOLIVAR"</f>
        <v>BOLIVAR</v>
      </c>
      <c r="BQ223" t="str">
        <f>"CARTAGENA"</f>
        <v>CARTAGENA</v>
      </c>
    </row>
    <row r="224" spans="1:69" x14ac:dyDescent="0.25">
      <c r="A224" t="str">
        <f>"7285423"</f>
        <v>7285423</v>
      </c>
      <c r="B224" t="str">
        <f t="shared" si="235"/>
        <v>459</v>
      </c>
      <c r="C224" t="str">
        <f>"4/11/2020 12:00:00 a. m."</f>
        <v>4/11/2020 12:00:00 a. m.</v>
      </c>
      <c r="D224" t="str">
        <f>"45"</f>
        <v>45</v>
      </c>
      <c r="E224" t="str">
        <f t="shared" si="236"/>
        <v>2020</v>
      </c>
      <c r="F224" t="str">
        <f>"2300100949"</f>
        <v>2300100949</v>
      </c>
      <c r="G224" t="str">
        <f t="shared" si="281"/>
        <v>01</v>
      </c>
      <c r="H224" t="str">
        <f>"16"</f>
        <v>16</v>
      </c>
      <c r="I224" t="str">
        <f t="shared" si="272"/>
        <v>1</v>
      </c>
      <c r="J224" t="str">
        <f>"F"</f>
        <v>F</v>
      </c>
      <c r="K224" t="str">
        <f t="shared" si="243"/>
        <v>170</v>
      </c>
      <c r="L224" t="str">
        <f>"05"</f>
        <v>05</v>
      </c>
      <c r="M224" t="str">
        <f>"045"</f>
        <v>045</v>
      </c>
      <c r="N224" t="str">
        <f>"3"</f>
        <v>3</v>
      </c>
      <c r="O224" t="str">
        <f>"9997"</f>
        <v>9997</v>
      </c>
      <c r="P224" t="str">
        <f>"C"</f>
        <v>C</v>
      </c>
      <c r="Q224" t="str">
        <f>"EPS016"</f>
        <v>EPS016</v>
      </c>
      <c r="R224" t="str">
        <f t="shared" si="277"/>
        <v>6</v>
      </c>
      <c r="S224" t="str">
        <f>""</f>
        <v/>
      </c>
      <c r="T224" t="str">
        <f t="shared" si="265"/>
        <v xml:space="preserve">                                                                                                    </v>
      </c>
      <c r="U224" t="str">
        <f>"1         "</f>
        <v xml:space="preserve">1         </v>
      </c>
      <c r="V224" t="str">
        <f t="shared" si="275"/>
        <v>2</v>
      </c>
      <c r="W224" t="str">
        <f t="shared" si="275"/>
        <v>2</v>
      </c>
      <c r="X224" t="str">
        <f t="shared" si="267"/>
        <v>2</v>
      </c>
      <c r="Y224" t="str">
        <f t="shared" si="276"/>
        <v>2</v>
      </c>
      <c r="Z224" t="str">
        <f t="shared" si="276"/>
        <v>2</v>
      </c>
      <c r="AA224" t="str">
        <f t="shared" si="237"/>
        <v xml:space="preserve">          </v>
      </c>
      <c r="AB224" t="str">
        <f t="shared" si="227"/>
        <v>2</v>
      </c>
      <c r="AC224" t="str">
        <f t="shared" si="230"/>
        <v>2</v>
      </c>
      <c r="AD224" t="str">
        <f t="shared" si="278"/>
        <v>2</v>
      </c>
      <c r="AE224" t="str">
        <f t="shared" si="278"/>
        <v>2</v>
      </c>
      <c r="AF224" t="str">
        <f t="shared" si="278"/>
        <v>2</v>
      </c>
      <c r="AG224" t="str">
        <f t="shared" si="278"/>
        <v>2</v>
      </c>
      <c r="AH224" t="str">
        <f t="shared" si="268"/>
        <v>1</v>
      </c>
      <c r="AI224" t="str">
        <f>"2         "</f>
        <v xml:space="preserve">2         </v>
      </c>
      <c r="AJ224" t="str">
        <f t="shared" si="244"/>
        <v>170</v>
      </c>
      <c r="AK224" t="str">
        <f>"05"</f>
        <v>05</v>
      </c>
      <c r="AL224" t="str">
        <f>"045"</f>
        <v>045</v>
      </c>
      <c r="AM224" t="str">
        <f>"23"</f>
        <v>23</v>
      </c>
      <c r="AN224" t="str">
        <f>"23001"</f>
        <v>23001</v>
      </c>
      <c r="AO224" t="str">
        <f>"14/05/2020 12:00:00 a. m."</f>
        <v>14/05/2020 12:00:00 a. m.</v>
      </c>
      <c r="AP224" t="str">
        <f>"1/02/2020 12:00:00 a. m."</f>
        <v>1/02/2020 12:00:00 a. m.</v>
      </c>
      <c r="AQ224" t="str">
        <f>"2"</f>
        <v>2</v>
      </c>
      <c r="AR224" t="str">
        <f t="shared" si="282"/>
        <v>1</v>
      </c>
      <c r="AS224" t="str">
        <f>"1/10/2020 12:00:00 a. m."</f>
        <v>1/10/2020 12:00:00 a. m.</v>
      </c>
      <c r="AT224" t="str">
        <f t="shared" si="279"/>
        <v>1</v>
      </c>
      <c r="AU224" t="str">
        <f>""</f>
        <v/>
      </c>
      <c r="AV224" t="str">
        <f>"3"</f>
        <v>3</v>
      </c>
      <c r="AW224" t="str">
        <f>"11/05/2004 12:00:00 a. m."</f>
        <v>11/05/2004 12:00:00 a. m.</v>
      </c>
      <c r="AX224" t="str">
        <f>""</f>
        <v/>
      </c>
      <c r="AY224" t="str">
        <f t="shared" si="239"/>
        <v>30/04/2021 12:00:00 a. m.</v>
      </c>
      <c r="AZ224" t="str">
        <f>"3/12/2020 12:00:00 a. m."</f>
        <v>3/12/2020 12:00:00 a. m.</v>
      </c>
      <c r="BA224" t="str">
        <f>""</f>
        <v/>
      </c>
      <c r="BB224" t="str">
        <f>""</f>
        <v/>
      </c>
      <c r="BC224" t="str">
        <f>""</f>
        <v/>
      </c>
      <c r="BD224" t="str">
        <f t="shared" si="280"/>
        <v>1</v>
      </c>
      <c r="BE224" t="str">
        <f t="shared" si="280"/>
        <v>1</v>
      </c>
      <c r="BF224" t="str">
        <f t="shared" si="240"/>
        <v xml:space="preserve">3         </v>
      </c>
      <c r="BG224" t="str">
        <f t="shared" si="241"/>
        <v>Confirmado por laboratorio</v>
      </c>
      <c r="BH224" t="str">
        <f>"ONCOMEDICA S A"</f>
        <v>ONCOMEDICA S A</v>
      </c>
      <c r="BI224" t="str">
        <f t="shared" si="245"/>
        <v>COLOMBIA</v>
      </c>
      <c r="BJ224" t="str">
        <f t="shared" si="242"/>
        <v>CANCER INFANTIL</v>
      </c>
      <c r="BK224" t="str">
        <f>"ANTIOQUIA"</f>
        <v>ANTIOQUIA</v>
      </c>
      <c r="BL224" t="str">
        <f>"APARTADO"</f>
        <v>APARTADO</v>
      </c>
      <c r="BM224" t="str">
        <f t="shared" si="246"/>
        <v>COLOMBIA</v>
      </c>
      <c r="BN224" t="str">
        <f>"ANTIOQUIA"</f>
        <v>ANTIOQUIA</v>
      </c>
      <c r="BO224" t="str">
        <f>"APARTADO"</f>
        <v>APARTADO</v>
      </c>
      <c r="BP224" t="str">
        <f>"CORDOBA"</f>
        <v>CORDOBA</v>
      </c>
      <c r="BQ224" t="str">
        <f>"MONTERIA"</f>
        <v>MONTERIA</v>
      </c>
    </row>
    <row r="225" spans="1:69" x14ac:dyDescent="0.25">
      <c r="A225" t="str">
        <f>"7285422"</f>
        <v>7285422</v>
      </c>
      <c r="B225" t="str">
        <f t="shared" si="235"/>
        <v>459</v>
      </c>
      <c r="C225" t="str">
        <f>"2/12/2020 12:00:00 a. m."</f>
        <v>2/12/2020 12:00:00 a. m.</v>
      </c>
      <c r="D225" t="str">
        <f>"47"</f>
        <v>47</v>
      </c>
      <c r="E225" t="str">
        <f t="shared" si="236"/>
        <v>2020</v>
      </c>
      <c r="F225" t="str">
        <f>"0500102175"</f>
        <v>0500102175</v>
      </c>
      <c r="G225" t="str">
        <f t="shared" si="281"/>
        <v>01</v>
      </c>
      <c r="H225" t="str">
        <f>"3"</f>
        <v>3</v>
      </c>
      <c r="I225" t="str">
        <f t="shared" si="272"/>
        <v>1</v>
      </c>
      <c r="J225" t="str">
        <f>"M"</f>
        <v>M</v>
      </c>
      <c r="K225" t="str">
        <f t="shared" si="243"/>
        <v>170</v>
      </c>
      <c r="L225" t="str">
        <f>"05"</f>
        <v>05</v>
      </c>
      <c r="M225" t="str">
        <f>"664"</f>
        <v>664</v>
      </c>
      <c r="N225" t="str">
        <f>"1"</f>
        <v>1</v>
      </c>
      <c r="O225" t="str">
        <f>"9999"</f>
        <v>9999</v>
      </c>
      <c r="P225" t="str">
        <f>"S"</f>
        <v>S</v>
      </c>
      <c r="Q225" t="str">
        <f>"EPSS40"</f>
        <v>EPSS40</v>
      </c>
      <c r="R225" t="str">
        <f t="shared" si="277"/>
        <v>6</v>
      </c>
      <c r="S225" t="str">
        <f>""</f>
        <v/>
      </c>
      <c r="T225" t="str">
        <f t="shared" si="265"/>
        <v xml:space="preserve">                                                                                                    </v>
      </c>
      <c r="U225" t="str">
        <f>"1         "</f>
        <v xml:space="preserve">1         </v>
      </c>
      <c r="V225" t="str">
        <f t="shared" si="275"/>
        <v>2</v>
      </c>
      <c r="W225" t="str">
        <f t="shared" si="275"/>
        <v>2</v>
      </c>
      <c r="X225" t="str">
        <f t="shared" si="267"/>
        <v>2</v>
      </c>
      <c r="Y225" t="str">
        <f t="shared" si="276"/>
        <v>2</v>
      </c>
      <c r="Z225" t="str">
        <f t="shared" si="276"/>
        <v>2</v>
      </c>
      <c r="AA225" t="str">
        <f t="shared" si="237"/>
        <v xml:space="preserve">          </v>
      </c>
      <c r="AB225" t="str">
        <f t="shared" si="227"/>
        <v>2</v>
      </c>
      <c r="AC225" t="str">
        <f t="shared" si="230"/>
        <v>2</v>
      </c>
      <c r="AD225" t="str">
        <f t="shared" si="278"/>
        <v>2</v>
      </c>
      <c r="AE225" t="str">
        <f t="shared" si="278"/>
        <v>2</v>
      </c>
      <c r="AF225" t="str">
        <f t="shared" si="278"/>
        <v>2</v>
      </c>
      <c r="AG225" t="str">
        <f t="shared" si="278"/>
        <v>2</v>
      </c>
      <c r="AH225" t="str">
        <f t="shared" si="268"/>
        <v>1</v>
      </c>
      <c r="AI225" t="str">
        <f t="shared" ref="AI225:AI251" si="283">"1         "</f>
        <v xml:space="preserve">1         </v>
      </c>
      <c r="AJ225" t="str">
        <f t="shared" si="244"/>
        <v>170</v>
      </c>
      <c r="AK225" t="str">
        <f>"05"</f>
        <v>05</v>
      </c>
      <c r="AL225" t="str">
        <f>"664"</f>
        <v>664</v>
      </c>
      <c r="AM225" t="str">
        <f>"05"</f>
        <v>05</v>
      </c>
      <c r="AN225" t="str">
        <f>"05001"</f>
        <v>05001</v>
      </c>
      <c r="AO225" t="str">
        <f>"17/11/2020 12:00:00 a. m."</f>
        <v>17/11/2020 12:00:00 a. m.</v>
      </c>
      <c r="AP225" t="str">
        <f>"17/01/2020 12:00:00 a. m."</f>
        <v>17/01/2020 12:00:00 a. m.</v>
      </c>
      <c r="AQ225" t="str">
        <f>"3"</f>
        <v>3</v>
      </c>
      <c r="AR225" t="str">
        <f t="shared" si="282"/>
        <v>1</v>
      </c>
      <c r="AS225" t="str">
        <f>"18/11/2020 12:00:00 a. m."</f>
        <v>18/11/2020 12:00:00 a. m.</v>
      </c>
      <c r="AT225" t="str">
        <f t="shared" si="279"/>
        <v>1</v>
      </c>
      <c r="AU225" t="str">
        <f>""</f>
        <v/>
      </c>
      <c r="AV225" t="str">
        <f>"0"</f>
        <v>0</v>
      </c>
      <c r="AW225" t="str">
        <f>"11/02/2017 12:00:00 a. m."</f>
        <v>11/02/2017 12:00:00 a. m.</v>
      </c>
      <c r="AX225" t="str">
        <f>""</f>
        <v/>
      </c>
      <c r="AY225" t="str">
        <f t="shared" si="239"/>
        <v>30/04/2021 12:00:00 a. m.</v>
      </c>
      <c r="AZ225" t="str">
        <f>"2/12/2020 12:00:00 a. m."</f>
        <v>2/12/2020 12:00:00 a. m.</v>
      </c>
      <c r="BA225" t="str">
        <f>""</f>
        <v/>
      </c>
      <c r="BB225" t="str">
        <f>""</f>
        <v/>
      </c>
      <c r="BC225" t="str">
        <f>""</f>
        <v/>
      </c>
      <c r="BD225" t="str">
        <f t="shared" si="280"/>
        <v>1</v>
      </c>
      <c r="BE225" t="str">
        <f t="shared" si="280"/>
        <v>1</v>
      </c>
      <c r="BF225" t="str">
        <f t="shared" si="240"/>
        <v xml:space="preserve">3         </v>
      </c>
      <c r="BG225" t="str">
        <f t="shared" si="241"/>
        <v>Confirmado por laboratorio</v>
      </c>
      <c r="BH225" t="str">
        <f>"FUNDACION HOSPITALARIA SAN VICENTE DE PAUL"</f>
        <v>FUNDACION HOSPITALARIA SAN VICENTE DE PAUL</v>
      </c>
      <c r="BI225" t="str">
        <f t="shared" si="245"/>
        <v>COLOMBIA</v>
      </c>
      <c r="BJ225" t="str">
        <f t="shared" si="242"/>
        <v>CANCER INFANTIL</v>
      </c>
      <c r="BK225" t="str">
        <f>"ANTIOQUIA"</f>
        <v>ANTIOQUIA</v>
      </c>
      <c r="BL225" t="str">
        <f>"SAN PEDRO"</f>
        <v>SAN PEDRO</v>
      </c>
      <c r="BM225" t="str">
        <f t="shared" si="246"/>
        <v>COLOMBIA</v>
      </c>
      <c r="BN225" t="str">
        <f>"ANTIOQUIA"</f>
        <v>ANTIOQUIA</v>
      </c>
      <c r="BO225" t="str">
        <f>"SAN PEDRO"</f>
        <v>SAN PEDRO</v>
      </c>
      <c r="BP225" t="str">
        <f>"ANTIOQUIA"</f>
        <v>ANTIOQUIA</v>
      </c>
      <c r="BQ225" t="str">
        <f>"MEDELLIN"</f>
        <v>MEDELLIN</v>
      </c>
    </row>
    <row r="226" spans="1:69" x14ac:dyDescent="0.25">
      <c r="A226" t="str">
        <f>"7279017"</f>
        <v>7279017</v>
      </c>
      <c r="B226" t="str">
        <f t="shared" si="235"/>
        <v>459</v>
      </c>
      <c r="C226" t="str">
        <f>"5/02/2020 12:00:00 a. m."</f>
        <v>5/02/2020 12:00:00 a. m.</v>
      </c>
      <c r="D226" t="str">
        <f>"05"</f>
        <v>05</v>
      </c>
      <c r="E226" t="str">
        <f t="shared" si="236"/>
        <v>2020</v>
      </c>
      <c r="F226" t="str">
        <f>"0800100544"</f>
        <v>0800100544</v>
      </c>
      <c r="G226" t="str">
        <f t="shared" si="281"/>
        <v>01</v>
      </c>
      <c r="H226" t="str">
        <f>"13"</f>
        <v>13</v>
      </c>
      <c r="I226" t="str">
        <f t="shared" si="272"/>
        <v>1</v>
      </c>
      <c r="J226" t="str">
        <f>"M"</f>
        <v>M</v>
      </c>
      <c r="K226" t="str">
        <f t="shared" si="243"/>
        <v>170</v>
      </c>
      <c r="L226" t="str">
        <f>"50"</f>
        <v>50</v>
      </c>
      <c r="M226" t="str">
        <f>"318"</f>
        <v>318</v>
      </c>
      <c r="N226" t="str">
        <f>"1"</f>
        <v>1</v>
      </c>
      <c r="O226" t="str">
        <f t="shared" ref="O226:O232" si="284">"9997"</f>
        <v>9997</v>
      </c>
      <c r="P226" t="str">
        <f>"S"</f>
        <v>S</v>
      </c>
      <c r="Q226" t="str">
        <f>"ESS133"</f>
        <v>ESS133</v>
      </c>
      <c r="R226" t="str">
        <f t="shared" si="277"/>
        <v>6</v>
      </c>
      <c r="S226" t="str">
        <f>""</f>
        <v/>
      </c>
      <c r="T226" t="str">
        <f t="shared" si="265"/>
        <v xml:space="preserve">                                                                                                    </v>
      </c>
      <c r="U226" t="str">
        <f>"1         "</f>
        <v xml:space="preserve">1         </v>
      </c>
      <c r="V226" t="str">
        <f t="shared" si="275"/>
        <v>2</v>
      </c>
      <c r="W226" t="str">
        <f t="shared" si="275"/>
        <v>2</v>
      </c>
      <c r="X226" t="str">
        <f t="shared" si="267"/>
        <v>2</v>
      </c>
      <c r="Y226" t="str">
        <f t="shared" si="276"/>
        <v>2</v>
      </c>
      <c r="Z226" t="str">
        <f t="shared" si="276"/>
        <v>2</v>
      </c>
      <c r="AA226" t="str">
        <f t="shared" si="237"/>
        <v xml:space="preserve">          </v>
      </c>
      <c r="AB226" t="str">
        <f t="shared" si="227"/>
        <v>2</v>
      </c>
      <c r="AC226" t="str">
        <f t="shared" si="230"/>
        <v>2</v>
      </c>
      <c r="AD226" t="str">
        <f t="shared" si="278"/>
        <v>2</v>
      </c>
      <c r="AE226" t="str">
        <f t="shared" si="278"/>
        <v>2</v>
      </c>
      <c r="AF226" t="str">
        <f t="shared" si="278"/>
        <v>2</v>
      </c>
      <c r="AG226" t="str">
        <f t="shared" si="278"/>
        <v>2</v>
      </c>
      <c r="AH226" t="str">
        <f t="shared" si="268"/>
        <v>1</v>
      </c>
      <c r="AI226" t="str">
        <f t="shared" si="283"/>
        <v xml:space="preserve">1         </v>
      </c>
      <c r="AJ226" t="str">
        <f t="shared" si="244"/>
        <v>170</v>
      </c>
      <c r="AK226" t="str">
        <f>"50"</f>
        <v>50</v>
      </c>
      <c r="AL226" t="str">
        <f>"318"</f>
        <v>318</v>
      </c>
      <c r="AM226" t="str">
        <f>"08"</f>
        <v>08</v>
      </c>
      <c r="AN226" t="str">
        <f>"08001"</f>
        <v>08001</v>
      </c>
      <c r="AO226" t="str">
        <f>"26/01/2020 12:00:00 a. m."</f>
        <v>26/01/2020 12:00:00 a. m.</v>
      </c>
      <c r="AP226" t="str">
        <f>"9/09/2019 12:00:00 a. m."</f>
        <v>9/09/2019 12:00:00 a. m.</v>
      </c>
      <c r="AQ226" t="str">
        <f>"2"</f>
        <v>2</v>
      </c>
      <c r="AR226" t="str">
        <f t="shared" si="282"/>
        <v>1</v>
      </c>
      <c r="AS226" t="str">
        <f>"26/01/2020 12:00:00 a. m."</f>
        <v>26/01/2020 12:00:00 a. m.</v>
      </c>
      <c r="AT226" t="str">
        <f t="shared" si="279"/>
        <v>1</v>
      </c>
      <c r="AU226" t="str">
        <f>""</f>
        <v/>
      </c>
      <c r="AV226" t="str">
        <f>"3"</f>
        <v>3</v>
      </c>
      <c r="AW226" t="str">
        <f>"31/08/2006 12:00:00 a. m."</f>
        <v>31/08/2006 12:00:00 a. m.</v>
      </c>
      <c r="AX226" t="str">
        <f>""</f>
        <v/>
      </c>
      <c r="AY226" t="str">
        <f t="shared" si="239"/>
        <v>30/04/2021 12:00:00 a. m.</v>
      </c>
      <c r="AZ226" t="str">
        <f>"26/02/2020 12:00:00 a. m."</f>
        <v>26/02/2020 12:00:00 a. m.</v>
      </c>
      <c r="BA226" t="str">
        <f>""</f>
        <v/>
      </c>
      <c r="BB226" t="str">
        <f>""</f>
        <v/>
      </c>
      <c r="BC226" t="str">
        <f>""</f>
        <v/>
      </c>
      <c r="BD226" t="str">
        <f t="shared" si="280"/>
        <v>1</v>
      </c>
      <c r="BE226" t="str">
        <f t="shared" si="280"/>
        <v>1</v>
      </c>
      <c r="BF226" t="str">
        <f t="shared" si="240"/>
        <v xml:space="preserve">3         </v>
      </c>
      <c r="BG226" t="str">
        <f t="shared" si="241"/>
        <v>Confirmado por laboratorio</v>
      </c>
      <c r="BH226" t="str">
        <f>"ORGANIZACION CLINICA BONNADONA PREVENIR SA"</f>
        <v>ORGANIZACION CLINICA BONNADONA PREVENIR SA</v>
      </c>
      <c r="BI226" t="str">
        <f t="shared" si="245"/>
        <v>COLOMBIA</v>
      </c>
      <c r="BJ226" t="str">
        <f t="shared" si="242"/>
        <v>CANCER INFANTIL</v>
      </c>
      <c r="BK226" t="str">
        <f>"META"</f>
        <v>META</v>
      </c>
      <c r="BL226" t="str">
        <f>"GUAMAL"</f>
        <v>GUAMAL</v>
      </c>
      <c r="BM226" t="str">
        <f t="shared" si="246"/>
        <v>COLOMBIA</v>
      </c>
      <c r="BN226" t="str">
        <f>"META"</f>
        <v>META</v>
      </c>
      <c r="BO226" t="str">
        <f>"GUAMAL"</f>
        <v>GUAMAL</v>
      </c>
      <c r="BP226" t="str">
        <f>"ATLANTICO"</f>
        <v>ATLANTICO</v>
      </c>
      <c r="BQ226" t="str">
        <f>"BARRANQUILLA"</f>
        <v>BARRANQUILLA</v>
      </c>
    </row>
    <row r="227" spans="1:69" x14ac:dyDescent="0.25">
      <c r="A227" t="str">
        <f>"7279009"</f>
        <v>7279009</v>
      </c>
      <c r="B227" t="str">
        <f t="shared" si="235"/>
        <v>459</v>
      </c>
      <c r="C227" t="str">
        <f>"17/07/2020 12:00:00 a. m."</f>
        <v>17/07/2020 12:00:00 a. m.</v>
      </c>
      <c r="D227" t="str">
        <f>"10"</f>
        <v>10</v>
      </c>
      <c r="E227" t="str">
        <f t="shared" si="236"/>
        <v>2020</v>
      </c>
      <c r="F227" t="str">
        <f>"4700100476"</f>
        <v>4700100476</v>
      </c>
      <c r="G227" t="str">
        <f t="shared" si="281"/>
        <v>01</v>
      </c>
      <c r="H227" t="str">
        <f>"10"</f>
        <v>10</v>
      </c>
      <c r="I227" t="str">
        <f t="shared" si="272"/>
        <v>1</v>
      </c>
      <c r="J227" t="str">
        <f>"M"</f>
        <v>M</v>
      </c>
      <c r="K227" t="str">
        <f t="shared" si="243"/>
        <v>170</v>
      </c>
      <c r="L227" t="str">
        <f>"47"</f>
        <v>47</v>
      </c>
      <c r="M227" t="str">
        <f>"001"</f>
        <v>001</v>
      </c>
      <c r="N227" t="str">
        <f>"1"</f>
        <v>1</v>
      </c>
      <c r="O227" t="str">
        <f t="shared" si="284"/>
        <v>9997</v>
      </c>
      <c r="P227" t="str">
        <f>"S"</f>
        <v>S</v>
      </c>
      <c r="Q227" t="str">
        <f>"ESS133"</f>
        <v>ESS133</v>
      </c>
      <c r="R227" t="str">
        <f t="shared" si="277"/>
        <v>6</v>
      </c>
      <c r="S227" t="str">
        <f>""</f>
        <v/>
      </c>
      <c r="T227" t="str">
        <f t="shared" si="265"/>
        <v xml:space="preserve">                                                                                                    </v>
      </c>
      <c r="U227" t="str">
        <f>"1         "</f>
        <v xml:space="preserve">1         </v>
      </c>
      <c r="V227" t="str">
        <f t="shared" si="275"/>
        <v>2</v>
      </c>
      <c r="W227" t="str">
        <f t="shared" si="275"/>
        <v>2</v>
      </c>
      <c r="X227" t="str">
        <f t="shared" si="267"/>
        <v>2</v>
      </c>
      <c r="Y227" t="str">
        <f t="shared" si="276"/>
        <v>2</v>
      </c>
      <c r="Z227" t="str">
        <f t="shared" si="276"/>
        <v>2</v>
      </c>
      <c r="AA227" t="str">
        <f t="shared" si="237"/>
        <v xml:space="preserve">          </v>
      </c>
      <c r="AB227" t="str">
        <f t="shared" si="227"/>
        <v>2</v>
      </c>
      <c r="AC227" t="str">
        <f t="shared" si="230"/>
        <v>2</v>
      </c>
      <c r="AD227" t="str">
        <f t="shared" si="278"/>
        <v>2</v>
      </c>
      <c r="AE227" t="str">
        <f t="shared" si="278"/>
        <v>2</v>
      </c>
      <c r="AF227" t="str">
        <f t="shared" si="278"/>
        <v>2</v>
      </c>
      <c r="AG227" t="str">
        <f t="shared" si="278"/>
        <v>2</v>
      </c>
      <c r="AH227" t="str">
        <f t="shared" si="268"/>
        <v>1</v>
      </c>
      <c r="AI227" t="str">
        <f t="shared" si="283"/>
        <v xml:space="preserve">1         </v>
      </c>
      <c r="AJ227" t="str">
        <f t="shared" si="244"/>
        <v>170</v>
      </c>
      <c r="AK227" t="str">
        <f>"47"</f>
        <v>47</v>
      </c>
      <c r="AL227" t="str">
        <f>"001"</f>
        <v>001</v>
      </c>
      <c r="AM227" t="str">
        <f>"47"</f>
        <v>47</v>
      </c>
      <c r="AN227" t="str">
        <f>"47001"</f>
        <v>47001</v>
      </c>
      <c r="AO227" t="str">
        <f>"3/03/2020 12:00:00 a. m."</f>
        <v>3/03/2020 12:00:00 a. m.</v>
      </c>
      <c r="AP227" t="str">
        <f>"29/02/2020 12:00:00 a. m."</f>
        <v>29/02/2020 12:00:00 a. m.</v>
      </c>
      <c r="AQ227" t="str">
        <f>"3"</f>
        <v>3</v>
      </c>
      <c r="AR227" t="str">
        <f t="shared" si="282"/>
        <v>1</v>
      </c>
      <c r="AS227" t="str">
        <f>"3/03/2020 12:00:00 a. m."</f>
        <v>3/03/2020 12:00:00 a. m.</v>
      </c>
      <c r="AT227" t="str">
        <f t="shared" si="279"/>
        <v>1</v>
      </c>
      <c r="AU227" t="str">
        <f>""</f>
        <v/>
      </c>
      <c r="AV227" t="str">
        <f>"7"</f>
        <v>7</v>
      </c>
      <c r="AW227" t="str">
        <f>"13/11/2009 12:00:00 a. m."</f>
        <v>13/11/2009 12:00:00 a. m.</v>
      </c>
      <c r="AX227" t="str">
        <f>""</f>
        <v/>
      </c>
      <c r="AY227" t="str">
        <f t="shared" si="239"/>
        <v>30/04/2021 12:00:00 a. m.</v>
      </c>
      <c r="AZ227" t="str">
        <f>"12/12/2020 12:00:00 a. m."</f>
        <v>12/12/2020 12:00:00 a. m.</v>
      </c>
      <c r="BA227" t="str">
        <f>""</f>
        <v/>
      </c>
      <c r="BB227" t="str">
        <f>""</f>
        <v/>
      </c>
      <c r="BC227" t="str">
        <f>""</f>
        <v/>
      </c>
      <c r="BD227" t="str">
        <f t="shared" si="280"/>
        <v>1</v>
      </c>
      <c r="BE227" t="str">
        <f t="shared" si="280"/>
        <v>1</v>
      </c>
      <c r="BF227" t="str">
        <f t="shared" si="240"/>
        <v xml:space="preserve">3         </v>
      </c>
      <c r="BG227" t="str">
        <f t="shared" si="241"/>
        <v>Confirmado por laboratorio</v>
      </c>
      <c r="BH227" t="str">
        <f>"COMPAÑÍA COLOMBIANA DE SALUD COLSALUD SA"</f>
        <v>COMPAÑÍA COLOMBIANA DE SALUD COLSALUD SA</v>
      </c>
      <c r="BI227" t="str">
        <f t="shared" si="245"/>
        <v>COLOMBIA</v>
      </c>
      <c r="BJ227" t="str">
        <f t="shared" si="242"/>
        <v>CANCER INFANTIL</v>
      </c>
      <c r="BK227" t="str">
        <f>"MAGDALENA"</f>
        <v>MAGDALENA</v>
      </c>
      <c r="BL227" t="str">
        <f>"SANTA MARTA"</f>
        <v>SANTA MARTA</v>
      </c>
      <c r="BM227" t="str">
        <f t="shared" si="246"/>
        <v>COLOMBIA</v>
      </c>
      <c r="BN227" t="str">
        <f>"MAGDALENA"</f>
        <v>MAGDALENA</v>
      </c>
      <c r="BO227" t="str">
        <f>"SANTA MARTA"</f>
        <v>SANTA MARTA</v>
      </c>
      <c r="BP227" t="str">
        <f>"MAGDALENA"</f>
        <v>MAGDALENA</v>
      </c>
      <c r="BQ227" t="str">
        <f>"SANTA MARTA"</f>
        <v>SANTA MARTA</v>
      </c>
    </row>
    <row r="228" spans="1:69" x14ac:dyDescent="0.25">
      <c r="A228" t="str">
        <f>"7278978"</f>
        <v>7278978</v>
      </c>
      <c r="B228" t="str">
        <f t="shared" si="235"/>
        <v>459</v>
      </c>
      <c r="C228" t="str">
        <f>"27/06/2020 12:00:00 a. m."</f>
        <v>27/06/2020 12:00:00 a. m.</v>
      </c>
      <c r="D228" t="str">
        <f>"25"</f>
        <v>25</v>
      </c>
      <c r="E228" t="str">
        <f t="shared" si="236"/>
        <v>2020</v>
      </c>
      <c r="F228" t="str">
        <f>"1100105681"</f>
        <v>1100105681</v>
      </c>
      <c r="G228" t="str">
        <f t="shared" si="281"/>
        <v>01</v>
      </c>
      <c r="H228" t="str">
        <f>"12"</f>
        <v>12</v>
      </c>
      <c r="I228" t="str">
        <f t="shared" si="272"/>
        <v>1</v>
      </c>
      <c r="J228" t="str">
        <f>"F"</f>
        <v>F</v>
      </c>
      <c r="K228" t="str">
        <f t="shared" si="243"/>
        <v>170</v>
      </c>
      <c r="L228" t="str">
        <f>"25"</f>
        <v>25</v>
      </c>
      <c r="M228" t="str">
        <f>"772"</f>
        <v>772</v>
      </c>
      <c r="N228" t="str">
        <f>"1"</f>
        <v>1</v>
      </c>
      <c r="O228" t="str">
        <f t="shared" si="284"/>
        <v>9997</v>
      </c>
      <c r="P228" t="str">
        <f>"C"</f>
        <v>C</v>
      </c>
      <c r="Q228" t="str">
        <f>"EPS037"</f>
        <v>EPS037</v>
      </c>
      <c r="R228" t="str">
        <f t="shared" si="277"/>
        <v>6</v>
      </c>
      <c r="S228" t="str">
        <f>""</f>
        <v/>
      </c>
      <c r="T228" t="str">
        <f t="shared" si="265"/>
        <v xml:space="preserve">                                                                                                    </v>
      </c>
      <c r="U228" t="str">
        <f>"2         "</f>
        <v xml:space="preserve">2         </v>
      </c>
      <c r="V228" t="str">
        <f t="shared" si="275"/>
        <v>2</v>
      </c>
      <c r="W228" t="str">
        <f t="shared" si="275"/>
        <v>2</v>
      </c>
      <c r="X228" t="str">
        <f t="shared" si="267"/>
        <v>2</v>
      </c>
      <c r="Y228" t="str">
        <f t="shared" si="276"/>
        <v>2</v>
      </c>
      <c r="Z228" t="str">
        <f t="shared" si="276"/>
        <v>2</v>
      </c>
      <c r="AA228" t="str">
        <f t="shared" si="237"/>
        <v xml:space="preserve">          </v>
      </c>
      <c r="AB228" t="str">
        <f t="shared" si="227"/>
        <v>2</v>
      </c>
      <c r="AC228" t="str">
        <f t="shared" si="230"/>
        <v>2</v>
      </c>
      <c r="AD228" t="str">
        <f t="shared" si="278"/>
        <v>2</v>
      </c>
      <c r="AE228" t="str">
        <f t="shared" si="278"/>
        <v>2</v>
      </c>
      <c r="AF228" t="str">
        <f t="shared" si="278"/>
        <v>2</v>
      </c>
      <c r="AG228" t="str">
        <f t="shared" si="278"/>
        <v>2</v>
      </c>
      <c r="AH228" t="str">
        <f t="shared" si="268"/>
        <v>1</v>
      </c>
      <c r="AI228" t="str">
        <f t="shared" si="283"/>
        <v xml:space="preserve">1         </v>
      </c>
      <c r="AJ228" t="str">
        <f t="shared" si="244"/>
        <v>170</v>
      </c>
      <c r="AK228" t="str">
        <f>"25"</f>
        <v>25</v>
      </c>
      <c r="AL228" t="str">
        <f>"772"</f>
        <v>772</v>
      </c>
      <c r="AM228" t="str">
        <f>"11"</f>
        <v>11</v>
      </c>
      <c r="AN228" t="str">
        <f>"11001"</f>
        <v>11001</v>
      </c>
      <c r="AO228" t="str">
        <f>"17/06/2020 12:00:00 a. m."</f>
        <v>17/06/2020 12:00:00 a. m.</v>
      </c>
      <c r="AP228" t="str">
        <f>"17/05/2020 12:00:00 a. m."</f>
        <v>17/05/2020 12:00:00 a. m.</v>
      </c>
      <c r="AQ228" t="str">
        <f>"3"</f>
        <v>3</v>
      </c>
      <c r="AR228" t="str">
        <f t="shared" si="282"/>
        <v>1</v>
      </c>
      <c r="AS228" t="str">
        <f>"17/06/2020 12:00:00 a. m."</f>
        <v>17/06/2020 12:00:00 a. m.</v>
      </c>
      <c r="AT228" t="str">
        <f t="shared" si="279"/>
        <v>1</v>
      </c>
      <c r="AU228" t="str">
        <f>""</f>
        <v/>
      </c>
      <c r="AV228" t="str">
        <f>"0"</f>
        <v>0</v>
      </c>
      <c r="AW228" t="str">
        <f>"14/04/2008 12:00:00 a. m."</f>
        <v>14/04/2008 12:00:00 a. m.</v>
      </c>
      <c r="AX228" t="str">
        <f>""</f>
        <v/>
      </c>
      <c r="AY228" t="str">
        <f t="shared" si="239"/>
        <v>30/04/2021 12:00:00 a. m.</v>
      </c>
      <c r="AZ228" t="str">
        <f>"15/07/2020 12:00:00 a. m."</f>
        <v>15/07/2020 12:00:00 a. m.</v>
      </c>
      <c r="BA228" t="str">
        <f>""</f>
        <v/>
      </c>
      <c r="BB228" t="str">
        <f>""</f>
        <v/>
      </c>
      <c r="BC228" t="str">
        <f>""</f>
        <v/>
      </c>
      <c r="BD228" t="str">
        <f t="shared" si="280"/>
        <v>1</v>
      </c>
      <c r="BE228" t="str">
        <f t="shared" si="280"/>
        <v>1</v>
      </c>
      <c r="BF228" t="str">
        <f t="shared" si="240"/>
        <v xml:space="preserve">3         </v>
      </c>
      <c r="BG228" t="str">
        <f t="shared" si="241"/>
        <v>Confirmado por laboratorio</v>
      </c>
      <c r="BH228" t="str">
        <f>"FUNDACION HOSPITAL DE LA MISERICORDIA"</f>
        <v>FUNDACION HOSPITAL DE LA MISERICORDIA</v>
      </c>
      <c r="BI228" t="str">
        <f t="shared" si="245"/>
        <v>COLOMBIA</v>
      </c>
      <c r="BJ228" t="str">
        <f t="shared" si="242"/>
        <v>CANCER INFANTIL</v>
      </c>
      <c r="BK228" t="str">
        <f>"CUNDINAMARCA"</f>
        <v>CUNDINAMARCA</v>
      </c>
      <c r="BL228" t="str">
        <f>"SUESCA"</f>
        <v>SUESCA</v>
      </c>
      <c r="BM228" t="str">
        <f t="shared" si="246"/>
        <v>COLOMBIA</v>
      </c>
      <c r="BN228" t="str">
        <f>"CUNDINAMARCA"</f>
        <v>CUNDINAMARCA</v>
      </c>
      <c r="BO228" t="str">
        <f>"SUESCA"</f>
        <v>SUESCA</v>
      </c>
      <c r="BP228" t="str">
        <f>"BOGOTA"</f>
        <v>BOGOTA</v>
      </c>
      <c r="BQ228" t="str">
        <f>"BOGOTA"</f>
        <v>BOGOTA</v>
      </c>
    </row>
    <row r="229" spans="1:69" x14ac:dyDescent="0.25">
      <c r="A229" t="str">
        <f>"7285343"</f>
        <v>7285343</v>
      </c>
      <c r="B229" t="str">
        <f t="shared" si="235"/>
        <v>459</v>
      </c>
      <c r="C229" t="str">
        <f>"28/08/2020 12:00:00 a. m."</f>
        <v>28/08/2020 12:00:00 a. m.</v>
      </c>
      <c r="D229" t="str">
        <f>"35"</f>
        <v>35</v>
      </c>
      <c r="E229" t="str">
        <f t="shared" si="236"/>
        <v>2020</v>
      </c>
      <c r="F229" t="str">
        <f>"0561502129"</f>
        <v>0561502129</v>
      </c>
      <c r="G229" t="str">
        <f t="shared" si="281"/>
        <v>01</v>
      </c>
      <c r="H229" t="str">
        <f>"9"</f>
        <v>9</v>
      </c>
      <c r="I229" t="str">
        <f t="shared" si="272"/>
        <v>1</v>
      </c>
      <c r="J229" t="str">
        <f>"M"</f>
        <v>M</v>
      </c>
      <c r="K229" t="str">
        <f t="shared" si="243"/>
        <v>170</v>
      </c>
      <c r="L229" t="str">
        <f>"05"</f>
        <v>05</v>
      </c>
      <c r="M229" t="str">
        <f>"440"</f>
        <v>440</v>
      </c>
      <c r="N229" t="str">
        <f>"2"</f>
        <v>2</v>
      </c>
      <c r="O229" t="str">
        <f t="shared" si="284"/>
        <v>9997</v>
      </c>
      <c r="P229" t="str">
        <f>"C"</f>
        <v>C</v>
      </c>
      <c r="Q229" t="str">
        <f>"EPS005"</f>
        <v>EPS005</v>
      </c>
      <c r="R229" t="str">
        <f t="shared" si="277"/>
        <v>6</v>
      </c>
      <c r="S229" t="str">
        <f>""</f>
        <v/>
      </c>
      <c r="T229" t="str">
        <f t="shared" si="265"/>
        <v xml:space="preserve">                                                                                                    </v>
      </c>
      <c r="U229" t="str">
        <f>"3         "</f>
        <v xml:space="preserve">3         </v>
      </c>
      <c r="V229" t="str">
        <f t="shared" si="275"/>
        <v>2</v>
      </c>
      <c r="W229" t="str">
        <f t="shared" si="275"/>
        <v>2</v>
      </c>
      <c r="X229" t="str">
        <f t="shared" si="267"/>
        <v>2</v>
      </c>
      <c r="Y229" t="str">
        <f t="shared" si="276"/>
        <v>2</v>
      </c>
      <c r="Z229" t="str">
        <f t="shared" si="276"/>
        <v>2</v>
      </c>
      <c r="AA229" t="str">
        <f t="shared" si="237"/>
        <v xml:space="preserve">          </v>
      </c>
      <c r="AB229" t="str">
        <f t="shared" si="227"/>
        <v>2</v>
      </c>
      <c r="AC229" t="str">
        <f t="shared" si="230"/>
        <v>2</v>
      </c>
      <c r="AD229" t="str">
        <f t="shared" si="278"/>
        <v>2</v>
      </c>
      <c r="AE229" t="str">
        <f t="shared" si="278"/>
        <v>2</v>
      </c>
      <c r="AF229" t="str">
        <f t="shared" si="278"/>
        <v>2</v>
      </c>
      <c r="AG229" t="str">
        <f t="shared" si="278"/>
        <v>2</v>
      </c>
      <c r="AH229" t="str">
        <f t="shared" si="268"/>
        <v>1</v>
      </c>
      <c r="AI229" t="str">
        <f t="shared" si="283"/>
        <v xml:space="preserve">1         </v>
      </c>
      <c r="AJ229" t="str">
        <f t="shared" si="244"/>
        <v>170</v>
      </c>
      <c r="AK229" t="str">
        <f>"05"</f>
        <v>05</v>
      </c>
      <c r="AL229" t="str">
        <f>"440"</f>
        <v>440</v>
      </c>
      <c r="AM229" t="str">
        <f>"05"</f>
        <v>05</v>
      </c>
      <c r="AN229" t="str">
        <f>"05615"</f>
        <v>05615</v>
      </c>
      <c r="AO229" t="str">
        <f>"28/08/2020 12:00:00 a. m."</f>
        <v>28/08/2020 12:00:00 a. m.</v>
      </c>
      <c r="AP229" t="str">
        <f>"1/01/2020 12:00:00 a. m."</f>
        <v>1/01/2020 12:00:00 a. m.</v>
      </c>
      <c r="AQ229" t="str">
        <f>"3"</f>
        <v>3</v>
      </c>
      <c r="AR229" t="str">
        <f>"2"</f>
        <v>2</v>
      </c>
      <c r="AS229" t="str">
        <f>""</f>
        <v/>
      </c>
      <c r="AT229" t="str">
        <f t="shared" si="279"/>
        <v>1</v>
      </c>
      <c r="AU229" t="str">
        <f>""</f>
        <v/>
      </c>
      <c r="AV229" t="str">
        <f>"0"</f>
        <v>0</v>
      </c>
      <c r="AW229" t="str">
        <f>"16/09/2010 12:00:00 a. m."</f>
        <v>16/09/2010 12:00:00 a. m.</v>
      </c>
      <c r="AX229" t="str">
        <f>""</f>
        <v/>
      </c>
      <c r="AY229" t="str">
        <f t="shared" si="239"/>
        <v>30/04/2021 12:00:00 a. m.</v>
      </c>
      <c r="AZ229" t="str">
        <f>"31/08/2020 12:00:00 a. m."</f>
        <v>31/08/2020 12:00:00 a. m.</v>
      </c>
      <c r="BA229" t="str">
        <f>""</f>
        <v/>
      </c>
      <c r="BB229" t="str">
        <f>""</f>
        <v/>
      </c>
      <c r="BC229" t="str">
        <f>""</f>
        <v/>
      </c>
      <c r="BD229" t="str">
        <f t="shared" si="280"/>
        <v>1</v>
      </c>
      <c r="BE229" t="str">
        <f t="shared" si="280"/>
        <v>1</v>
      </c>
      <c r="BF229" t="str">
        <f t="shared" si="240"/>
        <v xml:space="preserve">3         </v>
      </c>
      <c r="BG229" t="str">
        <f t="shared" si="241"/>
        <v>Confirmado por laboratorio</v>
      </c>
      <c r="BH229" t="str">
        <f>"SOCIEDAD MEDICA DE RIONEGRO SA SOMER SA"</f>
        <v>SOCIEDAD MEDICA DE RIONEGRO SA SOMER SA</v>
      </c>
      <c r="BI229" t="str">
        <f t="shared" si="245"/>
        <v>COLOMBIA</v>
      </c>
      <c r="BJ229" t="str">
        <f t="shared" si="242"/>
        <v>CANCER INFANTIL</v>
      </c>
      <c r="BK229" t="str">
        <f>"ANTIOQUIA"</f>
        <v>ANTIOQUIA</v>
      </c>
      <c r="BL229" t="str">
        <f>"MARINILLA"</f>
        <v>MARINILLA</v>
      </c>
      <c r="BM229" t="str">
        <f t="shared" si="246"/>
        <v>COLOMBIA</v>
      </c>
      <c r="BN229" t="str">
        <f>"ANTIOQUIA"</f>
        <v>ANTIOQUIA</v>
      </c>
      <c r="BO229" t="str">
        <f>"MARINILLA"</f>
        <v>MARINILLA</v>
      </c>
      <c r="BP229" t="str">
        <f>"ANTIOQUIA"</f>
        <v>ANTIOQUIA</v>
      </c>
      <c r="BQ229" t="str">
        <f>"RIONEGRO"</f>
        <v>RIONEGRO</v>
      </c>
    </row>
    <row r="230" spans="1:69" x14ac:dyDescent="0.25">
      <c r="A230" t="str">
        <f>"7285346"</f>
        <v>7285346</v>
      </c>
      <c r="B230" t="str">
        <f t="shared" si="235"/>
        <v>459</v>
      </c>
      <c r="C230" t="str">
        <f>"21/11/2020 12:00:00 a. m."</f>
        <v>21/11/2020 12:00:00 a. m.</v>
      </c>
      <c r="D230" t="str">
        <f>"47"</f>
        <v>47</v>
      </c>
      <c r="E230" t="str">
        <f t="shared" si="236"/>
        <v>2020</v>
      </c>
      <c r="F230" t="str">
        <f>"1100109111"</f>
        <v>1100109111</v>
      </c>
      <c r="G230" t="str">
        <f t="shared" si="281"/>
        <v>01</v>
      </c>
      <c r="H230" t="str">
        <f>"14"</f>
        <v>14</v>
      </c>
      <c r="I230" t="str">
        <f t="shared" si="272"/>
        <v>1</v>
      </c>
      <c r="J230" t="str">
        <f>"M"</f>
        <v>M</v>
      </c>
      <c r="K230" t="str">
        <f t="shared" ref="K230:K261" si="285">"170"</f>
        <v>170</v>
      </c>
      <c r="L230" t="str">
        <f>"11"</f>
        <v>11</v>
      </c>
      <c r="M230" t="str">
        <f>"001"</f>
        <v>001</v>
      </c>
      <c r="N230" t="str">
        <f>"1"</f>
        <v>1</v>
      </c>
      <c r="O230" t="str">
        <f t="shared" si="284"/>
        <v>9997</v>
      </c>
      <c r="P230" t="str">
        <f>"C"</f>
        <v>C</v>
      </c>
      <c r="Q230" t="str">
        <f>"EPS017"</f>
        <v>EPS017</v>
      </c>
      <c r="R230" t="str">
        <f t="shared" si="277"/>
        <v>6</v>
      </c>
      <c r="S230" t="str">
        <f>""</f>
        <v/>
      </c>
      <c r="T230" t="str">
        <f t="shared" si="265"/>
        <v xml:space="preserve">                                                                                                    </v>
      </c>
      <c r="U230" t="str">
        <f>"2         "</f>
        <v xml:space="preserve">2         </v>
      </c>
      <c r="V230" t="str">
        <f t="shared" si="275"/>
        <v>2</v>
      </c>
      <c r="W230" t="str">
        <f t="shared" si="275"/>
        <v>2</v>
      </c>
      <c r="X230" t="str">
        <f t="shared" si="267"/>
        <v>2</v>
      </c>
      <c r="Y230" t="str">
        <f t="shared" si="276"/>
        <v>2</v>
      </c>
      <c r="Z230" t="str">
        <f t="shared" si="276"/>
        <v>2</v>
      </c>
      <c r="AA230" t="str">
        <f t="shared" si="237"/>
        <v xml:space="preserve">          </v>
      </c>
      <c r="AB230" t="str">
        <f t="shared" si="227"/>
        <v>2</v>
      </c>
      <c r="AC230" t="str">
        <f t="shared" si="230"/>
        <v>2</v>
      </c>
      <c r="AD230" t="str">
        <f t="shared" si="278"/>
        <v>2</v>
      </c>
      <c r="AE230" t="str">
        <f t="shared" si="278"/>
        <v>2</v>
      </c>
      <c r="AF230" t="str">
        <f t="shared" si="278"/>
        <v>2</v>
      </c>
      <c r="AG230" t="str">
        <f t="shared" si="278"/>
        <v>2</v>
      </c>
      <c r="AH230" t="str">
        <f t="shared" si="268"/>
        <v>1</v>
      </c>
      <c r="AI230" t="str">
        <f t="shared" si="283"/>
        <v xml:space="preserve">1         </v>
      </c>
      <c r="AJ230" t="str">
        <f t="shared" ref="AJ230:AJ261" si="286">"170"</f>
        <v>170</v>
      </c>
      <c r="AK230" t="str">
        <f>"11"</f>
        <v>11</v>
      </c>
      <c r="AL230" t="str">
        <f>"001"</f>
        <v>001</v>
      </c>
      <c r="AM230" t="str">
        <f>"11"</f>
        <v>11</v>
      </c>
      <c r="AN230" t="str">
        <f>"11001"</f>
        <v>11001</v>
      </c>
      <c r="AO230" t="str">
        <f>"19/11/2020 12:00:00 a. m."</f>
        <v>19/11/2020 12:00:00 a. m.</v>
      </c>
      <c r="AP230" t="str">
        <f>"19/11/2020 12:00:00 a. m."</f>
        <v>19/11/2020 12:00:00 a. m.</v>
      </c>
      <c r="AQ230" t="str">
        <f>"2"</f>
        <v>2</v>
      </c>
      <c r="AR230" t="str">
        <f t="shared" ref="AR230:AR247" si="287">"1"</f>
        <v>1</v>
      </c>
      <c r="AS230" t="str">
        <f>"21/11/2020 12:00:00 a. m."</f>
        <v>21/11/2020 12:00:00 a. m.</v>
      </c>
      <c r="AT230" t="str">
        <f t="shared" si="279"/>
        <v>1</v>
      </c>
      <c r="AU230" t="str">
        <f>""</f>
        <v/>
      </c>
      <c r="AV230" t="str">
        <f>"3"</f>
        <v>3</v>
      </c>
      <c r="AW230" t="str">
        <f>"25/08/2006 12:00:00 a. m."</f>
        <v>25/08/2006 12:00:00 a. m.</v>
      </c>
      <c r="AX230" t="str">
        <f>""</f>
        <v/>
      </c>
      <c r="AY230" t="str">
        <f t="shared" si="239"/>
        <v>30/04/2021 12:00:00 a. m.</v>
      </c>
      <c r="AZ230" t="str">
        <f>"29/01/2021 12:00:00 a. m."</f>
        <v>29/01/2021 12:00:00 a. m.</v>
      </c>
      <c r="BA230" t="str">
        <f>""</f>
        <v/>
      </c>
      <c r="BB230" t="str">
        <f>""</f>
        <v/>
      </c>
      <c r="BC230" t="str">
        <f>""</f>
        <v/>
      </c>
      <c r="BD230" t="str">
        <f t="shared" si="280"/>
        <v>1</v>
      </c>
      <c r="BE230" t="str">
        <f t="shared" si="280"/>
        <v>1</v>
      </c>
      <c r="BF230" t="str">
        <f t="shared" si="240"/>
        <v xml:space="preserve">3         </v>
      </c>
      <c r="BG230" t="str">
        <f t="shared" si="241"/>
        <v>Confirmado por laboratorio</v>
      </c>
      <c r="BH230" t="str">
        <f>"FUNDACION CARDIOINFANTIL INSTITUTO DE CARDIOLOGIA"</f>
        <v>FUNDACION CARDIOINFANTIL INSTITUTO DE CARDIOLOGIA</v>
      </c>
      <c r="BI230" t="str">
        <f t="shared" ref="BI230:BI261" si="288">"COLOMBIA"</f>
        <v>COLOMBIA</v>
      </c>
      <c r="BJ230" t="str">
        <f t="shared" si="242"/>
        <v>CANCER INFANTIL</v>
      </c>
      <c r="BK230" t="str">
        <f>"BOGOTA"</f>
        <v>BOGOTA</v>
      </c>
      <c r="BL230" t="str">
        <f>"BOGOTA"</f>
        <v>BOGOTA</v>
      </c>
      <c r="BM230" t="str">
        <f t="shared" ref="BM230:BM261" si="289">"COLOMBIA"</f>
        <v>COLOMBIA</v>
      </c>
      <c r="BN230" t="str">
        <f t="shared" ref="BN230:BQ231" si="290">"BOGOTA"</f>
        <v>BOGOTA</v>
      </c>
      <c r="BO230" t="str">
        <f t="shared" si="290"/>
        <v>BOGOTA</v>
      </c>
      <c r="BP230" t="str">
        <f t="shared" si="290"/>
        <v>BOGOTA</v>
      </c>
      <c r="BQ230" t="str">
        <f t="shared" si="290"/>
        <v>BOGOTA</v>
      </c>
    </row>
    <row r="231" spans="1:69" x14ac:dyDescent="0.25">
      <c r="A231" t="str">
        <f>"7285320"</f>
        <v>7285320</v>
      </c>
      <c r="B231" t="str">
        <f t="shared" si="235"/>
        <v>459</v>
      </c>
      <c r="C231" t="str">
        <f>"15/04/2020 12:00:00 a. m."</f>
        <v>15/04/2020 12:00:00 a. m.</v>
      </c>
      <c r="D231" t="str">
        <f>"10"</f>
        <v>10</v>
      </c>
      <c r="E231" t="str">
        <f t="shared" si="236"/>
        <v>2020</v>
      </c>
      <c r="F231" t="str">
        <f>"1100105681"</f>
        <v>1100105681</v>
      </c>
      <c r="G231" t="str">
        <f t="shared" si="281"/>
        <v>01</v>
      </c>
      <c r="H231" t="str">
        <f>"8"</f>
        <v>8</v>
      </c>
      <c r="I231" t="str">
        <f t="shared" si="272"/>
        <v>1</v>
      </c>
      <c r="J231" t="str">
        <f>"F"</f>
        <v>F</v>
      </c>
      <c r="K231" t="str">
        <f t="shared" si="285"/>
        <v>170</v>
      </c>
      <c r="L231" t="str">
        <f>"11"</f>
        <v>11</v>
      </c>
      <c r="M231" t="str">
        <f>"001"</f>
        <v>001</v>
      </c>
      <c r="N231" t="str">
        <f>"1"</f>
        <v>1</v>
      </c>
      <c r="O231" t="str">
        <f t="shared" si="284"/>
        <v>9997</v>
      </c>
      <c r="P231" t="str">
        <f>"C"</f>
        <v>C</v>
      </c>
      <c r="Q231" t="str">
        <f>"EPS002"</f>
        <v>EPS002</v>
      </c>
      <c r="R231" t="str">
        <f t="shared" si="277"/>
        <v>6</v>
      </c>
      <c r="S231" t="str">
        <f>""</f>
        <v/>
      </c>
      <c r="T231" t="str">
        <f t="shared" si="265"/>
        <v xml:space="preserve">                                                                                                    </v>
      </c>
      <c r="U231" t="str">
        <f>"2         "</f>
        <v xml:space="preserve">2         </v>
      </c>
      <c r="V231" t="str">
        <f t="shared" si="275"/>
        <v>2</v>
      </c>
      <c r="W231" t="str">
        <f t="shared" si="275"/>
        <v>2</v>
      </c>
      <c r="X231" t="str">
        <f t="shared" si="267"/>
        <v>2</v>
      </c>
      <c r="Y231" t="str">
        <f t="shared" si="276"/>
        <v>2</v>
      </c>
      <c r="Z231" t="str">
        <f t="shared" si="276"/>
        <v>2</v>
      </c>
      <c r="AA231" t="str">
        <f t="shared" si="237"/>
        <v xml:space="preserve">          </v>
      </c>
      <c r="AB231" t="str">
        <f t="shared" si="227"/>
        <v>2</v>
      </c>
      <c r="AC231" t="str">
        <f t="shared" si="230"/>
        <v>2</v>
      </c>
      <c r="AD231" t="str">
        <f t="shared" si="278"/>
        <v>2</v>
      </c>
      <c r="AE231" t="str">
        <f t="shared" si="278"/>
        <v>2</v>
      </c>
      <c r="AF231" t="str">
        <f t="shared" si="278"/>
        <v>2</v>
      </c>
      <c r="AG231" t="str">
        <f t="shared" si="278"/>
        <v>2</v>
      </c>
      <c r="AH231" t="str">
        <f t="shared" si="268"/>
        <v>1</v>
      </c>
      <c r="AI231" t="str">
        <f t="shared" si="283"/>
        <v xml:space="preserve">1         </v>
      </c>
      <c r="AJ231" t="str">
        <f t="shared" si="286"/>
        <v>170</v>
      </c>
      <c r="AK231" t="str">
        <f>"11"</f>
        <v>11</v>
      </c>
      <c r="AL231" t="str">
        <f>"001"</f>
        <v>001</v>
      </c>
      <c r="AM231" t="str">
        <f>"11"</f>
        <v>11</v>
      </c>
      <c r="AN231" t="str">
        <f>"11001"</f>
        <v>11001</v>
      </c>
      <c r="AO231" t="str">
        <f>"2/03/2020 12:00:00 a. m."</f>
        <v>2/03/2020 12:00:00 a. m.</v>
      </c>
      <c r="AP231" t="str">
        <f>"29/02/2020 12:00:00 a. m."</f>
        <v>29/02/2020 12:00:00 a. m.</v>
      </c>
      <c r="AQ231" t="str">
        <f>"3"</f>
        <v>3</v>
      </c>
      <c r="AR231" t="str">
        <f t="shared" si="287"/>
        <v>1</v>
      </c>
      <c r="AS231" t="str">
        <f>"2/03/2020 12:00:00 a. m."</f>
        <v>2/03/2020 12:00:00 a. m.</v>
      </c>
      <c r="AT231" t="str">
        <f>"2"</f>
        <v>2</v>
      </c>
      <c r="AU231" t="str">
        <f>"19/12/2020 12:00:00 a. m."</f>
        <v>19/12/2020 12:00:00 a. m.</v>
      </c>
      <c r="AV231" t="str">
        <f>"7"</f>
        <v>7</v>
      </c>
      <c r="AW231" t="str">
        <f>"16/11/2011 12:00:00 a. m."</f>
        <v>16/11/2011 12:00:00 a. m.</v>
      </c>
      <c r="AX231" t="str">
        <f>"J90X"</f>
        <v>J90X</v>
      </c>
      <c r="AY231" t="str">
        <f t="shared" si="239"/>
        <v>30/04/2021 12:00:00 a. m.</v>
      </c>
      <c r="AZ231" t="str">
        <f>"2/02/2021 12:00:00 a. m."</f>
        <v>2/02/2021 12:00:00 a. m.</v>
      </c>
      <c r="BA231" t="str">
        <f>""</f>
        <v/>
      </c>
      <c r="BB231" t="str">
        <f>""</f>
        <v/>
      </c>
      <c r="BC231" t="str">
        <f>""</f>
        <v/>
      </c>
      <c r="BD231" t="str">
        <f t="shared" si="280"/>
        <v>1</v>
      </c>
      <c r="BE231" t="str">
        <f t="shared" si="280"/>
        <v>1</v>
      </c>
      <c r="BF231" t="str">
        <f t="shared" si="240"/>
        <v xml:space="preserve">3         </v>
      </c>
      <c r="BG231" t="str">
        <f t="shared" si="241"/>
        <v>Confirmado por laboratorio</v>
      </c>
      <c r="BH231" t="str">
        <f>"FUNDACION HOSPITAL DE LA MISERICORDIA"</f>
        <v>FUNDACION HOSPITAL DE LA MISERICORDIA</v>
      </c>
      <c r="BI231" t="str">
        <f t="shared" si="288"/>
        <v>COLOMBIA</v>
      </c>
      <c r="BJ231" t="str">
        <f t="shared" si="242"/>
        <v>CANCER INFANTIL</v>
      </c>
      <c r="BK231" t="str">
        <f>"BOGOTA"</f>
        <v>BOGOTA</v>
      </c>
      <c r="BL231" t="str">
        <f>"BOGOTA"</f>
        <v>BOGOTA</v>
      </c>
      <c r="BM231" t="str">
        <f t="shared" si="289"/>
        <v>COLOMBIA</v>
      </c>
      <c r="BN231" t="str">
        <f t="shared" si="290"/>
        <v>BOGOTA</v>
      </c>
      <c r="BO231" t="str">
        <f t="shared" si="290"/>
        <v>BOGOTA</v>
      </c>
      <c r="BP231" t="str">
        <f t="shared" si="290"/>
        <v>BOGOTA</v>
      </c>
      <c r="BQ231" t="str">
        <f t="shared" si="290"/>
        <v>BOGOTA</v>
      </c>
    </row>
    <row r="232" spans="1:69" x14ac:dyDescent="0.25">
      <c r="A232" t="str">
        <f>"7285446"</f>
        <v>7285446</v>
      </c>
      <c r="B232" t="str">
        <f t="shared" si="235"/>
        <v>459</v>
      </c>
      <c r="C232" t="str">
        <f>"29/04/2020 12:00:00 a. m."</f>
        <v>29/04/2020 12:00:00 a. m.</v>
      </c>
      <c r="D232" t="str">
        <f>"16"</f>
        <v>16</v>
      </c>
      <c r="E232" t="str">
        <f t="shared" si="236"/>
        <v>2020</v>
      </c>
      <c r="F232" t="str">
        <f>"5200100283"</f>
        <v>5200100283</v>
      </c>
      <c r="G232" t="str">
        <f t="shared" si="281"/>
        <v>01</v>
      </c>
      <c r="H232" t="str">
        <f>"17"</f>
        <v>17</v>
      </c>
      <c r="I232" t="str">
        <f t="shared" si="272"/>
        <v>1</v>
      </c>
      <c r="J232" t="str">
        <f>"F"</f>
        <v>F</v>
      </c>
      <c r="K232" t="str">
        <f t="shared" si="285"/>
        <v>170</v>
      </c>
      <c r="L232" t="str">
        <f>"52"</f>
        <v>52</v>
      </c>
      <c r="M232" t="str">
        <f>"621"</f>
        <v>621</v>
      </c>
      <c r="N232" t="str">
        <f>"3"</f>
        <v>3</v>
      </c>
      <c r="O232" t="str">
        <f t="shared" si="284"/>
        <v>9997</v>
      </c>
      <c r="P232" t="str">
        <f>"S"</f>
        <v>S</v>
      </c>
      <c r="Q232" t="str">
        <f>"ESS118"</f>
        <v>ESS118</v>
      </c>
      <c r="R232" t="str">
        <f t="shared" si="277"/>
        <v>6</v>
      </c>
      <c r="S232" t="str">
        <f>""</f>
        <v/>
      </c>
      <c r="T232" t="str">
        <f t="shared" si="265"/>
        <v xml:space="preserve">                                                                                                    </v>
      </c>
      <c r="U232" t="str">
        <f>"1         "</f>
        <v xml:space="preserve">1         </v>
      </c>
      <c r="V232" t="str">
        <f t="shared" si="275"/>
        <v>2</v>
      </c>
      <c r="W232" t="str">
        <f t="shared" si="275"/>
        <v>2</v>
      </c>
      <c r="X232" t="str">
        <f t="shared" si="267"/>
        <v>2</v>
      </c>
      <c r="Y232" t="str">
        <f t="shared" si="276"/>
        <v>2</v>
      </c>
      <c r="Z232" t="str">
        <f t="shared" si="276"/>
        <v>2</v>
      </c>
      <c r="AA232" t="str">
        <f t="shared" si="237"/>
        <v xml:space="preserve">          </v>
      </c>
      <c r="AB232" t="str">
        <f t="shared" si="227"/>
        <v>2</v>
      </c>
      <c r="AC232" t="str">
        <f t="shared" si="230"/>
        <v>2</v>
      </c>
      <c r="AD232" t="str">
        <f t="shared" si="278"/>
        <v>2</v>
      </c>
      <c r="AE232" t="str">
        <f t="shared" si="278"/>
        <v>2</v>
      </c>
      <c r="AF232" t="str">
        <f t="shared" si="278"/>
        <v>2</v>
      </c>
      <c r="AG232" t="str">
        <f t="shared" si="278"/>
        <v>2</v>
      </c>
      <c r="AH232" t="str">
        <f t="shared" si="268"/>
        <v>1</v>
      </c>
      <c r="AI232" t="str">
        <f t="shared" si="283"/>
        <v xml:space="preserve">1         </v>
      </c>
      <c r="AJ232" t="str">
        <f t="shared" si="286"/>
        <v>170</v>
      </c>
      <c r="AK232" t="str">
        <f>"52"</f>
        <v>52</v>
      </c>
      <c r="AL232" t="str">
        <f>"621"</f>
        <v>621</v>
      </c>
      <c r="AM232" t="str">
        <f>"52"</f>
        <v>52</v>
      </c>
      <c r="AN232" t="str">
        <f>"52001"</f>
        <v>52001</v>
      </c>
      <c r="AO232" t="str">
        <f>"16/04/2020 12:00:00 a. m."</f>
        <v>16/04/2020 12:00:00 a. m.</v>
      </c>
      <c r="AP232" t="str">
        <f>"16/02/2020 12:00:00 a. m."</f>
        <v>16/02/2020 12:00:00 a. m.</v>
      </c>
      <c r="AQ232" t="str">
        <f>"2"</f>
        <v>2</v>
      </c>
      <c r="AR232" t="str">
        <f t="shared" si="287"/>
        <v>1</v>
      </c>
      <c r="AS232" t="str">
        <f>"16/04/2020 12:00:00 a. m."</f>
        <v>16/04/2020 12:00:00 a. m.</v>
      </c>
      <c r="AT232" t="str">
        <f t="shared" ref="AT232:AT254" si="291">"1"</f>
        <v>1</v>
      </c>
      <c r="AU232" t="str">
        <f>""</f>
        <v/>
      </c>
      <c r="AV232" t="str">
        <f>"3"</f>
        <v>3</v>
      </c>
      <c r="AW232" t="str">
        <f>"2/11/2002 12:00:00 a. m."</f>
        <v>2/11/2002 12:00:00 a. m.</v>
      </c>
      <c r="AX232" t="str">
        <f>""</f>
        <v/>
      </c>
      <c r="AY232" t="str">
        <f t="shared" si="239"/>
        <v>30/04/2021 12:00:00 a. m.</v>
      </c>
      <c r="AZ232" t="str">
        <f>"15/07/2020 12:00:00 a. m."</f>
        <v>15/07/2020 12:00:00 a. m.</v>
      </c>
      <c r="BA232" t="str">
        <f>""</f>
        <v/>
      </c>
      <c r="BB232" t="str">
        <f>""</f>
        <v/>
      </c>
      <c r="BC232" t="str">
        <f>""</f>
        <v/>
      </c>
      <c r="BD232" t="str">
        <f t="shared" si="280"/>
        <v>1</v>
      </c>
      <c r="BE232" t="str">
        <f t="shared" si="280"/>
        <v>1</v>
      </c>
      <c r="BF232" t="str">
        <f t="shared" si="240"/>
        <v xml:space="preserve">3         </v>
      </c>
      <c r="BG232" t="str">
        <f t="shared" si="241"/>
        <v>Confirmado por laboratorio</v>
      </c>
      <c r="BH232" t="str">
        <f>"HOSPITAL INFANTIL LOS ANGELES"</f>
        <v>HOSPITAL INFANTIL LOS ANGELES</v>
      </c>
      <c r="BI232" t="str">
        <f t="shared" si="288"/>
        <v>COLOMBIA</v>
      </c>
      <c r="BJ232" t="str">
        <f t="shared" si="242"/>
        <v>CANCER INFANTIL</v>
      </c>
      <c r="BK232" t="str">
        <f>"NARIÑO"</f>
        <v>NARIÑO</v>
      </c>
      <c r="BL232" t="str">
        <f>"ROBERTO PAYAN (SAN JOSE)"</f>
        <v>ROBERTO PAYAN (SAN JOSE)</v>
      </c>
      <c r="BM232" t="str">
        <f t="shared" si="289"/>
        <v>COLOMBIA</v>
      </c>
      <c r="BN232" t="str">
        <f>"NARIÑO"</f>
        <v>NARIÑO</v>
      </c>
      <c r="BO232" t="str">
        <f>"ROBERTO PAYAN (SAN JOSE)"</f>
        <v>ROBERTO PAYAN (SAN JOSE)</v>
      </c>
      <c r="BP232" t="str">
        <f>"NARIÑO"</f>
        <v>NARIÑO</v>
      </c>
      <c r="BQ232" t="str">
        <f>"PASTO"</f>
        <v>PASTO</v>
      </c>
    </row>
    <row r="233" spans="1:69" x14ac:dyDescent="0.25">
      <c r="A233" t="str">
        <f>"7285433"</f>
        <v>7285433</v>
      </c>
      <c r="B233" t="str">
        <f t="shared" si="235"/>
        <v>459</v>
      </c>
      <c r="C233" t="str">
        <f>"21/10/2020 12:00:00 a. m."</f>
        <v>21/10/2020 12:00:00 a. m.</v>
      </c>
      <c r="D233" t="str">
        <f>"28"</f>
        <v>28</v>
      </c>
      <c r="E233" t="str">
        <f t="shared" si="236"/>
        <v>2020</v>
      </c>
      <c r="F233" t="str">
        <f>"0500102175"</f>
        <v>0500102175</v>
      </c>
      <c r="G233" t="str">
        <f t="shared" si="281"/>
        <v>01</v>
      </c>
      <c r="H233" t="str">
        <f>"6"</f>
        <v>6</v>
      </c>
      <c r="I233" t="str">
        <f t="shared" si="272"/>
        <v>1</v>
      </c>
      <c r="J233" t="str">
        <f>"M"</f>
        <v>M</v>
      </c>
      <c r="K233" t="str">
        <f t="shared" si="285"/>
        <v>170</v>
      </c>
      <c r="L233" t="str">
        <f>"05"</f>
        <v>05</v>
      </c>
      <c r="M233" t="str">
        <f>"664"</f>
        <v>664</v>
      </c>
      <c r="N233" t="str">
        <f>"3"</f>
        <v>3</v>
      </c>
      <c r="O233" t="str">
        <f t="shared" ref="O233:O238" si="292">"9999"</f>
        <v>9999</v>
      </c>
      <c r="P233" t="str">
        <f>"C"</f>
        <v>C</v>
      </c>
      <c r="Q233" t="str">
        <f>"EPS037"</f>
        <v>EPS037</v>
      </c>
      <c r="R233" t="str">
        <f t="shared" si="277"/>
        <v>6</v>
      </c>
      <c r="S233" t="str">
        <f>""</f>
        <v/>
      </c>
      <c r="T233" t="str">
        <f t="shared" si="265"/>
        <v xml:space="preserve">                                                                                                    </v>
      </c>
      <c r="U233" t="str">
        <f>"2         "</f>
        <v xml:space="preserve">2         </v>
      </c>
      <c r="V233" t="str">
        <f t="shared" si="275"/>
        <v>2</v>
      </c>
      <c r="W233" t="str">
        <f t="shared" si="275"/>
        <v>2</v>
      </c>
      <c r="X233" t="str">
        <f t="shared" si="267"/>
        <v>2</v>
      </c>
      <c r="Y233" t="str">
        <f t="shared" si="276"/>
        <v>2</v>
      </c>
      <c r="Z233" t="str">
        <f t="shared" si="276"/>
        <v>2</v>
      </c>
      <c r="AA233" t="str">
        <f t="shared" si="237"/>
        <v xml:space="preserve">          </v>
      </c>
      <c r="AB233" t="str">
        <f t="shared" si="227"/>
        <v>2</v>
      </c>
      <c r="AC233" t="str">
        <f t="shared" si="230"/>
        <v>2</v>
      </c>
      <c r="AD233" t="str">
        <f t="shared" si="278"/>
        <v>2</v>
      </c>
      <c r="AE233" t="str">
        <f t="shared" si="278"/>
        <v>2</v>
      </c>
      <c r="AF233" t="str">
        <f t="shared" si="278"/>
        <v>2</v>
      </c>
      <c r="AG233" t="str">
        <f t="shared" si="278"/>
        <v>2</v>
      </c>
      <c r="AH233" t="str">
        <f t="shared" si="268"/>
        <v>1</v>
      </c>
      <c r="AI233" t="str">
        <f t="shared" si="283"/>
        <v xml:space="preserve">1         </v>
      </c>
      <c r="AJ233" t="str">
        <f t="shared" si="286"/>
        <v>170</v>
      </c>
      <c r="AK233" t="str">
        <f>"05"</f>
        <v>05</v>
      </c>
      <c r="AL233" t="str">
        <f>"664"</f>
        <v>664</v>
      </c>
      <c r="AM233" t="str">
        <f>"05"</f>
        <v>05</v>
      </c>
      <c r="AN233" t="str">
        <f>"05001"</f>
        <v>05001</v>
      </c>
      <c r="AO233" t="str">
        <f>"5/07/2020 12:00:00 a. m."</f>
        <v>5/07/2020 12:00:00 a. m.</v>
      </c>
      <c r="AP233" t="str">
        <f>"30/06/2020 12:00:00 a. m."</f>
        <v>30/06/2020 12:00:00 a. m.</v>
      </c>
      <c r="AQ233" t="str">
        <f>"3"</f>
        <v>3</v>
      </c>
      <c r="AR233" t="str">
        <f t="shared" si="287"/>
        <v>1</v>
      </c>
      <c r="AS233" t="str">
        <f>"5/07/2020 12:00:00 a. m."</f>
        <v>5/07/2020 12:00:00 a. m.</v>
      </c>
      <c r="AT233" t="str">
        <f t="shared" si="291"/>
        <v>1</v>
      </c>
      <c r="AU233" t="str">
        <f>""</f>
        <v/>
      </c>
      <c r="AV233" t="str">
        <f>"3"</f>
        <v>3</v>
      </c>
      <c r="AW233" t="str">
        <f>"14/05/2014 12:00:00 a. m."</f>
        <v>14/05/2014 12:00:00 a. m.</v>
      </c>
      <c r="AX233" t="str">
        <f>""</f>
        <v/>
      </c>
      <c r="AY233" t="str">
        <f t="shared" si="239"/>
        <v>30/04/2021 12:00:00 a. m.</v>
      </c>
      <c r="AZ233" t="str">
        <f>"11/11/2020 12:00:00 a. m."</f>
        <v>11/11/2020 12:00:00 a. m.</v>
      </c>
      <c r="BA233" t="str">
        <f>""</f>
        <v/>
      </c>
      <c r="BB233" t="str">
        <f>""</f>
        <v/>
      </c>
      <c r="BC233" t="str">
        <f>""</f>
        <v/>
      </c>
      <c r="BD233" t="str">
        <f t="shared" si="280"/>
        <v>1</v>
      </c>
      <c r="BE233" t="str">
        <f t="shared" si="280"/>
        <v>1</v>
      </c>
      <c r="BF233" t="str">
        <f t="shared" si="240"/>
        <v xml:space="preserve">3         </v>
      </c>
      <c r="BG233" t="str">
        <f t="shared" si="241"/>
        <v>Confirmado por laboratorio</v>
      </c>
      <c r="BH233" t="str">
        <f>"FUNDACION HOSPITALARIA SAN VICENTE DE PAUL"</f>
        <v>FUNDACION HOSPITALARIA SAN VICENTE DE PAUL</v>
      </c>
      <c r="BI233" t="str">
        <f t="shared" si="288"/>
        <v>COLOMBIA</v>
      </c>
      <c r="BJ233" t="str">
        <f t="shared" si="242"/>
        <v>CANCER INFANTIL</v>
      </c>
      <c r="BK233" t="str">
        <f>"ANTIOQUIA"</f>
        <v>ANTIOQUIA</v>
      </c>
      <c r="BL233" t="str">
        <f>"SAN PEDRO"</f>
        <v>SAN PEDRO</v>
      </c>
      <c r="BM233" t="str">
        <f t="shared" si="289"/>
        <v>COLOMBIA</v>
      </c>
      <c r="BN233" t="str">
        <f>"ANTIOQUIA"</f>
        <v>ANTIOQUIA</v>
      </c>
      <c r="BO233" t="str">
        <f>"SAN PEDRO"</f>
        <v>SAN PEDRO</v>
      </c>
      <c r="BP233" t="str">
        <f>"ANTIOQUIA"</f>
        <v>ANTIOQUIA</v>
      </c>
      <c r="BQ233" t="str">
        <f>"MEDELLIN"</f>
        <v>MEDELLIN</v>
      </c>
    </row>
    <row r="234" spans="1:69" x14ac:dyDescent="0.25">
      <c r="A234" t="str">
        <f>"7285450"</f>
        <v>7285450</v>
      </c>
      <c r="B234" t="str">
        <f t="shared" si="235"/>
        <v>459</v>
      </c>
      <c r="C234" t="str">
        <f>"30/10/2020 12:00:00 a. m."</f>
        <v>30/10/2020 12:00:00 a. m.</v>
      </c>
      <c r="D234" t="str">
        <f>"43"</f>
        <v>43</v>
      </c>
      <c r="E234" t="str">
        <f t="shared" si="236"/>
        <v>2020</v>
      </c>
      <c r="F234" t="str">
        <f>"7600101111"</f>
        <v>7600101111</v>
      </c>
      <c r="G234" t="str">
        <f t="shared" si="281"/>
        <v>01</v>
      </c>
      <c r="H234" t="str">
        <f>"1"</f>
        <v>1</v>
      </c>
      <c r="I234" t="str">
        <f t="shared" si="272"/>
        <v>1</v>
      </c>
      <c r="J234" t="str">
        <f>"F"</f>
        <v>F</v>
      </c>
      <c r="K234" t="str">
        <f t="shared" si="285"/>
        <v>170</v>
      </c>
      <c r="L234" t="str">
        <f>"66"</f>
        <v>66</v>
      </c>
      <c r="M234" t="str">
        <f>"001"</f>
        <v>001</v>
      </c>
      <c r="N234" t="str">
        <f>"1"</f>
        <v>1</v>
      </c>
      <c r="O234" t="str">
        <f t="shared" si="292"/>
        <v>9999</v>
      </c>
      <c r="P234" t="str">
        <f>"C"</f>
        <v>C</v>
      </c>
      <c r="Q234" t="str">
        <f>"EPS002"</f>
        <v>EPS002</v>
      </c>
      <c r="R234" t="str">
        <f t="shared" si="277"/>
        <v>6</v>
      </c>
      <c r="S234" t="str">
        <f>""</f>
        <v/>
      </c>
      <c r="T234" t="str">
        <f t="shared" si="265"/>
        <v xml:space="preserve">                                                                                                    </v>
      </c>
      <c r="U234" t="str">
        <f>"3         "</f>
        <v xml:space="preserve">3         </v>
      </c>
      <c r="V234" t="str">
        <f t="shared" si="275"/>
        <v>2</v>
      </c>
      <c r="W234" t="str">
        <f t="shared" si="275"/>
        <v>2</v>
      </c>
      <c r="X234" t="str">
        <f t="shared" si="267"/>
        <v>2</v>
      </c>
      <c r="Y234" t="str">
        <f t="shared" si="276"/>
        <v>2</v>
      </c>
      <c r="Z234" t="str">
        <f t="shared" si="276"/>
        <v>2</v>
      </c>
      <c r="AA234" t="str">
        <f t="shared" si="237"/>
        <v xml:space="preserve">          </v>
      </c>
      <c r="AB234" t="str">
        <f t="shared" si="227"/>
        <v>2</v>
      </c>
      <c r="AC234" t="str">
        <f t="shared" si="230"/>
        <v>2</v>
      </c>
      <c r="AD234" t="str">
        <f t="shared" si="278"/>
        <v>2</v>
      </c>
      <c r="AE234" t="str">
        <f t="shared" si="278"/>
        <v>2</v>
      </c>
      <c r="AF234" t="str">
        <f t="shared" si="278"/>
        <v>2</v>
      </c>
      <c r="AG234" t="str">
        <f t="shared" si="278"/>
        <v>2</v>
      </c>
      <c r="AH234" t="str">
        <f t="shared" si="268"/>
        <v>1</v>
      </c>
      <c r="AI234" t="str">
        <f t="shared" si="283"/>
        <v xml:space="preserve">1         </v>
      </c>
      <c r="AJ234" t="str">
        <f t="shared" si="286"/>
        <v>170</v>
      </c>
      <c r="AK234" t="str">
        <f>"66"</f>
        <v>66</v>
      </c>
      <c r="AL234" t="str">
        <f>"001"</f>
        <v>001</v>
      </c>
      <c r="AM234" t="str">
        <f>"76"</f>
        <v>76</v>
      </c>
      <c r="AN234" t="str">
        <f>"76001"</f>
        <v>76001</v>
      </c>
      <c r="AO234" t="str">
        <f>"23/10/2020 12:00:00 a. m."</f>
        <v>23/10/2020 12:00:00 a. m.</v>
      </c>
      <c r="AP234" t="str">
        <f>"23/06/2020 12:00:00 a. m."</f>
        <v>23/06/2020 12:00:00 a. m.</v>
      </c>
      <c r="AQ234" t="str">
        <f>"3"</f>
        <v>3</v>
      </c>
      <c r="AR234" t="str">
        <f t="shared" si="287"/>
        <v>1</v>
      </c>
      <c r="AS234" t="str">
        <f>"23/10/2020 12:00:00 a. m."</f>
        <v>23/10/2020 12:00:00 a. m.</v>
      </c>
      <c r="AT234" t="str">
        <f t="shared" si="291"/>
        <v>1</v>
      </c>
      <c r="AU234" t="str">
        <f>""</f>
        <v/>
      </c>
      <c r="AV234" t="str">
        <f>"7"</f>
        <v>7</v>
      </c>
      <c r="AW234" t="str">
        <f>"28/11/2018 12:00:00 a. m."</f>
        <v>28/11/2018 12:00:00 a. m.</v>
      </c>
      <c r="AX234" t="str">
        <f>""</f>
        <v/>
      </c>
      <c r="AY234" t="str">
        <f t="shared" si="239"/>
        <v>30/04/2021 12:00:00 a. m.</v>
      </c>
      <c r="AZ234" t="str">
        <f>"23/03/2021 12:00:00 a. m."</f>
        <v>23/03/2021 12:00:00 a. m.</v>
      </c>
      <c r="BA234" t="str">
        <f>""</f>
        <v/>
      </c>
      <c r="BB234" t="str">
        <f>""</f>
        <v/>
      </c>
      <c r="BC234" t="str">
        <f>""</f>
        <v/>
      </c>
      <c r="BD234" t="str">
        <f t="shared" si="280"/>
        <v>1</v>
      </c>
      <c r="BE234" t="str">
        <f t="shared" si="280"/>
        <v>1</v>
      </c>
      <c r="BF234" t="str">
        <f t="shared" si="240"/>
        <v xml:space="preserve">3         </v>
      </c>
      <c r="BG234" t="str">
        <f t="shared" si="241"/>
        <v>Confirmado por laboratorio</v>
      </c>
      <c r="BH234" t="str">
        <f>"CENTRO MEDICO IMBANACO CMI"</f>
        <v>CENTRO MEDICO IMBANACO CMI</v>
      </c>
      <c r="BI234" t="str">
        <f t="shared" si="288"/>
        <v>COLOMBIA</v>
      </c>
      <c r="BJ234" t="str">
        <f t="shared" si="242"/>
        <v>CANCER INFANTIL</v>
      </c>
      <c r="BK234" t="str">
        <f>"RISARALDA"</f>
        <v>RISARALDA</v>
      </c>
      <c r="BL234" t="str">
        <f>"PEREIRA"</f>
        <v>PEREIRA</v>
      </c>
      <c r="BM234" t="str">
        <f t="shared" si="289"/>
        <v>COLOMBIA</v>
      </c>
      <c r="BN234" t="str">
        <f>"RISARALDA"</f>
        <v>RISARALDA</v>
      </c>
      <c r="BO234" t="str">
        <f>"PEREIRA"</f>
        <v>PEREIRA</v>
      </c>
      <c r="BP234" t="str">
        <f>"VALLE"</f>
        <v>VALLE</v>
      </c>
      <c r="BQ234" t="str">
        <f>"CALI"</f>
        <v>CALI</v>
      </c>
    </row>
    <row r="235" spans="1:69" x14ac:dyDescent="0.25">
      <c r="A235" t="str">
        <f>"7285457"</f>
        <v>7285457</v>
      </c>
      <c r="B235" t="str">
        <f t="shared" si="235"/>
        <v>459</v>
      </c>
      <c r="C235" t="str">
        <f>"27/11/2020 12:00:00 a. m."</f>
        <v>27/11/2020 12:00:00 a. m.</v>
      </c>
      <c r="D235" t="str">
        <f>"48"</f>
        <v>48</v>
      </c>
      <c r="E235" t="str">
        <f t="shared" si="236"/>
        <v>2020</v>
      </c>
      <c r="F235" t="str">
        <f>"7600103799"</f>
        <v>7600103799</v>
      </c>
      <c r="G235" t="str">
        <f t="shared" si="281"/>
        <v>01</v>
      </c>
      <c r="H235" t="str">
        <f>"10"</f>
        <v>10</v>
      </c>
      <c r="I235" t="str">
        <f t="shared" si="272"/>
        <v>1</v>
      </c>
      <c r="J235" t="str">
        <f>"M"</f>
        <v>M</v>
      </c>
      <c r="K235" t="str">
        <f t="shared" si="285"/>
        <v>170</v>
      </c>
      <c r="L235" t="str">
        <f>"17"</f>
        <v>17</v>
      </c>
      <c r="M235" t="str">
        <f>"616"</f>
        <v>616</v>
      </c>
      <c r="N235" t="str">
        <f>"1"</f>
        <v>1</v>
      </c>
      <c r="O235" t="str">
        <f t="shared" si="292"/>
        <v>9999</v>
      </c>
      <c r="P235" t="str">
        <f>"S"</f>
        <v>S</v>
      </c>
      <c r="Q235" t="str">
        <f>"ESS076"</f>
        <v>ESS076</v>
      </c>
      <c r="R235" t="str">
        <f t="shared" si="277"/>
        <v>6</v>
      </c>
      <c r="S235" t="str">
        <f>""</f>
        <v/>
      </c>
      <c r="T235" t="str">
        <f t="shared" si="265"/>
        <v xml:space="preserve">                                                                                                    </v>
      </c>
      <c r="U235" t="str">
        <f>"2         "</f>
        <v xml:space="preserve">2         </v>
      </c>
      <c r="V235" t="str">
        <f t="shared" si="275"/>
        <v>2</v>
      </c>
      <c r="W235" t="str">
        <f t="shared" si="275"/>
        <v>2</v>
      </c>
      <c r="X235" t="str">
        <f t="shared" si="267"/>
        <v>2</v>
      </c>
      <c r="Y235" t="str">
        <f t="shared" si="276"/>
        <v>2</v>
      </c>
      <c r="Z235" t="str">
        <f t="shared" si="276"/>
        <v>2</v>
      </c>
      <c r="AA235" t="str">
        <f t="shared" si="237"/>
        <v xml:space="preserve">          </v>
      </c>
      <c r="AB235" t="str">
        <f t="shared" si="227"/>
        <v>2</v>
      </c>
      <c r="AC235" t="str">
        <f t="shared" si="230"/>
        <v>2</v>
      </c>
      <c r="AD235" t="str">
        <f t="shared" si="278"/>
        <v>2</v>
      </c>
      <c r="AE235" t="str">
        <f t="shared" si="278"/>
        <v>2</v>
      </c>
      <c r="AF235" t="str">
        <f t="shared" si="278"/>
        <v>2</v>
      </c>
      <c r="AG235" t="str">
        <f t="shared" si="278"/>
        <v>2</v>
      </c>
      <c r="AH235" t="str">
        <f t="shared" si="268"/>
        <v>1</v>
      </c>
      <c r="AI235" t="str">
        <f t="shared" si="283"/>
        <v xml:space="preserve">1         </v>
      </c>
      <c r="AJ235" t="str">
        <f t="shared" si="286"/>
        <v>170</v>
      </c>
      <c r="AK235" t="str">
        <f>"17"</f>
        <v>17</v>
      </c>
      <c r="AL235" t="str">
        <f>"616"</f>
        <v>616</v>
      </c>
      <c r="AM235" t="str">
        <f>"76"</f>
        <v>76</v>
      </c>
      <c r="AN235" t="str">
        <f>"76001"</f>
        <v>76001</v>
      </c>
      <c r="AO235" t="str">
        <f>"25/11/2020 12:00:00 a. m."</f>
        <v>25/11/2020 12:00:00 a. m.</v>
      </c>
      <c r="AP235" t="str">
        <f>"1/11/2020 12:00:00 a. m."</f>
        <v>1/11/2020 12:00:00 a. m.</v>
      </c>
      <c r="AQ235" t="str">
        <f>"2"</f>
        <v>2</v>
      </c>
      <c r="AR235" t="str">
        <f t="shared" si="287"/>
        <v>1</v>
      </c>
      <c r="AS235" t="str">
        <f>"25/11/2020 12:00:00 a. m."</f>
        <v>25/11/2020 12:00:00 a. m.</v>
      </c>
      <c r="AT235" t="str">
        <f t="shared" si="291"/>
        <v>1</v>
      </c>
      <c r="AU235" t="str">
        <f>""</f>
        <v/>
      </c>
      <c r="AV235" t="str">
        <f>"3"</f>
        <v>3</v>
      </c>
      <c r="AW235" t="str">
        <f>"8/03/2010 12:00:00 a. m."</f>
        <v>8/03/2010 12:00:00 a. m.</v>
      </c>
      <c r="AX235" t="str">
        <f>""</f>
        <v/>
      </c>
      <c r="AY235" t="str">
        <f t="shared" si="239"/>
        <v>30/04/2021 12:00:00 a. m.</v>
      </c>
      <c r="AZ235" t="str">
        <f>"5/02/2021 12:00:00 a. m."</f>
        <v>5/02/2021 12:00:00 a. m.</v>
      </c>
      <c r="BA235" t="str">
        <f>""</f>
        <v/>
      </c>
      <c r="BB235" t="str">
        <f>""</f>
        <v/>
      </c>
      <c r="BC235" t="str">
        <f>""</f>
        <v/>
      </c>
      <c r="BD235" t="str">
        <f t="shared" si="280"/>
        <v>1</v>
      </c>
      <c r="BE235" t="str">
        <f t="shared" si="280"/>
        <v>1</v>
      </c>
      <c r="BF235" t="str">
        <f t="shared" si="240"/>
        <v xml:space="preserve">3         </v>
      </c>
      <c r="BG235" t="str">
        <f t="shared" si="241"/>
        <v>Confirmado por laboratorio</v>
      </c>
      <c r="BH235" t="str">
        <f>"HOSPITAL UNIVERSITARIO DEL VALLE EVARISTO GARCIA"</f>
        <v>HOSPITAL UNIVERSITARIO DEL VALLE EVARISTO GARCIA</v>
      </c>
      <c r="BI235" t="str">
        <f t="shared" si="288"/>
        <v>COLOMBIA</v>
      </c>
      <c r="BJ235" t="str">
        <f t="shared" si="242"/>
        <v>CANCER INFANTIL</v>
      </c>
      <c r="BK235" t="str">
        <f>"CALDAS"</f>
        <v>CALDAS</v>
      </c>
      <c r="BL235" t="str">
        <f>"RISARALDA"</f>
        <v>RISARALDA</v>
      </c>
      <c r="BM235" t="str">
        <f t="shared" si="289"/>
        <v>COLOMBIA</v>
      </c>
      <c r="BN235" t="str">
        <f>"CALDAS"</f>
        <v>CALDAS</v>
      </c>
      <c r="BO235" t="str">
        <f>"RISARALDA"</f>
        <v>RISARALDA</v>
      </c>
      <c r="BP235" t="str">
        <f>"VALLE"</f>
        <v>VALLE</v>
      </c>
      <c r="BQ235" t="str">
        <f>"CALI"</f>
        <v>CALI</v>
      </c>
    </row>
    <row r="236" spans="1:69" x14ac:dyDescent="0.25">
      <c r="A236" t="str">
        <f>"7285435"</f>
        <v>7285435</v>
      </c>
      <c r="B236" t="str">
        <f t="shared" si="235"/>
        <v>459</v>
      </c>
      <c r="C236" t="str">
        <f>"24/09/2020 12:00:00 a. m."</f>
        <v>24/09/2020 12:00:00 a. m.</v>
      </c>
      <c r="D236" t="str">
        <f>"35"</f>
        <v>35</v>
      </c>
      <c r="E236" t="str">
        <f t="shared" si="236"/>
        <v>2020</v>
      </c>
      <c r="F236" t="str">
        <f>"0500102175"</f>
        <v>0500102175</v>
      </c>
      <c r="G236" t="str">
        <f t="shared" si="281"/>
        <v>01</v>
      </c>
      <c r="H236" t="str">
        <f>"2"</f>
        <v>2</v>
      </c>
      <c r="I236" t="str">
        <f>"2"</f>
        <v>2</v>
      </c>
      <c r="J236" t="str">
        <f>"M"</f>
        <v>M</v>
      </c>
      <c r="K236" t="str">
        <f t="shared" si="285"/>
        <v>170</v>
      </c>
      <c r="L236" t="str">
        <f>"05"</f>
        <v>05</v>
      </c>
      <c r="M236" t="str">
        <f>"756"</f>
        <v>756</v>
      </c>
      <c r="N236" t="str">
        <f>"3"</f>
        <v>3</v>
      </c>
      <c r="O236" t="str">
        <f t="shared" si="292"/>
        <v>9999</v>
      </c>
      <c r="P236" t="str">
        <f>"S"</f>
        <v>S</v>
      </c>
      <c r="Q236" t="str">
        <f>"ESS091"</f>
        <v>ESS091</v>
      </c>
      <c r="R236" t="str">
        <f t="shared" si="277"/>
        <v>6</v>
      </c>
      <c r="S236" t="str">
        <f>""</f>
        <v/>
      </c>
      <c r="T236" t="str">
        <f t="shared" si="265"/>
        <v xml:space="preserve">                                                                                                    </v>
      </c>
      <c r="U236" t="str">
        <f>"1         "</f>
        <v xml:space="preserve">1         </v>
      </c>
      <c r="V236" t="str">
        <f t="shared" si="275"/>
        <v>2</v>
      </c>
      <c r="W236" t="str">
        <f t="shared" si="275"/>
        <v>2</v>
      </c>
      <c r="X236" t="str">
        <f t="shared" si="267"/>
        <v>2</v>
      </c>
      <c r="Y236" t="str">
        <f t="shared" si="276"/>
        <v>2</v>
      </c>
      <c r="Z236" t="str">
        <f t="shared" si="276"/>
        <v>2</v>
      </c>
      <c r="AA236" t="str">
        <f t="shared" si="237"/>
        <v xml:space="preserve">          </v>
      </c>
      <c r="AB236" t="str">
        <f t="shared" si="227"/>
        <v>2</v>
      </c>
      <c r="AC236" t="str">
        <f t="shared" si="230"/>
        <v>2</v>
      </c>
      <c r="AD236" t="str">
        <f t="shared" si="278"/>
        <v>2</v>
      </c>
      <c r="AE236" t="str">
        <f t="shared" si="278"/>
        <v>2</v>
      </c>
      <c r="AF236" t="str">
        <f t="shared" si="278"/>
        <v>2</v>
      </c>
      <c r="AG236" t="str">
        <f t="shared" si="278"/>
        <v>2</v>
      </c>
      <c r="AH236" t="str">
        <f t="shared" si="268"/>
        <v>1</v>
      </c>
      <c r="AI236" t="str">
        <f t="shared" si="283"/>
        <v xml:space="preserve">1         </v>
      </c>
      <c r="AJ236" t="str">
        <f t="shared" si="286"/>
        <v>170</v>
      </c>
      <c r="AK236" t="str">
        <f>"05"</f>
        <v>05</v>
      </c>
      <c r="AL236" t="str">
        <f>"756"</f>
        <v>756</v>
      </c>
      <c r="AM236" t="str">
        <f>"05"</f>
        <v>05</v>
      </c>
      <c r="AN236" t="str">
        <f>"05001"</f>
        <v>05001</v>
      </c>
      <c r="AO236" t="str">
        <f>"23/08/2020 12:00:00 a. m."</f>
        <v>23/08/2020 12:00:00 a. m.</v>
      </c>
      <c r="AP236" t="str">
        <f>"21/08/2020 12:00:00 a. m."</f>
        <v>21/08/2020 12:00:00 a. m.</v>
      </c>
      <c r="AQ236" t="str">
        <f>"3"</f>
        <v>3</v>
      </c>
      <c r="AR236" t="str">
        <f t="shared" si="287"/>
        <v>1</v>
      </c>
      <c r="AS236" t="str">
        <f>"24/08/2020 12:00:00 a. m."</f>
        <v>24/08/2020 12:00:00 a. m.</v>
      </c>
      <c r="AT236" t="str">
        <f t="shared" si="291"/>
        <v>1</v>
      </c>
      <c r="AU236" t="str">
        <f>""</f>
        <v/>
      </c>
      <c r="AV236" t="str">
        <f>"0"</f>
        <v>0</v>
      </c>
      <c r="AW236" t="str">
        <f>"26/06/2020 12:00:00 a. m."</f>
        <v>26/06/2020 12:00:00 a. m.</v>
      </c>
      <c r="AX236" t="str">
        <f>""</f>
        <v/>
      </c>
      <c r="AY236" t="str">
        <f t="shared" si="239"/>
        <v>30/04/2021 12:00:00 a. m.</v>
      </c>
      <c r="AZ236" t="str">
        <f>"24/09/2020 12:00:00 a. m."</f>
        <v>24/09/2020 12:00:00 a. m.</v>
      </c>
      <c r="BA236" t="str">
        <f>""</f>
        <v/>
      </c>
      <c r="BB236" t="str">
        <f>""</f>
        <v/>
      </c>
      <c r="BC236" t="str">
        <f>""</f>
        <v/>
      </c>
      <c r="BD236" t="str">
        <f t="shared" si="280"/>
        <v>1</v>
      </c>
      <c r="BE236" t="str">
        <f t="shared" si="280"/>
        <v>1</v>
      </c>
      <c r="BF236" t="str">
        <f t="shared" si="240"/>
        <v xml:space="preserve">3         </v>
      </c>
      <c r="BG236" t="str">
        <f t="shared" si="241"/>
        <v>Confirmado por laboratorio</v>
      </c>
      <c r="BH236" t="str">
        <f>"FUNDACION HOSPITALARIA SAN VICENTE DE PAUL"</f>
        <v>FUNDACION HOSPITALARIA SAN VICENTE DE PAUL</v>
      </c>
      <c r="BI236" t="str">
        <f t="shared" si="288"/>
        <v>COLOMBIA</v>
      </c>
      <c r="BJ236" t="str">
        <f t="shared" si="242"/>
        <v>CANCER INFANTIL</v>
      </c>
      <c r="BK236" t="str">
        <f>"ANTIOQUIA"</f>
        <v>ANTIOQUIA</v>
      </c>
      <c r="BL236" t="str">
        <f>"SONSON"</f>
        <v>SONSON</v>
      </c>
      <c r="BM236" t="str">
        <f t="shared" si="289"/>
        <v>COLOMBIA</v>
      </c>
      <c r="BN236" t="str">
        <f>"ANTIOQUIA"</f>
        <v>ANTIOQUIA</v>
      </c>
      <c r="BO236" t="str">
        <f>"SONSON"</f>
        <v>SONSON</v>
      </c>
      <c r="BP236" t="str">
        <f>"ANTIOQUIA"</f>
        <v>ANTIOQUIA</v>
      </c>
      <c r="BQ236" t="str">
        <f>"MEDELLIN"</f>
        <v>MEDELLIN</v>
      </c>
    </row>
    <row r="237" spans="1:69" x14ac:dyDescent="0.25">
      <c r="A237" t="str">
        <f>"7285461"</f>
        <v>7285461</v>
      </c>
      <c r="B237" t="str">
        <f t="shared" si="235"/>
        <v>459</v>
      </c>
      <c r="C237" t="str">
        <f>"3/01/2021 12:00:00 a. m."</f>
        <v>3/01/2021 12:00:00 a. m.</v>
      </c>
      <c r="D237" t="str">
        <f>"52"</f>
        <v>52</v>
      </c>
      <c r="E237" t="str">
        <f t="shared" si="236"/>
        <v>2020</v>
      </c>
      <c r="F237" t="str">
        <f>"6600100217"</f>
        <v>6600100217</v>
      </c>
      <c r="G237" t="str">
        <f>"10"</f>
        <v>10</v>
      </c>
      <c r="H237" t="str">
        <f>"1"</f>
        <v>1</v>
      </c>
      <c r="I237" t="str">
        <f>"2"</f>
        <v>2</v>
      </c>
      <c r="J237" t="str">
        <f>"M"</f>
        <v>M</v>
      </c>
      <c r="K237" t="str">
        <f t="shared" si="285"/>
        <v>170</v>
      </c>
      <c r="L237" t="str">
        <f>"63"</f>
        <v>63</v>
      </c>
      <c r="M237" t="str">
        <f>"001"</f>
        <v>001</v>
      </c>
      <c r="N237" t="str">
        <f>"2"</f>
        <v>2</v>
      </c>
      <c r="O237" t="str">
        <f t="shared" si="292"/>
        <v>9999</v>
      </c>
      <c r="P237" t="str">
        <f>"C"</f>
        <v>C</v>
      </c>
      <c r="Q237" t="str">
        <f>"EPS005"</f>
        <v>EPS005</v>
      </c>
      <c r="R237" t="str">
        <f t="shared" si="277"/>
        <v>6</v>
      </c>
      <c r="S237" t="str">
        <f>""</f>
        <v/>
      </c>
      <c r="T237" t="str">
        <f t="shared" si="265"/>
        <v xml:space="preserve">                                                                                                    </v>
      </c>
      <c r="U237" t="str">
        <f>"2         "</f>
        <v xml:space="preserve">2         </v>
      </c>
      <c r="V237" t="str">
        <f t="shared" si="275"/>
        <v>2</v>
      </c>
      <c r="W237" t="str">
        <f t="shared" si="275"/>
        <v>2</v>
      </c>
      <c r="X237" t="str">
        <f t="shared" si="267"/>
        <v>2</v>
      </c>
      <c r="Y237" t="str">
        <f t="shared" si="276"/>
        <v>2</v>
      </c>
      <c r="Z237" t="str">
        <f t="shared" si="276"/>
        <v>2</v>
      </c>
      <c r="AA237" t="str">
        <f t="shared" si="237"/>
        <v xml:space="preserve">          </v>
      </c>
      <c r="AB237" t="str">
        <f t="shared" si="227"/>
        <v>2</v>
      </c>
      <c r="AC237" t="str">
        <f t="shared" si="230"/>
        <v>2</v>
      </c>
      <c r="AD237" t="str">
        <f t="shared" si="278"/>
        <v>2</v>
      </c>
      <c r="AE237" t="str">
        <f t="shared" si="278"/>
        <v>2</v>
      </c>
      <c r="AF237" t="str">
        <f t="shared" si="278"/>
        <v>2</v>
      </c>
      <c r="AG237" t="str">
        <f t="shared" si="278"/>
        <v>2</v>
      </c>
      <c r="AH237" t="str">
        <f t="shared" si="268"/>
        <v>1</v>
      </c>
      <c r="AI237" t="str">
        <f t="shared" si="283"/>
        <v xml:space="preserve">1         </v>
      </c>
      <c r="AJ237" t="str">
        <f t="shared" si="286"/>
        <v>170</v>
      </c>
      <c r="AK237" t="str">
        <f>"63"</f>
        <v>63</v>
      </c>
      <c r="AL237" t="str">
        <f>"001"</f>
        <v>001</v>
      </c>
      <c r="AM237" t="str">
        <f>"66"</f>
        <v>66</v>
      </c>
      <c r="AN237" t="str">
        <f>"66001"</f>
        <v>66001</v>
      </c>
      <c r="AO237" t="str">
        <f>"22/12/2020 12:00:00 a. m."</f>
        <v>22/12/2020 12:00:00 a. m.</v>
      </c>
      <c r="AP237" t="str">
        <f>"1/12/2020 12:00:00 a. m."</f>
        <v>1/12/2020 12:00:00 a. m.</v>
      </c>
      <c r="AQ237" t="str">
        <f>"2"</f>
        <v>2</v>
      </c>
      <c r="AR237" t="str">
        <f t="shared" si="287"/>
        <v>1</v>
      </c>
      <c r="AS237" t="str">
        <f>"22/12/2020 12:00:00 a. m."</f>
        <v>22/12/2020 12:00:00 a. m.</v>
      </c>
      <c r="AT237" t="str">
        <f t="shared" si="291"/>
        <v>1</v>
      </c>
      <c r="AU237" t="str">
        <f>""</f>
        <v/>
      </c>
      <c r="AV237" t="str">
        <f>"3"</f>
        <v>3</v>
      </c>
      <c r="AW237" t="str">
        <f>"10/11/2020 12:00:00 a. m."</f>
        <v>10/11/2020 12:00:00 a. m.</v>
      </c>
      <c r="AX237" t="str">
        <f>""</f>
        <v/>
      </c>
      <c r="AY237" t="str">
        <f t="shared" si="239"/>
        <v>30/04/2021 12:00:00 a. m.</v>
      </c>
      <c r="AZ237" t="str">
        <f>"6/04/2021 12:00:00 a. m."</f>
        <v>6/04/2021 12:00:00 a. m.</v>
      </c>
      <c r="BA237" t="str">
        <f>""</f>
        <v/>
      </c>
      <c r="BB237" t="str">
        <f>""</f>
        <v/>
      </c>
      <c r="BC237" t="str">
        <f>""</f>
        <v/>
      </c>
      <c r="BD237" t="str">
        <f t="shared" si="280"/>
        <v>1</v>
      </c>
      <c r="BE237" t="str">
        <f t="shared" si="280"/>
        <v>1</v>
      </c>
      <c r="BF237" t="str">
        <f t="shared" si="240"/>
        <v xml:space="preserve">3         </v>
      </c>
      <c r="BG237" t="str">
        <f t="shared" si="241"/>
        <v>Confirmado por laboratorio</v>
      </c>
      <c r="BH237" t="str">
        <f>"COMFAMILIAR RISARALDA CLINICA COMFAMILIAR"</f>
        <v>COMFAMILIAR RISARALDA CLINICA COMFAMILIAR</v>
      </c>
      <c r="BI237" t="str">
        <f t="shared" si="288"/>
        <v>COLOMBIA</v>
      </c>
      <c r="BJ237" t="str">
        <f t="shared" si="242"/>
        <v>CANCER INFANTIL</v>
      </c>
      <c r="BK237" t="str">
        <f>"QUINDIO"</f>
        <v>QUINDIO</v>
      </c>
      <c r="BL237" t="str">
        <f>"ARMENIA"</f>
        <v>ARMENIA</v>
      </c>
      <c r="BM237" t="str">
        <f t="shared" si="289"/>
        <v>COLOMBIA</v>
      </c>
      <c r="BN237" t="str">
        <f>"QUINDIO"</f>
        <v>QUINDIO</v>
      </c>
      <c r="BO237" t="str">
        <f>"ARMENIA"</f>
        <v>ARMENIA</v>
      </c>
      <c r="BP237" t="str">
        <f>"RISARALDA"</f>
        <v>RISARALDA</v>
      </c>
      <c r="BQ237" t="str">
        <f>"PEREIRA"</f>
        <v>PEREIRA</v>
      </c>
    </row>
    <row r="238" spans="1:69" x14ac:dyDescent="0.25">
      <c r="A238" t="str">
        <f>"7285881"</f>
        <v>7285881</v>
      </c>
      <c r="B238" t="str">
        <f t="shared" si="235"/>
        <v>459</v>
      </c>
      <c r="C238" t="str">
        <f>"2/05/2020 12:00:00 a. m."</f>
        <v>2/05/2020 12:00:00 a. m.</v>
      </c>
      <c r="D238" t="str">
        <f>"11"</f>
        <v>11</v>
      </c>
      <c r="E238" t="str">
        <f t="shared" si="236"/>
        <v>2020</v>
      </c>
      <c r="F238" t="str">
        <f>"1300100568"</f>
        <v>1300100568</v>
      </c>
      <c r="G238" t="str">
        <f t="shared" ref="G238:G255" si="293">"01"</f>
        <v>01</v>
      </c>
      <c r="H238" t="str">
        <f>"13"</f>
        <v>13</v>
      </c>
      <c r="I238" t="str">
        <f t="shared" ref="I238:I271" si="294">"1"</f>
        <v>1</v>
      </c>
      <c r="J238" t="str">
        <f>"M"</f>
        <v>M</v>
      </c>
      <c r="K238" t="str">
        <f t="shared" si="285"/>
        <v>170</v>
      </c>
      <c r="L238" t="str">
        <f>"13"</f>
        <v>13</v>
      </c>
      <c r="M238" t="str">
        <f>"468"</f>
        <v>468</v>
      </c>
      <c r="N238" t="str">
        <f>"1"</f>
        <v>1</v>
      </c>
      <c r="O238" t="str">
        <f t="shared" si="292"/>
        <v>9999</v>
      </c>
      <c r="P238" t="str">
        <f>"S"</f>
        <v>S</v>
      </c>
      <c r="Q238" t="str">
        <f>"ESS207"</f>
        <v>ESS207</v>
      </c>
      <c r="R238" t="str">
        <f t="shared" si="277"/>
        <v>6</v>
      </c>
      <c r="S238" t="str">
        <f>""</f>
        <v/>
      </c>
      <c r="T238" t="str">
        <f t="shared" si="265"/>
        <v xml:space="preserve">                                                                                                    </v>
      </c>
      <c r="U238" t="str">
        <f>"2         "</f>
        <v xml:space="preserve">2         </v>
      </c>
      <c r="V238" t="str">
        <f t="shared" si="275"/>
        <v>2</v>
      </c>
      <c r="W238" t="str">
        <f t="shared" si="275"/>
        <v>2</v>
      </c>
      <c r="X238" t="str">
        <f t="shared" si="267"/>
        <v>2</v>
      </c>
      <c r="Y238" t="str">
        <f t="shared" si="276"/>
        <v>2</v>
      </c>
      <c r="Z238" t="str">
        <f t="shared" si="276"/>
        <v>2</v>
      </c>
      <c r="AA238" t="str">
        <f t="shared" si="237"/>
        <v xml:space="preserve">          </v>
      </c>
      <c r="AB238" t="str">
        <f t="shared" si="227"/>
        <v>2</v>
      </c>
      <c r="AC238" t="str">
        <f t="shared" si="230"/>
        <v>2</v>
      </c>
      <c r="AD238" t="str">
        <f t="shared" si="278"/>
        <v>2</v>
      </c>
      <c r="AE238" t="str">
        <f t="shared" si="278"/>
        <v>2</v>
      </c>
      <c r="AF238" t="str">
        <f t="shared" si="278"/>
        <v>2</v>
      </c>
      <c r="AG238" t="str">
        <f t="shared" si="278"/>
        <v>2</v>
      </c>
      <c r="AH238" t="str">
        <f t="shared" si="268"/>
        <v>1</v>
      </c>
      <c r="AI238" t="str">
        <f t="shared" si="283"/>
        <v xml:space="preserve">1         </v>
      </c>
      <c r="AJ238" t="str">
        <f t="shared" si="286"/>
        <v>170</v>
      </c>
      <c r="AK238" t="str">
        <f>"13"</f>
        <v>13</v>
      </c>
      <c r="AL238" t="str">
        <f>"468"</f>
        <v>468</v>
      </c>
      <c r="AM238" t="str">
        <f>"13"</f>
        <v>13</v>
      </c>
      <c r="AN238" t="str">
        <f>"13001"</f>
        <v>13001</v>
      </c>
      <c r="AO238" t="str">
        <f>"13/03/2020 12:00:00 a. m."</f>
        <v>13/03/2020 12:00:00 a. m.</v>
      </c>
      <c r="AP238" t="str">
        <f>"15/01/2019 12:00:00 a. m."</f>
        <v>15/01/2019 12:00:00 a. m.</v>
      </c>
      <c r="AQ238" t="str">
        <f>"3"</f>
        <v>3</v>
      </c>
      <c r="AR238" t="str">
        <f t="shared" si="287"/>
        <v>1</v>
      </c>
      <c r="AS238" t="str">
        <f>"13/03/2020 12:00:00 a. m."</f>
        <v>13/03/2020 12:00:00 a. m.</v>
      </c>
      <c r="AT238" t="str">
        <f t="shared" si="291"/>
        <v>1</v>
      </c>
      <c r="AU238" t="str">
        <f>""</f>
        <v/>
      </c>
      <c r="AV238" t="str">
        <f>"0"</f>
        <v>0</v>
      </c>
      <c r="AW238" t="str">
        <f>"9/07/2006 12:00:00 a. m."</f>
        <v>9/07/2006 12:00:00 a. m.</v>
      </c>
      <c r="AX238" t="str">
        <f>""</f>
        <v/>
      </c>
      <c r="AY238" t="str">
        <f t="shared" si="239"/>
        <v>30/04/2021 12:00:00 a. m.</v>
      </c>
      <c r="AZ238" t="str">
        <f>"4/05/2020 12:00:00 a. m."</f>
        <v>4/05/2020 12:00:00 a. m.</v>
      </c>
      <c r="BA238" t="str">
        <f>""</f>
        <v/>
      </c>
      <c r="BB238" t="str">
        <f>""</f>
        <v/>
      </c>
      <c r="BC238" t="str">
        <f>""</f>
        <v/>
      </c>
      <c r="BD238" t="str">
        <f t="shared" si="280"/>
        <v>1</v>
      </c>
      <c r="BE238" t="str">
        <f t="shared" si="280"/>
        <v>1</v>
      </c>
      <c r="BF238" t="str">
        <f t="shared" si="240"/>
        <v xml:space="preserve">3         </v>
      </c>
      <c r="BG238" t="str">
        <f t="shared" si="241"/>
        <v>Confirmado por laboratorio</v>
      </c>
      <c r="BH238" t="str">
        <f>"CLINICA BLAS DE LEZO S.A."</f>
        <v>CLINICA BLAS DE LEZO S.A.</v>
      </c>
      <c r="BI238" t="str">
        <f t="shared" si="288"/>
        <v>COLOMBIA</v>
      </c>
      <c r="BJ238" t="str">
        <f t="shared" si="242"/>
        <v>CANCER INFANTIL</v>
      </c>
      <c r="BK238" t="str">
        <f>"BOLIVAR"</f>
        <v>BOLIVAR</v>
      </c>
      <c r="BL238" t="str">
        <f>"MOMPOS"</f>
        <v>MOMPOS</v>
      </c>
      <c r="BM238" t="str">
        <f t="shared" si="289"/>
        <v>COLOMBIA</v>
      </c>
      <c r="BN238" t="str">
        <f>"BOLIVAR"</f>
        <v>BOLIVAR</v>
      </c>
      <c r="BO238" t="str">
        <f>"MOMPOS"</f>
        <v>MOMPOS</v>
      </c>
      <c r="BP238" t="str">
        <f>"BOLIVAR"</f>
        <v>BOLIVAR</v>
      </c>
      <c r="BQ238" t="str">
        <f>"CARTAGENA"</f>
        <v>CARTAGENA</v>
      </c>
    </row>
    <row r="239" spans="1:69" x14ac:dyDescent="0.25">
      <c r="A239" t="str">
        <f>"7285768"</f>
        <v>7285768</v>
      </c>
      <c r="B239" t="str">
        <f t="shared" si="235"/>
        <v>459</v>
      </c>
      <c r="C239" t="str">
        <f>"14/01/2021 12:00:00 a. m."</f>
        <v>14/01/2021 12:00:00 a. m.</v>
      </c>
      <c r="D239" t="str">
        <f>"51"</f>
        <v>51</v>
      </c>
      <c r="E239" t="str">
        <f t="shared" si="236"/>
        <v>2020</v>
      </c>
      <c r="F239" t="str">
        <f>"7600103799"</f>
        <v>7600103799</v>
      </c>
      <c r="G239" t="str">
        <f t="shared" si="293"/>
        <v>01</v>
      </c>
      <c r="H239" t="str">
        <f>"15"</f>
        <v>15</v>
      </c>
      <c r="I239" t="str">
        <f t="shared" si="294"/>
        <v>1</v>
      </c>
      <c r="J239" t="str">
        <f>"F"</f>
        <v>F</v>
      </c>
      <c r="K239" t="str">
        <f t="shared" si="285"/>
        <v>170</v>
      </c>
      <c r="L239" t="str">
        <f>"76"</f>
        <v>76</v>
      </c>
      <c r="M239" t="str">
        <f>"892"</f>
        <v>892</v>
      </c>
      <c r="N239" t="str">
        <f>"1"</f>
        <v>1</v>
      </c>
      <c r="O239" t="str">
        <f>"9997"</f>
        <v>9997</v>
      </c>
      <c r="P239" t="str">
        <f>"S"</f>
        <v>S</v>
      </c>
      <c r="Q239" t="str">
        <f>"ESS024"</f>
        <v>ESS024</v>
      </c>
      <c r="R239" t="str">
        <f t="shared" si="277"/>
        <v>6</v>
      </c>
      <c r="S239" t="str">
        <f>""</f>
        <v/>
      </c>
      <c r="T239" t="str">
        <f t="shared" si="265"/>
        <v xml:space="preserve">                                                                                                    </v>
      </c>
      <c r="U239" t="str">
        <f>"2         "</f>
        <v xml:space="preserve">2         </v>
      </c>
      <c r="V239" t="str">
        <f t="shared" si="275"/>
        <v>2</v>
      </c>
      <c r="W239" t="str">
        <f t="shared" si="275"/>
        <v>2</v>
      </c>
      <c r="X239" t="str">
        <f t="shared" si="267"/>
        <v>2</v>
      </c>
      <c r="Y239" t="str">
        <f t="shared" ref="Y239:Z258" si="295">"2"</f>
        <v>2</v>
      </c>
      <c r="Z239" t="str">
        <f t="shared" si="295"/>
        <v>2</v>
      </c>
      <c r="AA239" t="str">
        <f t="shared" si="237"/>
        <v xml:space="preserve">          </v>
      </c>
      <c r="AB239" t="str">
        <f t="shared" si="227"/>
        <v>2</v>
      </c>
      <c r="AC239" t="str">
        <f t="shared" si="230"/>
        <v>2</v>
      </c>
      <c r="AD239" t="str">
        <f t="shared" si="278"/>
        <v>2</v>
      </c>
      <c r="AE239" t="str">
        <f t="shared" si="278"/>
        <v>2</v>
      </c>
      <c r="AF239" t="str">
        <f t="shared" si="278"/>
        <v>2</v>
      </c>
      <c r="AG239" t="str">
        <f t="shared" si="278"/>
        <v>2</v>
      </c>
      <c r="AH239" t="str">
        <f t="shared" si="268"/>
        <v>1</v>
      </c>
      <c r="AI239" t="str">
        <f t="shared" si="283"/>
        <v xml:space="preserve">1         </v>
      </c>
      <c r="AJ239" t="str">
        <f t="shared" si="286"/>
        <v>170</v>
      </c>
      <c r="AK239" t="str">
        <f>"76"</f>
        <v>76</v>
      </c>
      <c r="AL239" t="str">
        <f>"892"</f>
        <v>892</v>
      </c>
      <c r="AM239" t="str">
        <f>"76"</f>
        <v>76</v>
      </c>
      <c r="AN239" t="str">
        <f>"76001"</f>
        <v>76001</v>
      </c>
      <c r="AO239" t="str">
        <f>"17/12/2020 12:00:00 a. m."</f>
        <v>17/12/2020 12:00:00 a. m.</v>
      </c>
      <c r="AP239" t="str">
        <f>"26/11/2020 12:00:00 a. m."</f>
        <v>26/11/2020 12:00:00 a. m.</v>
      </c>
      <c r="AQ239" t="str">
        <f>"2"</f>
        <v>2</v>
      </c>
      <c r="AR239" t="str">
        <f t="shared" si="287"/>
        <v>1</v>
      </c>
      <c r="AS239" t="str">
        <f>"17/12/2020 12:00:00 a. m."</f>
        <v>17/12/2020 12:00:00 a. m.</v>
      </c>
      <c r="AT239" t="str">
        <f t="shared" si="291"/>
        <v>1</v>
      </c>
      <c r="AU239" t="str">
        <f>""</f>
        <v/>
      </c>
      <c r="AV239" t="str">
        <f>"3"</f>
        <v>3</v>
      </c>
      <c r="AW239" t="str">
        <f>"8/07/2005 12:00:00 a. m."</f>
        <v>8/07/2005 12:00:00 a. m.</v>
      </c>
      <c r="AX239" t="str">
        <f>""</f>
        <v/>
      </c>
      <c r="AY239" t="str">
        <f t="shared" si="239"/>
        <v>30/04/2021 12:00:00 a. m.</v>
      </c>
      <c r="AZ239" t="str">
        <f>"14/03/2021 12:00:00 a. m."</f>
        <v>14/03/2021 12:00:00 a. m.</v>
      </c>
      <c r="BA239" t="str">
        <f>""</f>
        <v/>
      </c>
      <c r="BB239" t="str">
        <f>""</f>
        <v/>
      </c>
      <c r="BC239" t="str">
        <f>""</f>
        <v/>
      </c>
      <c r="BD239" t="str">
        <f t="shared" si="280"/>
        <v>1</v>
      </c>
      <c r="BE239" t="str">
        <f t="shared" si="280"/>
        <v>1</v>
      </c>
      <c r="BF239" t="str">
        <f t="shared" si="240"/>
        <v xml:space="preserve">3         </v>
      </c>
      <c r="BG239" t="str">
        <f t="shared" si="241"/>
        <v>Confirmado por laboratorio</v>
      </c>
      <c r="BH239" t="str">
        <f>"HOSPITAL UNIVERSITARIO DEL VALLE EVARISTO GARCIA"</f>
        <v>HOSPITAL UNIVERSITARIO DEL VALLE EVARISTO GARCIA</v>
      </c>
      <c r="BI239" t="str">
        <f t="shared" si="288"/>
        <v>COLOMBIA</v>
      </c>
      <c r="BJ239" t="str">
        <f t="shared" si="242"/>
        <v>CANCER INFANTIL</v>
      </c>
      <c r="BK239" t="str">
        <f>"VALLE"</f>
        <v>VALLE</v>
      </c>
      <c r="BL239" t="str">
        <f>"YUMBO"</f>
        <v>YUMBO</v>
      </c>
      <c r="BM239" t="str">
        <f t="shared" si="289"/>
        <v>COLOMBIA</v>
      </c>
      <c r="BN239" t="str">
        <f>"VALLE"</f>
        <v>VALLE</v>
      </c>
      <c r="BO239" t="str">
        <f>"YUMBO"</f>
        <v>YUMBO</v>
      </c>
      <c r="BP239" t="str">
        <f>"VALLE"</f>
        <v>VALLE</v>
      </c>
      <c r="BQ239" t="str">
        <f>"CALI"</f>
        <v>CALI</v>
      </c>
    </row>
    <row r="240" spans="1:69" x14ac:dyDescent="0.25">
      <c r="A240" t="str">
        <f>"7285775"</f>
        <v>7285775</v>
      </c>
      <c r="B240" t="str">
        <f t="shared" si="235"/>
        <v>459</v>
      </c>
      <c r="C240" t="str">
        <f>"31/01/2020 12:00:00 a. m."</f>
        <v>31/01/2020 12:00:00 a. m.</v>
      </c>
      <c r="D240" t="str">
        <f>"04"</f>
        <v>04</v>
      </c>
      <c r="E240" t="str">
        <f t="shared" si="236"/>
        <v>2020</v>
      </c>
      <c r="F240" t="str">
        <f>"7600103799"</f>
        <v>7600103799</v>
      </c>
      <c r="G240" t="str">
        <f t="shared" si="293"/>
        <v>01</v>
      </c>
      <c r="H240" t="str">
        <f>"4"</f>
        <v>4</v>
      </c>
      <c r="I240" t="str">
        <f t="shared" si="294"/>
        <v>1</v>
      </c>
      <c r="J240" t="str">
        <f>"M"</f>
        <v>M</v>
      </c>
      <c r="K240" t="str">
        <f t="shared" si="285"/>
        <v>170</v>
      </c>
      <c r="L240" t="str">
        <f>"76"</f>
        <v>76</v>
      </c>
      <c r="M240" t="str">
        <f>"364"</f>
        <v>364</v>
      </c>
      <c r="N240" t="str">
        <f>"1"</f>
        <v>1</v>
      </c>
      <c r="O240" t="str">
        <f>"9999"</f>
        <v>9999</v>
      </c>
      <c r="P240" t="str">
        <f>"N"</f>
        <v>N</v>
      </c>
      <c r="Q240" t="str">
        <f>""</f>
        <v/>
      </c>
      <c r="R240" t="str">
        <f t="shared" si="277"/>
        <v>6</v>
      </c>
      <c r="S240" t="str">
        <f>""</f>
        <v/>
      </c>
      <c r="T240" t="str">
        <f t="shared" si="265"/>
        <v xml:space="preserve">                                                                                                    </v>
      </c>
      <c r="U240" t="str">
        <f>"          "</f>
        <v xml:space="preserve">          </v>
      </c>
      <c r="V240" t="str">
        <f t="shared" si="275"/>
        <v>2</v>
      </c>
      <c r="W240" t="str">
        <f t="shared" si="275"/>
        <v>2</v>
      </c>
      <c r="X240" t="str">
        <f t="shared" si="267"/>
        <v>2</v>
      </c>
      <c r="Y240" t="str">
        <f t="shared" si="295"/>
        <v>2</v>
      </c>
      <c r="Z240" t="str">
        <f t="shared" si="295"/>
        <v>2</v>
      </c>
      <c r="AA240" t="str">
        <f t="shared" si="237"/>
        <v xml:space="preserve">          </v>
      </c>
      <c r="AB240" t="str">
        <f t="shared" si="227"/>
        <v>2</v>
      </c>
      <c r="AC240" t="str">
        <f t="shared" si="230"/>
        <v>2</v>
      </c>
      <c r="AD240" t="str">
        <f t="shared" ref="AD240:AG259" si="296">"2"</f>
        <v>2</v>
      </c>
      <c r="AE240" t="str">
        <f t="shared" si="296"/>
        <v>2</v>
      </c>
      <c r="AF240" t="str">
        <f t="shared" si="296"/>
        <v>2</v>
      </c>
      <c r="AG240" t="str">
        <f t="shared" si="296"/>
        <v>2</v>
      </c>
      <c r="AH240" t="str">
        <f t="shared" si="268"/>
        <v>1</v>
      </c>
      <c r="AI240" t="str">
        <f t="shared" si="283"/>
        <v xml:space="preserve">1         </v>
      </c>
      <c r="AJ240" t="str">
        <f t="shared" si="286"/>
        <v>170</v>
      </c>
      <c r="AK240" t="str">
        <f>"76"</f>
        <v>76</v>
      </c>
      <c r="AL240" t="str">
        <f>"364"</f>
        <v>364</v>
      </c>
      <c r="AM240" t="str">
        <f>"76"</f>
        <v>76</v>
      </c>
      <c r="AN240" t="str">
        <f>"76001"</f>
        <v>76001</v>
      </c>
      <c r="AO240" t="str">
        <f>"22/01/2020 12:00:00 a. m."</f>
        <v>22/01/2020 12:00:00 a. m.</v>
      </c>
      <c r="AP240" t="str">
        <f>"1/01/2020 12:00:00 a. m."</f>
        <v>1/01/2020 12:00:00 a. m.</v>
      </c>
      <c r="AQ240" t="str">
        <f>"2"</f>
        <v>2</v>
      </c>
      <c r="AR240" t="str">
        <f t="shared" si="287"/>
        <v>1</v>
      </c>
      <c r="AS240" t="str">
        <f>"22/01/2020 12:00:00 a. m."</f>
        <v>22/01/2020 12:00:00 a. m.</v>
      </c>
      <c r="AT240" t="str">
        <f t="shared" si="291"/>
        <v>1</v>
      </c>
      <c r="AU240" t="str">
        <f>""</f>
        <v/>
      </c>
      <c r="AV240" t="str">
        <f>"3"</f>
        <v>3</v>
      </c>
      <c r="AW240" t="str">
        <f>"8/10/2015 12:00:00 a. m."</f>
        <v>8/10/2015 12:00:00 a. m.</v>
      </c>
      <c r="AX240" t="str">
        <f>""</f>
        <v/>
      </c>
      <c r="AY240" t="str">
        <f t="shared" si="239"/>
        <v>30/04/2021 12:00:00 a. m.</v>
      </c>
      <c r="AZ240" t="str">
        <f>"25/03/2020 12:00:00 a. m."</f>
        <v>25/03/2020 12:00:00 a. m.</v>
      </c>
      <c r="BA240" t="str">
        <f>""</f>
        <v/>
      </c>
      <c r="BB240" t="str">
        <f>""</f>
        <v/>
      </c>
      <c r="BC240" t="str">
        <f>""</f>
        <v/>
      </c>
      <c r="BD240" t="str">
        <f t="shared" si="280"/>
        <v>1</v>
      </c>
      <c r="BE240" t="str">
        <f t="shared" si="280"/>
        <v>1</v>
      </c>
      <c r="BF240" t="str">
        <f t="shared" si="240"/>
        <v xml:space="preserve">3         </v>
      </c>
      <c r="BG240" t="str">
        <f t="shared" si="241"/>
        <v>Confirmado por laboratorio</v>
      </c>
      <c r="BH240" t="str">
        <f>"HOSPITAL UNIVERSITARIO DEL VALLE EVARISTO GARCIA"</f>
        <v>HOSPITAL UNIVERSITARIO DEL VALLE EVARISTO GARCIA</v>
      </c>
      <c r="BI240" t="str">
        <f t="shared" si="288"/>
        <v>COLOMBIA</v>
      </c>
      <c r="BJ240" t="str">
        <f t="shared" si="242"/>
        <v>CANCER INFANTIL</v>
      </c>
      <c r="BK240" t="str">
        <f>"VALLE"</f>
        <v>VALLE</v>
      </c>
      <c r="BL240" t="str">
        <f>"JAMUNDI"</f>
        <v>JAMUNDI</v>
      </c>
      <c r="BM240" t="str">
        <f t="shared" si="289"/>
        <v>COLOMBIA</v>
      </c>
      <c r="BN240" t="str">
        <f>"VALLE"</f>
        <v>VALLE</v>
      </c>
      <c r="BO240" t="str">
        <f>"JAMUNDI"</f>
        <v>JAMUNDI</v>
      </c>
      <c r="BP240" t="str">
        <f>"VALLE"</f>
        <v>VALLE</v>
      </c>
      <c r="BQ240" t="str">
        <f>"CALI"</f>
        <v>CALI</v>
      </c>
    </row>
    <row r="241" spans="1:69" x14ac:dyDescent="0.25">
      <c r="A241" t="str">
        <f>"7279223"</f>
        <v>7279223</v>
      </c>
      <c r="B241" t="str">
        <f t="shared" si="235"/>
        <v>459</v>
      </c>
      <c r="C241" t="str">
        <f>"3/09/2020 12:00:00 a. m."</f>
        <v>3/09/2020 12:00:00 a. m.</v>
      </c>
      <c r="D241" t="str">
        <f>"34"</f>
        <v>34</v>
      </c>
      <c r="E241" t="str">
        <f t="shared" si="236"/>
        <v>2020</v>
      </c>
      <c r="F241" t="str">
        <f>"7600103066"</f>
        <v>7600103066</v>
      </c>
      <c r="G241" t="str">
        <f t="shared" si="293"/>
        <v>01</v>
      </c>
      <c r="H241" t="str">
        <f>"15"</f>
        <v>15</v>
      </c>
      <c r="I241" t="str">
        <f t="shared" si="294"/>
        <v>1</v>
      </c>
      <c r="J241" t="str">
        <f>"M"</f>
        <v>M</v>
      </c>
      <c r="K241" t="str">
        <f t="shared" si="285"/>
        <v>170</v>
      </c>
      <c r="L241" t="str">
        <f>"19"</f>
        <v>19</v>
      </c>
      <c r="M241" t="str">
        <f>"473"</f>
        <v>473</v>
      </c>
      <c r="N241" t="str">
        <f>"3"</f>
        <v>3</v>
      </c>
      <c r="O241" t="str">
        <f>"9997"</f>
        <v>9997</v>
      </c>
      <c r="P241" t="str">
        <f>"S"</f>
        <v>S</v>
      </c>
      <c r="Q241" t="str">
        <f>"ESS062"</f>
        <v>ESS062</v>
      </c>
      <c r="R241" t="str">
        <f t="shared" si="277"/>
        <v>6</v>
      </c>
      <c r="S241" t="str">
        <f>""</f>
        <v/>
      </c>
      <c r="T241" t="str">
        <f t="shared" si="265"/>
        <v xml:space="preserve">                                                                                                    </v>
      </c>
      <c r="U241" t="str">
        <f>"1         "</f>
        <v xml:space="preserve">1         </v>
      </c>
      <c r="V241" t="str">
        <f t="shared" si="275"/>
        <v>2</v>
      </c>
      <c r="W241" t="str">
        <f t="shared" si="275"/>
        <v>2</v>
      </c>
      <c r="X241" t="str">
        <f t="shared" si="267"/>
        <v>2</v>
      </c>
      <c r="Y241" t="str">
        <f t="shared" si="295"/>
        <v>2</v>
      </c>
      <c r="Z241" t="str">
        <f t="shared" si="295"/>
        <v>2</v>
      </c>
      <c r="AA241" t="str">
        <f t="shared" si="237"/>
        <v xml:space="preserve">          </v>
      </c>
      <c r="AB241" t="str">
        <f t="shared" si="227"/>
        <v>2</v>
      </c>
      <c r="AC241" t="str">
        <f t="shared" si="230"/>
        <v>2</v>
      </c>
      <c r="AD241" t="str">
        <f t="shared" si="296"/>
        <v>2</v>
      </c>
      <c r="AE241" t="str">
        <f t="shared" si="296"/>
        <v>2</v>
      </c>
      <c r="AF241" t="str">
        <f t="shared" si="296"/>
        <v>2</v>
      </c>
      <c r="AG241" t="str">
        <f t="shared" si="296"/>
        <v>2</v>
      </c>
      <c r="AH241" t="str">
        <f t="shared" si="268"/>
        <v>1</v>
      </c>
      <c r="AI241" t="str">
        <f t="shared" si="283"/>
        <v xml:space="preserve">1         </v>
      </c>
      <c r="AJ241" t="str">
        <f t="shared" si="286"/>
        <v>170</v>
      </c>
      <c r="AK241" t="str">
        <f>"19"</f>
        <v>19</v>
      </c>
      <c r="AL241" t="str">
        <f>"473"</f>
        <v>473</v>
      </c>
      <c r="AM241" t="str">
        <f>"76"</f>
        <v>76</v>
      </c>
      <c r="AN241" t="str">
        <f>"76001"</f>
        <v>76001</v>
      </c>
      <c r="AO241" t="str">
        <f>"18/08/2020 12:00:00 a. m."</f>
        <v>18/08/2020 12:00:00 a. m.</v>
      </c>
      <c r="AP241" t="str">
        <f>"15/05/2020 12:00:00 a. m."</f>
        <v>15/05/2020 12:00:00 a. m.</v>
      </c>
      <c r="AQ241" t="str">
        <f t="shared" ref="AQ241:AQ249" si="297">"3"</f>
        <v>3</v>
      </c>
      <c r="AR241" t="str">
        <f t="shared" si="287"/>
        <v>1</v>
      </c>
      <c r="AS241" t="str">
        <f>"18/08/2020 12:00:00 a. m."</f>
        <v>18/08/2020 12:00:00 a. m.</v>
      </c>
      <c r="AT241" t="str">
        <f t="shared" si="291"/>
        <v>1</v>
      </c>
      <c r="AU241" t="str">
        <f>""</f>
        <v/>
      </c>
      <c r="AV241" t="str">
        <f>"3"</f>
        <v>3</v>
      </c>
      <c r="AW241" t="str">
        <f>"1/10/2004 12:00:00 a. m."</f>
        <v>1/10/2004 12:00:00 a. m.</v>
      </c>
      <c r="AX241" t="str">
        <f>""</f>
        <v/>
      </c>
      <c r="AY241" t="str">
        <f t="shared" si="239"/>
        <v>30/04/2021 12:00:00 a. m.</v>
      </c>
      <c r="AZ241" t="str">
        <f>"3/10/2020 12:00:00 a. m."</f>
        <v>3/10/2020 12:00:00 a. m.</v>
      </c>
      <c r="BA241" t="str">
        <f>""</f>
        <v/>
      </c>
      <c r="BB241" t="str">
        <f>""</f>
        <v/>
      </c>
      <c r="BC241" t="str">
        <f>""</f>
        <v/>
      </c>
      <c r="BD241" t="str">
        <f t="shared" si="280"/>
        <v>1</v>
      </c>
      <c r="BE241" t="str">
        <f t="shared" si="280"/>
        <v>1</v>
      </c>
      <c r="BF241" t="str">
        <f t="shared" si="240"/>
        <v xml:space="preserve">3         </v>
      </c>
      <c r="BG241" t="str">
        <f t="shared" si="241"/>
        <v>Confirmado por laboratorio</v>
      </c>
      <c r="BH241" t="str">
        <f>"CLINICA DE OCCIDENTE SA"</f>
        <v>CLINICA DE OCCIDENTE SA</v>
      </c>
      <c r="BI241" t="str">
        <f t="shared" si="288"/>
        <v>COLOMBIA</v>
      </c>
      <c r="BJ241" t="str">
        <f t="shared" si="242"/>
        <v>CANCER INFANTIL</v>
      </c>
      <c r="BK241" t="str">
        <f>"CAUCA"</f>
        <v>CAUCA</v>
      </c>
      <c r="BL241" t="str">
        <f>"MORALES"</f>
        <v>MORALES</v>
      </c>
      <c r="BM241" t="str">
        <f t="shared" si="289"/>
        <v>COLOMBIA</v>
      </c>
      <c r="BN241" t="str">
        <f>"CAUCA"</f>
        <v>CAUCA</v>
      </c>
      <c r="BO241" t="str">
        <f>"MORALES"</f>
        <v>MORALES</v>
      </c>
      <c r="BP241" t="str">
        <f>"VALLE"</f>
        <v>VALLE</v>
      </c>
      <c r="BQ241" t="str">
        <f>"CALI"</f>
        <v>CALI</v>
      </c>
    </row>
    <row r="242" spans="1:69" x14ac:dyDescent="0.25">
      <c r="A242" t="str">
        <f>"7279102"</f>
        <v>7279102</v>
      </c>
      <c r="B242" t="str">
        <f t="shared" si="235"/>
        <v>459</v>
      </c>
      <c r="C242" t="str">
        <f>"3/11/2020 12:00:00 a. m."</f>
        <v>3/11/2020 12:00:00 a. m.</v>
      </c>
      <c r="D242" t="str">
        <f>"42"</f>
        <v>42</v>
      </c>
      <c r="E242" t="str">
        <f t="shared" si="236"/>
        <v>2020</v>
      </c>
      <c r="F242" t="str">
        <f>"1100105681"</f>
        <v>1100105681</v>
      </c>
      <c r="G242" t="str">
        <f t="shared" si="293"/>
        <v>01</v>
      </c>
      <c r="H242" t="str">
        <f>"14"</f>
        <v>14</v>
      </c>
      <c r="I242" t="str">
        <f t="shared" si="294"/>
        <v>1</v>
      </c>
      <c r="J242" t="str">
        <f>"M"</f>
        <v>M</v>
      </c>
      <c r="K242" t="str">
        <f t="shared" si="285"/>
        <v>170</v>
      </c>
      <c r="L242" t="str">
        <f>"25"</f>
        <v>25</v>
      </c>
      <c r="M242" t="str">
        <f>"430"</f>
        <v>430</v>
      </c>
      <c r="N242" t="str">
        <f>"1"</f>
        <v>1</v>
      </c>
      <c r="O242" t="str">
        <f>"9997"</f>
        <v>9997</v>
      </c>
      <c r="P242" t="str">
        <f>"C"</f>
        <v>C</v>
      </c>
      <c r="Q242" t="str">
        <f>"EPS008"</f>
        <v>EPS008</v>
      </c>
      <c r="R242" t="str">
        <f t="shared" si="277"/>
        <v>6</v>
      </c>
      <c r="S242" t="str">
        <f>""</f>
        <v/>
      </c>
      <c r="T242" t="str">
        <f t="shared" si="265"/>
        <v xml:space="preserve">                                                                                                    </v>
      </c>
      <c r="U242" t="str">
        <f>"3         "</f>
        <v xml:space="preserve">3         </v>
      </c>
      <c r="V242" t="str">
        <f t="shared" si="275"/>
        <v>2</v>
      </c>
      <c r="W242" t="str">
        <f t="shared" si="275"/>
        <v>2</v>
      </c>
      <c r="X242" t="str">
        <f t="shared" si="267"/>
        <v>2</v>
      </c>
      <c r="Y242" t="str">
        <f t="shared" si="295"/>
        <v>2</v>
      </c>
      <c r="Z242" t="str">
        <f t="shared" si="295"/>
        <v>2</v>
      </c>
      <c r="AA242" t="str">
        <f t="shared" si="237"/>
        <v xml:space="preserve">          </v>
      </c>
      <c r="AB242" t="str">
        <f t="shared" si="227"/>
        <v>2</v>
      </c>
      <c r="AC242" t="str">
        <f t="shared" si="230"/>
        <v>2</v>
      </c>
      <c r="AD242" t="str">
        <f t="shared" si="296"/>
        <v>2</v>
      </c>
      <c r="AE242" t="str">
        <f t="shared" si="296"/>
        <v>2</v>
      </c>
      <c r="AF242" t="str">
        <f t="shared" si="296"/>
        <v>2</v>
      </c>
      <c r="AG242" t="str">
        <f t="shared" si="296"/>
        <v>2</v>
      </c>
      <c r="AH242" t="str">
        <f t="shared" si="268"/>
        <v>1</v>
      </c>
      <c r="AI242" t="str">
        <f t="shared" si="283"/>
        <v xml:space="preserve">1         </v>
      </c>
      <c r="AJ242" t="str">
        <f t="shared" si="286"/>
        <v>170</v>
      </c>
      <c r="AK242" t="str">
        <f>"25"</f>
        <v>25</v>
      </c>
      <c r="AL242" t="str">
        <f>"430"</f>
        <v>430</v>
      </c>
      <c r="AM242" t="str">
        <f>"11"</f>
        <v>11</v>
      </c>
      <c r="AN242" t="str">
        <f>"11001"</f>
        <v>11001</v>
      </c>
      <c r="AO242" t="str">
        <f>"14/10/2020 12:00:00 a. m."</f>
        <v>14/10/2020 12:00:00 a. m.</v>
      </c>
      <c r="AP242" t="str">
        <f>"14/10/2020 12:00:00 a. m."</f>
        <v>14/10/2020 12:00:00 a. m.</v>
      </c>
      <c r="AQ242" t="str">
        <f t="shared" si="297"/>
        <v>3</v>
      </c>
      <c r="AR242" t="str">
        <f t="shared" si="287"/>
        <v>1</v>
      </c>
      <c r="AS242" t="str">
        <f>"14/10/2020 12:00:00 a. m."</f>
        <v>14/10/2020 12:00:00 a. m.</v>
      </c>
      <c r="AT242" t="str">
        <f t="shared" si="291"/>
        <v>1</v>
      </c>
      <c r="AU242" t="str">
        <f>""</f>
        <v/>
      </c>
      <c r="AV242" t="str">
        <f>"0"</f>
        <v>0</v>
      </c>
      <c r="AW242" t="str">
        <f>"11/10/2006 12:00:00 a. m."</f>
        <v>11/10/2006 12:00:00 a. m.</v>
      </c>
      <c r="AX242" t="str">
        <f>""</f>
        <v/>
      </c>
      <c r="AY242" t="str">
        <f t="shared" si="239"/>
        <v>30/04/2021 12:00:00 a. m.</v>
      </c>
      <c r="AZ242" t="str">
        <f>"1/12/2020 12:00:00 a. m."</f>
        <v>1/12/2020 12:00:00 a. m.</v>
      </c>
      <c r="BA242" t="str">
        <f>""</f>
        <v/>
      </c>
      <c r="BB242" t="str">
        <f>""</f>
        <v/>
      </c>
      <c r="BC242" t="str">
        <f>""</f>
        <v/>
      </c>
      <c r="BD242" t="str">
        <f t="shared" ref="BD242:BE261" si="298">"1"</f>
        <v>1</v>
      </c>
      <c r="BE242" t="str">
        <f t="shared" si="298"/>
        <v>1</v>
      </c>
      <c r="BF242" t="str">
        <f t="shared" si="240"/>
        <v xml:space="preserve">3         </v>
      </c>
      <c r="BG242" t="str">
        <f t="shared" si="241"/>
        <v>Confirmado por laboratorio</v>
      </c>
      <c r="BH242" t="str">
        <f>"FUNDACION HOSPITAL DE LA MISERICORDIA"</f>
        <v>FUNDACION HOSPITAL DE LA MISERICORDIA</v>
      </c>
      <c r="BI242" t="str">
        <f t="shared" si="288"/>
        <v>COLOMBIA</v>
      </c>
      <c r="BJ242" t="str">
        <f t="shared" si="242"/>
        <v>CANCER INFANTIL</v>
      </c>
      <c r="BK242" t="str">
        <f>"CUNDINAMARCA"</f>
        <v>CUNDINAMARCA</v>
      </c>
      <c r="BL242" t="str">
        <f>"MADRID"</f>
        <v>MADRID</v>
      </c>
      <c r="BM242" t="str">
        <f t="shared" si="289"/>
        <v>COLOMBIA</v>
      </c>
      <c r="BN242" t="str">
        <f>"CUNDINAMARCA"</f>
        <v>CUNDINAMARCA</v>
      </c>
      <c r="BO242" t="str">
        <f>"MADRID"</f>
        <v>MADRID</v>
      </c>
      <c r="BP242" t="str">
        <f>"BOGOTA"</f>
        <v>BOGOTA</v>
      </c>
      <c r="BQ242" t="str">
        <f>"BOGOTA"</f>
        <v>BOGOTA</v>
      </c>
    </row>
    <row r="243" spans="1:69" x14ac:dyDescent="0.25">
      <c r="A243" t="str">
        <f>"7279077"</f>
        <v>7279077</v>
      </c>
      <c r="B243" t="str">
        <f t="shared" si="235"/>
        <v>459</v>
      </c>
      <c r="C243" t="str">
        <f>"13/07/2020 12:00:00 a. m."</f>
        <v>13/07/2020 12:00:00 a. m.</v>
      </c>
      <c r="D243" t="str">
        <f>"27"</f>
        <v>27</v>
      </c>
      <c r="E243" t="str">
        <f t="shared" si="236"/>
        <v>2020</v>
      </c>
      <c r="F243" t="str">
        <f>"6827601666"</f>
        <v>6827601666</v>
      </c>
      <c r="G243" t="str">
        <f t="shared" si="293"/>
        <v>01</v>
      </c>
      <c r="H243" t="str">
        <f>"5"</f>
        <v>5</v>
      </c>
      <c r="I243" t="str">
        <f t="shared" si="294"/>
        <v>1</v>
      </c>
      <c r="J243" t="str">
        <f>"M"</f>
        <v>M</v>
      </c>
      <c r="K243" t="str">
        <f t="shared" si="285"/>
        <v>170</v>
      </c>
      <c r="L243" t="str">
        <f>"68"</f>
        <v>68</v>
      </c>
      <c r="M243" t="str">
        <f>"001"</f>
        <v>001</v>
      </c>
      <c r="N243" t="str">
        <f>"1"</f>
        <v>1</v>
      </c>
      <c r="O243" t="str">
        <f>"9999"</f>
        <v>9999</v>
      </c>
      <c r="P243" t="str">
        <f>"S"</f>
        <v>S</v>
      </c>
      <c r="Q243" t="str">
        <f>"EPSS37"</f>
        <v>EPSS37</v>
      </c>
      <c r="R243" t="str">
        <f t="shared" si="277"/>
        <v>6</v>
      </c>
      <c r="S243" t="str">
        <f>""</f>
        <v/>
      </c>
      <c r="T243" t="str">
        <f t="shared" si="265"/>
        <v xml:space="preserve">                                                                                                    </v>
      </c>
      <c r="U243" t="str">
        <f>"2         "</f>
        <v xml:space="preserve">2         </v>
      </c>
      <c r="V243" t="str">
        <f t="shared" si="275"/>
        <v>2</v>
      </c>
      <c r="W243" t="str">
        <f t="shared" si="275"/>
        <v>2</v>
      </c>
      <c r="X243" t="str">
        <f t="shared" si="267"/>
        <v>2</v>
      </c>
      <c r="Y243" t="str">
        <f t="shared" si="295"/>
        <v>2</v>
      </c>
      <c r="Z243" t="str">
        <f t="shared" si="295"/>
        <v>2</v>
      </c>
      <c r="AA243" t="str">
        <f t="shared" si="237"/>
        <v xml:space="preserve">          </v>
      </c>
      <c r="AB243" t="str">
        <f t="shared" si="227"/>
        <v>2</v>
      </c>
      <c r="AC243" t="str">
        <f t="shared" si="230"/>
        <v>2</v>
      </c>
      <c r="AD243" t="str">
        <f t="shared" si="296"/>
        <v>2</v>
      </c>
      <c r="AE243" t="str">
        <f t="shared" si="296"/>
        <v>2</v>
      </c>
      <c r="AF243" t="str">
        <f t="shared" si="296"/>
        <v>2</v>
      </c>
      <c r="AG243" t="str">
        <f t="shared" si="296"/>
        <v>2</v>
      </c>
      <c r="AH243" t="str">
        <f t="shared" si="268"/>
        <v>1</v>
      </c>
      <c r="AI243" t="str">
        <f t="shared" si="283"/>
        <v xml:space="preserve">1         </v>
      </c>
      <c r="AJ243" t="str">
        <f t="shared" si="286"/>
        <v>170</v>
      </c>
      <c r="AK243" t="str">
        <f>"68"</f>
        <v>68</v>
      </c>
      <c r="AL243" t="str">
        <f>"001"</f>
        <v>001</v>
      </c>
      <c r="AM243" t="str">
        <f>"68"</f>
        <v>68</v>
      </c>
      <c r="AN243" t="str">
        <f>"68276"</f>
        <v>68276</v>
      </c>
      <c r="AO243" t="str">
        <f>"2/07/2020 12:00:00 a. m."</f>
        <v>2/07/2020 12:00:00 a. m.</v>
      </c>
      <c r="AP243" t="str">
        <f>"2/10/2019 12:00:00 a. m."</f>
        <v>2/10/2019 12:00:00 a. m.</v>
      </c>
      <c r="AQ243" t="str">
        <f t="shared" si="297"/>
        <v>3</v>
      </c>
      <c r="AR243" t="str">
        <f t="shared" si="287"/>
        <v>1</v>
      </c>
      <c r="AS243" t="str">
        <f>"2/07/2020 12:00:00 a. m."</f>
        <v>2/07/2020 12:00:00 a. m.</v>
      </c>
      <c r="AT243" t="str">
        <f t="shared" si="291"/>
        <v>1</v>
      </c>
      <c r="AU243" t="str">
        <f>""</f>
        <v/>
      </c>
      <c r="AV243" t="str">
        <f>"0"</f>
        <v>0</v>
      </c>
      <c r="AW243" t="str">
        <f>"25/03/2015 12:00:00 a. m."</f>
        <v>25/03/2015 12:00:00 a. m.</v>
      </c>
      <c r="AX243" t="str">
        <f>""</f>
        <v/>
      </c>
      <c r="AY243" t="str">
        <f t="shared" si="239"/>
        <v>30/04/2021 12:00:00 a. m.</v>
      </c>
      <c r="AZ243" t="str">
        <f>"21/07/2020 12:00:00 a. m."</f>
        <v>21/07/2020 12:00:00 a. m.</v>
      </c>
      <c r="BA243" t="str">
        <f>""</f>
        <v/>
      </c>
      <c r="BB243" t="str">
        <f>""</f>
        <v/>
      </c>
      <c r="BC243" t="str">
        <f>""</f>
        <v/>
      </c>
      <c r="BD243" t="str">
        <f t="shared" si="298"/>
        <v>1</v>
      </c>
      <c r="BE243" t="str">
        <f t="shared" si="298"/>
        <v>1</v>
      </c>
      <c r="BF243" t="str">
        <f t="shared" si="240"/>
        <v xml:space="preserve">3         </v>
      </c>
      <c r="BG243" t="str">
        <f t="shared" si="241"/>
        <v>Confirmado por laboratorio</v>
      </c>
      <c r="BH243" t="str">
        <f>"FUNDACION OFTALMOLOGICA DE SDER FOSCAL"</f>
        <v>FUNDACION OFTALMOLOGICA DE SDER FOSCAL</v>
      </c>
      <c r="BI243" t="str">
        <f t="shared" si="288"/>
        <v>COLOMBIA</v>
      </c>
      <c r="BJ243" t="str">
        <f t="shared" si="242"/>
        <v>CANCER INFANTIL</v>
      </c>
      <c r="BK243" t="str">
        <f>"SANTANDER"</f>
        <v>SANTANDER</v>
      </c>
      <c r="BL243" t="str">
        <f>"BUCARAMANGA"</f>
        <v>BUCARAMANGA</v>
      </c>
      <c r="BM243" t="str">
        <f t="shared" si="289"/>
        <v>COLOMBIA</v>
      </c>
      <c r="BN243" t="str">
        <f>"SANTANDER"</f>
        <v>SANTANDER</v>
      </c>
      <c r="BO243" t="str">
        <f>"BUCARAMANGA"</f>
        <v>BUCARAMANGA</v>
      </c>
      <c r="BP243" t="str">
        <f>"SANTANDER"</f>
        <v>SANTANDER</v>
      </c>
      <c r="BQ243" t="str">
        <f>"FLORIDABLANCA"</f>
        <v>FLORIDABLANCA</v>
      </c>
    </row>
    <row r="244" spans="1:69" x14ac:dyDescent="0.25">
      <c r="A244" t="str">
        <f>"7285779"</f>
        <v>7285779</v>
      </c>
      <c r="B244" t="str">
        <f t="shared" si="235"/>
        <v>459</v>
      </c>
      <c r="C244" t="str">
        <f>"28/07/2020 12:00:00 a. m."</f>
        <v>28/07/2020 12:00:00 a. m.</v>
      </c>
      <c r="D244" t="str">
        <f>"28"</f>
        <v>28</v>
      </c>
      <c r="E244" t="str">
        <f t="shared" si="236"/>
        <v>2020</v>
      </c>
      <c r="F244" t="str">
        <f>"2300100482"</f>
        <v>2300100482</v>
      </c>
      <c r="G244" t="str">
        <f t="shared" si="293"/>
        <v>01</v>
      </c>
      <c r="H244" t="str">
        <f>"1"</f>
        <v>1</v>
      </c>
      <c r="I244" t="str">
        <f t="shared" si="294"/>
        <v>1</v>
      </c>
      <c r="J244" t="str">
        <f>"F"</f>
        <v>F</v>
      </c>
      <c r="K244" t="str">
        <f t="shared" si="285"/>
        <v>170</v>
      </c>
      <c r="L244" t="str">
        <f>"23"</f>
        <v>23</v>
      </c>
      <c r="M244" t="str">
        <f>"466"</f>
        <v>466</v>
      </c>
      <c r="N244" t="str">
        <f>"3"</f>
        <v>3</v>
      </c>
      <c r="O244" t="str">
        <f>"9999"</f>
        <v>9999</v>
      </c>
      <c r="P244" t="str">
        <f>"N"</f>
        <v>N</v>
      </c>
      <c r="Q244" t="str">
        <f>""</f>
        <v/>
      </c>
      <c r="R244" t="str">
        <f t="shared" si="277"/>
        <v>6</v>
      </c>
      <c r="S244" t="str">
        <f>""</f>
        <v/>
      </c>
      <c r="T244" t="str">
        <f t="shared" si="265"/>
        <v xml:space="preserve">                                                                                                    </v>
      </c>
      <c r="U244" t="str">
        <f>"1         "</f>
        <v xml:space="preserve">1         </v>
      </c>
      <c r="V244" t="str">
        <f>"1"</f>
        <v>1</v>
      </c>
      <c r="W244" t="str">
        <f t="shared" ref="W244:W307" si="299">"2"</f>
        <v>2</v>
      </c>
      <c r="X244" t="str">
        <f t="shared" si="267"/>
        <v>2</v>
      </c>
      <c r="Y244" t="str">
        <f t="shared" si="295"/>
        <v>2</v>
      </c>
      <c r="Z244" t="str">
        <f t="shared" si="295"/>
        <v>2</v>
      </c>
      <c r="AA244" t="str">
        <f t="shared" si="237"/>
        <v xml:space="preserve">          </v>
      </c>
      <c r="AB244" t="str">
        <f t="shared" si="227"/>
        <v>2</v>
      </c>
      <c r="AC244" t="str">
        <f t="shared" si="230"/>
        <v>2</v>
      </c>
      <c r="AD244" t="str">
        <f t="shared" si="296"/>
        <v>2</v>
      </c>
      <c r="AE244" t="str">
        <f t="shared" si="296"/>
        <v>2</v>
      </c>
      <c r="AF244" t="str">
        <f t="shared" si="296"/>
        <v>2</v>
      </c>
      <c r="AG244" t="str">
        <f t="shared" si="296"/>
        <v>2</v>
      </c>
      <c r="AH244" t="str">
        <f t="shared" si="268"/>
        <v>1</v>
      </c>
      <c r="AI244" t="str">
        <f t="shared" si="283"/>
        <v xml:space="preserve">1         </v>
      </c>
      <c r="AJ244" t="str">
        <f t="shared" si="286"/>
        <v>170</v>
      </c>
      <c r="AK244" t="str">
        <f>"23"</f>
        <v>23</v>
      </c>
      <c r="AL244" t="str">
        <f>"466"</f>
        <v>466</v>
      </c>
      <c r="AM244" t="str">
        <f>"23"</f>
        <v>23</v>
      </c>
      <c r="AN244" t="str">
        <f>"23001"</f>
        <v>23001</v>
      </c>
      <c r="AO244" t="str">
        <f>"9/07/2020 12:00:00 a. m."</f>
        <v>9/07/2020 12:00:00 a. m.</v>
      </c>
      <c r="AP244" t="str">
        <f>"7/05/2020 12:00:00 a. m."</f>
        <v>7/05/2020 12:00:00 a. m.</v>
      </c>
      <c r="AQ244" t="str">
        <f t="shared" si="297"/>
        <v>3</v>
      </c>
      <c r="AR244" t="str">
        <f t="shared" si="287"/>
        <v>1</v>
      </c>
      <c r="AS244" t="str">
        <f>"9/07/2020 12:00:00 a. m."</f>
        <v>9/07/2020 12:00:00 a. m.</v>
      </c>
      <c r="AT244" t="str">
        <f t="shared" si="291"/>
        <v>1</v>
      </c>
      <c r="AU244" t="str">
        <f>""</f>
        <v/>
      </c>
      <c r="AV244" t="str">
        <f>"0"</f>
        <v>0</v>
      </c>
      <c r="AW244" t="str">
        <f>"30/07/2018 12:00:00 a. m."</f>
        <v>30/07/2018 12:00:00 a. m.</v>
      </c>
      <c r="AX244" t="str">
        <f>""</f>
        <v/>
      </c>
      <c r="AY244" t="str">
        <f t="shared" si="239"/>
        <v>30/04/2021 12:00:00 a. m.</v>
      </c>
      <c r="AZ244" t="str">
        <f>"28/07/2020 12:00:00 a. m."</f>
        <v>28/07/2020 12:00:00 a. m.</v>
      </c>
      <c r="BA244" t="str">
        <f>""</f>
        <v/>
      </c>
      <c r="BB244" t="str">
        <f>""</f>
        <v/>
      </c>
      <c r="BC244" t="str">
        <f>""</f>
        <v/>
      </c>
      <c r="BD244" t="str">
        <f t="shared" si="298"/>
        <v>1</v>
      </c>
      <c r="BE244" t="str">
        <f t="shared" si="298"/>
        <v>1</v>
      </c>
      <c r="BF244" t="str">
        <f t="shared" si="240"/>
        <v xml:space="preserve">3         </v>
      </c>
      <c r="BG244" t="str">
        <f t="shared" si="241"/>
        <v>Confirmado por laboratorio</v>
      </c>
      <c r="BH244" t="str">
        <f>"ESE HOSPITAL SAN JERONIMO DE MONTERIA"</f>
        <v>ESE HOSPITAL SAN JERONIMO DE MONTERIA</v>
      </c>
      <c r="BI244" t="str">
        <f t="shared" si="288"/>
        <v>COLOMBIA</v>
      </c>
      <c r="BJ244" t="str">
        <f t="shared" si="242"/>
        <v>CANCER INFANTIL</v>
      </c>
      <c r="BK244" t="str">
        <f>"CORDOBA"</f>
        <v>CORDOBA</v>
      </c>
      <c r="BL244" t="str">
        <f>"MONTELIBANO"</f>
        <v>MONTELIBANO</v>
      </c>
      <c r="BM244" t="str">
        <f t="shared" si="289"/>
        <v>COLOMBIA</v>
      </c>
      <c r="BN244" t="str">
        <f>"CORDOBA"</f>
        <v>CORDOBA</v>
      </c>
      <c r="BO244" t="str">
        <f>"MONTELIBANO"</f>
        <v>MONTELIBANO</v>
      </c>
      <c r="BP244" t="str">
        <f>"CORDOBA"</f>
        <v>CORDOBA</v>
      </c>
      <c r="BQ244" t="str">
        <f>"MONTERIA"</f>
        <v>MONTERIA</v>
      </c>
    </row>
    <row r="245" spans="1:69" x14ac:dyDescent="0.25">
      <c r="A245" t="str">
        <f>"7285610"</f>
        <v>7285610</v>
      </c>
      <c r="B245" t="str">
        <f t="shared" si="235"/>
        <v>459</v>
      </c>
      <c r="C245" t="str">
        <f>"28/11/2020 12:00:00 a. m."</f>
        <v>28/11/2020 12:00:00 a. m.</v>
      </c>
      <c r="D245" t="str">
        <f>"45"</f>
        <v>45</v>
      </c>
      <c r="E245" t="str">
        <f t="shared" si="236"/>
        <v>2020</v>
      </c>
      <c r="F245" t="str">
        <f>"6854704947"</f>
        <v>6854704947</v>
      </c>
      <c r="G245" t="str">
        <f t="shared" si="293"/>
        <v>01</v>
      </c>
      <c r="H245" t="str">
        <f>"17"</f>
        <v>17</v>
      </c>
      <c r="I245" t="str">
        <f t="shared" si="294"/>
        <v>1</v>
      </c>
      <c r="J245" t="str">
        <f>"M"</f>
        <v>M</v>
      </c>
      <c r="K245" t="str">
        <f t="shared" si="285"/>
        <v>170</v>
      </c>
      <c r="L245" t="str">
        <f>"68"</f>
        <v>68</v>
      </c>
      <c r="M245" t="str">
        <f>"001"</f>
        <v>001</v>
      </c>
      <c r="N245" t="str">
        <f>"1"</f>
        <v>1</v>
      </c>
      <c r="O245" t="str">
        <f>"9997"</f>
        <v>9997</v>
      </c>
      <c r="P245" t="str">
        <f>"S"</f>
        <v>S</v>
      </c>
      <c r="Q245" t="str">
        <f>"EPSS46"</f>
        <v>EPSS46</v>
      </c>
      <c r="R245" t="str">
        <f t="shared" si="277"/>
        <v>6</v>
      </c>
      <c r="S245" t="str">
        <f>""</f>
        <v/>
      </c>
      <c r="T245" t="str">
        <f t="shared" si="265"/>
        <v xml:space="preserve">                                                                                                    </v>
      </c>
      <c r="U245" t="str">
        <f>"2         "</f>
        <v xml:space="preserve">2         </v>
      </c>
      <c r="V245" t="str">
        <f t="shared" ref="V245:V276" si="300">"2"</f>
        <v>2</v>
      </c>
      <c r="W245" t="str">
        <f t="shared" si="299"/>
        <v>2</v>
      </c>
      <c r="X245" t="str">
        <f t="shared" ref="X245:X276" si="301">"2"</f>
        <v>2</v>
      </c>
      <c r="Y245" t="str">
        <f t="shared" si="295"/>
        <v>2</v>
      </c>
      <c r="Z245" t="str">
        <f t="shared" si="295"/>
        <v>2</v>
      </c>
      <c r="AA245" t="str">
        <f t="shared" si="237"/>
        <v xml:space="preserve">          </v>
      </c>
      <c r="AB245" t="str">
        <f t="shared" si="227"/>
        <v>2</v>
      </c>
      <c r="AC245" t="str">
        <f t="shared" si="230"/>
        <v>2</v>
      </c>
      <c r="AD245" t="str">
        <f t="shared" si="296"/>
        <v>2</v>
      </c>
      <c r="AE245" t="str">
        <f t="shared" si="296"/>
        <v>2</v>
      </c>
      <c r="AF245" t="str">
        <f t="shared" si="296"/>
        <v>2</v>
      </c>
      <c r="AG245" t="str">
        <f t="shared" si="296"/>
        <v>2</v>
      </c>
      <c r="AH245" t="str">
        <f t="shared" ref="AH245:AH276" si="302">"1"</f>
        <v>1</v>
      </c>
      <c r="AI245" t="str">
        <f t="shared" si="283"/>
        <v xml:space="preserve">1         </v>
      </c>
      <c r="AJ245" t="str">
        <f t="shared" si="286"/>
        <v>170</v>
      </c>
      <c r="AK245" t="str">
        <f>"68"</f>
        <v>68</v>
      </c>
      <c r="AL245" t="str">
        <f>"001"</f>
        <v>001</v>
      </c>
      <c r="AM245" t="str">
        <f>"68"</f>
        <v>68</v>
      </c>
      <c r="AN245" t="str">
        <f>"68547"</f>
        <v>68547</v>
      </c>
      <c r="AO245" t="str">
        <f>"6/11/2020 12:00:00 a. m."</f>
        <v>6/11/2020 12:00:00 a. m.</v>
      </c>
      <c r="AP245" t="str">
        <f>"1/11/2020 12:00:00 a. m."</f>
        <v>1/11/2020 12:00:00 a. m.</v>
      </c>
      <c r="AQ245" t="str">
        <f t="shared" si="297"/>
        <v>3</v>
      </c>
      <c r="AR245" t="str">
        <f t="shared" si="287"/>
        <v>1</v>
      </c>
      <c r="AS245" t="str">
        <f>"6/11/2020 12:00:00 a. m."</f>
        <v>6/11/2020 12:00:00 a. m.</v>
      </c>
      <c r="AT245" t="str">
        <f t="shared" si="291"/>
        <v>1</v>
      </c>
      <c r="AU245" t="str">
        <f>""</f>
        <v/>
      </c>
      <c r="AV245" t="str">
        <f>"0"</f>
        <v>0</v>
      </c>
      <c r="AW245" t="str">
        <f>"20/12/2002 12:00:00 a. m."</f>
        <v>20/12/2002 12:00:00 a. m.</v>
      </c>
      <c r="AX245" t="str">
        <f>""</f>
        <v/>
      </c>
      <c r="AY245" t="str">
        <f t="shared" si="239"/>
        <v>30/04/2021 12:00:00 a. m.</v>
      </c>
      <c r="AZ245" t="str">
        <f>"28/11/2020 12:00:00 a. m."</f>
        <v>28/11/2020 12:00:00 a. m.</v>
      </c>
      <c r="BA245" t="str">
        <f>""</f>
        <v/>
      </c>
      <c r="BB245" t="str">
        <f>""</f>
        <v/>
      </c>
      <c r="BC245" t="str">
        <f>""</f>
        <v/>
      </c>
      <c r="BD245" t="str">
        <f t="shared" si="298"/>
        <v>1</v>
      </c>
      <c r="BE245" t="str">
        <f t="shared" si="298"/>
        <v>1</v>
      </c>
      <c r="BF245" t="str">
        <f t="shared" si="240"/>
        <v xml:space="preserve">3         </v>
      </c>
      <c r="BG245" t="str">
        <f t="shared" si="241"/>
        <v>Confirmado por laboratorio</v>
      </c>
      <c r="BH245" t="str">
        <f>"HOSPITAL INTERNACIONAL DE COLOMBIA"</f>
        <v>HOSPITAL INTERNACIONAL DE COLOMBIA</v>
      </c>
      <c r="BI245" t="str">
        <f t="shared" si="288"/>
        <v>COLOMBIA</v>
      </c>
      <c r="BJ245" t="str">
        <f t="shared" si="242"/>
        <v>CANCER INFANTIL</v>
      </c>
      <c r="BK245" t="str">
        <f>"SANTANDER"</f>
        <v>SANTANDER</v>
      </c>
      <c r="BL245" t="str">
        <f>"BUCARAMANGA"</f>
        <v>BUCARAMANGA</v>
      </c>
      <c r="BM245" t="str">
        <f t="shared" si="289"/>
        <v>COLOMBIA</v>
      </c>
      <c r="BN245" t="str">
        <f>"SANTANDER"</f>
        <v>SANTANDER</v>
      </c>
      <c r="BO245" t="str">
        <f>"BUCARAMANGA"</f>
        <v>BUCARAMANGA</v>
      </c>
      <c r="BP245" t="str">
        <f>"SANTANDER"</f>
        <v>SANTANDER</v>
      </c>
      <c r="BQ245" t="str">
        <f>"PIEDECUESTA"</f>
        <v>PIEDECUESTA</v>
      </c>
    </row>
    <row r="246" spans="1:69" x14ac:dyDescent="0.25">
      <c r="A246" t="str">
        <f>"7285613"</f>
        <v>7285613</v>
      </c>
      <c r="B246" t="str">
        <f t="shared" si="235"/>
        <v>459</v>
      </c>
      <c r="C246" t="str">
        <f>"27/02/2020 12:00:00 a. m."</f>
        <v>27/02/2020 12:00:00 a. m.</v>
      </c>
      <c r="D246" t="str">
        <f>"05"</f>
        <v>05</v>
      </c>
      <c r="E246" t="str">
        <f t="shared" si="236"/>
        <v>2020</v>
      </c>
      <c r="F246" t="str">
        <f>"6854704947"</f>
        <v>6854704947</v>
      </c>
      <c r="G246" t="str">
        <f t="shared" si="293"/>
        <v>01</v>
      </c>
      <c r="H246" t="str">
        <f>"17"</f>
        <v>17</v>
      </c>
      <c r="I246" t="str">
        <f t="shared" si="294"/>
        <v>1</v>
      </c>
      <c r="J246" t="str">
        <f>"F"</f>
        <v>F</v>
      </c>
      <c r="K246" t="str">
        <f t="shared" si="285"/>
        <v>170</v>
      </c>
      <c r="L246" t="str">
        <f>"68"</f>
        <v>68</v>
      </c>
      <c r="M246" t="str">
        <f>"549"</f>
        <v>549</v>
      </c>
      <c r="N246" t="str">
        <f>"3"</f>
        <v>3</v>
      </c>
      <c r="O246" t="str">
        <f>"9997"</f>
        <v>9997</v>
      </c>
      <c r="P246" t="str">
        <f>"S"</f>
        <v>S</v>
      </c>
      <c r="Q246" t="str">
        <f>"EPSS41"</f>
        <v>EPSS41</v>
      </c>
      <c r="R246" t="str">
        <f t="shared" si="277"/>
        <v>6</v>
      </c>
      <c r="S246" t="str">
        <f>""</f>
        <v/>
      </c>
      <c r="T246" t="str">
        <f t="shared" si="265"/>
        <v xml:space="preserve">                                                                                                    </v>
      </c>
      <c r="U246" t="str">
        <f>"1         "</f>
        <v xml:space="preserve">1         </v>
      </c>
      <c r="V246" t="str">
        <f t="shared" si="300"/>
        <v>2</v>
      </c>
      <c r="W246" t="str">
        <f t="shared" si="299"/>
        <v>2</v>
      </c>
      <c r="X246" t="str">
        <f t="shared" si="301"/>
        <v>2</v>
      </c>
      <c r="Y246" t="str">
        <f t="shared" si="295"/>
        <v>2</v>
      </c>
      <c r="Z246" t="str">
        <f t="shared" si="295"/>
        <v>2</v>
      </c>
      <c r="AA246" t="str">
        <f t="shared" si="237"/>
        <v xml:space="preserve">          </v>
      </c>
      <c r="AB246" t="str">
        <f t="shared" si="227"/>
        <v>2</v>
      </c>
      <c r="AC246" t="str">
        <f t="shared" si="230"/>
        <v>2</v>
      </c>
      <c r="AD246" t="str">
        <f t="shared" si="296"/>
        <v>2</v>
      </c>
      <c r="AE246" t="str">
        <f t="shared" si="296"/>
        <v>2</v>
      </c>
      <c r="AF246" t="str">
        <f t="shared" si="296"/>
        <v>2</v>
      </c>
      <c r="AG246" t="str">
        <f t="shared" si="296"/>
        <v>2</v>
      </c>
      <c r="AH246" t="str">
        <f t="shared" si="302"/>
        <v>1</v>
      </c>
      <c r="AI246" t="str">
        <f t="shared" si="283"/>
        <v xml:space="preserve">1         </v>
      </c>
      <c r="AJ246" t="str">
        <f t="shared" si="286"/>
        <v>170</v>
      </c>
      <c r="AK246" t="str">
        <f>"68"</f>
        <v>68</v>
      </c>
      <c r="AL246" t="str">
        <f>"549"</f>
        <v>549</v>
      </c>
      <c r="AM246" t="str">
        <f>"68"</f>
        <v>68</v>
      </c>
      <c r="AN246" t="str">
        <f>"68547"</f>
        <v>68547</v>
      </c>
      <c r="AO246" t="str">
        <f>"1/02/2020 12:00:00 a. m."</f>
        <v>1/02/2020 12:00:00 a. m.</v>
      </c>
      <c r="AP246" t="str">
        <f>"1/02/2020 12:00:00 a. m."</f>
        <v>1/02/2020 12:00:00 a. m.</v>
      </c>
      <c r="AQ246" t="str">
        <f t="shared" si="297"/>
        <v>3</v>
      </c>
      <c r="AR246" t="str">
        <f t="shared" si="287"/>
        <v>1</v>
      </c>
      <c r="AS246" t="str">
        <f>"14/02/2020 12:00:00 a. m."</f>
        <v>14/02/2020 12:00:00 a. m.</v>
      </c>
      <c r="AT246" t="str">
        <f t="shared" si="291"/>
        <v>1</v>
      </c>
      <c r="AU246" t="str">
        <f>""</f>
        <v/>
      </c>
      <c r="AV246" t="str">
        <f>"0"</f>
        <v>0</v>
      </c>
      <c r="AW246" t="str">
        <f>"7/10/2002 12:00:00 a. m."</f>
        <v>7/10/2002 12:00:00 a. m.</v>
      </c>
      <c r="AX246" t="str">
        <f>""</f>
        <v/>
      </c>
      <c r="AY246" t="str">
        <f t="shared" si="239"/>
        <v>30/04/2021 12:00:00 a. m.</v>
      </c>
      <c r="AZ246" t="str">
        <f>"27/02/2020 12:00:00 a. m."</f>
        <v>27/02/2020 12:00:00 a. m.</v>
      </c>
      <c r="BA246" t="str">
        <f>""</f>
        <v/>
      </c>
      <c r="BB246" t="str">
        <f>""</f>
        <v/>
      </c>
      <c r="BC246" t="str">
        <f>""</f>
        <v/>
      </c>
      <c r="BD246" t="str">
        <f t="shared" si="298"/>
        <v>1</v>
      </c>
      <c r="BE246" t="str">
        <f t="shared" si="298"/>
        <v>1</v>
      </c>
      <c r="BF246" t="str">
        <f t="shared" si="240"/>
        <v xml:space="preserve">3         </v>
      </c>
      <c r="BG246" t="str">
        <f t="shared" si="241"/>
        <v>Confirmado por laboratorio</v>
      </c>
      <c r="BH246" t="str">
        <f>"HOSPITAL INTERNACIONAL DE COLOMBIA"</f>
        <v>HOSPITAL INTERNACIONAL DE COLOMBIA</v>
      </c>
      <c r="BI246" t="str">
        <f t="shared" si="288"/>
        <v>COLOMBIA</v>
      </c>
      <c r="BJ246" t="str">
        <f t="shared" si="242"/>
        <v>CANCER INFANTIL</v>
      </c>
      <c r="BK246" t="str">
        <f>"SANTANDER"</f>
        <v>SANTANDER</v>
      </c>
      <c r="BL246" t="str">
        <f>"PINCHOTE"</f>
        <v>PINCHOTE</v>
      </c>
      <c r="BM246" t="str">
        <f t="shared" si="289"/>
        <v>COLOMBIA</v>
      </c>
      <c r="BN246" t="str">
        <f>"SANTANDER"</f>
        <v>SANTANDER</v>
      </c>
      <c r="BO246" t="str">
        <f>"PINCHOTE"</f>
        <v>PINCHOTE</v>
      </c>
      <c r="BP246" t="str">
        <f>"SANTANDER"</f>
        <v>SANTANDER</v>
      </c>
      <c r="BQ246" t="str">
        <f>"PIEDECUESTA"</f>
        <v>PIEDECUESTA</v>
      </c>
    </row>
    <row r="247" spans="1:69" x14ac:dyDescent="0.25">
      <c r="A247" t="str">
        <f>"7279118"</f>
        <v>7279118</v>
      </c>
      <c r="B247" t="str">
        <f t="shared" si="235"/>
        <v>459</v>
      </c>
      <c r="C247" t="str">
        <f>"2/03/2020 12:00:00 a. m."</f>
        <v>2/03/2020 12:00:00 a. m.</v>
      </c>
      <c r="D247" t="str">
        <f>"08"</f>
        <v>08</v>
      </c>
      <c r="E247" t="str">
        <f t="shared" si="236"/>
        <v>2020</v>
      </c>
      <c r="F247" t="str">
        <f>"0500102175"</f>
        <v>0500102175</v>
      </c>
      <c r="G247" t="str">
        <f t="shared" si="293"/>
        <v>01</v>
      </c>
      <c r="H247" t="str">
        <f>"5"</f>
        <v>5</v>
      </c>
      <c r="I247" t="str">
        <f t="shared" si="294"/>
        <v>1</v>
      </c>
      <c r="J247" t="str">
        <f>"F"</f>
        <v>F</v>
      </c>
      <c r="K247" t="str">
        <f t="shared" si="285"/>
        <v>170</v>
      </c>
      <c r="L247" t="str">
        <f>"13"</f>
        <v>13</v>
      </c>
      <c r="M247" t="str">
        <f>"001"</f>
        <v>001</v>
      </c>
      <c r="N247" t="str">
        <f t="shared" ref="N247:N253" si="303">"1"</f>
        <v>1</v>
      </c>
      <c r="O247" t="str">
        <f>"9999"</f>
        <v>9999</v>
      </c>
      <c r="P247" t="str">
        <f>"S"</f>
        <v>S</v>
      </c>
      <c r="Q247" t="str">
        <f>"ESS024"</f>
        <v>ESS024</v>
      </c>
      <c r="R247" t="str">
        <f t="shared" si="277"/>
        <v>6</v>
      </c>
      <c r="S247" t="str">
        <f>""</f>
        <v/>
      </c>
      <c r="T247" t="str">
        <f t="shared" si="265"/>
        <v xml:space="preserve">                                                                                                    </v>
      </c>
      <c r="U247" t="str">
        <f>"1         "</f>
        <v xml:space="preserve">1         </v>
      </c>
      <c r="V247" t="str">
        <f t="shared" si="300"/>
        <v>2</v>
      </c>
      <c r="W247" t="str">
        <f t="shared" si="299"/>
        <v>2</v>
      </c>
      <c r="X247" t="str">
        <f t="shared" si="301"/>
        <v>2</v>
      </c>
      <c r="Y247" t="str">
        <f t="shared" si="295"/>
        <v>2</v>
      </c>
      <c r="Z247" t="str">
        <f t="shared" si="295"/>
        <v>2</v>
      </c>
      <c r="AA247" t="str">
        <f t="shared" si="237"/>
        <v xml:space="preserve">          </v>
      </c>
      <c r="AB247" t="str">
        <f t="shared" si="227"/>
        <v>2</v>
      </c>
      <c r="AC247" t="str">
        <f t="shared" si="230"/>
        <v>2</v>
      </c>
      <c r="AD247" t="str">
        <f t="shared" si="296"/>
        <v>2</v>
      </c>
      <c r="AE247" t="str">
        <f t="shared" si="296"/>
        <v>2</v>
      </c>
      <c r="AF247" t="str">
        <f t="shared" si="296"/>
        <v>2</v>
      </c>
      <c r="AG247" t="str">
        <f t="shared" si="296"/>
        <v>2</v>
      </c>
      <c r="AH247" t="str">
        <f t="shared" si="302"/>
        <v>1</v>
      </c>
      <c r="AI247" t="str">
        <f t="shared" si="283"/>
        <v xml:space="preserve">1         </v>
      </c>
      <c r="AJ247" t="str">
        <f t="shared" si="286"/>
        <v>170</v>
      </c>
      <c r="AK247" t="str">
        <f>"13"</f>
        <v>13</v>
      </c>
      <c r="AL247" t="str">
        <f>"001"</f>
        <v>001</v>
      </c>
      <c r="AM247" t="str">
        <f>"05"</f>
        <v>05</v>
      </c>
      <c r="AN247" t="str">
        <f>"05001"</f>
        <v>05001</v>
      </c>
      <c r="AO247" t="str">
        <f>"19/02/2020 12:00:00 a. m."</f>
        <v>19/02/2020 12:00:00 a. m.</v>
      </c>
      <c r="AP247" t="str">
        <f>""</f>
        <v/>
      </c>
      <c r="AQ247" t="str">
        <f t="shared" si="297"/>
        <v>3</v>
      </c>
      <c r="AR247" t="str">
        <f t="shared" si="287"/>
        <v>1</v>
      </c>
      <c r="AS247" t="str">
        <f>"19/02/2020 12:00:00 a. m."</f>
        <v>19/02/2020 12:00:00 a. m.</v>
      </c>
      <c r="AT247" t="str">
        <f t="shared" si="291"/>
        <v>1</v>
      </c>
      <c r="AU247" t="str">
        <f>""</f>
        <v/>
      </c>
      <c r="AV247" t="str">
        <f>"7"</f>
        <v>7</v>
      </c>
      <c r="AW247" t="str">
        <f>"14/12/2014 12:00:00 a. m."</f>
        <v>14/12/2014 12:00:00 a. m.</v>
      </c>
      <c r="AX247" t="str">
        <f>""</f>
        <v/>
      </c>
      <c r="AY247" t="str">
        <f t="shared" si="239"/>
        <v>30/04/2021 12:00:00 a. m.</v>
      </c>
      <c r="AZ247" t="str">
        <f>"14/12/2020 12:00:00 a. m."</f>
        <v>14/12/2020 12:00:00 a. m.</v>
      </c>
      <c r="BA247" t="str">
        <f>""</f>
        <v/>
      </c>
      <c r="BB247" t="str">
        <f>""</f>
        <v/>
      </c>
      <c r="BC247" t="str">
        <f>""</f>
        <v/>
      </c>
      <c r="BD247" t="str">
        <f t="shared" si="298"/>
        <v>1</v>
      </c>
      <c r="BE247" t="str">
        <f t="shared" si="298"/>
        <v>1</v>
      </c>
      <c r="BF247" t="str">
        <f t="shared" si="240"/>
        <v xml:space="preserve">3         </v>
      </c>
      <c r="BG247" t="str">
        <f t="shared" si="241"/>
        <v>Confirmado por laboratorio</v>
      </c>
      <c r="BH247" t="str">
        <f>"FUNDACION HOSPITALARIA SAN VICENTE DE PAUL"</f>
        <v>FUNDACION HOSPITALARIA SAN VICENTE DE PAUL</v>
      </c>
      <c r="BI247" t="str">
        <f t="shared" si="288"/>
        <v>COLOMBIA</v>
      </c>
      <c r="BJ247" t="str">
        <f t="shared" si="242"/>
        <v>CANCER INFANTIL</v>
      </c>
      <c r="BK247" t="str">
        <f>"BOLIVAR"</f>
        <v>BOLIVAR</v>
      </c>
      <c r="BL247" t="str">
        <f>"CARTAGENA"</f>
        <v>CARTAGENA</v>
      </c>
      <c r="BM247" t="str">
        <f t="shared" si="289"/>
        <v>COLOMBIA</v>
      </c>
      <c r="BN247" t="str">
        <f>"BOLIVAR"</f>
        <v>BOLIVAR</v>
      </c>
      <c r="BO247" t="str">
        <f>"CARTAGENA"</f>
        <v>CARTAGENA</v>
      </c>
      <c r="BP247" t="str">
        <f>"ANTIOQUIA"</f>
        <v>ANTIOQUIA</v>
      </c>
      <c r="BQ247" t="str">
        <f>"MEDELLIN"</f>
        <v>MEDELLIN</v>
      </c>
    </row>
    <row r="248" spans="1:69" x14ac:dyDescent="0.25">
      <c r="A248" t="str">
        <f>"7279167"</f>
        <v>7279167</v>
      </c>
      <c r="B248" t="str">
        <f t="shared" si="235"/>
        <v>459</v>
      </c>
      <c r="C248" t="str">
        <f>"13/11/2020 12:00:00 a. m."</f>
        <v>13/11/2020 12:00:00 a. m.</v>
      </c>
      <c r="D248" t="str">
        <f>"40"</f>
        <v>40</v>
      </c>
      <c r="E248" t="str">
        <f t="shared" si="236"/>
        <v>2020</v>
      </c>
      <c r="F248" t="str">
        <f>"6600100762"</f>
        <v>6600100762</v>
      </c>
      <c r="G248" t="str">
        <f t="shared" si="293"/>
        <v>01</v>
      </c>
      <c r="H248" t="str">
        <f>"17"</f>
        <v>17</v>
      </c>
      <c r="I248" t="str">
        <f t="shared" si="294"/>
        <v>1</v>
      </c>
      <c r="J248" t="str">
        <f>"F"</f>
        <v>F</v>
      </c>
      <c r="K248" t="str">
        <f t="shared" si="285"/>
        <v>170</v>
      </c>
      <c r="L248" t="str">
        <f>"66"</f>
        <v>66</v>
      </c>
      <c r="M248" t="str">
        <f>"001"</f>
        <v>001</v>
      </c>
      <c r="N248" t="str">
        <f t="shared" si="303"/>
        <v>1</v>
      </c>
      <c r="O248" t="str">
        <f>"9999"</f>
        <v>9999</v>
      </c>
      <c r="P248" t="str">
        <f>"S"</f>
        <v>S</v>
      </c>
      <c r="Q248" t="str">
        <f>"ESS062"</f>
        <v>ESS062</v>
      </c>
      <c r="R248" t="str">
        <f t="shared" si="277"/>
        <v>6</v>
      </c>
      <c r="S248" t="str">
        <f>""</f>
        <v/>
      </c>
      <c r="T248" t="str">
        <f t="shared" si="265"/>
        <v xml:space="preserve">                                                                                                    </v>
      </c>
      <c r="U248" t="str">
        <f>"3         "</f>
        <v xml:space="preserve">3         </v>
      </c>
      <c r="V248" t="str">
        <f t="shared" si="300"/>
        <v>2</v>
      </c>
      <c r="W248" t="str">
        <f t="shared" si="299"/>
        <v>2</v>
      </c>
      <c r="X248" t="str">
        <f t="shared" si="301"/>
        <v>2</v>
      </c>
      <c r="Y248" t="str">
        <f t="shared" si="295"/>
        <v>2</v>
      </c>
      <c r="Z248" t="str">
        <f t="shared" si="295"/>
        <v>2</v>
      </c>
      <c r="AA248" t="str">
        <f t="shared" si="237"/>
        <v xml:space="preserve">          </v>
      </c>
      <c r="AB248" t="str">
        <f t="shared" si="227"/>
        <v>2</v>
      </c>
      <c r="AC248" t="str">
        <f t="shared" si="230"/>
        <v>2</v>
      </c>
      <c r="AD248" t="str">
        <f t="shared" si="296"/>
        <v>2</v>
      </c>
      <c r="AE248" t="str">
        <f t="shared" si="296"/>
        <v>2</v>
      </c>
      <c r="AF248" t="str">
        <f t="shared" si="296"/>
        <v>2</v>
      </c>
      <c r="AG248" t="str">
        <f t="shared" si="296"/>
        <v>2</v>
      </c>
      <c r="AH248" t="str">
        <f t="shared" si="302"/>
        <v>1</v>
      </c>
      <c r="AI248" t="str">
        <f t="shared" si="283"/>
        <v xml:space="preserve">1         </v>
      </c>
      <c r="AJ248" t="str">
        <f t="shared" si="286"/>
        <v>170</v>
      </c>
      <c r="AK248" t="str">
        <f>"66"</f>
        <v>66</v>
      </c>
      <c r="AL248" t="str">
        <f>"001"</f>
        <v>001</v>
      </c>
      <c r="AM248" t="str">
        <f>"66"</f>
        <v>66</v>
      </c>
      <c r="AN248" t="str">
        <f>"66001"</f>
        <v>66001</v>
      </c>
      <c r="AO248" t="str">
        <f>"29/09/2020 12:00:00 a. m."</f>
        <v>29/09/2020 12:00:00 a. m.</v>
      </c>
      <c r="AP248" t="str">
        <f>"29/09/2020 12:00:00 a. m."</f>
        <v>29/09/2020 12:00:00 a. m.</v>
      </c>
      <c r="AQ248" t="str">
        <f t="shared" si="297"/>
        <v>3</v>
      </c>
      <c r="AR248" t="str">
        <f>"2"</f>
        <v>2</v>
      </c>
      <c r="AS248" t="str">
        <f>""</f>
        <v/>
      </c>
      <c r="AT248" t="str">
        <f t="shared" si="291"/>
        <v>1</v>
      </c>
      <c r="AU248" t="str">
        <f>""</f>
        <v/>
      </c>
      <c r="AV248" t="str">
        <f>"0"</f>
        <v>0</v>
      </c>
      <c r="AW248" t="str">
        <f>"12/05/2003 12:00:00 a. m."</f>
        <v>12/05/2003 12:00:00 a. m.</v>
      </c>
      <c r="AX248" t="str">
        <f>""</f>
        <v/>
      </c>
      <c r="AY248" t="str">
        <f t="shared" si="239"/>
        <v>30/04/2021 12:00:00 a. m.</v>
      </c>
      <c r="AZ248" t="str">
        <f>"27/11/2020 12:00:00 a. m."</f>
        <v>27/11/2020 12:00:00 a. m.</v>
      </c>
      <c r="BA248" t="str">
        <f>""</f>
        <v/>
      </c>
      <c r="BB248" t="str">
        <f>""</f>
        <v/>
      </c>
      <c r="BC248" t="str">
        <f>""</f>
        <v/>
      </c>
      <c r="BD248" t="str">
        <f t="shared" si="298"/>
        <v>1</v>
      </c>
      <c r="BE248" t="str">
        <f t="shared" si="298"/>
        <v>1</v>
      </c>
      <c r="BF248" t="str">
        <f t="shared" si="240"/>
        <v xml:space="preserve">3         </v>
      </c>
      <c r="BG248" t="str">
        <f t="shared" si="241"/>
        <v>Confirmado por laboratorio</v>
      </c>
      <c r="BH248" t="str">
        <f>"HOSPITAL UNIVERSITARIO SAN JORGE DE PEREIRA"</f>
        <v>HOSPITAL UNIVERSITARIO SAN JORGE DE PEREIRA</v>
      </c>
      <c r="BI248" t="str">
        <f t="shared" si="288"/>
        <v>COLOMBIA</v>
      </c>
      <c r="BJ248" t="str">
        <f t="shared" si="242"/>
        <v>CANCER INFANTIL</v>
      </c>
      <c r="BK248" t="str">
        <f>"RISARALDA"</f>
        <v>RISARALDA</v>
      </c>
      <c r="BL248" t="str">
        <f>"PEREIRA"</f>
        <v>PEREIRA</v>
      </c>
      <c r="BM248" t="str">
        <f t="shared" si="289"/>
        <v>COLOMBIA</v>
      </c>
      <c r="BN248" t="str">
        <f>"RISARALDA"</f>
        <v>RISARALDA</v>
      </c>
      <c r="BO248" t="str">
        <f>"PEREIRA"</f>
        <v>PEREIRA</v>
      </c>
      <c r="BP248" t="str">
        <f>"RISARALDA"</f>
        <v>RISARALDA</v>
      </c>
      <c r="BQ248" t="str">
        <f>"PEREIRA"</f>
        <v>PEREIRA</v>
      </c>
    </row>
    <row r="249" spans="1:69" x14ac:dyDescent="0.25">
      <c r="A249" t="str">
        <f>"7279111"</f>
        <v>7279111</v>
      </c>
      <c r="B249" t="str">
        <f t="shared" si="235"/>
        <v>459</v>
      </c>
      <c r="C249" t="str">
        <f>"10/08/2020 12:00:00 a. m."</f>
        <v>10/08/2020 12:00:00 a. m.</v>
      </c>
      <c r="D249" t="str">
        <f>"31"</f>
        <v>31</v>
      </c>
      <c r="E249" t="str">
        <f t="shared" si="236"/>
        <v>2020</v>
      </c>
      <c r="F249" t="str">
        <f>"6827601666"</f>
        <v>6827601666</v>
      </c>
      <c r="G249" t="str">
        <f t="shared" si="293"/>
        <v>01</v>
      </c>
      <c r="H249" t="str">
        <f>"8"</f>
        <v>8</v>
      </c>
      <c r="I249" t="str">
        <f t="shared" si="294"/>
        <v>1</v>
      </c>
      <c r="J249" t="str">
        <f>"M"</f>
        <v>M</v>
      </c>
      <c r="K249" t="str">
        <f t="shared" si="285"/>
        <v>170</v>
      </c>
      <c r="L249" t="str">
        <f>"68"</f>
        <v>68</v>
      </c>
      <c r="M249" t="str">
        <f>"001"</f>
        <v>001</v>
      </c>
      <c r="N249" t="str">
        <f t="shared" si="303"/>
        <v>1</v>
      </c>
      <c r="O249" t="str">
        <f>"9997"</f>
        <v>9997</v>
      </c>
      <c r="P249" t="str">
        <f>"C"</f>
        <v>C</v>
      </c>
      <c r="Q249" t="str">
        <f>"EPS002"</f>
        <v>EPS002</v>
      </c>
      <c r="R249" t="str">
        <f t="shared" si="277"/>
        <v>6</v>
      </c>
      <c r="S249" t="str">
        <f>""</f>
        <v/>
      </c>
      <c r="T249" t="str">
        <f t="shared" si="265"/>
        <v xml:space="preserve">                                                                                                    </v>
      </c>
      <c r="U249" t="str">
        <f>"4         "</f>
        <v xml:space="preserve">4         </v>
      </c>
      <c r="V249" t="str">
        <f t="shared" si="300"/>
        <v>2</v>
      </c>
      <c r="W249" t="str">
        <f t="shared" si="299"/>
        <v>2</v>
      </c>
      <c r="X249" t="str">
        <f t="shared" si="301"/>
        <v>2</v>
      </c>
      <c r="Y249" t="str">
        <f t="shared" si="295"/>
        <v>2</v>
      </c>
      <c r="Z249" t="str">
        <f t="shared" si="295"/>
        <v>2</v>
      </c>
      <c r="AA249" t="str">
        <f t="shared" si="237"/>
        <v xml:space="preserve">          </v>
      </c>
      <c r="AB249" t="str">
        <f t="shared" si="227"/>
        <v>2</v>
      </c>
      <c r="AC249" t="str">
        <f t="shared" si="230"/>
        <v>2</v>
      </c>
      <c r="AD249" t="str">
        <f t="shared" si="296"/>
        <v>2</v>
      </c>
      <c r="AE249" t="str">
        <f t="shared" si="296"/>
        <v>2</v>
      </c>
      <c r="AF249" t="str">
        <f t="shared" si="296"/>
        <v>2</v>
      </c>
      <c r="AG249" t="str">
        <f t="shared" si="296"/>
        <v>2</v>
      </c>
      <c r="AH249" t="str">
        <f t="shared" si="302"/>
        <v>1</v>
      </c>
      <c r="AI249" t="str">
        <f t="shared" si="283"/>
        <v xml:space="preserve">1         </v>
      </c>
      <c r="AJ249" t="str">
        <f t="shared" si="286"/>
        <v>170</v>
      </c>
      <c r="AK249" t="str">
        <f>"68"</f>
        <v>68</v>
      </c>
      <c r="AL249" t="str">
        <f>"001"</f>
        <v>001</v>
      </c>
      <c r="AM249" t="str">
        <f>"68"</f>
        <v>68</v>
      </c>
      <c r="AN249" t="str">
        <f>"68276"</f>
        <v>68276</v>
      </c>
      <c r="AO249" t="str">
        <f>"28/07/2020 12:00:00 a. m."</f>
        <v>28/07/2020 12:00:00 a. m.</v>
      </c>
      <c r="AP249" t="str">
        <f>"1/05/2020 12:00:00 a. m."</f>
        <v>1/05/2020 12:00:00 a. m.</v>
      </c>
      <c r="AQ249" t="str">
        <f t="shared" si="297"/>
        <v>3</v>
      </c>
      <c r="AR249" t="str">
        <f t="shared" ref="AR249:AR270" si="304">"1"</f>
        <v>1</v>
      </c>
      <c r="AS249" t="str">
        <f>"28/07/2020 12:00:00 a. m."</f>
        <v>28/07/2020 12:00:00 a. m.</v>
      </c>
      <c r="AT249" t="str">
        <f t="shared" si="291"/>
        <v>1</v>
      </c>
      <c r="AU249" t="str">
        <f>""</f>
        <v/>
      </c>
      <c r="AV249" t="str">
        <f>"0"</f>
        <v>0</v>
      </c>
      <c r="AW249" t="str">
        <f>"15/11/2011 12:00:00 a. m."</f>
        <v>15/11/2011 12:00:00 a. m.</v>
      </c>
      <c r="AX249" t="str">
        <f>""</f>
        <v/>
      </c>
      <c r="AY249" t="str">
        <f t="shared" si="239"/>
        <v>30/04/2021 12:00:00 a. m.</v>
      </c>
      <c r="AZ249" t="str">
        <f>"14/08/2020 12:00:00 a. m."</f>
        <v>14/08/2020 12:00:00 a. m.</v>
      </c>
      <c r="BA249" t="str">
        <f>""</f>
        <v/>
      </c>
      <c r="BB249" t="str">
        <f>""</f>
        <v/>
      </c>
      <c r="BC249" t="str">
        <f>""</f>
        <v/>
      </c>
      <c r="BD249" t="str">
        <f t="shared" si="298"/>
        <v>1</v>
      </c>
      <c r="BE249" t="str">
        <f t="shared" si="298"/>
        <v>1</v>
      </c>
      <c r="BF249" t="str">
        <f t="shared" si="240"/>
        <v xml:space="preserve">3         </v>
      </c>
      <c r="BG249" t="str">
        <f t="shared" si="241"/>
        <v>Confirmado por laboratorio</v>
      </c>
      <c r="BH249" t="str">
        <f>"FUNDACION OFTALMOLOGICA DE SDER FOSCAL"</f>
        <v>FUNDACION OFTALMOLOGICA DE SDER FOSCAL</v>
      </c>
      <c r="BI249" t="str">
        <f t="shared" si="288"/>
        <v>COLOMBIA</v>
      </c>
      <c r="BJ249" t="str">
        <f t="shared" si="242"/>
        <v>CANCER INFANTIL</v>
      </c>
      <c r="BK249" t="str">
        <f>"SANTANDER"</f>
        <v>SANTANDER</v>
      </c>
      <c r="BL249" t="str">
        <f>"BUCARAMANGA"</f>
        <v>BUCARAMANGA</v>
      </c>
      <c r="BM249" t="str">
        <f t="shared" si="289"/>
        <v>COLOMBIA</v>
      </c>
      <c r="BN249" t="str">
        <f>"SANTANDER"</f>
        <v>SANTANDER</v>
      </c>
      <c r="BO249" t="str">
        <f>"BUCARAMANGA"</f>
        <v>BUCARAMANGA</v>
      </c>
      <c r="BP249" t="str">
        <f>"SANTANDER"</f>
        <v>SANTANDER</v>
      </c>
      <c r="BQ249" t="str">
        <f>"FLORIDABLANCA"</f>
        <v>FLORIDABLANCA</v>
      </c>
    </row>
    <row r="250" spans="1:69" x14ac:dyDescent="0.25">
      <c r="A250" t="str">
        <f>"7279039"</f>
        <v>7279039</v>
      </c>
      <c r="B250" t="str">
        <f t="shared" si="235"/>
        <v>459</v>
      </c>
      <c r="C250" t="str">
        <f>"2/06/2020 12:00:00 a. m."</f>
        <v>2/06/2020 12:00:00 a. m.</v>
      </c>
      <c r="D250" t="str">
        <f>"22"</f>
        <v>22</v>
      </c>
      <c r="E250" t="str">
        <f t="shared" si="236"/>
        <v>2020</v>
      </c>
      <c r="F250" t="str">
        <f>"5200100283"</f>
        <v>5200100283</v>
      </c>
      <c r="G250" t="str">
        <f t="shared" si="293"/>
        <v>01</v>
      </c>
      <c r="H250" t="str">
        <f>"16"</f>
        <v>16</v>
      </c>
      <c r="I250" t="str">
        <f t="shared" si="294"/>
        <v>1</v>
      </c>
      <c r="J250" t="str">
        <f>"M"</f>
        <v>M</v>
      </c>
      <c r="K250" t="str">
        <f t="shared" si="285"/>
        <v>170</v>
      </c>
      <c r="L250" t="str">
        <f>"52"</f>
        <v>52</v>
      </c>
      <c r="M250" t="str">
        <f>"835"</f>
        <v>835</v>
      </c>
      <c r="N250" t="str">
        <f t="shared" si="303"/>
        <v>1</v>
      </c>
      <c r="O250" t="str">
        <f>"9997"</f>
        <v>9997</v>
      </c>
      <c r="P250" t="str">
        <f>"S"</f>
        <v>S</v>
      </c>
      <c r="Q250" t="str">
        <f>"ESS062"</f>
        <v>ESS062</v>
      </c>
      <c r="R250" t="str">
        <f>"5"</f>
        <v>5</v>
      </c>
      <c r="S250" t="str">
        <f>""</f>
        <v/>
      </c>
      <c r="T250" t="str">
        <f t="shared" si="265"/>
        <v xml:space="preserve">                                                                                                    </v>
      </c>
      <c r="U250" t="str">
        <f>"1         "</f>
        <v xml:space="preserve">1         </v>
      </c>
      <c r="V250" t="str">
        <f t="shared" si="300"/>
        <v>2</v>
      </c>
      <c r="W250" t="str">
        <f t="shared" si="299"/>
        <v>2</v>
      </c>
      <c r="X250" t="str">
        <f t="shared" si="301"/>
        <v>2</v>
      </c>
      <c r="Y250" t="str">
        <f t="shared" si="295"/>
        <v>2</v>
      </c>
      <c r="Z250" t="str">
        <f t="shared" si="295"/>
        <v>2</v>
      </c>
      <c r="AA250" t="str">
        <f t="shared" si="237"/>
        <v xml:space="preserve">          </v>
      </c>
      <c r="AB250" t="str">
        <f t="shared" si="227"/>
        <v>2</v>
      </c>
      <c r="AC250" t="str">
        <f t="shared" si="230"/>
        <v>2</v>
      </c>
      <c r="AD250" t="str">
        <f t="shared" si="296"/>
        <v>2</v>
      </c>
      <c r="AE250" t="str">
        <f t="shared" si="296"/>
        <v>2</v>
      </c>
      <c r="AF250" t="str">
        <f t="shared" si="296"/>
        <v>2</v>
      </c>
      <c r="AG250" t="str">
        <f t="shared" si="296"/>
        <v>2</v>
      </c>
      <c r="AH250" t="str">
        <f t="shared" si="302"/>
        <v>1</v>
      </c>
      <c r="AI250" t="str">
        <f t="shared" si="283"/>
        <v xml:space="preserve">1         </v>
      </c>
      <c r="AJ250" t="str">
        <f t="shared" si="286"/>
        <v>170</v>
      </c>
      <c r="AK250" t="str">
        <f>"52"</f>
        <v>52</v>
      </c>
      <c r="AL250" t="str">
        <f>"835"</f>
        <v>835</v>
      </c>
      <c r="AM250" t="str">
        <f>"52"</f>
        <v>52</v>
      </c>
      <c r="AN250" t="str">
        <f>"52001"</f>
        <v>52001</v>
      </c>
      <c r="AO250" t="str">
        <f>"30/05/2020 12:00:00 a. m."</f>
        <v>30/05/2020 12:00:00 a. m.</v>
      </c>
      <c r="AP250" t="str">
        <f>"30/04/2020 12:00:00 a. m."</f>
        <v>30/04/2020 12:00:00 a. m.</v>
      </c>
      <c r="AQ250" t="str">
        <f>"2"</f>
        <v>2</v>
      </c>
      <c r="AR250" t="str">
        <f t="shared" si="304"/>
        <v>1</v>
      </c>
      <c r="AS250" t="str">
        <f>"30/05/2020 12:00:00 a. m."</f>
        <v>30/05/2020 12:00:00 a. m.</v>
      </c>
      <c r="AT250" t="str">
        <f t="shared" si="291"/>
        <v>1</v>
      </c>
      <c r="AU250" t="str">
        <f>""</f>
        <v/>
      </c>
      <c r="AV250" t="str">
        <f>"3"</f>
        <v>3</v>
      </c>
      <c r="AW250" t="str">
        <f>"12/02/2004 12:00:00 a. m."</f>
        <v>12/02/2004 12:00:00 a. m.</v>
      </c>
      <c r="AX250" t="str">
        <f>""</f>
        <v/>
      </c>
      <c r="AY250" t="str">
        <f t="shared" si="239"/>
        <v>30/04/2021 12:00:00 a. m.</v>
      </c>
      <c r="AZ250" t="str">
        <f>"15/07/2020 12:00:00 a. m."</f>
        <v>15/07/2020 12:00:00 a. m.</v>
      </c>
      <c r="BA250" t="str">
        <f>""</f>
        <v/>
      </c>
      <c r="BB250" t="str">
        <f>""</f>
        <v/>
      </c>
      <c r="BC250" t="str">
        <f>""</f>
        <v/>
      </c>
      <c r="BD250" t="str">
        <f t="shared" si="298"/>
        <v>1</v>
      </c>
      <c r="BE250" t="str">
        <f t="shared" si="298"/>
        <v>1</v>
      </c>
      <c r="BF250" t="str">
        <f t="shared" si="240"/>
        <v xml:space="preserve">3         </v>
      </c>
      <c r="BG250" t="str">
        <f t="shared" si="241"/>
        <v>Confirmado por laboratorio</v>
      </c>
      <c r="BH250" t="str">
        <f>"HOSPITAL INFANTIL LOS ANGELES"</f>
        <v>HOSPITAL INFANTIL LOS ANGELES</v>
      </c>
      <c r="BI250" t="str">
        <f t="shared" si="288"/>
        <v>COLOMBIA</v>
      </c>
      <c r="BJ250" t="str">
        <f t="shared" si="242"/>
        <v>CANCER INFANTIL</v>
      </c>
      <c r="BK250" t="str">
        <f>"NARIÑO"</f>
        <v>NARIÑO</v>
      </c>
      <c r="BL250" t="str">
        <f>"TUMACO"</f>
        <v>TUMACO</v>
      </c>
      <c r="BM250" t="str">
        <f t="shared" si="289"/>
        <v>COLOMBIA</v>
      </c>
      <c r="BN250" t="str">
        <f>"NARIÑO"</f>
        <v>NARIÑO</v>
      </c>
      <c r="BO250" t="str">
        <f>"TUMACO"</f>
        <v>TUMACO</v>
      </c>
      <c r="BP250" t="str">
        <f>"NARIÑO"</f>
        <v>NARIÑO</v>
      </c>
      <c r="BQ250" t="str">
        <f>"PASTO"</f>
        <v>PASTO</v>
      </c>
    </row>
    <row r="251" spans="1:69" x14ac:dyDescent="0.25">
      <c r="A251" t="str">
        <f>"7279040"</f>
        <v>7279040</v>
      </c>
      <c r="B251" t="str">
        <f t="shared" si="235"/>
        <v>459</v>
      </c>
      <c r="C251" t="str">
        <f>"20/10/2020 12:00:00 a. m."</f>
        <v>20/10/2020 12:00:00 a. m.</v>
      </c>
      <c r="D251" t="str">
        <f>"43"</f>
        <v>43</v>
      </c>
      <c r="E251" t="str">
        <f t="shared" si="236"/>
        <v>2020</v>
      </c>
      <c r="F251" t="str">
        <f>"5200100283"</f>
        <v>5200100283</v>
      </c>
      <c r="G251" t="str">
        <f t="shared" si="293"/>
        <v>01</v>
      </c>
      <c r="H251" t="str">
        <f>"3"</f>
        <v>3</v>
      </c>
      <c r="I251" t="str">
        <f t="shared" si="294"/>
        <v>1</v>
      </c>
      <c r="J251" t="str">
        <f>"F"</f>
        <v>F</v>
      </c>
      <c r="K251" t="str">
        <f t="shared" si="285"/>
        <v>170</v>
      </c>
      <c r="L251" t="str">
        <f>"52"</f>
        <v>52</v>
      </c>
      <c r="M251" t="str">
        <f>"835"</f>
        <v>835</v>
      </c>
      <c r="N251" t="str">
        <f t="shared" si="303"/>
        <v>1</v>
      </c>
      <c r="O251" t="str">
        <f>"9999"</f>
        <v>9999</v>
      </c>
      <c r="P251" t="str">
        <f>"S"</f>
        <v>S</v>
      </c>
      <c r="Q251" t="str">
        <f>"ESS118"</f>
        <v>ESS118</v>
      </c>
      <c r="R251" t="str">
        <f t="shared" ref="R251:R282" si="305">"6"</f>
        <v>6</v>
      </c>
      <c r="S251" t="str">
        <f>""</f>
        <v/>
      </c>
      <c r="T251" t="str">
        <f t="shared" si="265"/>
        <v xml:space="preserve">                                                                                                    </v>
      </c>
      <c r="U251" t="str">
        <f>"1         "</f>
        <v xml:space="preserve">1         </v>
      </c>
      <c r="V251" t="str">
        <f t="shared" si="300"/>
        <v>2</v>
      </c>
      <c r="W251" t="str">
        <f t="shared" si="299"/>
        <v>2</v>
      </c>
      <c r="X251" t="str">
        <f t="shared" si="301"/>
        <v>2</v>
      </c>
      <c r="Y251" t="str">
        <f t="shared" si="295"/>
        <v>2</v>
      </c>
      <c r="Z251" t="str">
        <f t="shared" si="295"/>
        <v>2</v>
      </c>
      <c r="AA251" t="str">
        <f t="shared" si="237"/>
        <v xml:space="preserve">          </v>
      </c>
      <c r="AB251" t="str">
        <f t="shared" si="227"/>
        <v>2</v>
      </c>
      <c r="AC251" t="str">
        <f t="shared" si="230"/>
        <v>2</v>
      </c>
      <c r="AD251" t="str">
        <f t="shared" si="296"/>
        <v>2</v>
      </c>
      <c r="AE251" t="str">
        <f t="shared" si="296"/>
        <v>2</v>
      </c>
      <c r="AF251" t="str">
        <f t="shared" si="296"/>
        <v>2</v>
      </c>
      <c r="AG251" t="str">
        <f t="shared" si="296"/>
        <v>2</v>
      </c>
      <c r="AH251" t="str">
        <f t="shared" si="302"/>
        <v>1</v>
      </c>
      <c r="AI251" t="str">
        <f t="shared" si="283"/>
        <v xml:space="preserve">1         </v>
      </c>
      <c r="AJ251" t="str">
        <f t="shared" si="286"/>
        <v>170</v>
      </c>
      <c r="AK251" t="str">
        <f>"52"</f>
        <v>52</v>
      </c>
      <c r="AL251" t="str">
        <f>"835"</f>
        <v>835</v>
      </c>
      <c r="AM251" t="str">
        <f>"52"</f>
        <v>52</v>
      </c>
      <c r="AN251" t="str">
        <f>"52001"</f>
        <v>52001</v>
      </c>
      <c r="AO251" t="str">
        <f>"18/10/2020 12:00:00 a. m."</f>
        <v>18/10/2020 12:00:00 a. m.</v>
      </c>
      <c r="AP251" t="str">
        <f>"7/08/2020 12:00:00 a. m."</f>
        <v>7/08/2020 12:00:00 a. m.</v>
      </c>
      <c r="AQ251" t="str">
        <f>"2"</f>
        <v>2</v>
      </c>
      <c r="AR251" t="str">
        <f t="shared" si="304"/>
        <v>1</v>
      </c>
      <c r="AS251" t="str">
        <f>"18/10/2020 12:00:00 a. m."</f>
        <v>18/10/2020 12:00:00 a. m.</v>
      </c>
      <c r="AT251" t="str">
        <f t="shared" si="291"/>
        <v>1</v>
      </c>
      <c r="AU251" t="str">
        <f>""</f>
        <v/>
      </c>
      <c r="AV251" t="str">
        <f>"3"</f>
        <v>3</v>
      </c>
      <c r="AW251" t="str">
        <f>"18/10/2017 12:00:00 a. m."</f>
        <v>18/10/2017 12:00:00 a. m.</v>
      </c>
      <c r="AX251" t="str">
        <f>""</f>
        <v/>
      </c>
      <c r="AY251" t="str">
        <f t="shared" si="239"/>
        <v>30/04/2021 12:00:00 a. m.</v>
      </c>
      <c r="AZ251" t="str">
        <f>"9/02/2021 12:00:00 a. m."</f>
        <v>9/02/2021 12:00:00 a. m.</v>
      </c>
      <c r="BA251" t="str">
        <f>""</f>
        <v/>
      </c>
      <c r="BB251" t="str">
        <f>""</f>
        <v/>
      </c>
      <c r="BC251" t="str">
        <f>""</f>
        <v/>
      </c>
      <c r="BD251" t="str">
        <f t="shared" si="298"/>
        <v>1</v>
      </c>
      <c r="BE251" t="str">
        <f t="shared" si="298"/>
        <v>1</v>
      </c>
      <c r="BF251" t="str">
        <f t="shared" si="240"/>
        <v xml:space="preserve">3         </v>
      </c>
      <c r="BG251" t="str">
        <f t="shared" si="241"/>
        <v>Confirmado por laboratorio</v>
      </c>
      <c r="BH251" t="str">
        <f>"HOSPITAL INFANTIL LOS ANGELES"</f>
        <v>HOSPITAL INFANTIL LOS ANGELES</v>
      </c>
      <c r="BI251" t="str">
        <f t="shared" si="288"/>
        <v>COLOMBIA</v>
      </c>
      <c r="BJ251" t="str">
        <f t="shared" si="242"/>
        <v>CANCER INFANTIL</v>
      </c>
      <c r="BK251" t="str">
        <f>"NARIÑO"</f>
        <v>NARIÑO</v>
      </c>
      <c r="BL251" t="str">
        <f>"TUMACO"</f>
        <v>TUMACO</v>
      </c>
      <c r="BM251" t="str">
        <f t="shared" si="289"/>
        <v>COLOMBIA</v>
      </c>
      <c r="BN251" t="str">
        <f>"NARIÑO"</f>
        <v>NARIÑO</v>
      </c>
      <c r="BO251" t="str">
        <f>"TUMACO"</f>
        <v>TUMACO</v>
      </c>
      <c r="BP251" t="str">
        <f>"NARIÑO"</f>
        <v>NARIÑO</v>
      </c>
      <c r="BQ251" t="str">
        <f>"PASTO"</f>
        <v>PASTO</v>
      </c>
    </row>
    <row r="252" spans="1:69" x14ac:dyDescent="0.25">
      <c r="A252" t="str">
        <f>"7279107"</f>
        <v>7279107</v>
      </c>
      <c r="B252" t="str">
        <f t="shared" si="235"/>
        <v>459</v>
      </c>
      <c r="C252" t="str">
        <f>"19/10/2020 12:00:00 a. m."</f>
        <v>19/10/2020 12:00:00 a. m.</v>
      </c>
      <c r="D252" t="str">
        <f>"38"</f>
        <v>38</v>
      </c>
      <c r="E252" t="str">
        <f t="shared" si="236"/>
        <v>2020</v>
      </c>
      <c r="F252" t="str">
        <f>"1100116133"</f>
        <v>1100116133</v>
      </c>
      <c r="G252" t="str">
        <f t="shared" si="293"/>
        <v>01</v>
      </c>
      <c r="H252" t="str">
        <f>"13"</f>
        <v>13</v>
      </c>
      <c r="I252" t="str">
        <f t="shared" si="294"/>
        <v>1</v>
      </c>
      <c r="J252" t="str">
        <f>"M"</f>
        <v>M</v>
      </c>
      <c r="K252" t="str">
        <f t="shared" si="285"/>
        <v>170</v>
      </c>
      <c r="L252" t="str">
        <f>"25"</f>
        <v>25</v>
      </c>
      <c r="M252" t="str">
        <f>"799"</f>
        <v>799</v>
      </c>
      <c r="N252" t="str">
        <f t="shared" si="303"/>
        <v>1</v>
      </c>
      <c r="O252" t="str">
        <f>"9997"</f>
        <v>9997</v>
      </c>
      <c r="P252" t="str">
        <f>"C"</f>
        <v>C</v>
      </c>
      <c r="Q252" t="str">
        <f>"EPS008"</f>
        <v>EPS008</v>
      </c>
      <c r="R252" t="str">
        <f t="shared" si="305"/>
        <v>6</v>
      </c>
      <c r="S252" t="str">
        <f>""</f>
        <v/>
      </c>
      <c r="T252" t="str">
        <f t="shared" si="265"/>
        <v xml:space="preserve">                                                                                                    </v>
      </c>
      <c r="U252" t="str">
        <f>"2         "</f>
        <v xml:space="preserve">2         </v>
      </c>
      <c r="V252" t="str">
        <f t="shared" si="300"/>
        <v>2</v>
      </c>
      <c r="W252" t="str">
        <f t="shared" si="299"/>
        <v>2</v>
      </c>
      <c r="X252" t="str">
        <f t="shared" si="301"/>
        <v>2</v>
      </c>
      <c r="Y252" t="str">
        <f t="shared" si="295"/>
        <v>2</v>
      </c>
      <c r="Z252" t="str">
        <f t="shared" si="295"/>
        <v>2</v>
      </c>
      <c r="AA252" t="str">
        <f t="shared" si="237"/>
        <v xml:space="preserve">          </v>
      </c>
      <c r="AB252" t="str">
        <f t="shared" ref="AB252:AB315" si="306">"2"</f>
        <v>2</v>
      </c>
      <c r="AC252" t="str">
        <f t="shared" si="230"/>
        <v>2</v>
      </c>
      <c r="AD252" t="str">
        <f t="shared" si="296"/>
        <v>2</v>
      </c>
      <c r="AE252" t="str">
        <f t="shared" si="296"/>
        <v>2</v>
      </c>
      <c r="AF252" t="str">
        <f t="shared" si="296"/>
        <v>2</v>
      </c>
      <c r="AG252" t="str">
        <f t="shared" si="296"/>
        <v>2</v>
      </c>
      <c r="AH252" t="str">
        <f t="shared" si="302"/>
        <v>1</v>
      </c>
      <c r="AI252" t="str">
        <f>"2         "</f>
        <v xml:space="preserve">2         </v>
      </c>
      <c r="AJ252" t="str">
        <f t="shared" si="286"/>
        <v>170</v>
      </c>
      <c r="AK252" t="str">
        <f>"25"</f>
        <v>25</v>
      </c>
      <c r="AL252" t="str">
        <f>"799"</f>
        <v>799</v>
      </c>
      <c r="AM252" t="str">
        <f>"11"</f>
        <v>11</v>
      </c>
      <c r="AN252" t="str">
        <f>"11001"</f>
        <v>11001</v>
      </c>
      <c r="AO252" t="str">
        <f>"19/09/2020 12:00:00 a. m."</f>
        <v>19/09/2020 12:00:00 a. m.</v>
      </c>
      <c r="AP252" t="str">
        <f>"19/09/2020 12:00:00 a. m."</f>
        <v>19/09/2020 12:00:00 a. m.</v>
      </c>
      <c r="AQ252" t="str">
        <f>"3"</f>
        <v>3</v>
      </c>
      <c r="AR252" t="str">
        <f t="shared" si="304"/>
        <v>1</v>
      </c>
      <c r="AS252" t="str">
        <f>"19/09/2020 12:00:00 a. m."</f>
        <v>19/09/2020 12:00:00 a. m.</v>
      </c>
      <c r="AT252" t="str">
        <f t="shared" si="291"/>
        <v>1</v>
      </c>
      <c r="AU252" t="str">
        <f>""</f>
        <v/>
      </c>
      <c r="AV252" t="str">
        <f>"0"</f>
        <v>0</v>
      </c>
      <c r="AW252" t="str">
        <f>"3/08/2007 12:00:00 a. m."</f>
        <v>3/08/2007 12:00:00 a. m.</v>
      </c>
      <c r="AX252" t="str">
        <f>""</f>
        <v/>
      </c>
      <c r="AY252" t="str">
        <f t="shared" si="239"/>
        <v>30/04/2021 12:00:00 a. m.</v>
      </c>
      <c r="AZ252" t="str">
        <f>"19/10/2020 12:00:00 a. m."</f>
        <v>19/10/2020 12:00:00 a. m.</v>
      </c>
      <c r="BA252" t="str">
        <f>""</f>
        <v/>
      </c>
      <c r="BB252" t="str">
        <f>""</f>
        <v/>
      </c>
      <c r="BC252" t="str">
        <f>""</f>
        <v/>
      </c>
      <c r="BD252" t="str">
        <f t="shared" si="298"/>
        <v>1</v>
      </c>
      <c r="BE252" t="str">
        <f t="shared" si="298"/>
        <v>1</v>
      </c>
      <c r="BF252" t="str">
        <f t="shared" si="240"/>
        <v xml:space="preserve">3         </v>
      </c>
      <c r="BG252" t="str">
        <f t="shared" si="241"/>
        <v>Confirmado por laboratorio</v>
      </c>
      <c r="BH252" t="str">
        <f>"FUNDACION HOSPITAL INFANTIL UNIVERSITARIO DE SAN"</f>
        <v>FUNDACION HOSPITAL INFANTIL UNIVERSITARIO DE SAN</v>
      </c>
      <c r="BI252" t="str">
        <f t="shared" si="288"/>
        <v>COLOMBIA</v>
      </c>
      <c r="BJ252" t="str">
        <f t="shared" si="242"/>
        <v>CANCER INFANTIL</v>
      </c>
      <c r="BK252" t="str">
        <f>"CUNDINAMARCA"</f>
        <v>CUNDINAMARCA</v>
      </c>
      <c r="BL252" t="str">
        <f>"TENJO"</f>
        <v>TENJO</v>
      </c>
      <c r="BM252" t="str">
        <f t="shared" si="289"/>
        <v>COLOMBIA</v>
      </c>
      <c r="BN252" t="str">
        <f>"CUNDINAMARCA"</f>
        <v>CUNDINAMARCA</v>
      </c>
      <c r="BO252" t="str">
        <f>"TENJO"</f>
        <v>TENJO</v>
      </c>
      <c r="BP252" t="str">
        <f>"BOGOTA"</f>
        <v>BOGOTA</v>
      </c>
      <c r="BQ252" t="str">
        <f>"BOGOTA"</f>
        <v>BOGOTA</v>
      </c>
    </row>
    <row r="253" spans="1:69" x14ac:dyDescent="0.25">
      <c r="A253" t="str">
        <f>"7278966"</f>
        <v>7278966</v>
      </c>
      <c r="B253" t="str">
        <f t="shared" si="235"/>
        <v>459</v>
      </c>
      <c r="C253" t="str">
        <f>"1/05/2020 12:00:00 a. m."</f>
        <v>1/05/2020 12:00:00 a. m.</v>
      </c>
      <c r="D253" t="str">
        <f>"17"</f>
        <v>17</v>
      </c>
      <c r="E253" t="str">
        <f t="shared" si="236"/>
        <v>2020</v>
      </c>
      <c r="F253" t="str">
        <f>"1100109111"</f>
        <v>1100109111</v>
      </c>
      <c r="G253" t="str">
        <f t="shared" si="293"/>
        <v>01</v>
      </c>
      <c r="H253" t="str">
        <f>"6"</f>
        <v>6</v>
      </c>
      <c r="I253" t="str">
        <f t="shared" si="294"/>
        <v>1</v>
      </c>
      <c r="J253" t="str">
        <f>"F"</f>
        <v>F</v>
      </c>
      <c r="K253" t="str">
        <f t="shared" si="285"/>
        <v>170</v>
      </c>
      <c r="L253" t="str">
        <f>"11"</f>
        <v>11</v>
      </c>
      <c r="M253" t="str">
        <f>"001"</f>
        <v>001</v>
      </c>
      <c r="N253" t="str">
        <f t="shared" si="303"/>
        <v>1</v>
      </c>
      <c r="O253" t="str">
        <f>"9997"</f>
        <v>9997</v>
      </c>
      <c r="P253" t="str">
        <f>"C"</f>
        <v>C</v>
      </c>
      <c r="Q253" t="str">
        <f>"EPS037"</f>
        <v>EPS037</v>
      </c>
      <c r="R253" t="str">
        <f t="shared" si="305"/>
        <v>6</v>
      </c>
      <c r="S253" t="str">
        <f>""</f>
        <v/>
      </c>
      <c r="T253" t="str">
        <f t="shared" si="265"/>
        <v xml:space="preserve">                                                                                                    </v>
      </c>
      <c r="U253" t="str">
        <f>"1         "</f>
        <v xml:space="preserve">1         </v>
      </c>
      <c r="V253" t="str">
        <f t="shared" si="300"/>
        <v>2</v>
      </c>
      <c r="W253" t="str">
        <f t="shared" si="299"/>
        <v>2</v>
      </c>
      <c r="X253" t="str">
        <f t="shared" si="301"/>
        <v>2</v>
      </c>
      <c r="Y253" t="str">
        <f t="shared" si="295"/>
        <v>2</v>
      </c>
      <c r="Z253" t="str">
        <f t="shared" si="295"/>
        <v>2</v>
      </c>
      <c r="AA253" t="str">
        <f t="shared" si="237"/>
        <v xml:space="preserve">          </v>
      </c>
      <c r="AB253" t="str">
        <f t="shared" si="306"/>
        <v>2</v>
      </c>
      <c r="AC253" t="str">
        <f t="shared" ref="AC253:AC316" si="307">"2"</f>
        <v>2</v>
      </c>
      <c r="AD253" t="str">
        <f t="shared" si="296"/>
        <v>2</v>
      </c>
      <c r="AE253" t="str">
        <f t="shared" si="296"/>
        <v>2</v>
      </c>
      <c r="AF253" t="str">
        <f t="shared" si="296"/>
        <v>2</v>
      </c>
      <c r="AG253" t="str">
        <f t="shared" si="296"/>
        <v>2</v>
      </c>
      <c r="AH253" t="str">
        <f t="shared" si="302"/>
        <v>1</v>
      </c>
      <c r="AI253" t="str">
        <f t="shared" ref="AI253:AI260" si="308">"1         "</f>
        <v xml:space="preserve">1         </v>
      </c>
      <c r="AJ253" t="str">
        <f t="shared" si="286"/>
        <v>170</v>
      </c>
      <c r="AK253" t="str">
        <f>"11"</f>
        <v>11</v>
      </c>
      <c r="AL253" t="str">
        <f>"001"</f>
        <v>001</v>
      </c>
      <c r="AM253" t="str">
        <f>"11"</f>
        <v>11</v>
      </c>
      <c r="AN253" t="str">
        <f>"11001"</f>
        <v>11001</v>
      </c>
      <c r="AO253" t="str">
        <f>"21/04/2020 12:00:00 a. m."</f>
        <v>21/04/2020 12:00:00 a. m.</v>
      </c>
      <c r="AP253" t="str">
        <f>"9/02/2020 12:00:00 a. m."</f>
        <v>9/02/2020 12:00:00 a. m.</v>
      </c>
      <c r="AQ253" t="str">
        <f>"3"</f>
        <v>3</v>
      </c>
      <c r="AR253" t="str">
        <f t="shared" si="304"/>
        <v>1</v>
      </c>
      <c r="AS253" t="str">
        <f>"21/04/2020 12:00:00 a. m."</f>
        <v>21/04/2020 12:00:00 a. m.</v>
      </c>
      <c r="AT253" t="str">
        <f t="shared" si="291"/>
        <v>1</v>
      </c>
      <c r="AU253" t="str">
        <f>""</f>
        <v/>
      </c>
      <c r="AV253" t="str">
        <f>"7"</f>
        <v>7</v>
      </c>
      <c r="AW253" t="str">
        <f>"30/05/2013 12:00:00 a. m."</f>
        <v>30/05/2013 12:00:00 a. m.</v>
      </c>
      <c r="AX253" t="str">
        <f>""</f>
        <v/>
      </c>
      <c r="AY253" t="str">
        <f t="shared" si="239"/>
        <v>30/04/2021 12:00:00 a. m.</v>
      </c>
      <c r="AZ253" t="str">
        <f>"15/09/2020 12:00:00 a. m."</f>
        <v>15/09/2020 12:00:00 a. m.</v>
      </c>
      <c r="BA253" t="str">
        <f>""</f>
        <v/>
      </c>
      <c r="BB253" t="str">
        <f>""</f>
        <v/>
      </c>
      <c r="BC253" t="str">
        <f>""</f>
        <v/>
      </c>
      <c r="BD253" t="str">
        <f t="shared" si="298"/>
        <v>1</v>
      </c>
      <c r="BE253" t="str">
        <f t="shared" si="298"/>
        <v>1</v>
      </c>
      <c r="BF253" t="str">
        <f t="shared" si="240"/>
        <v xml:space="preserve">3         </v>
      </c>
      <c r="BG253" t="str">
        <f t="shared" si="241"/>
        <v>Confirmado por laboratorio</v>
      </c>
      <c r="BH253" t="str">
        <f>"FUNDACION CARDIOINFANTIL INSTITUTO DE CARDIOLOGIA"</f>
        <v>FUNDACION CARDIOINFANTIL INSTITUTO DE CARDIOLOGIA</v>
      </c>
      <c r="BI253" t="str">
        <f t="shared" si="288"/>
        <v>COLOMBIA</v>
      </c>
      <c r="BJ253" t="str">
        <f t="shared" si="242"/>
        <v>CANCER INFANTIL</v>
      </c>
      <c r="BK253" t="str">
        <f>"BOGOTA"</f>
        <v>BOGOTA</v>
      </c>
      <c r="BL253" t="str">
        <f>"BOGOTA"</f>
        <v>BOGOTA</v>
      </c>
      <c r="BM253" t="str">
        <f t="shared" si="289"/>
        <v>COLOMBIA</v>
      </c>
      <c r="BN253" t="str">
        <f>"BOGOTA"</f>
        <v>BOGOTA</v>
      </c>
      <c r="BO253" t="str">
        <f>"BOGOTA"</f>
        <v>BOGOTA</v>
      </c>
      <c r="BP253" t="str">
        <f>"BOGOTA"</f>
        <v>BOGOTA</v>
      </c>
      <c r="BQ253" t="str">
        <f>"BOGOTA"</f>
        <v>BOGOTA</v>
      </c>
    </row>
    <row r="254" spans="1:69" x14ac:dyDescent="0.25">
      <c r="A254" t="str">
        <f>"7279073"</f>
        <v>7279073</v>
      </c>
      <c r="B254" t="str">
        <f t="shared" si="235"/>
        <v>459</v>
      </c>
      <c r="C254" t="str">
        <f>"26/09/2020 12:00:00 a. m."</f>
        <v>26/09/2020 12:00:00 a. m.</v>
      </c>
      <c r="D254" t="str">
        <f>"33"</f>
        <v>33</v>
      </c>
      <c r="E254" t="str">
        <f t="shared" si="236"/>
        <v>2020</v>
      </c>
      <c r="F254" t="str">
        <f>"2300100949"</f>
        <v>2300100949</v>
      </c>
      <c r="G254" t="str">
        <f t="shared" si="293"/>
        <v>01</v>
      </c>
      <c r="H254" t="str">
        <f>"10"</f>
        <v>10</v>
      </c>
      <c r="I254" t="str">
        <f t="shared" si="294"/>
        <v>1</v>
      </c>
      <c r="J254" t="str">
        <f>"F"</f>
        <v>F</v>
      </c>
      <c r="K254" t="str">
        <f t="shared" si="285"/>
        <v>170</v>
      </c>
      <c r="L254" t="str">
        <f>"23"</f>
        <v>23</v>
      </c>
      <c r="M254" t="str">
        <f>"001"</f>
        <v>001</v>
      </c>
      <c r="N254" t="str">
        <f>"3"</f>
        <v>3</v>
      </c>
      <c r="O254" t="str">
        <f>"9997"</f>
        <v>9997</v>
      </c>
      <c r="P254" t="str">
        <f>"S"</f>
        <v>S</v>
      </c>
      <c r="Q254" t="str">
        <f>"ESS207"</f>
        <v>ESS207</v>
      </c>
      <c r="R254" t="str">
        <f t="shared" si="305"/>
        <v>6</v>
      </c>
      <c r="S254" t="str">
        <f>""</f>
        <v/>
      </c>
      <c r="T254" t="str">
        <f t="shared" si="265"/>
        <v xml:space="preserve">                                                                                                    </v>
      </c>
      <c r="U254" t="str">
        <f>"1         "</f>
        <v xml:space="preserve">1         </v>
      </c>
      <c r="V254" t="str">
        <f t="shared" si="300"/>
        <v>2</v>
      </c>
      <c r="W254" t="str">
        <f t="shared" si="299"/>
        <v>2</v>
      </c>
      <c r="X254" t="str">
        <f t="shared" si="301"/>
        <v>2</v>
      </c>
      <c r="Y254" t="str">
        <f t="shared" si="295"/>
        <v>2</v>
      </c>
      <c r="Z254" t="str">
        <f t="shared" si="295"/>
        <v>2</v>
      </c>
      <c r="AA254" t="str">
        <f t="shared" si="237"/>
        <v xml:space="preserve">          </v>
      </c>
      <c r="AB254" t="str">
        <f t="shared" si="306"/>
        <v>2</v>
      </c>
      <c r="AC254" t="str">
        <f t="shared" si="307"/>
        <v>2</v>
      </c>
      <c r="AD254" t="str">
        <f t="shared" si="296"/>
        <v>2</v>
      </c>
      <c r="AE254" t="str">
        <f t="shared" si="296"/>
        <v>2</v>
      </c>
      <c r="AF254" t="str">
        <f t="shared" si="296"/>
        <v>2</v>
      </c>
      <c r="AG254" t="str">
        <f t="shared" si="296"/>
        <v>2</v>
      </c>
      <c r="AH254" t="str">
        <f t="shared" si="302"/>
        <v>1</v>
      </c>
      <c r="AI254" t="str">
        <f t="shared" si="308"/>
        <v xml:space="preserve">1         </v>
      </c>
      <c r="AJ254" t="str">
        <f t="shared" si="286"/>
        <v>170</v>
      </c>
      <c r="AK254" t="str">
        <f>"23"</f>
        <v>23</v>
      </c>
      <c r="AL254" t="str">
        <f>"001"</f>
        <v>001</v>
      </c>
      <c r="AM254" t="str">
        <f>"23"</f>
        <v>23</v>
      </c>
      <c r="AN254" t="str">
        <f>"23001"</f>
        <v>23001</v>
      </c>
      <c r="AO254" t="str">
        <f>"14/08/2020 12:00:00 a. m."</f>
        <v>14/08/2020 12:00:00 a. m.</v>
      </c>
      <c r="AP254" t="str">
        <f>"10/07/2020 12:00:00 a. m."</f>
        <v>10/07/2020 12:00:00 a. m.</v>
      </c>
      <c r="AQ254" t="str">
        <f>"3"</f>
        <v>3</v>
      </c>
      <c r="AR254" t="str">
        <f t="shared" si="304"/>
        <v>1</v>
      </c>
      <c r="AS254" t="str">
        <f>"18/09/2020 12:00:00 a. m."</f>
        <v>18/09/2020 12:00:00 a. m.</v>
      </c>
      <c r="AT254" t="str">
        <f t="shared" si="291"/>
        <v>1</v>
      </c>
      <c r="AU254" t="str">
        <f>""</f>
        <v/>
      </c>
      <c r="AV254" t="str">
        <f>"7"</f>
        <v>7</v>
      </c>
      <c r="AW254" t="str">
        <f>"22/02/2010 12:00:00 a. m."</f>
        <v>22/02/2010 12:00:00 a. m.</v>
      </c>
      <c r="AX254" t="str">
        <f>""</f>
        <v/>
      </c>
      <c r="AY254" t="str">
        <f t="shared" si="239"/>
        <v>30/04/2021 12:00:00 a. m.</v>
      </c>
      <c r="AZ254" t="str">
        <f>"4/12/2020 12:00:00 a. m."</f>
        <v>4/12/2020 12:00:00 a. m.</v>
      </c>
      <c r="BA254" t="str">
        <f>""</f>
        <v/>
      </c>
      <c r="BB254" t="str">
        <f>""</f>
        <v/>
      </c>
      <c r="BC254" t="str">
        <f>""</f>
        <v/>
      </c>
      <c r="BD254" t="str">
        <f t="shared" si="298"/>
        <v>1</v>
      </c>
      <c r="BE254" t="str">
        <f t="shared" si="298"/>
        <v>1</v>
      </c>
      <c r="BF254" t="str">
        <f t="shared" si="240"/>
        <v xml:space="preserve">3         </v>
      </c>
      <c r="BG254" t="str">
        <f t="shared" si="241"/>
        <v>Confirmado por laboratorio</v>
      </c>
      <c r="BH254" t="str">
        <f>"ONCOMEDICA S A"</f>
        <v>ONCOMEDICA S A</v>
      </c>
      <c r="BI254" t="str">
        <f t="shared" si="288"/>
        <v>COLOMBIA</v>
      </c>
      <c r="BJ254" t="str">
        <f t="shared" si="242"/>
        <v>CANCER INFANTIL</v>
      </c>
      <c r="BK254" t="str">
        <f>"CORDOBA"</f>
        <v>CORDOBA</v>
      </c>
      <c r="BL254" t="str">
        <f>"MONTERIA"</f>
        <v>MONTERIA</v>
      </c>
      <c r="BM254" t="str">
        <f t="shared" si="289"/>
        <v>COLOMBIA</v>
      </c>
      <c r="BN254" t="str">
        <f>"CORDOBA"</f>
        <v>CORDOBA</v>
      </c>
      <c r="BO254" t="str">
        <f>"MONTERIA"</f>
        <v>MONTERIA</v>
      </c>
      <c r="BP254" t="str">
        <f>"CORDOBA"</f>
        <v>CORDOBA</v>
      </c>
      <c r="BQ254" t="str">
        <f>"MONTERIA"</f>
        <v>MONTERIA</v>
      </c>
    </row>
    <row r="255" spans="1:69" x14ac:dyDescent="0.25">
      <c r="A255" t="str">
        <f>"7279044"</f>
        <v>7279044</v>
      </c>
      <c r="B255" t="str">
        <f t="shared" si="235"/>
        <v>459</v>
      </c>
      <c r="C255" t="str">
        <f>"25/06/2020 12:00:00 a. m."</f>
        <v>25/06/2020 12:00:00 a. m.</v>
      </c>
      <c r="D255" t="str">
        <f>"25"</f>
        <v>25</v>
      </c>
      <c r="E255" t="str">
        <f t="shared" si="236"/>
        <v>2020</v>
      </c>
      <c r="F255" t="str">
        <f>"5200100283"</f>
        <v>5200100283</v>
      </c>
      <c r="G255" t="str">
        <f t="shared" si="293"/>
        <v>01</v>
      </c>
      <c r="H255" t="str">
        <f>"16"</f>
        <v>16</v>
      </c>
      <c r="I255" t="str">
        <f t="shared" si="294"/>
        <v>1</v>
      </c>
      <c r="J255" t="str">
        <f>"M"</f>
        <v>M</v>
      </c>
      <c r="K255" t="str">
        <f t="shared" si="285"/>
        <v>170</v>
      </c>
      <c r="L255" t="str">
        <f>"52"</f>
        <v>52</v>
      </c>
      <c r="M255" t="str">
        <f>"227"</f>
        <v>227</v>
      </c>
      <c r="N255" t="str">
        <f>"3"</f>
        <v>3</v>
      </c>
      <c r="O255" t="str">
        <f>"9999"</f>
        <v>9999</v>
      </c>
      <c r="P255" t="str">
        <f>"S"</f>
        <v>S</v>
      </c>
      <c r="Q255" t="str">
        <f>"ESS118"</f>
        <v>ESS118</v>
      </c>
      <c r="R255" t="str">
        <f t="shared" si="305"/>
        <v>6</v>
      </c>
      <c r="S255" t="str">
        <f>""</f>
        <v/>
      </c>
      <c r="T255" t="str">
        <f t="shared" si="265"/>
        <v xml:space="preserve">                                                                                                    </v>
      </c>
      <c r="U255" t="str">
        <f>"1         "</f>
        <v xml:space="preserve">1         </v>
      </c>
      <c r="V255" t="str">
        <f t="shared" si="300"/>
        <v>2</v>
      </c>
      <c r="W255" t="str">
        <f t="shared" si="299"/>
        <v>2</v>
      </c>
      <c r="X255" t="str">
        <f t="shared" si="301"/>
        <v>2</v>
      </c>
      <c r="Y255" t="str">
        <f t="shared" si="295"/>
        <v>2</v>
      </c>
      <c r="Z255" t="str">
        <f t="shared" si="295"/>
        <v>2</v>
      </c>
      <c r="AA255" t="str">
        <f t="shared" si="237"/>
        <v xml:space="preserve">          </v>
      </c>
      <c r="AB255" t="str">
        <f t="shared" si="306"/>
        <v>2</v>
      </c>
      <c r="AC255" t="str">
        <f t="shared" si="307"/>
        <v>2</v>
      </c>
      <c r="AD255" t="str">
        <f t="shared" si="296"/>
        <v>2</v>
      </c>
      <c r="AE255" t="str">
        <f t="shared" si="296"/>
        <v>2</v>
      </c>
      <c r="AF255" t="str">
        <f t="shared" si="296"/>
        <v>2</v>
      </c>
      <c r="AG255" t="str">
        <f t="shared" si="296"/>
        <v>2</v>
      </c>
      <c r="AH255" t="str">
        <f t="shared" si="302"/>
        <v>1</v>
      </c>
      <c r="AI255" t="str">
        <f t="shared" si="308"/>
        <v xml:space="preserve">1         </v>
      </c>
      <c r="AJ255" t="str">
        <f t="shared" si="286"/>
        <v>170</v>
      </c>
      <c r="AK255" t="str">
        <f>"52"</f>
        <v>52</v>
      </c>
      <c r="AL255" t="str">
        <f>"227"</f>
        <v>227</v>
      </c>
      <c r="AM255" t="str">
        <f>"52"</f>
        <v>52</v>
      </c>
      <c r="AN255" t="str">
        <f>"52001"</f>
        <v>52001</v>
      </c>
      <c r="AO255" t="str">
        <f>"18/06/2020 12:00:00 a. m."</f>
        <v>18/06/2020 12:00:00 a. m.</v>
      </c>
      <c r="AP255" t="str">
        <f>"1/09/2019 12:00:00 a. m."</f>
        <v>1/09/2019 12:00:00 a. m.</v>
      </c>
      <c r="AQ255" t="str">
        <f>"2"</f>
        <v>2</v>
      </c>
      <c r="AR255" t="str">
        <f t="shared" si="304"/>
        <v>1</v>
      </c>
      <c r="AS255" t="str">
        <f>"18/06/2020 12:00:00 a. m."</f>
        <v>18/06/2020 12:00:00 a. m.</v>
      </c>
      <c r="AT255" t="str">
        <f>"2"</f>
        <v>2</v>
      </c>
      <c r="AU255" t="str">
        <f>"4/07/2020 12:00:00 a. m."</f>
        <v>4/07/2020 12:00:00 a. m.</v>
      </c>
      <c r="AV255" t="str">
        <f>"3"</f>
        <v>3</v>
      </c>
      <c r="AW255" t="str">
        <f>"2/02/2004 12:00:00 a. m."</f>
        <v>2/02/2004 12:00:00 a. m.</v>
      </c>
      <c r="AX255" t="str">
        <f>"A419"</f>
        <v>A419</v>
      </c>
      <c r="AY255" t="str">
        <f t="shared" si="239"/>
        <v>30/04/2021 12:00:00 a. m.</v>
      </c>
      <c r="AZ255" t="str">
        <f>"15/07/2020 12:00:00 a. m."</f>
        <v>15/07/2020 12:00:00 a. m.</v>
      </c>
      <c r="BA255" t="str">
        <f>""</f>
        <v/>
      </c>
      <c r="BB255" t="str">
        <f>""</f>
        <v/>
      </c>
      <c r="BC255" t="str">
        <f>""</f>
        <v/>
      </c>
      <c r="BD255" t="str">
        <f t="shared" si="298"/>
        <v>1</v>
      </c>
      <c r="BE255" t="str">
        <f t="shared" si="298"/>
        <v>1</v>
      </c>
      <c r="BF255" t="str">
        <f t="shared" si="240"/>
        <v xml:space="preserve">3         </v>
      </c>
      <c r="BG255" t="str">
        <f t="shared" si="241"/>
        <v>Confirmado por laboratorio</v>
      </c>
      <c r="BH255" t="str">
        <f>"HOSPITAL INFANTIL LOS ANGELES"</f>
        <v>HOSPITAL INFANTIL LOS ANGELES</v>
      </c>
      <c r="BI255" t="str">
        <f t="shared" si="288"/>
        <v>COLOMBIA</v>
      </c>
      <c r="BJ255" t="str">
        <f t="shared" si="242"/>
        <v>CANCER INFANTIL</v>
      </c>
      <c r="BK255" t="str">
        <f>"NARIÑO"</f>
        <v>NARIÑO</v>
      </c>
      <c r="BL255" t="str">
        <f>"CUMBAL"</f>
        <v>CUMBAL</v>
      </c>
      <c r="BM255" t="str">
        <f t="shared" si="289"/>
        <v>COLOMBIA</v>
      </c>
      <c r="BN255" t="str">
        <f>"NARIÑO"</f>
        <v>NARIÑO</v>
      </c>
      <c r="BO255" t="str">
        <f>"CUMBAL"</f>
        <v>CUMBAL</v>
      </c>
      <c r="BP255" t="str">
        <f>"NARIÑO"</f>
        <v>NARIÑO</v>
      </c>
      <c r="BQ255" t="str">
        <f>"PASTO"</f>
        <v>PASTO</v>
      </c>
    </row>
    <row r="256" spans="1:69" x14ac:dyDescent="0.25">
      <c r="A256" t="str">
        <f>"7279076"</f>
        <v>7279076</v>
      </c>
      <c r="B256" t="str">
        <f t="shared" si="235"/>
        <v>459</v>
      </c>
      <c r="C256" t="str">
        <f>"26/10/2020 12:00:00 a. m."</f>
        <v>26/10/2020 12:00:00 a. m.</v>
      </c>
      <c r="D256" t="str">
        <f>"43"</f>
        <v>43</v>
      </c>
      <c r="E256" t="str">
        <f t="shared" si="236"/>
        <v>2020</v>
      </c>
      <c r="F256" t="str">
        <f>"1100116338"</f>
        <v>1100116338</v>
      </c>
      <c r="G256" t="str">
        <f>"83"</f>
        <v>83</v>
      </c>
      <c r="H256" t="str">
        <f>"8"</f>
        <v>8</v>
      </c>
      <c r="I256" t="str">
        <f t="shared" si="294"/>
        <v>1</v>
      </c>
      <c r="J256" t="str">
        <f>"F"</f>
        <v>F</v>
      </c>
      <c r="K256" t="str">
        <f t="shared" si="285"/>
        <v>170</v>
      </c>
      <c r="L256" t="str">
        <f>"70"</f>
        <v>70</v>
      </c>
      <c r="M256" t="str">
        <f>"215"</f>
        <v>215</v>
      </c>
      <c r="N256" t="str">
        <f t="shared" ref="N256:N265" si="309">"1"</f>
        <v>1</v>
      </c>
      <c r="O256" t="str">
        <f>"9997"</f>
        <v>9997</v>
      </c>
      <c r="P256" t="str">
        <f>"P"</f>
        <v>P</v>
      </c>
      <c r="Q256" t="str">
        <f>"RES003"</f>
        <v>RES003</v>
      </c>
      <c r="R256" t="str">
        <f t="shared" si="305"/>
        <v>6</v>
      </c>
      <c r="S256" t="str">
        <f>""</f>
        <v/>
      </c>
      <c r="T256" t="str">
        <f t="shared" si="265"/>
        <v xml:space="preserve">                                                                                                    </v>
      </c>
      <c r="U256" t="str">
        <f>"3         "</f>
        <v xml:space="preserve">3         </v>
      </c>
      <c r="V256" t="str">
        <f t="shared" si="300"/>
        <v>2</v>
      </c>
      <c r="W256" t="str">
        <f t="shared" si="299"/>
        <v>2</v>
      </c>
      <c r="X256" t="str">
        <f t="shared" si="301"/>
        <v>2</v>
      </c>
      <c r="Y256" t="str">
        <f t="shared" si="295"/>
        <v>2</v>
      </c>
      <c r="Z256" t="str">
        <f t="shared" si="295"/>
        <v>2</v>
      </c>
      <c r="AA256" t="str">
        <f t="shared" si="237"/>
        <v xml:space="preserve">          </v>
      </c>
      <c r="AB256" t="str">
        <f t="shared" si="306"/>
        <v>2</v>
      </c>
      <c r="AC256" t="str">
        <f t="shared" si="307"/>
        <v>2</v>
      </c>
      <c r="AD256" t="str">
        <f t="shared" si="296"/>
        <v>2</v>
      </c>
      <c r="AE256" t="str">
        <f t="shared" si="296"/>
        <v>2</v>
      </c>
      <c r="AF256" t="str">
        <f t="shared" si="296"/>
        <v>2</v>
      </c>
      <c r="AG256" t="str">
        <f t="shared" si="296"/>
        <v>2</v>
      </c>
      <c r="AH256" t="str">
        <f t="shared" si="302"/>
        <v>1</v>
      </c>
      <c r="AI256" t="str">
        <f t="shared" si="308"/>
        <v xml:space="preserve">1         </v>
      </c>
      <c r="AJ256" t="str">
        <f t="shared" si="286"/>
        <v>170</v>
      </c>
      <c r="AK256" t="str">
        <f>"70"</f>
        <v>70</v>
      </c>
      <c r="AL256" t="str">
        <f>"215"</f>
        <v>215</v>
      </c>
      <c r="AM256" t="str">
        <f>"11"</f>
        <v>11</v>
      </c>
      <c r="AN256" t="str">
        <f>"11001"</f>
        <v>11001</v>
      </c>
      <c r="AO256" t="str">
        <f>"24/10/2020 12:00:00 a. m."</f>
        <v>24/10/2020 12:00:00 a. m.</v>
      </c>
      <c r="AP256" t="str">
        <f>"24/12/2019 12:00:00 a. m."</f>
        <v>24/12/2019 12:00:00 a. m.</v>
      </c>
      <c r="AQ256" t="str">
        <f>"2"</f>
        <v>2</v>
      </c>
      <c r="AR256" t="str">
        <f t="shared" si="304"/>
        <v>1</v>
      </c>
      <c r="AS256" t="str">
        <f>"24/10/2020 12:00:00 a. m."</f>
        <v>24/10/2020 12:00:00 a. m.</v>
      </c>
      <c r="AT256" t="str">
        <f>"1"</f>
        <v>1</v>
      </c>
      <c r="AU256" t="str">
        <f>""</f>
        <v/>
      </c>
      <c r="AV256" t="str">
        <f>"3"</f>
        <v>3</v>
      </c>
      <c r="AW256" t="str">
        <f>"23/10/2012 12:00:00 a. m."</f>
        <v>23/10/2012 12:00:00 a. m.</v>
      </c>
      <c r="AX256" t="str">
        <f>""</f>
        <v/>
      </c>
      <c r="AY256" t="str">
        <f t="shared" si="239"/>
        <v>30/04/2021 12:00:00 a. m.</v>
      </c>
      <c r="AZ256" t="str">
        <f>"27/11/2020 12:00:00 a. m."</f>
        <v>27/11/2020 12:00:00 a. m.</v>
      </c>
      <c r="BA256" t="str">
        <f>""</f>
        <v/>
      </c>
      <c r="BB256" t="str">
        <f>""</f>
        <v/>
      </c>
      <c r="BC256" t="str">
        <f>""</f>
        <v/>
      </c>
      <c r="BD256" t="str">
        <f t="shared" si="298"/>
        <v>1</v>
      </c>
      <c r="BE256" t="str">
        <f t="shared" si="298"/>
        <v>1</v>
      </c>
      <c r="BF256" t="str">
        <f t="shared" si="240"/>
        <v xml:space="preserve">3         </v>
      </c>
      <c r="BG256" t="str">
        <f t="shared" si="241"/>
        <v>Confirmado por laboratorio</v>
      </c>
      <c r="BH256" t="str">
        <f>"HOSPITAL MILITAR CENTRAL CHAPINERO"</f>
        <v>HOSPITAL MILITAR CENTRAL CHAPINERO</v>
      </c>
      <c r="BI256" t="str">
        <f t="shared" si="288"/>
        <v>COLOMBIA</v>
      </c>
      <c r="BJ256" t="str">
        <f t="shared" si="242"/>
        <v>CANCER INFANTIL</v>
      </c>
      <c r="BK256" t="str">
        <f>"SUCRE"</f>
        <v>SUCRE</v>
      </c>
      <c r="BL256" t="str">
        <f>"COROZAL"</f>
        <v>COROZAL</v>
      </c>
      <c r="BM256" t="str">
        <f t="shared" si="289"/>
        <v>COLOMBIA</v>
      </c>
      <c r="BN256" t="str">
        <f>"SUCRE"</f>
        <v>SUCRE</v>
      </c>
      <c r="BO256" t="str">
        <f>"COROZAL"</f>
        <v>COROZAL</v>
      </c>
      <c r="BP256" t="str">
        <f>"BOGOTA"</f>
        <v>BOGOTA</v>
      </c>
      <c r="BQ256" t="str">
        <f>"BOGOTA"</f>
        <v>BOGOTA</v>
      </c>
    </row>
    <row r="257" spans="1:69" x14ac:dyDescent="0.25">
      <c r="A257" t="str">
        <f>"7278969"</f>
        <v>7278969</v>
      </c>
      <c r="B257" t="str">
        <f t="shared" si="235"/>
        <v>459</v>
      </c>
      <c r="C257" t="str">
        <f>"1/09/2020 12:00:00 a. m."</f>
        <v>1/09/2020 12:00:00 a. m.</v>
      </c>
      <c r="D257" t="str">
        <f>"18"</f>
        <v>18</v>
      </c>
      <c r="E257" t="str">
        <f t="shared" si="236"/>
        <v>2020</v>
      </c>
      <c r="F257" t="str">
        <f>"1100105681"</f>
        <v>1100105681</v>
      </c>
      <c r="G257" t="str">
        <f>"01"</f>
        <v>01</v>
      </c>
      <c r="H257" t="str">
        <f>"2"</f>
        <v>2</v>
      </c>
      <c r="I257" t="str">
        <f t="shared" si="294"/>
        <v>1</v>
      </c>
      <c r="J257" t="str">
        <f>"M"</f>
        <v>M</v>
      </c>
      <c r="K257" t="str">
        <f t="shared" si="285"/>
        <v>170</v>
      </c>
      <c r="L257" t="str">
        <f>"25"</f>
        <v>25</v>
      </c>
      <c r="M257" t="str">
        <f>"269"</f>
        <v>269</v>
      </c>
      <c r="N257" t="str">
        <f t="shared" si="309"/>
        <v>1</v>
      </c>
      <c r="O257" t="str">
        <f>"9999"</f>
        <v>9999</v>
      </c>
      <c r="P257" t="str">
        <f>"S"</f>
        <v>S</v>
      </c>
      <c r="Q257" t="str">
        <f>"EPS022"</f>
        <v>EPS022</v>
      </c>
      <c r="R257" t="str">
        <f t="shared" si="305"/>
        <v>6</v>
      </c>
      <c r="S257" t="str">
        <f>""</f>
        <v/>
      </c>
      <c r="T257" t="str">
        <f t="shared" si="265"/>
        <v xml:space="preserve">                                                                                                    </v>
      </c>
      <c r="U257" t="str">
        <f>"1         "</f>
        <v xml:space="preserve">1         </v>
      </c>
      <c r="V257" t="str">
        <f t="shared" si="300"/>
        <v>2</v>
      </c>
      <c r="W257" t="str">
        <f t="shared" si="299"/>
        <v>2</v>
      </c>
      <c r="X257" t="str">
        <f t="shared" si="301"/>
        <v>2</v>
      </c>
      <c r="Y257" t="str">
        <f t="shared" si="295"/>
        <v>2</v>
      </c>
      <c r="Z257" t="str">
        <f t="shared" si="295"/>
        <v>2</v>
      </c>
      <c r="AA257" t="str">
        <f t="shared" si="237"/>
        <v xml:space="preserve">          </v>
      </c>
      <c r="AB257" t="str">
        <f t="shared" si="306"/>
        <v>2</v>
      </c>
      <c r="AC257" t="str">
        <f t="shared" si="307"/>
        <v>2</v>
      </c>
      <c r="AD257" t="str">
        <f t="shared" si="296"/>
        <v>2</v>
      </c>
      <c r="AE257" t="str">
        <f t="shared" si="296"/>
        <v>2</v>
      </c>
      <c r="AF257" t="str">
        <f t="shared" si="296"/>
        <v>2</v>
      </c>
      <c r="AG257" t="str">
        <f t="shared" si="296"/>
        <v>2</v>
      </c>
      <c r="AH257" t="str">
        <f t="shared" si="302"/>
        <v>1</v>
      </c>
      <c r="AI257" t="str">
        <f t="shared" si="308"/>
        <v xml:space="preserve">1         </v>
      </c>
      <c r="AJ257" t="str">
        <f t="shared" si="286"/>
        <v>170</v>
      </c>
      <c r="AK257" t="str">
        <f>"25"</f>
        <v>25</v>
      </c>
      <c r="AL257" t="str">
        <f>"269"</f>
        <v>269</v>
      </c>
      <c r="AM257" t="str">
        <f>"11"</f>
        <v>11</v>
      </c>
      <c r="AN257" t="str">
        <f>"11001"</f>
        <v>11001</v>
      </c>
      <c r="AO257" t="str">
        <f>"2/05/2020 12:00:00 a. m."</f>
        <v>2/05/2020 12:00:00 a. m.</v>
      </c>
      <c r="AP257" t="str">
        <f>"1/05/2020 12:00:00 a. m."</f>
        <v>1/05/2020 12:00:00 a. m.</v>
      </c>
      <c r="AQ257" t="str">
        <f>"3"</f>
        <v>3</v>
      </c>
      <c r="AR257" t="str">
        <f t="shared" si="304"/>
        <v>1</v>
      </c>
      <c r="AS257" t="str">
        <f>"8/05/2020 12:00:00 a. m."</f>
        <v>8/05/2020 12:00:00 a. m.</v>
      </c>
      <c r="AT257" t="str">
        <f>"2"</f>
        <v>2</v>
      </c>
      <c r="AU257" t="str">
        <f>"8/01/2021 12:00:00 a. m."</f>
        <v>8/01/2021 12:00:00 a. m.</v>
      </c>
      <c r="AV257" t="str">
        <f>"7"</f>
        <v>7</v>
      </c>
      <c r="AW257" t="str">
        <f>"27/09/2017 12:00:00 a. m."</f>
        <v>27/09/2017 12:00:00 a. m.</v>
      </c>
      <c r="AX257" t="str">
        <f>"C710"</f>
        <v>C710</v>
      </c>
      <c r="AY257" t="str">
        <f t="shared" si="239"/>
        <v>30/04/2021 12:00:00 a. m.</v>
      </c>
      <c r="AZ257" t="str">
        <f>"2/02/2021 12:00:00 a. m."</f>
        <v>2/02/2021 12:00:00 a. m.</v>
      </c>
      <c r="BA257" t="str">
        <f>""</f>
        <v/>
      </c>
      <c r="BB257" t="str">
        <f>""</f>
        <v/>
      </c>
      <c r="BC257" t="str">
        <f>""</f>
        <v/>
      </c>
      <c r="BD257" t="str">
        <f t="shared" si="298"/>
        <v>1</v>
      </c>
      <c r="BE257" t="str">
        <f t="shared" si="298"/>
        <v>1</v>
      </c>
      <c r="BF257" t="str">
        <f t="shared" si="240"/>
        <v xml:space="preserve">3         </v>
      </c>
      <c r="BG257" t="str">
        <f t="shared" si="241"/>
        <v>Confirmado por laboratorio</v>
      </c>
      <c r="BH257" t="str">
        <f>"FUNDACION HOSPITAL DE LA MISERICORDIA"</f>
        <v>FUNDACION HOSPITAL DE LA MISERICORDIA</v>
      </c>
      <c r="BI257" t="str">
        <f t="shared" si="288"/>
        <v>COLOMBIA</v>
      </c>
      <c r="BJ257" t="str">
        <f t="shared" si="242"/>
        <v>CANCER INFANTIL</v>
      </c>
      <c r="BK257" t="str">
        <f>"CUNDINAMARCA"</f>
        <v>CUNDINAMARCA</v>
      </c>
      <c r="BL257" t="str">
        <f>"FACATATIVA"</f>
        <v>FACATATIVA</v>
      </c>
      <c r="BM257" t="str">
        <f t="shared" si="289"/>
        <v>COLOMBIA</v>
      </c>
      <c r="BN257" t="str">
        <f>"CUNDINAMARCA"</f>
        <v>CUNDINAMARCA</v>
      </c>
      <c r="BO257" t="str">
        <f>"FACATATIVA"</f>
        <v>FACATATIVA</v>
      </c>
      <c r="BP257" t="str">
        <f>"BOGOTA"</f>
        <v>BOGOTA</v>
      </c>
      <c r="BQ257" t="str">
        <f>"BOGOTA"</f>
        <v>BOGOTA</v>
      </c>
    </row>
    <row r="258" spans="1:69" x14ac:dyDescent="0.25">
      <c r="A258" t="str">
        <f>"7279041"</f>
        <v>7279041</v>
      </c>
      <c r="B258" t="str">
        <f t="shared" ref="B258:B321" si="310">"459"</f>
        <v>459</v>
      </c>
      <c r="C258" t="str">
        <f>"11/09/2020 12:00:00 a. m."</f>
        <v>11/09/2020 12:00:00 a. m.</v>
      </c>
      <c r="D258" t="str">
        <f>"36"</f>
        <v>36</v>
      </c>
      <c r="E258" t="str">
        <f t="shared" ref="E258:E321" si="311">"2020"</f>
        <v>2020</v>
      </c>
      <c r="F258" t="str">
        <f>"7600102870"</f>
        <v>7600102870</v>
      </c>
      <c r="G258" t="str">
        <f>"01"</f>
        <v>01</v>
      </c>
      <c r="H258" t="str">
        <f>"2"</f>
        <v>2</v>
      </c>
      <c r="I258" t="str">
        <f t="shared" si="294"/>
        <v>1</v>
      </c>
      <c r="J258" t="str">
        <f>"F"</f>
        <v>F</v>
      </c>
      <c r="K258" t="str">
        <f t="shared" si="285"/>
        <v>170</v>
      </c>
      <c r="L258" t="str">
        <f>"52"</f>
        <v>52</v>
      </c>
      <c r="M258" t="str">
        <f>"835"</f>
        <v>835</v>
      </c>
      <c r="N258" t="str">
        <f t="shared" si="309"/>
        <v>1</v>
      </c>
      <c r="O258" t="str">
        <f>"9999"</f>
        <v>9999</v>
      </c>
      <c r="P258" t="str">
        <f>"C"</f>
        <v>C</v>
      </c>
      <c r="Q258" t="str">
        <f>"ESSC62"</f>
        <v>ESSC62</v>
      </c>
      <c r="R258" t="str">
        <f t="shared" si="305"/>
        <v>6</v>
      </c>
      <c r="S258" t="str">
        <f>""</f>
        <v/>
      </c>
      <c r="T258" t="str">
        <f t="shared" si="265"/>
        <v xml:space="preserve">                                                                                                    </v>
      </c>
      <c r="U258" t="str">
        <f>"          "</f>
        <v xml:space="preserve">          </v>
      </c>
      <c r="V258" t="str">
        <f t="shared" si="300"/>
        <v>2</v>
      </c>
      <c r="W258" t="str">
        <f t="shared" si="299"/>
        <v>2</v>
      </c>
      <c r="X258" t="str">
        <f t="shared" si="301"/>
        <v>2</v>
      </c>
      <c r="Y258" t="str">
        <f t="shared" si="295"/>
        <v>2</v>
      </c>
      <c r="Z258" t="str">
        <f t="shared" si="295"/>
        <v>2</v>
      </c>
      <c r="AA258" t="str">
        <f t="shared" ref="AA258:AA321" si="312">"          "</f>
        <v xml:space="preserve">          </v>
      </c>
      <c r="AB258" t="str">
        <f t="shared" si="306"/>
        <v>2</v>
      </c>
      <c r="AC258" t="str">
        <f t="shared" si="307"/>
        <v>2</v>
      </c>
      <c r="AD258" t="str">
        <f t="shared" si="296"/>
        <v>2</v>
      </c>
      <c r="AE258" t="str">
        <f t="shared" si="296"/>
        <v>2</v>
      </c>
      <c r="AF258" t="str">
        <f t="shared" si="296"/>
        <v>2</v>
      </c>
      <c r="AG258" t="str">
        <f t="shared" si="296"/>
        <v>2</v>
      </c>
      <c r="AH258" t="str">
        <f t="shared" si="302"/>
        <v>1</v>
      </c>
      <c r="AI258" t="str">
        <f t="shared" si="308"/>
        <v xml:space="preserve">1         </v>
      </c>
      <c r="AJ258" t="str">
        <f t="shared" si="286"/>
        <v>170</v>
      </c>
      <c r="AK258" t="str">
        <f>"52"</f>
        <v>52</v>
      </c>
      <c r="AL258" t="str">
        <f>"835"</f>
        <v>835</v>
      </c>
      <c r="AM258" t="str">
        <f>"76"</f>
        <v>76</v>
      </c>
      <c r="AN258" t="str">
        <f>"76001"</f>
        <v>76001</v>
      </c>
      <c r="AO258" t="str">
        <f>"5/09/2020 12:00:00 a. m."</f>
        <v>5/09/2020 12:00:00 a. m.</v>
      </c>
      <c r="AP258" t="str">
        <f>"5/09/2020 12:00:00 a. m."</f>
        <v>5/09/2020 12:00:00 a. m.</v>
      </c>
      <c r="AQ258" t="str">
        <f>"2"</f>
        <v>2</v>
      </c>
      <c r="AR258" t="str">
        <f t="shared" si="304"/>
        <v>1</v>
      </c>
      <c r="AS258" t="str">
        <f>"5/09/2020 12:00:00 a. m."</f>
        <v>5/09/2020 12:00:00 a. m.</v>
      </c>
      <c r="AT258" t="str">
        <f t="shared" ref="AT258:AT283" si="313">"1"</f>
        <v>1</v>
      </c>
      <c r="AU258" t="str">
        <f>""</f>
        <v/>
      </c>
      <c r="AV258" t="str">
        <f>"3"</f>
        <v>3</v>
      </c>
      <c r="AW258" t="str">
        <f>"4/06/2018 12:00:00 a. m."</f>
        <v>4/06/2018 12:00:00 a. m.</v>
      </c>
      <c r="AX258" t="str">
        <f>""</f>
        <v/>
      </c>
      <c r="AY258" t="str">
        <f t="shared" ref="AY258:AY321" si="314">"30/04/2021 12:00:00 a. m."</f>
        <v>30/04/2021 12:00:00 a. m.</v>
      </c>
      <c r="AZ258" t="str">
        <f>"13/10/2020 12:00:00 a. m."</f>
        <v>13/10/2020 12:00:00 a. m.</v>
      </c>
      <c r="BA258" t="str">
        <f>""</f>
        <v/>
      </c>
      <c r="BB258" t="str">
        <f>""</f>
        <v/>
      </c>
      <c r="BC258" t="str">
        <f>""</f>
        <v/>
      </c>
      <c r="BD258" t="str">
        <f t="shared" si="298"/>
        <v>1</v>
      </c>
      <c r="BE258" t="str">
        <f t="shared" si="298"/>
        <v>1</v>
      </c>
      <c r="BF258" t="str">
        <f t="shared" ref="BF258:BF321" si="315">"3         "</f>
        <v xml:space="preserve">3         </v>
      </c>
      <c r="BG258" t="str">
        <f t="shared" ref="BG258:BG321" si="316">"Confirmado por laboratorio"</f>
        <v>Confirmado por laboratorio</v>
      </c>
      <c r="BH258" t="str">
        <f>"FUNDACION VALLE DEL LILI"</f>
        <v>FUNDACION VALLE DEL LILI</v>
      </c>
      <c r="BI258" t="str">
        <f t="shared" si="288"/>
        <v>COLOMBIA</v>
      </c>
      <c r="BJ258" t="str">
        <f t="shared" ref="BJ258:BJ321" si="317">"CANCER INFANTIL"</f>
        <v>CANCER INFANTIL</v>
      </c>
      <c r="BK258" t="str">
        <f>"NARIÑO"</f>
        <v>NARIÑO</v>
      </c>
      <c r="BL258" t="str">
        <f>"TUMACO"</f>
        <v>TUMACO</v>
      </c>
      <c r="BM258" t="str">
        <f t="shared" si="289"/>
        <v>COLOMBIA</v>
      </c>
      <c r="BN258" t="str">
        <f>"NARIÑO"</f>
        <v>NARIÑO</v>
      </c>
      <c r="BO258" t="str">
        <f>"TUMACO"</f>
        <v>TUMACO</v>
      </c>
      <c r="BP258" t="str">
        <f>"VALLE"</f>
        <v>VALLE</v>
      </c>
      <c r="BQ258" t="str">
        <f>"CALI"</f>
        <v>CALI</v>
      </c>
    </row>
    <row r="259" spans="1:69" x14ac:dyDescent="0.25">
      <c r="A259" t="str">
        <f>"7279282"</f>
        <v>7279282</v>
      </c>
      <c r="B259" t="str">
        <f t="shared" si="310"/>
        <v>459</v>
      </c>
      <c r="C259" t="str">
        <f>"2/07/2020 12:00:00 a. m."</f>
        <v>2/07/2020 12:00:00 a. m.</v>
      </c>
      <c r="D259" t="str">
        <f>"27"</f>
        <v>27</v>
      </c>
      <c r="E259" t="str">
        <f t="shared" si="311"/>
        <v>2020</v>
      </c>
      <c r="F259" t="str">
        <f>"1100108171"</f>
        <v>1100108171</v>
      </c>
      <c r="G259" t="str">
        <f>"02"</f>
        <v>02</v>
      </c>
      <c r="H259" t="str">
        <f>"17"</f>
        <v>17</v>
      </c>
      <c r="I259" t="str">
        <f t="shared" si="294"/>
        <v>1</v>
      </c>
      <c r="J259" t="str">
        <f>"M"</f>
        <v>M</v>
      </c>
      <c r="K259" t="str">
        <f t="shared" si="285"/>
        <v>170</v>
      </c>
      <c r="L259" t="str">
        <f>"11"</f>
        <v>11</v>
      </c>
      <c r="M259" t="str">
        <f>"001"</f>
        <v>001</v>
      </c>
      <c r="N259" t="str">
        <f t="shared" si="309"/>
        <v>1</v>
      </c>
      <c r="O259" t="str">
        <f>"9997"</f>
        <v>9997</v>
      </c>
      <c r="P259" t="str">
        <f>"C"</f>
        <v>C</v>
      </c>
      <c r="Q259" t="str">
        <f>"EPS017"</f>
        <v>EPS017</v>
      </c>
      <c r="R259" t="str">
        <f t="shared" si="305"/>
        <v>6</v>
      </c>
      <c r="S259" t="str">
        <f>""</f>
        <v/>
      </c>
      <c r="T259" t="str">
        <f t="shared" si="265"/>
        <v xml:space="preserve">                                                                                                    </v>
      </c>
      <c r="U259" t="str">
        <f>"2         "</f>
        <v xml:space="preserve">2         </v>
      </c>
      <c r="V259" t="str">
        <f t="shared" si="300"/>
        <v>2</v>
      </c>
      <c r="W259" t="str">
        <f t="shared" si="299"/>
        <v>2</v>
      </c>
      <c r="X259" t="str">
        <f t="shared" si="301"/>
        <v>2</v>
      </c>
      <c r="Y259" t="str">
        <f t="shared" ref="Y259:Z278" si="318">"2"</f>
        <v>2</v>
      </c>
      <c r="Z259" t="str">
        <f t="shared" si="318"/>
        <v>2</v>
      </c>
      <c r="AA259" t="str">
        <f t="shared" si="312"/>
        <v xml:space="preserve">          </v>
      </c>
      <c r="AB259" t="str">
        <f t="shared" si="306"/>
        <v>2</v>
      </c>
      <c r="AC259" t="str">
        <f t="shared" si="307"/>
        <v>2</v>
      </c>
      <c r="AD259" t="str">
        <f t="shared" si="296"/>
        <v>2</v>
      </c>
      <c r="AE259" t="str">
        <f t="shared" si="296"/>
        <v>2</v>
      </c>
      <c r="AF259" t="str">
        <f t="shared" si="296"/>
        <v>2</v>
      </c>
      <c r="AG259" t="str">
        <f t="shared" si="296"/>
        <v>2</v>
      </c>
      <c r="AH259" t="str">
        <f t="shared" si="302"/>
        <v>1</v>
      </c>
      <c r="AI259" t="str">
        <f t="shared" si="308"/>
        <v xml:space="preserve">1         </v>
      </c>
      <c r="AJ259" t="str">
        <f t="shared" si="286"/>
        <v>170</v>
      </c>
      <c r="AK259" t="str">
        <f>"11"</f>
        <v>11</v>
      </c>
      <c r="AL259" t="str">
        <f>"001"</f>
        <v>001</v>
      </c>
      <c r="AM259" t="str">
        <f>"11"</f>
        <v>11</v>
      </c>
      <c r="AN259" t="str">
        <f>"11001"</f>
        <v>11001</v>
      </c>
      <c r="AO259" t="str">
        <f>"1/07/2020 12:00:00 a. m."</f>
        <v>1/07/2020 12:00:00 a. m.</v>
      </c>
      <c r="AP259" t="str">
        <f>"1/04/2020 12:00:00 a. m."</f>
        <v>1/04/2020 12:00:00 a. m.</v>
      </c>
      <c r="AQ259" t="str">
        <f>"2"</f>
        <v>2</v>
      </c>
      <c r="AR259" t="str">
        <f t="shared" si="304"/>
        <v>1</v>
      </c>
      <c r="AS259" t="str">
        <f>"1/07/2020 12:00:00 a. m."</f>
        <v>1/07/2020 12:00:00 a. m.</v>
      </c>
      <c r="AT259" t="str">
        <f t="shared" si="313"/>
        <v>1</v>
      </c>
      <c r="AU259" t="str">
        <f>""</f>
        <v/>
      </c>
      <c r="AV259" t="str">
        <f>"3"</f>
        <v>3</v>
      </c>
      <c r="AW259" t="str">
        <f>"29/10/2002 12:00:00 a. m."</f>
        <v>29/10/2002 12:00:00 a. m.</v>
      </c>
      <c r="AX259" t="str">
        <f>""</f>
        <v/>
      </c>
      <c r="AY259" t="str">
        <f t="shared" si="314"/>
        <v>30/04/2021 12:00:00 a. m.</v>
      </c>
      <c r="AZ259" t="str">
        <f>"21/07/2020 12:00:00 a. m."</f>
        <v>21/07/2020 12:00:00 a. m.</v>
      </c>
      <c r="BA259" t="str">
        <f>""</f>
        <v/>
      </c>
      <c r="BB259" t="str">
        <f>""</f>
        <v/>
      </c>
      <c r="BC259" t="str">
        <f>""</f>
        <v/>
      </c>
      <c r="BD259" t="str">
        <f t="shared" si="298"/>
        <v>1</v>
      </c>
      <c r="BE259" t="str">
        <f t="shared" si="298"/>
        <v>1</v>
      </c>
      <c r="BF259" t="str">
        <f t="shared" si="315"/>
        <v xml:space="preserve">3         </v>
      </c>
      <c r="BG259" t="str">
        <f t="shared" si="316"/>
        <v>Confirmado por laboratorio</v>
      </c>
      <c r="BH259" t="str">
        <f>"CLINICA INFANTIL COLSUBSIDIO"</f>
        <v>CLINICA INFANTIL COLSUBSIDIO</v>
      </c>
      <c r="BI259" t="str">
        <f t="shared" si="288"/>
        <v>COLOMBIA</v>
      </c>
      <c r="BJ259" t="str">
        <f t="shared" si="317"/>
        <v>CANCER INFANTIL</v>
      </c>
      <c r="BK259" t="str">
        <f t="shared" ref="BK259:BL261" si="319">"BOGOTA"</f>
        <v>BOGOTA</v>
      </c>
      <c r="BL259" t="str">
        <f t="shared" si="319"/>
        <v>BOGOTA</v>
      </c>
      <c r="BM259" t="str">
        <f t="shared" si="289"/>
        <v>COLOMBIA</v>
      </c>
      <c r="BN259" t="str">
        <f t="shared" ref="BN259:BQ261" si="320">"BOGOTA"</f>
        <v>BOGOTA</v>
      </c>
      <c r="BO259" t="str">
        <f t="shared" si="320"/>
        <v>BOGOTA</v>
      </c>
      <c r="BP259" t="str">
        <f t="shared" si="320"/>
        <v>BOGOTA</v>
      </c>
      <c r="BQ259" t="str">
        <f t="shared" si="320"/>
        <v>BOGOTA</v>
      </c>
    </row>
    <row r="260" spans="1:69" x14ac:dyDescent="0.25">
      <c r="A260" t="str">
        <f>"7279285"</f>
        <v>7279285</v>
      </c>
      <c r="B260" t="str">
        <f t="shared" si="310"/>
        <v>459</v>
      </c>
      <c r="C260" t="str">
        <f>"22/01/2020 12:00:00 a. m."</f>
        <v>22/01/2020 12:00:00 a. m.</v>
      </c>
      <c r="D260" t="str">
        <f>"03"</f>
        <v>03</v>
      </c>
      <c r="E260" t="str">
        <f t="shared" si="311"/>
        <v>2020</v>
      </c>
      <c r="F260" t="str">
        <f>"1100108171"</f>
        <v>1100108171</v>
      </c>
      <c r="G260" t="str">
        <f>"02"</f>
        <v>02</v>
      </c>
      <c r="H260" t="str">
        <f>"17"</f>
        <v>17</v>
      </c>
      <c r="I260" t="str">
        <f t="shared" si="294"/>
        <v>1</v>
      </c>
      <c r="J260" t="str">
        <f>"F"</f>
        <v>F</v>
      </c>
      <c r="K260" t="str">
        <f t="shared" si="285"/>
        <v>170</v>
      </c>
      <c r="L260" t="str">
        <f>"11"</f>
        <v>11</v>
      </c>
      <c r="M260" t="str">
        <f>"001"</f>
        <v>001</v>
      </c>
      <c r="N260" t="str">
        <f t="shared" si="309"/>
        <v>1</v>
      </c>
      <c r="O260" t="str">
        <f>"9997"</f>
        <v>9997</v>
      </c>
      <c r="P260" t="str">
        <f>"C"</f>
        <v>C</v>
      </c>
      <c r="Q260" t="str">
        <f>"EPS017"</f>
        <v>EPS017</v>
      </c>
      <c r="R260" t="str">
        <f t="shared" si="305"/>
        <v>6</v>
      </c>
      <c r="S260" t="str">
        <f>""</f>
        <v/>
      </c>
      <c r="T260" t="str">
        <f t="shared" si="265"/>
        <v xml:space="preserve">                                                                                                    </v>
      </c>
      <c r="U260" t="str">
        <f>"1         "</f>
        <v xml:space="preserve">1         </v>
      </c>
      <c r="V260" t="str">
        <f t="shared" si="300"/>
        <v>2</v>
      </c>
      <c r="W260" t="str">
        <f t="shared" si="299"/>
        <v>2</v>
      </c>
      <c r="X260" t="str">
        <f t="shared" si="301"/>
        <v>2</v>
      </c>
      <c r="Y260" t="str">
        <f t="shared" si="318"/>
        <v>2</v>
      </c>
      <c r="Z260" t="str">
        <f t="shared" si="318"/>
        <v>2</v>
      </c>
      <c r="AA260" t="str">
        <f t="shared" si="312"/>
        <v xml:space="preserve">          </v>
      </c>
      <c r="AB260" t="str">
        <f t="shared" si="306"/>
        <v>2</v>
      </c>
      <c r="AC260" t="str">
        <f t="shared" si="307"/>
        <v>2</v>
      </c>
      <c r="AD260" t="str">
        <f t="shared" ref="AD260:AG279" si="321">"2"</f>
        <v>2</v>
      </c>
      <c r="AE260" t="str">
        <f t="shared" si="321"/>
        <v>2</v>
      </c>
      <c r="AF260" t="str">
        <f t="shared" si="321"/>
        <v>2</v>
      </c>
      <c r="AG260" t="str">
        <f t="shared" si="321"/>
        <v>2</v>
      </c>
      <c r="AH260" t="str">
        <f t="shared" si="302"/>
        <v>1</v>
      </c>
      <c r="AI260" t="str">
        <f t="shared" si="308"/>
        <v xml:space="preserve">1         </v>
      </c>
      <c r="AJ260" t="str">
        <f t="shared" si="286"/>
        <v>170</v>
      </c>
      <c r="AK260" t="str">
        <f>"11"</f>
        <v>11</v>
      </c>
      <c r="AL260" t="str">
        <f>"001"</f>
        <v>001</v>
      </c>
      <c r="AM260" t="str">
        <f>"11"</f>
        <v>11</v>
      </c>
      <c r="AN260" t="str">
        <f>"11001"</f>
        <v>11001</v>
      </c>
      <c r="AO260" t="str">
        <f>"13/01/2020 12:00:00 a. m."</f>
        <v>13/01/2020 12:00:00 a. m.</v>
      </c>
      <c r="AP260" t="str">
        <f>"11/10/2019 12:00:00 a. m."</f>
        <v>11/10/2019 12:00:00 a. m.</v>
      </c>
      <c r="AQ260" t="str">
        <f>"2"</f>
        <v>2</v>
      </c>
      <c r="AR260" t="str">
        <f t="shared" si="304"/>
        <v>1</v>
      </c>
      <c r="AS260" t="str">
        <f>"13/01/2020 12:00:00 a. m."</f>
        <v>13/01/2020 12:00:00 a. m.</v>
      </c>
      <c r="AT260" t="str">
        <f t="shared" si="313"/>
        <v>1</v>
      </c>
      <c r="AU260" t="str">
        <f>""</f>
        <v/>
      </c>
      <c r="AV260" t="str">
        <f>"3"</f>
        <v>3</v>
      </c>
      <c r="AW260" t="str">
        <f>"4/04/2002 12:00:00 a. m."</f>
        <v>4/04/2002 12:00:00 a. m.</v>
      </c>
      <c r="AX260" t="str">
        <f>""</f>
        <v/>
      </c>
      <c r="AY260" t="str">
        <f t="shared" si="314"/>
        <v>30/04/2021 12:00:00 a. m.</v>
      </c>
      <c r="AZ260" t="str">
        <f>"8/02/2020 12:00:00 a. m."</f>
        <v>8/02/2020 12:00:00 a. m.</v>
      </c>
      <c r="BA260" t="str">
        <f>""</f>
        <v/>
      </c>
      <c r="BB260" t="str">
        <f>""</f>
        <v/>
      </c>
      <c r="BC260" t="str">
        <f>""</f>
        <v/>
      </c>
      <c r="BD260" t="str">
        <f t="shared" si="298"/>
        <v>1</v>
      </c>
      <c r="BE260" t="str">
        <f t="shared" si="298"/>
        <v>1</v>
      </c>
      <c r="BF260" t="str">
        <f t="shared" si="315"/>
        <v xml:space="preserve">3         </v>
      </c>
      <c r="BG260" t="str">
        <f t="shared" si="316"/>
        <v>Confirmado por laboratorio</v>
      </c>
      <c r="BH260" t="str">
        <f>"CLINICA INFANTIL COLSUBSIDIO"</f>
        <v>CLINICA INFANTIL COLSUBSIDIO</v>
      </c>
      <c r="BI260" t="str">
        <f t="shared" si="288"/>
        <v>COLOMBIA</v>
      </c>
      <c r="BJ260" t="str">
        <f t="shared" si="317"/>
        <v>CANCER INFANTIL</v>
      </c>
      <c r="BK260" t="str">
        <f t="shared" si="319"/>
        <v>BOGOTA</v>
      </c>
      <c r="BL260" t="str">
        <f t="shared" si="319"/>
        <v>BOGOTA</v>
      </c>
      <c r="BM260" t="str">
        <f t="shared" si="289"/>
        <v>COLOMBIA</v>
      </c>
      <c r="BN260" t="str">
        <f t="shared" si="320"/>
        <v>BOGOTA</v>
      </c>
      <c r="BO260" t="str">
        <f t="shared" si="320"/>
        <v>BOGOTA</v>
      </c>
      <c r="BP260" t="str">
        <f t="shared" si="320"/>
        <v>BOGOTA</v>
      </c>
      <c r="BQ260" t="str">
        <f t="shared" si="320"/>
        <v>BOGOTA</v>
      </c>
    </row>
    <row r="261" spans="1:69" x14ac:dyDescent="0.25">
      <c r="A261" t="str">
        <f>"7279265"</f>
        <v>7279265</v>
      </c>
      <c r="B261" t="str">
        <f t="shared" si="310"/>
        <v>459</v>
      </c>
      <c r="C261" t="str">
        <f>"17/06/2020 12:00:00 a. m."</f>
        <v>17/06/2020 12:00:00 a. m.</v>
      </c>
      <c r="D261" t="str">
        <f>"18"</f>
        <v>18</v>
      </c>
      <c r="E261" t="str">
        <f t="shared" si="311"/>
        <v>2020</v>
      </c>
      <c r="F261" t="str">
        <f>"1100105681"</f>
        <v>1100105681</v>
      </c>
      <c r="G261" t="str">
        <f>"01"</f>
        <v>01</v>
      </c>
      <c r="H261" t="str">
        <f>"17"</f>
        <v>17</v>
      </c>
      <c r="I261" t="str">
        <f t="shared" si="294"/>
        <v>1</v>
      </c>
      <c r="J261" t="str">
        <f>"F"</f>
        <v>F</v>
      </c>
      <c r="K261" t="str">
        <f t="shared" si="285"/>
        <v>170</v>
      </c>
      <c r="L261" t="str">
        <f>"11"</f>
        <v>11</v>
      </c>
      <c r="M261" t="str">
        <f>"001"</f>
        <v>001</v>
      </c>
      <c r="N261" t="str">
        <f t="shared" si="309"/>
        <v>1</v>
      </c>
      <c r="O261" t="str">
        <f>"9997"</f>
        <v>9997</v>
      </c>
      <c r="P261" t="str">
        <f>"C"</f>
        <v>C</v>
      </c>
      <c r="Q261" t="str">
        <f>"EPS008"</f>
        <v>EPS008</v>
      </c>
      <c r="R261" t="str">
        <f t="shared" si="305"/>
        <v>6</v>
      </c>
      <c r="S261" t="str">
        <f>""</f>
        <v/>
      </c>
      <c r="T261" t="str">
        <f t="shared" si="265"/>
        <v xml:space="preserve">                                                                                                    </v>
      </c>
      <c r="U261" t="str">
        <f>"3         "</f>
        <v xml:space="preserve">3         </v>
      </c>
      <c r="V261" t="str">
        <f t="shared" si="300"/>
        <v>2</v>
      </c>
      <c r="W261" t="str">
        <f t="shared" si="299"/>
        <v>2</v>
      </c>
      <c r="X261" t="str">
        <f t="shared" si="301"/>
        <v>2</v>
      </c>
      <c r="Y261" t="str">
        <f t="shared" si="318"/>
        <v>2</v>
      </c>
      <c r="Z261" t="str">
        <f t="shared" si="318"/>
        <v>2</v>
      </c>
      <c r="AA261" t="str">
        <f t="shared" si="312"/>
        <v xml:space="preserve">          </v>
      </c>
      <c r="AB261" t="str">
        <f t="shared" si="306"/>
        <v>2</v>
      </c>
      <c r="AC261" t="str">
        <f t="shared" si="307"/>
        <v>2</v>
      </c>
      <c r="AD261" t="str">
        <f t="shared" si="321"/>
        <v>2</v>
      </c>
      <c r="AE261" t="str">
        <f t="shared" si="321"/>
        <v>2</v>
      </c>
      <c r="AF261" t="str">
        <f t="shared" si="321"/>
        <v>2</v>
      </c>
      <c r="AG261" t="str">
        <f t="shared" si="321"/>
        <v>2</v>
      </c>
      <c r="AH261" t="str">
        <f t="shared" si="302"/>
        <v>1</v>
      </c>
      <c r="AI261" t="str">
        <f>"2         "</f>
        <v xml:space="preserve">2         </v>
      </c>
      <c r="AJ261" t="str">
        <f t="shared" si="286"/>
        <v>170</v>
      </c>
      <c r="AK261" t="str">
        <f>"11"</f>
        <v>11</v>
      </c>
      <c r="AL261" t="str">
        <f>"001"</f>
        <v>001</v>
      </c>
      <c r="AM261" t="str">
        <f>"11"</f>
        <v>11</v>
      </c>
      <c r="AN261" t="str">
        <f>"11001"</f>
        <v>11001</v>
      </c>
      <c r="AO261" t="str">
        <f>"30/04/2020 12:00:00 a. m."</f>
        <v>30/04/2020 12:00:00 a. m.</v>
      </c>
      <c r="AP261" t="str">
        <f>"28/02/2020 12:00:00 a. m."</f>
        <v>28/02/2020 12:00:00 a. m.</v>
      </c>
      <c r="AQ261" t="str">
        <f>"3"</f>
        <v>3</v>
      </c>
      <c r="AR261" t="str">
        <f t="shared" si="304"/>
        <v>1</v>
      </c>
      <c r="AS261" t="str">
        <f>"30/04/2020 12:00:00 a. m."</f>
        <v>30/04/2020 12:00:00 a. m.</v>
      </c>
      <c r="AT261" t="str">
        <f t="shared" si="313"/>
        <v>1</v>
      </c>
      <c r="AU261" t="str">
        <f>""</f>
        <v/>
      </c>
      <c r="AV261" t="str">
        <f>"0"</f>
        <v>0</v>
      </c>
      <c r="AW261" t="str">
        <f>"30/01/2003 12:00:00 a. m."</f>
        <v>30/01/2003 12:00:00 a. m.</v>
      </c>
      <c r="AX261" t="str">
        <f>""</f>
        <v/>
      </c>
      <c r="AY261" t="str">
        <f t="shared" si="314"/>
        <v>30/04/2021 12:00:00 a. m.</v>
      </c>
      <c r="AZ261" t="str">
        <f>"30/06/2020 12:00:00 a. m."</f>
        <v>30/06/2020 12:00:00 a. m.</v>
      </c>
      <c r="BA261" t="str">
        <f>""</f>
        <v/>
      </c>
      <c r="BB261" t="str">
        <f>""</f>
        <v/>
      </c>
      <c r="BC261" t="str">
        <f>""</f>
        <v/>
      </c>
      <c r="BD261" t="str">
        <f t="shared" si="298"/>
        <v>1</v>
      </c>
      <c r="BE261" t="str">
        <f t="shared" si="298"/>
        <v>1</v>
      </c>
      <c r="BF261" t="str">
        <f t="shared" si="315"/>
        <v xml:space="preserve">3         </v>
      </c>
      <c r="BG261" t="str">
        <f t="shared" si="316"/>
        <v>Confirmado por laboratorio</v>
      </c>
      <c r="BH261" t="str">
        <f>"FUNDACION HOSPITAL DE LA MISERICORDIA"</f>
        <v>FUNDACION HOSPITAL DE LA MISERICORDIA</v>
      </c>
      <c r="BI261" t="str">
        <f t="shared" si="288"/>
        <v>COLOMBIA</v>
      </c>
      <c r="BJ261" t="str">
        <f t="shared" si="317"/>
        <v>CANCER INFANTIL</v>
      </c>
      <c r="BK261" t="str">
        <f t="shared" si="319"/>
        <v>BOGOTA</v>
      </c>
      <c r="BL261" t="str">
        <f t="shared" si="319"/>
        <v>BOGOTA</v>
      </c>
      <c r="BM261" t="str">
        <f t="shared" si="289"/>
        <v>COLOMBIA</v>
      </c>
      <c r="BN261" t="str">
        <f t="shared" si="320"/>
        <v>BOGOTA</v>
      </c>
      <c r="BO261" t="str">
        <f t="shared" si="320"/>
        <v>BOGOTA</v>
      </c>
      <c r="BP261" t="str">
        <f t="shared" si="320"/>
        <v>BOGOTA</v>
      </c>
      <c r="BQ261" t="str">
        <f t="shared" si="320"/>
        <v>BOGOTA</v>
      </c>
    </row>
    <row r="262" spans="1:69" x14ac:dyDescent="0.25">
      <c r="A262" t="str">
        <f>"7285371"</f>
        <v>7285371</v>
      </c>
      <c r="B262" t="str">
        <f t="shared" si="310"/>
        <v>459</v>
      </c>
      <c r="C262" t="str">
        <f>"21/02/2020 12:00:00 a. m."</f>
        <v>21/02/2020 12:00:00 a. m.</v>
      </c>
      <c r="D262" t="str">
        <f>"08"</f>
        <v>08</v>
      </c>
      <c r="E262" t="str">
        <f t="shared" si="311"/>
        <v>2020</v>
      </c>
      <c r="F262" t="str">
        <f>"7600102870"</f>
        <v>7600102870</v>
      </c>
      <c r="G262" t="str">
        <f>"01"</f>
        <v>01</v>
      </c>
      <c r="H262" t="str">
        <f>"11"</f>
        <v>11</v>
      </c>
      <c r="I262" t="str">
        <f t="shared" si="294"/>
        <v>1</v>
      </c>
      <c r="J262" t="str">
        <f>"M"</f>
        <v>M</v>
      </c>
      <c r="K262" t="str">
        <f t="shared" ref="K262:K298" si="322">"170"</f>
        <v>170</v>
      </c>
      <c r="L262" t="str">
        <f>"76"</f>
        <v>76</v>
      </c>
      <c r="M262" t="str">
        <f>"130"</f>
        <v>130</v>
      </c>
      <c r="N262" t="str">
        <f t="shared" si="309"/>
        <v>1</v>
      </c>
      <c r="O262" t="str">
        <f>"9999"</f>
        <v>9999</v>
      </c>
      <c r="P262" t="str">
        <f>"C"</f>
        <v>C</v>
      </c>
      <c r="Q262" t="str">
        <f>"EPS010"</f>
        <v>EPS010</v>
      </c>
      <c r="R262" t="str">
        <f t="shared" si="305"/>
        <v>6</v>
      </c>
      <c r="S262" t="str">
        <f>""</f>
        <v/>
      </c>
      <c r="T262" t="str">
        <f t="shared" si="265"/>
        <v xml:space="preserve">                                                                                                    </v>
      </c>
      <c r="U262" t="str">
        <f>"          "</f>
        <v xml:space="preserve">          </v>
      </c>
      <c r="V262" t="str">
        <f t="shared" si="300"/>
        <v>2</v>
      </c>
      <c r="W262" t="str">
        <f t="shared" si="299"/>
        <v>2</v>
      </c>
      <c r="X262" t="str">
        <f t="shared" si="301"/>
        <v>2</v>
      </c>
      <c r="Y262" t="str">
        <f t="shared" si="318"/>
        <v>2</v>
      </c>
      <c r="Z262" t="str">
        <f t="shared" si="318"/>
        <v>2</v>
      </c>
      <c r="AA262" t="str">
        <f t="shared" si="312"/>
        <v xml:space="preserve">          </v>
      </c>
      <c r="AB262" t="str">
        <f t="shared" si="306"/>
        <v>2</v>
      </c>
      <c r="AC262" t="str">
        <f t="shared" si="307"/>
        <v>2</v>
      </c>
      <c r="AD262" t="str">
        <f t="shared" si="321"/>
        <v>2</v>
      </c>
      <c r="AE262" t="str">
        <f t="shared" si="321"/>
        <v>2</v>
      </c>
      <c r="AF262" t="str">
        <f t="shared" si="321"/>
        <v>2</v>
      </c>
      <c r="AG262" t="str">
        <f t="shared" si="321"/>
        <v>2</v>
      </c>
      <c r="AH262" t="str">
        <f t="shared" si="302"/>
        <v>1</v>
      </c>
      <c r="AI262" t="str">
        <f t="shared" ref="AI262:AI272" si="323">"1         "</f>
        <v xml:space="preserve">1         </v>
      </c>
      <c r="AJ262" t="str">
        <f t="shared" ref="AJ262:AJ298" si="324">"170"</f>
        <v>170</v>
      </c>
      <c r="AK262" t="str">
        <f>"76"</f>
        <v>76</v>
      </c>
      <c r="AL262" t="str">
        <f>"130"</f>
        <v>130</v>
      </c>
      <c r="AM262" t="str">
        <f>"76"</f>
        <v>76</v>
      </c>
      <c r="AN262" t="str">
        <f>"76001"</f>
        <v>76001</v>
      </c>
      <c r="AO262" t="str">
        <f>"20/02/2020 12:00:00 a. m."</f>
        <v>20/02/2020 12:00:00 a. m.</v>
      </c>
      <c r="AP262" t="str">
        <f>"1/12/2019 12:00:00 a. m."</f>
        <v>1/12/2019 12:00:00 a. m.</v>
      </c>
      <c r="AQ262" t="str">
        <f>"3"</f>
        <v>3</v>
      </c>
      <c r="AR262" t="str">
        <f t="shared" si="304"/>
        <v>1</v>
      </c>
      <c r="AS262" t="str">
        <f>"20/02/2020 12:00:00 a. m."</f>
        <v>20/02/2020 12:00:00 a. m.</v>
      </c>
      <c r="AT262" t="str">
        <f t="shared" si="313"/>
        <v>1</v>
      </c>
      <c r="AU262" t="str">
        <f>""</f>
        <v/>
      </c>
      <c r="AV262" t="str">
        <f>"0"</f>
        <v>0</v>
      </c>
      <c r="AW262" t="str">
        <f>"16/07/2008 12:00:00 a. m."</f>
        <v>16/07/2008 12:00:00 a. m.</v>
      </c>
      <c r="AX262" t="str">
        <f>""</f>
        <v/>
      </c>
      <c r="AY262" t="str">
        <f t="shared" si="314"/>
        <v>30/04/2021 12:00:00 a. m.</v>
      </c>
      <c r="AZ262" t="str">
        <f>"21/02/2020 12:00:00 a. m."</f>
        <v>21/02/2020 12:00:00 a. m.</v>
      </c>
      <c r="BA262" t="str">
        <f>""</f>
        <v/>
      </c>
      <c r="BB262" t="str">
        <f>""</f>
        <v/>
      </c>
      <c r="BC262" t="str">
        <f>""</f>
        <v/>
      </c>
      <c r="BD262" t="str">
        <f t="shared" ref="BD262:BE281" si="325">"1"</f>
        <v>1</v>
      </c>
      <c r="BE262" t="str">
        <f t="shared" si="325"/>
        <v>1</v>
      </c>
      <c r="BF262" t="str">
        <f t="shared" si="315"/>
        <v xml:space="preserve">3         </v>
      </c>
      <c r="BG262" t="str">
        <f t="shared" si="316"/>
        <v>Confirmado por laboratorio</v>
      </c>
      <c r="BH262" t="str">
        <f>"FUNDACION VALLE DEL LILI"</f>
        <v>FUNDACION VALLE DEL LILI</v>
      </c>
      <c r="BI262" t="str">
        <f t="shared" ref="BI262:BI298" si="326">"COLOMBIA"</f>
        <v>COLOMBIA</v>
      </c>
      <c r="BJ262" t="str">
        <f t="shared" si="317"/>
        <v>CANCER INFANTIL</v>
      </c>
      <c r="BK262" t="str">
        <f>"VALLE"</f>
        <v>VALLE</v>
      </c>
      <c r="BL262" t="str">
        <f>"CANDELARIA"</f>
        <v>CANDELARIA</v>
      </c>
      <c r="BM262" t="str">
        <f t="shared" ref="BM262:BM298" si="327">"COLOMBIA"</f>
        <v>COLOMBIA</v>
      </c>
      <c r="BN262" t="str">
        <f>"VALLE"</f>
        <v>VALLE</v>
      </c>
      <c r="BO262" t="str">
        <f>"CANDELARIA"</f>
        <v>CANDELARIA</v>
      </c>
      <c r="BP262" t="str">
        <f>"VALLE"</f>
        <v>VALLE</v>
      </c>
      <c r="BQ262" t="str">
        <f>"CALI"</f>
        <v>CALI</v>
      </c>
    </row>
    <row r="263" spans="1:69" x14ac:dyDescent="0.25">
      <c r="A263" t="str">
        <f>"7285335"</f>
        <v>7285335</v>
      </c>
      <c r="B263" t="str">
        <f t="shared" si="310"/>
        <v>459</v>
      </c>
      <c r="C263" t="str">
        <f>"25/08/2020 12:00:00 a. m."</f>
        <v>25/08/2020 12:00:00 a. m.</v>
      </c>
      <c r="D263" t="str">
        <f>"29"</f>
        <v>29</v>
      </c>
      <c r="E263" t="str">
        <f t="shared" si="311"/>
        <v>2020</v>
      </c>
      <c r="F263" t="str">
        <f>"0500102144"</f>
        <v>0500102144</v>
      </c>
      <c r="G263" t="str">
        <f>"01"</f>
        <v>01</v>
      </c>
      <c r="H263" t="str">
        <f>"14"</f>
        <v>14</v>
      </c>
      <c r="I263" t="str">
        <f t="shared" si="294"/>
        <v>1</v>
      </c>
      <c r="J263" t="str">
        <f>"F"</f>
        <v>F</v>
      </c>
      <c r="K263" t="str">
        <f t="shared" si="322"/>
        <v>170</v>
      </c>
      <c r="L263" t="str">
        <f>"05"</f>
        <v>05</v>
      </c>
      <c r="M263" t="str">
        <f>"045"</f>
        <v>045</v>
      </c>
      <c r="N263" t="str">
        <f t="shared" si="309"/>
        <v>1</v>
      </c>
      <c r="O263" t="str">
        <f>"9997"</f>
        <v>9997</v>
      </c>
      <c r="P263" t="str">
        <f>"S"</f>
        <v>S</v>
      </c>
      <c r="Q263" t="str">
        <f>"EPSS40"</f>
        <v>EPSS40</v>
      </c>
      <c r="R263" t="str">
        <f t="shared" si="305"/>
        <v>6</v>
      </c>
      <c r="S263" t="str">
        <f>""</f>
        <v/>
      </c>
      <c r="T263" t="str">
        <f t="shared" si="265"/>
        <v xml:space="preserve">                                                                                                    </v>
      </c>
      <c r="U263" t="str">
        <f>"          "</f>
        <v xml:space="preserve">          </v>
      </c>
      <c r="V263" t="str">
        <f t="shared" si="300"/>
        <v>2</v>
      </c>
      <c r="W263" t="str">
        <f t="shared" si="299"/>
        <v>2</v>
      </c>
      <c r="X263" t="str">
        <f t="shared" si="301"/>
        <v>2</v>
      </c>
      <c r="Y263" t="str">
        <f t="shared" si="318"/>
        <v>2</v>
      </c>
      <c r="Z263" t="str">
        <f t="shared" si="318"/>
        <v>2</v>
      </c>
      <c r="AA263" t="str">
        <f t="shared" si="312"/>
        <v xml:space="preserve">          </v>
      </c>
      <c r="AB263" t="str">
        <f t="shared" si="306"/>
        <v>2</v>
      </c>
      <c r="AC263" t="str">
        <f t="shared" si="307"/>
        <v>2</v>
      </c>
      <c r="AD263" t="str">
        <f t="shared" si="321"/>
        <v>2</v>
      </c>
      <c r="AE263" t="str">
        <f t="shared" si="321"/>
        <v>2</v>
      </c>
      <c r="AF263" t="str">
        <f t="shared" si="321"/>
        <v>2</v>
      </c>
      <c r="AG263" t="str">
        <f t="shared" si="321"/>
        <v>2</v>
      </c>
      <c r="AH263" t="str">
        <f t="shared" si="302"/>
        <v>1</v>
      </c>
      <c r="AI263" t="str">
        <f t="shared" si="323"/>
        <v xml:space="preserve">1         </v>
      </c>
      <c r="AJ263" t="str">
        <f t="shared" si="324"/>
        <v>170</v>
      </c>
      <c r="AK263" t="str">
        <f>"05"</f>
        <v>05</v>
      </c>
      <c r="AL263" t="str">
        <f>"045"</f>
        <v>045</v>
      </c>
      <c r="AM263" t="str">
        <f>"05"</f>
        <v>05</v>
      </c>
      <c r="AN263" t="str">
        <f>"05001"</f>
        <v>05001</v>
      </c>
      <c r="AO263" t="str">
        <f>"12/07/2020 12:00:00 a. m."</f>
        <v>12/07/2020 12:00:00 a. m.</v>
      </c>
      <c r="AP263" t="str">
        <f>"1/07/2020 12:00:00 a. m."</f>
        <v>1/07/2020 12:00:00 a. m.</v>
      </c>
      <c r="AQ263" t="str">
        <f>"3"</f>
        <v>3</v>
      </c>
      <c r="AR263" t="str">
        <f t="shared" si="304"/>
        <v>1</v>
      </c>
      <c r="AS263" t="str">
        <f>"12/07/2020 12:00:00 a. m."</f>
        <v>12/07/2020 12:00:00 a. m.</v>
      </c>
      <c r="AT263" t="str">
        <f t="shared" si="313"/>
        <v>1</v>
      </c>
      <c r="AU263" t="str">
        <f>""</f>
        <v/>
      </c>
      <c r="AV263" t="str">
        <f>"0"</f>
        <v>0</v>
      </c>
      <c r="AW263" t="str">
        <f>"30/07/2006 12:00:00 a. m."</f>
        <v>30/07/2006 12:00:00 a. m.</v>
      </c>
      <c r="AX263" t="str">
        <f>""</f>
        <v/>
      </c>
      <c r="AY263" t="str">
        <f t="shared" si="314"/>
        <v>30/04/2021 12:00:00 a. m.</v>
      </c>
      <c r="AZ263" t="str">
        <f>"25/08/2020 12:00:00 a. m."</f>
        <v>25/08/2020 12:00:00 a. m.</v>
      </c>
      <c r="BA263" t="str">
        <f>""</f>
        <v/>
      </c>
      <c r="BB263" t="str">
        <f>""</f>
        <v/>
      </c>
      <c r="BC263" t="str">
        <f>""</f>
        <v/>
      </c>
      <c r="BD263" t="str">
        <f t="shared" si="325"/>
        <v>1</v>
      </c>
      <c r="BE263" t="str">
        <f t="shared" si="325"/>
        <v>1</v>
      </c>
      <c r="BF263" t="str">
        <f t="shared" si="315"/>
        <v xml:space="preserve">3         </v>
      </c>
      <c r="BG263" t="str">
        <f t="shared" si="316"/>
        <v>Confirmado por laboratorio</v>
      </c>
      <c r="BH263" t="str">
        <f>"HOSPITAL GENERAL DE MEDELLIN - LUZ CASTRO DE GUTIE"</f>
        <v>HOSPITAL GENERAL DE MEDELLIN - LUZ CASTRO DE GUTIE</v>
      </c>
      <c r="BI263" t="str">
        <f t="shared" si="326"/>
        <v>COLOMBIA</v>
      </c>
      <c r="BJ263" t="str">
        <f t="shared" si="317"/>
        <v>CANCER INFANTIL</v>
      </c>
      <c r="BK263" t="str">
        <f>"ANTIOQUIA"</f>
        <v>ANTIOQUIA</v>
      </c>
      <c r="BL263" t="str">
        <f>"APARTADO"</f>
        <v>APARTADO</v>
      </c>
      <c r="BM263" t="str">
        <f t="shared" si="327"/>
        <v>COLOMBIA</v>
      </c>
      <c r="BN263" t="str">
        <f>"ANTIOQUIA"</f>
        <v>ANTIOQUIA</v>
      </c>
      <c r="BO263" t="str">
        <f>"APARTADO"</f>
        <v>APARTADO</v>
      </c>
      <c r="BP263" t="str">
        <f>"ANTIOQUIA"</f>
        <v>ANTIOQUIA</v>
      </c>
      <c r="BQ263" t="str">
        <f>"MEDELLIN"</f>
        <v>MEDELLIN</v>
      </c>
    </row>
    <row r="264" spans="1:69" x14ac:dyDescent="0.25">
      <c r="A264" t="str">
        <f>"7285385"</f>
        <v>7285385</v>
      </c>
      <c r="B264" t="str">
        <f t="shared" si="310"/>
        <v>459</v>
      </c>
      <c r="C264" t="str">
        <f>"25/01/2021 12:00:00 a. m."</f>
        <v>25/01/2021 12:00:00 a. m.</v>
      </c>
      <c r="D264" t="str">
        <f>"51"</f>
        <v>51</v>
      </c>
      <c r="E264" t="str">
        <f t="shared" si="311"/>
        <v>2020</v>
      </c>
      <c r="F264" t="str">
        <f>"0500102175"</f>
        <v>0500102175</v>
      </c>
      <c r="G264" t="str">
        <f>"01"</f>
        <v>01</v>
      </c>
      <c r="H264" t="str">
        <f>"4"</f>
        <v>4</v>
      </c>
      <c r="I264" t="str">
        <f t="shared" si="294"/>
        <v>1</v>
      </c>
      <c r="J264" t="str">
        <f>"F"</f>
        <v>F</v>
      </c>
      <c r="K264" t="str">
        <f t="shared" si="322"/>
        <v>170</v>
      </c>
      <c r="L264" t="str">
        <f>"05"</f>
        <v>05</v>
      </c>
      <c r="M264" t="str">
        <f>"079"</f>
        <v>079</v>
      </c>
      <c r="N264" t="str">
        <f t="shared" si="309"/>
        <v>1</v>
      </c>
      <c r="O264" t="str">
        <f>"9999"</f>
        <v>9999</v>
      </c>
      <c r="P264" t="str">
        <f>"C"</f>
        <v>C</v>
      </c>
      <c r="Q264" t="str">
        <f>"EPS010"</f>
        <v>EPS010</v>
      </c>
      <c r="R264" t="str">
        <f t="shared" si="305"/>
        <v>6</v>
      </c>
      <c r="S264" t="str">
        <f>""</f>
        <v/>
      </c>
      <c r="T264" t="str">
        <f t="shared" si="265"/>
        <v xml:space="preserve">                                                                                                    </v>
      </c>
      <c r="U264" t="str">
        <f>"2         "</f>
        <v xml:space="preserve">2         </v>
      </c>
      <c r="V264" t="str">
        <f t="shared" si="300"/>
        <v>2</v>
      </c>
      <c r="W264" t="str">
        <f t="shared" si="299"/>
        <v>2</v>
      </c>
      <c r="X264" t="str">
        <f t="shared" si="301"/>
        <v>2</v>
      </c>
      <c r="Y264" t="str">
        <f t="shared" si="318"/>
        <v>2</v>
      </c>
      <c r="Z264" t="str">
        <f t="shared" si="318"/>
        <v>2</v>
      </c>
      <c r="AA264" t="str">
        <f t="shared" si="312"/>
        <v xml:space="preserve">          </v>
      </c>
      <c r="AB264" t="str">
        <f t="shared" si="306"/>
        <v>2</v>
      </c>
      <c r="AC264" t="str">
        <f t="shared" si="307"/>
        <v>2</v>
      </c>
      <c r="AD264" t="str">
        <f t="shared" si="321"/>
        <v>2</v>
      </c>
      <c r="AE264" t="str">
        <f t="shared" si="321"/>
        <v>2</v>
      </c>
      <c r="AF264" t="str">
        <f t="shared" si="321"/>
        <v>2</v>
      </c>
      <c r="AG264" t="str">
        <f t="shared" si="321"/>
        <v>2</v>
      </c>
      <c r="AH264" t="str">
        <f t="shared" si="302"/>
        <v>1</v>
      </c>
      <c r="AI264" t="str">
        <f t="shared" si="323"/>
        <v xml:space="preserve">1         </v>
      </c>
      <c r="AJ264" t="str">
        <f t="shared" si="324"/>
        <v>170</v>
      </c>
      <c r="AK264" t="str">
        <f>"05"</f>
        <v>05</v>
      </c>
      <c r="AL264" t="str">
        <f>"079"</f>
        <v>079</v>
      </c>
      <c r="AM264" t="str">
        <f>"05"</f>
        <v>05</v>
      </c>
      <c r="AN264" t="str">
        <f>"05001"</f>
        <v>05001</v>
      </c>
      <c r="AO264" t="str">
        <f>"17/12/2020 12:00:00 a. m."</f>
        <v>17/12/2020 12:00:00 a. m.</v>
      </c>
      <c r="AP264" t="str">
        <f>"17/10/2020 12:00:00 a. m."</f>
        <v>17/10/2020 12:00:00 a. m.</v>
      </c>
      <c r="AQ264" t="str">
        <f>"3"</f>
        <v>3</v>
      </c>
      <c r="AR264" t="str">
        <f t="shared" si="304"/>
        <v>1</v>
      </c>
      <c r="AS264" t="str">
        <f>"17/12/2020 12:00:00 a. m."</f>
        <v>17/12/2020 12:00:00 a. m.</v>
      </c>
      <c r="AT264" t="str">
        <f t="shared" si="313"/>
        <v>1</v>
      </c>
      <c r="AU264" t="str">
        <f>""</f>
        <v/>
      </c>
      <c r="AV264" t="str">
        <f>"0"</f>
        <v>0</v>
      </c>
      <c r="AW264" t="str">
        <f>"5/01/2017 12:00:00 a. m."</f>
        <v>5/01/2017 12:00:00 a. m.</v>
      </c>
      <c r="AX264" t="str">
        <f>""</f>
        <v/>
      </c>
      <c r="AY264" t="str">
        <f t="shared" si="314"/>
        <v>30/04/2021 12:00:00 a. m.</v>
      </c>
      <c r="AZ264" t="str">
        <f>"25/01/2021 12:00:00 a. m."</f>
        <v>25/01/2021 12:00:00 a. m.</v>
      </c>
      <c r="BA264" t="str">
        <f>""</f>
        <v/>
      </c>
      <c r="BB264" t="str">
        <f>""</f>
        <v/>
      </c>
      <c r="BC264" t="str">
        <f>""</f>
        <v/>
      </c>
      <c r="BD264" t="str">
        <f t="shared" si="325"/>
        <v>1</v>
      </c>
      <c r="BE264" t="str">
        <f t="shared" si="325"/>
        <v>1</v>
      </c>
      <c r="BF264" t="str">
        <f t="shared" si="315"/>
        <v xml:space="preserve">3         </v>
      </c>
      <c r="BG264" t="str">
        <f t="shared" si="316"/>
        <v>Confirmado por laboratorio</v>
      </c>
      <c r="BH264" t="str">
        <f>"FUNDACION HOSPITALARIA SAN VICENTE DE PAUL"</f>
        <v>FUNDACION HOSPITALARIA SAN VICENTE DE PAUL</v>
      </c>
      <c r="BI264" t="str">
        <f t="shared" si="326"/>
        <v>COLOMBIA</v>
      </c>
      <c r="BJ264" t="str">
        <f t="shared" si="317"/>
        <v>CANCER INFANTIL</v>
      </c>
      <c r="BK264" t="str">
        <f>"ANTIOQUIA"</f>
        <v>ANTIOQUIA</v>
      </c>
      <c r="BL264" t="str">
        <f>"BARBOSA"</f>
        <v>BARBOSA</v>
      </c>
      <c r="BM264" t="str">
        <f t="shared" si="327"/>
        <v>COLOMBIA</v>
      </c>
      <c r="BN264" t="str">
        <f>"ANTIOQUIA"</f>
        <v>ANTIOQUIA</v>
      </c>
      <c r="BO264" t="str">
        <f>"BARBOSA"</f>
        <v>BARBOSA</v>
      </c>
      <c r="BP264" t="str">
        <f>"ANTIOQUIA"</f>
        <v>ANTIOQUIA</v>
      </c>
      <c r="BQ264" t="str">
        <f>"MEDELLIN"</f>
        <v>MEDELLIN</v>
      </c>
    </row>
    <row r="265" spans="1:69" x14ac:dyDescent="0.25">
      <c r="A265" t="str">
        <f>"7285379"</f>
        <v>7285379</v>
      </c>
      <c r="B265" t="str">
        <f t="shared" si="310"/>
        <v>459</v>
      </c>
      <c r="C265" t="str">
        <f>"5/10/2020 12:00:00 a. m."</f>
        <v>5/10/2020 12:00:00 a. m.</v>
      </c>
      <c r="D265" t="str">
        <f>"40"</f>
        <v>40</v>
      </c>
      <c r="E265" t="str">
        <f t="shared" si="311"/>
        <v>2020</v>
      </c>
      <c r="F265" t="str">
        <f>"1100108171"</f>
        <v>1100108171</v>
      </c>
      <c r="G265" t="str">
        <f>"02"</f>
        <v>02</v>
      </c>
      <c r="H265" t="str">
        <f>"5"</f>
        <v>5</v>
      </c>
      <c r="I265" t="str">
        <f t="shared" si="294"/>
        <v>1</v>
      </c>
      <c r="J265" t="str">
        <f>"M"</f>
        <v>M</v>
      </c>
      <c r="K265" t="str">
        <f t="shared" si="322"/>
        <v>170</v>
      </c>
      <c r="L265" t="str">
        <f>"11"</f>
        <v>11</v>
      </c>
      <c r="M265" t="str">
        <f>"001"</f>
        <v>001</v>
      </c>
      <c r="N265" t="str">
        <f t="shared" si="309"/>
        <v>1</v>
      </c>
      <c r="O265" t="str">
        <f>"9997"</f>
        <v>9997</v>
      </c>
      <c r="P265" t="str">
        <f>"C"</f>
        <v>C</v>
      </c>
      <c r="Q265" t="str">
        <f>"EPS017"</f>
        <v>EPS017</v>
      </c>
      <c r="R265" t="str">
        <f t="shared" si="305"/>
        <v>6</v>
      </c>
      <c r="S265" t="str">
        <f>""</f>
        <v/>
      </c>
      <c r="T265" t="str">
        <f t="shared" si="265"/>
        <v xml:space="preserve">                                                                                                    </v>
      </c>
      <c r="U265" t="str">
        <f>"1         "</f>
        <v xml:space="preserve">1         </v>
      </c>
      <c r="V265" t="str">
        <f t="shared" si="300"/>
        <v>2</v>
      </c>
      <c r="W265" t="str">
        <f t="shared" si="299"/>
        <v>2</v>
      </c>
      <c r="X265" t="str">
        <f t="shared" si="301"/>
        <v>2</v>
      </c>
      <c r="Y265" t="str">
        <f t="shared" si="318"/>
        <v>2</v>
      </c>
      <c r="Z265" t="str">
        <f t="shared" si="318"/>
        <v>2</v>
      </c>
      <c r="AA265" t="str">
        <f t="shared" si="312"/>
        <v xml:space="preserve">          </v>
      </c>
      <c r="AB265" t="str">
        <f t="shared" si="306"/>
        <v>2</v>
      </c>
      <c r="AC265" t="str">
        <f t="shared" si="307"/>
        <v>2</v>
      </c>
      <c r="AD265" t="str">
        <f t="shared" si="321"/>
        <v>2</v>
      </c>
      <c r="AE265" t="str">
        <f t="shared" si="321"/>
        <v>2</v>
      </c>
      <c r="AF265" t="str">
        <f t="shared" si="321"/>
        <v>2</v>
      </c>
      <c r="AG265" t="str">
        <f t="shared" si="321"/>
        <v>2</v>
      </c>
      <c r="AH265" t="str">
        <f t="shared" si="302"/>
        <v>1</v>
      </c>
      <c r="AI265" t="str">
        <f t="shared" si="323"/>
        <v xml:space="preserve">1         </v>
      </c>
      <c r="AJ265" t="str">
        <f t="shared" si="324"/>
        <v>170</v>
      </c>
      <c r="AK265" t="str">
        <f>"11"</f>
        <v>11</v>
      </c>
      <c r="AL265" t="str">
        <f>"001"</f>
        <v>001</v>
      </c>
      <c r="AM265" t="str">
        <f>"11"</f>
        <v>11</v>
      </c>
      <c r="AN265" t="str">
        <f>"11001"</f>
        <v>11001</v>
      </c>
      <c r="AO265" t="str">
        <f>"2/10/2020 12:00:00 a. m."</f>
        <v>2/10/2020 12:00:00 a. m.</v>
      </c>
      <c r="AP265" t="str">
        <f>"10/02/2020 12:00:00 a. m."</f>
        <v>10/02/2020 12:00:00 a. m.</v>
      </c>
      <c r="AQ265" t="str">
        <f>"2"</f>
        <v>2</v>
      </c>
      <c r="AR265" t="str">
        <f t="shared" si="304"/>
        <v>1</v>
      </c>
      <c r="AS265" t="str">
        <f>"2/10/2020 12:00:00 a. m."</f>
        <v>2/10/2020 12:00:00 a. m.</v>
      </c>
      <c r="AT265" t="str">
        <f t="shared" si="313"/>
        <v>1</v>
      </c>
      <c r="AU265" t="str">
        <f>""</f>
        <v/>
      </c>
      <c r="AV265" t="str">
        <f>"3"</f>
        <v>3</v>
      </c>
      <c r="AW265" t="str">
        <f>"31/01/2015 12:00:00 a. m."</f>
        <v>31/01/2015 12:00:00 a. m.</v>
      </c>
      <c r="AX265" t="str">
        <f>""</f>
        <v/>
      </c>
      <c r="AY265" t="str">
        <f t="shared" si="314"/>
        <v>30/04/2021 12:00:00 a. m.</v>
      </c>
      <c r="AZ265" t="str">
        <f>"17/11/2020 12:00:00 a. m."</f>
        <v>17/11/2020 12:00:00 a. m.</v>
      </c>
      <c r="BA265" t="str">
        <f>""</f>
        <v/>
      </c>
      <c r="BB265" t="str">
        <f>""</f>
        <v/>
      </c>
      <c r="BC265" t="str">
        <f>""</f>
        <v/>
      </c>
      <c r="BD265" t="str">
        <f t="shared" si="325"/>
        <v>1</v>
      </c>
      <c r="BE265" t="str">
        <f t="shared" si="325"/>
        <v>1</v>
      </c>
      <c r="BF265" t="str">
        <f t="shared" si="315"/>
        <v xml:space="preserve">3         </v>
      </c>
      <c r="BG265" t="str">
        <f t="shared" si="316"/>
        <v>Confirmado por laboratorio</v>
      </c>
      <c r="BH265" t="str">
        <f>"CLINICA INFANTIL COLSUBSIDIO"</f>
        <v>CLINICA INFANTIL COLSUBSIDIO</v>
      </c>
      <c r="BI265" t="str">
        <f t="shared" si="326"/>
        <v>COLOMBIA</v>
      </c>
      <c r="BJ265" t="str">
        <f t="shared" si="317"/>
        <v>CANCER INFANTIL</v>
      </c>
      <c r="BK265" t="str">
        <f>"BOGOTA"</f>
        <v>BOGOTA</v>
      </c>
      <c r="BL265" t="str">
        <f>"BOGOTA"</f>
        <v>BOGOTA</v>
      </c>
      <c r="BM265" t="str">
        <f t="shared" si="327"/>
        <v>COLOMBIA</v>
      </c>
      <c r="BN265" t="str">
        <f>"BOGOTA"</f>
        <v>BOGOTA</v>
      </c>
      <c r="BO265" t="str">
        <f>"BOGOTA"</f>
        <v>BOGOTA</v>
      </c>
      <c r="BP265" t="str">
        <f>"BOGOTA"</f>
        <v>BOGOTA</v>
      </c>
      <c r="BQ265" t="str">
        <f>"BOGOTA"</f>
        <v>BOGOTA</v>
      </c>
    </row>
    <row r="266" spans="1:69" x14ac:dyDescent="0.25">
      <c r="A266" t="str">
        <f>"7285397"</f>
        <v>7285397</v>
      </c>
      <c r="B266" t="str">
        <f t="shared" si="310"/>
        <v>459</v>
      </c>
      <c r="C266" t="str">
        <f>"5/06/2020 12:00:00 a. m."</f>
        <v>5/06/2020 12:00:00 a. m.</v>
      </c>
      <c r="D266" t="str">
        <f>"23"</f>
        <v>23</v>
      </c>
      <c r="E266" t="str">
        <f t="shared" si="311"/>
        <v>2020</v>
      </c>
      <c r="F266" t="str">
        <f>"0500102104"</f>
        <v>0500102104</v>
      </c>
      <c r="G266" t="str">
        <f t="shared" ref="G266:G284" si="328">"01"</f>
        <v>01</v>
      </c>
      <c r="H266" t="str">
        <f>"13"</f>
        <v>13</v>
      </c>
      <c r="I266" t="str">
        <f t="shared" si="294"/>
        <v>1</v>
      </c>
      <c r="J266" t="str">
        <f>"M"</f>
        <v>M</v>
      </c>
      <c r="K266" t="str">
        <f t="shared" si="322"/>
        <v>170</v>
      </c>
      <c r="L266" t="str">
        <f>"05"</f>
        <v>05</v>
      </c>
      <c r="M266" t="str">
        <f>"440"</f>
        <v>440</v>
      </c>
      <c r="N266" t="str">
        <f>"3"</f>
        <v>3</v>
      </c>
      <c r="O266" t="str">
        <f>"9999"</f>
        <v>9999</v>
      </c>
      <c r="P266" t="str">
        <f>"S"</f>
        <v>S</v>
      </c>
      <c r="Q266" t="str">
        <f>"EPSS10"</f>
        <v>EPSS10</v>
      </c>
      <c r="R266" t="str">
        <f t="shared" si="305"/>
        <v>6</v>
      </c>
      <c r="S266" t="str">
        <f>""</f>
        <v/>
      </c>
      <c r="T266" t="str">
        <f t="shared" si="265"/>
        <v xml:space="preserve">                                                                                                    </v>
      </c>
      <c r="U266" t="str">
        <f>"3         "</f>
        <v xml:space="preserve">3         </v>
      </c>
      <c r="V266" t="str">
        <f t="shared" si="300"/>
        <v>2</v>
      </c>
      <c r="W266" t="str">
        <f t="shared" si="299"/>
        <v>2</v>
      </c>
      <c r="X266" t="str">
        <f t="shared" si="301"/>
        <v>2</v>
      </c>
      <c r="Y266" t="str">
        <f t="shared" si="318"/>
        <v>2</v>
      </c>
      <c r="Z266" t="str">
        <f t="shared" si="318"/>
        <v>2</v>
      </c>
      <c r="AA266" t="str">
        <f t="shared" si="312"/>
        <v xml:space="preserve">          </v>
      </c>
      <c r="AB266" t="str">
        <f t="shared" si="306"/>
        <v>2</v>
      </c>
      <c r="AC266" t="str">
        <f t="shared" si="307"/>
        <v>2</v>
      </c>
      <c r="AD266" t="str">
        <f t="shared" si="321"/>
        <v>2</v>
      </c>
      <c r="AE266" t="str">
        <f t="shared" si="321"/>
        <v>2</v>
      </c>
      <c r="AF266" t="str">
        <f t="shared" si="321"/>
        <v>2</v>
      </c>
      <c r="AG266" t="str">
        <f t="shared" si="321"/>
        <v>2</v>
      </c>
      <c r="AH266" t="str">
        <f t="shared" si="302"/>
        <v>1</v>
      </c>
      <c r="AI266" t="str">
        <f t="shared" si="323"/>
        <v xml:space="preserve">1         </v>
      </c>
      <c r="AJ266" t="str">
        <f t="shared" si="324"/>
        <v>170</v>
      </c>
      <c r="AK266" t="str">
        <f>"05"</f>
        <v>05</v>
      </c>
      <c r="AL266" t="str">
        <f>"440"</f>
        <v>440</v>
      </c>
      <c r="AM266" t="str">
        <f>"05"</f>
        <v>05</v>
      </c>
      <c r="AN266" t="str">
        <f>"05001"</f>
        <v>05001</v>
      </c>
      <c r="AO266" t="str">
        <f>"5/06/2020 12:00:00 a. m."</f>
        <v>5/06/2020 12:00:00 a. m.</v>
      </c>
      <c r="AP266" t="str">
        <f>"5/02/2020 12:00:00 a. m."</f>
        <v>5/02/2020 12:00:00 a. m.</v>
      </c>
      <c r="AQ266" t="str">
        <f>"3"</f>
        <v>3</v>
      </c>
      <c r="AR266" t="str">
        <f t="shared" si="304"/>
        <v>1</v>
      </c>
      <c r="AS266" t="str">
        <f>"5/06/2020 12:00:00 a. m."</f>
        <v>5/06/2020 12:00:00 a. m.</v>
      </c>
      <c r="AT266" t="str">
        <f t="shared" si="313"/>
        <v>1</v>
      </c>
      <c r="AU266" t="str">
        <f>""</f>
        <v/>
      </c>
      <c r="AV266" t="str">
        <f>"0"</f>
        <v>0</v>
      </c>
      <c r="AW266" t="str">
        <f>"18/08/2006 12:00:00 a. m."</f>
        <v>18/08/2006 12:00:00 a. m.</v>
      </c>
      <c r="AX266" t="str">
        <f>""</f>
        <v/>
      </c>
      <c r="AY266" t="str">
        <f t="shared" si="314"/>
        <v>30/04/2021 12:00:00 a. m.</v>
      </c>
      <c r="AZ266" t="str">
        <f>"24/06/2020 12:00:00 a. m."</f>
        <v>24/06/2020 12:00:00 a. m.</v>
      </c>
      <c r="BA266" t="str">
        <f>""</f>
        <v/>
      </c>
      <c r="BB266" t="str">
        <f>""</f>
        <v/>
      </c>
      <c r="BC266" t="str">
        <f>""</f>
        <v/>
      </c>
      <c r="BD266" t="str">
        <f t="shared" si="325"/>
        <v>1</v>
      </c>
      <c r="BE266" t="str">
        <f t="shared" si="325"/>
        <v>1</v>
      </c>
      <c r="BF266" t="str">
        <f t="shared" si="315"/>
        <v xml:space="preserve">3         </v>
      </c>
      <c r="BG266" t="str">
        <f t="shared" si="316"/>
        <v>Confirmado por laboratorio</v>
      </c>
      <c r="BH266" t="str">
        <f>"HOSPITAL PABLO TOBON URIBE"</f>
        <v>HOSPITAL PABLO TOBON URIBE</v>
      </c>
      <c r="BI266" t="str">
        <f t="shared" si="326"/>
        <v>COLOMBIA</v>
      </c>
      <c r="BJ266" t="str">
        <f t="shared" si="317"/>
        <v>CANCER INFANTIL</v>
      </c>
      <c r="BK266" t="str">
        <f>"ANTIOQUIA"</f>
        <v>ANTIOQUIA</v>
      </c>
      <c r="BL266" t="str">
        <f>"MARINILLA"</f>
        <v>MARINILLA</v>
      </c>
      <c r="BM266" t="str">
        <f t="shared" si="327"/>
        <v>COLOMBIA</v>
      </c>
      <c r="BN266" t="str">
        <f>"ANTIOQUIA"</f>
        <v>ANTIOQUIA</v>
      </c>
      <c r="BO266" t="str">
        <f>"MARINILLA"</f>
        <v>MARINILLA</v>
      </c>
      <c r="BP266" t="str">
        <f>"ANTIOQUIA"</f>
        <v>ANTIOQUIA</v>
      </c>
      <c r="BQ266" t="str">
        <f>"MEDELLIN"</f>
        <v>MEDELLIN</v>
      </c>
    </row>
    <row r="267" spans="1:69" x14ac:dyDescent="0.25">
      <c r="A267" t="str">
        <f>"7285376"</f>
        <v>7285376</v>
      </c>
      <c r="B267" t="str">
        <f t="shared" si="310"/>
        <v>459</v>
      </c>
      <c r="C267" t="str">
        <f>"18/09/2020 12:00:00 a. m."</f>
        <v>18/09/2020 12:00:00 a. m.</v>
      </c>
      <c r="D267" t="str">
        <f>"26"</f>
        <v>26</v>
      </c>
      <c r="E267" t="str">
        <f t="shared" si="311"/>
        <v>2020</v>
      </c>
      <c r="F267" t="str">
        <f>"1100105681"</f>
        <v>1100105681</v>
      </c>
      <c r="G267" t="str">
        <f t="shared" si="328"/>
        <v>01</v>
      </c>
      <c r="H267" t="str">
        <f>"11"</f>
        <v>11</v>
      </c>
      <c r="I267" t="str">
        <f t="shared" si="294"/>
        <v>1</v>
      </c>
      <c r="J267" t="str">
        <f>"M"</f>
        <v>M</v>
      </c>
      <c r="K267" t="str">
        <f t="shared" si="322"/>
        <v>170</v>
      </c>
      <c r="L267" t="str">
        <f>"11"</f>
        <v>11</v>
      </c>
      <c r="M267" t="str">
        <f>"001"</f>
        <v>001</v>
      </c>
      <c r="N267" t="str">
        <f t="shared" ref="N267:N274" si="329">"1"</f>
        <v>1</v>
      </c>
      <c r="O267" t="str">
        <f>"9997"</f>
        <v>9997</v>
      </c>
      <c r="P267" t="str">
        <f>"C"</f>
        <v>C</v>
      </c>
      <c r="Q267" t="str">
        <f>"EPS005"</f>
        <v>EPS005</v>
      </c>
      <c r="R267" t="str">
        <f t="shared" si="305"/>
        <v>6</v>
      </c>
      <c r="S267" t="str">
        <f>""</f>
        <v/>
      </c>
      <c r="T267" t="str">
        <f t="shared" si="265"/>
        <v xml:space="preserve">                                                                                                    </v>
      </c>
      <c r="U267" t="str">
        <f>"2         "</f>
        <v xml:space="preserve">2         </v>
      </c>
      <c r="V267" t="str">
        <f t="shared" si="300"/>
        <v>2</v>
      </c>
      <c r="W267" t="str">
        <f t="shared" si="299"/>
        <v>2</v>
      </c>
      <c r="X267" t="str">
        <f t="shared" si="301"/>
        <v>2</v>
      </c>
      <c r="Y267" t="str">
        <f t="shared" si="318"/>
        <v>2</v>
      </c>
      <c r="Z267" t="str">
        <f t="shared" si="318"/>
        <v>2</v>
      </c>
      <c r="AA267" t="str">
        <f t="shared" si="312"/>
        <v xml:space="preserve">          </v>
      </c>
      <c r="AB267" t="str">
        <f t="shared" si="306"/>
        <v>2</v>
      </c>
      <c r="AC267" t="str">
        <f t="shared" si="307"/>
        <v>2</v>
      </c>
      <c r="AD267" t="str">
        <f t="shared" si="321"/>
        <v>2</v>
      </c>
      <c r="AE267" t="str">
        <f t="shared" si="321"/>
        <v>2</v>
      </c>
      <c r="AF267" t="str">
        <f t="shared" si="321"/>
        <v>2</v>
      </c>
      <c r="AG267" t="str">
        <f t="shared" si="321"/>
        <v>2</v>
      </c>
      <c r="AH267" t="str">
        <f t="shared" si="302"/>
        <v>1</v>
      </c>
      <c r="AI267" t="str">
        <f t="shared" si="323"/>
        <v xml:space="preserve">1         </v>
      </c>
      <c r="AJ267" t="str">
        <f t="shared" si="324"/>
        <v>170</v>
      </c>
      <c r="AK267" t="str">
        <f>"11"</f>
        <v>11</v>
      </c>
      <c r="AL267" t="str">
        <f>"001"</f>
        <v>001</v>
      </c>
      <c r="AM267" t="str">
        <f>"11"</f>
        <v>11</v>
      </c>
      <c r="AN267" t="str">
        <f>"11001"</f>
        <v>11001</v>
      </c>
      <c r="AO267" t="str">
        <f>"21/06/2020 12:00:00 a. m."</f>
        <v>21/06/2020 12:00:00 a. m.</v>
      </c>
      <c r="AP267" t="str">
        <f>"16/06/2020 12:00:00 a. m."</f>
        <v>16/06/2020 12:00:00 a. m.</v>
      </c>
      <c r="AQ267" t="str">
        <f>"3"</f>
        <v>3</v>
      </c>
      <c r="AR267" t="str">
        <f t="shared" si="304"/>
        <v>1</v>
      </c>
      <c r="AS267" t="str">
        <f>"21/06/2020 12:00:00 a. m."</f>
        <v>21/06/2020 12:00:00 a. m.</v>
      </c>
      <c r="AT267" t="str">
        <f t="shared" si="313"/>
        <v>1</v>
      </c>
      <c r="AU267" t="str">
        <f>""</f>
        <v/>
      </c>
      <c r="AV267" t="str">
        <f>"0"</f>
        <v>0</v>
      </c>
      <c r="AW267" t="str">
        <f>"29/08/2009 12:00:00 a. m."</f>
        <v>29/08/2009 12:00:00 a. m.</v>
      </c>
      <c r="AX267" t="str">
        <f>""</f>
        <v/>
      </c>
      <c r="AY267" t="str">
        <f t="shared" si="314"/>
        <v>30/04/2021 12:00:00 a. m.</v>
      </c>
      <c r="AZ267" t="str">
        <f>"27/09/2020 12:00:00 a. m."</f>
        <v>27/09/2020 12:00:00 a. m.</v>
      </c>
      <c r="BA267" t="str">
        <f>""</f>
        <v/>
      </c>
      <c r="BB267" t="str">
        <f>""</f>
        <v/>
      </c>
      <c r="BC267" t="str">
        <f>""</f>
        <v/>
      </c>
      <c r="BD267" t="str">
        <f t="shared" si="325"/>
        <v>1</v>
      </c>
      <c r="BE267" t="str">
        <f t="shared" si="325"/>
        <v>1</v>
      </c>
      <c r="BF267" t="str">
        <f t="shared" si="315"/>
        <v xml:space="preserve">3         </v>
      </c>
      <c r="BG267" t="str">
        <f t="shared" si="316"/>
        <v>Confirmado por laboratorio</v>
      </c>
      <c r="BH267" t="str">
        <f>"FUNDACION HOSPITAL DE LA MISERICORDIA"</f>
        <v>FUNDACION HOSPITAL DE LA MISERICORDIA</v>
      </c>
      <c r="BI267" t="str">
        <f t="shared" si="326"/>
        <v>COLOMBIA</v>
      </c>
      <c r="BJ267" t="str">
        <f t="shared" si="317"/>
        <v>CANCER INFANTIL</v>
      </c>
      <c r="BK267" t="str">
        <f>"BOGOTA"</f>
        <v>BOGOTA</v>
      </c>
      <c r="BL267" t="str">
        <f>"BOGOTA"</f>
        <v>BOGOTA</v>
      </c>
      <c r="BM267" t="str">
        <f t="shared" si="327"/>
        <v>COLOMBIA</v>
      </c>
      <c r="BN267" t="str">
        <f>"BOGOTA"</f>
        <v>BOGOTA</v>
      </c>
      <c r="BO267" t="str">
        <f>"BOGOTA"</f>
        <v>BOGOTA</v>
      </c>
      <c r="BP267" t="str">
        <f>"BOGOTA"</f>
        <v>BOGOTA</v>
      </c>
      <c r="BQ267" t="str">
        <f>"BOGOTA"</f>
        <v>BOGOTA</v>
      </c>
    </row>
    <row r="268" spans="1:69" x14ac:dyDescent="0.25">
      <c r="A268" t="str">
        <f>"7279046"</f>
        <v>7279046</v>
      </c>
      <c r="B268" t="str">
        <f t="shared" si="310"/>
        <v>459</v>
      </c>
      <c r="C268" t="str">
        <f>"4/08/2020 12:00:00 a. m."</f>
        <v>4/08/2020 12:00:00 a. m.</v>
      </c>
      <c r="D268" t="str">
        <f>"28"</f>
        <v>28</v>
      </c>
      <c r="E268" t="str">
        <f t="shared" si="311"/>
        <v>2020</v>
      </c>
      <c r="F268" t="str">
        <f>"5200100283"</f>
        <v>5200100283</v>
      </c>
      <c r="G268" t="str">
        <f t="shared" si="328"/>
        <v>01</v>
      </c>
      <c r="H268" t="str">
        <f>"14"</f>
        <v>14</v>
      </c>
      <c r="I268" t="str">
        <f t="shared" si="294"/>
        <v>1</v>
      </c>
      <c r="J268" t="str">
        <f>"M"</f>
        <v>M</v>
      </c>
      <c r="K268" t="str">
        <f t="shared" si="322"/>
        <v>170</v>
      </c>
      <c r="L268" t="str">
        <f>"52"</f>
        <v>52</v>
      </c>
      <c r="M268" t="str">
        <f>"378"</f>
        <v>378</v>
      </c>
      <c r="N268" t="str">
        <f t="shared" si="329"/>
        <v>1</v>
      </c>
      <c r="O268" t="str">
        <f>"9997"</f>
        <v>9997</v>
      </c>
      <c r="P268" t="str">
        <f>"S"</f>
        <v>S</v>
      </c>
      <c r="Q268" t="str">
        <f>"ESS118"</f>
        <v>ESS118</v>
      </c>
      <c r="R268" t="str">
        <f t="shared" si="305"/>
        <v>6</v>
      </c>
      <c r="S268" t="str">
        <f>""</f>
        <v/>
      </c>
      <c r="T268" t="str">
        <f t="shared" si="265"/>
        <v xml:space="preserve">                                                                                                    </v>
      </c>
      <c r="U268" t="str">
        <f>"1         "</f>
        <v xml:space="preserve">1         </v>
      </c>
      <c r="V268" t="str">
        <f t="shared" si="300"/>
        <v>2</v>
      </c>
      <c r="W268" t="str">
        <f t="shared" si="299"/>
        <v>2</v>
      </c>
      <c r="X268" t="str">
        <f t="shared" si="301"/>
        <v>2</v>
      </c>
      <c r="Y268" t="str">
        <f t="shared" si="318"/>
        <v>2</v>
      </c>
      <c r="Z268" t="str">
        <f t="shared" si="318"/>
        <v>2</v>
      </c>
      <c r="AA268" t="str">
        <f t="shared" si="312"/>
        <v xml:space="preserve">          </v>
      </c>
      <c r="AB268" t="str">
        <f t="shared" si="306"/>
        <v>2</v>
      </c>
      <c r="AC268" t="str">
        <f t="shared" si="307"/>
        <v>2</v>
      </c>
      <c r="AD268" t="str">
        <f t="shared" si="321"/>
        <v>2</v>
      </c>
      <c r="AE268" t="str">
        <f t="shared" si="321"/>
        <v>2</v>
      </c>
      <c r="AF268" t="str">
        <f t="shared" si="321"/>
        <v>2</v>
      </c>
      <c r="AG268" t="str">
        <f t="shared" si="321"/>
        <v>2</v>
      </c>
      <c r="AH268" t="str">
        <f t="shared" si="302"/>
        <v>1</v>
      </c>
      <c r="AI268" t="str">
        <f t="shared" si="323"/>
        <v xml:space="preserve">1         </v>
      </c>
      <c r="AJ268" t="str">
        <f t="shared" si="324"/>
        <v>170</v>
      </c>
      <c r="AK268" t="str">
        <f>"52"</f>
        <v>52</v>
      </c>
      <c r="AL268" t="str">
        <f>"378"</f>
        <v>378</v>
      </c>
      <c r="AM268" t="str">
        <f>"52"</f>
        <v>52</v>
      </c>
      <c r="AN268" t="str">
        <f>"52001"</f>
        <v>52001</v>
      </c>
      <c r="AO268" t="str">
        <f>"11/07/2020 12:00:00 a. m."</f>
        <v>11/07/2020 12:00:00 a. m.</v>
      </c>
      <c r="AP268" t="str">
        <f>"2/04/2020 12:00:00 a. m."</f>
        <v>2/04/2020 12:00:00 a. m.</v>
      </c>
      <c r="AQ268" t="str">
        <f>"2"</f>
        <v>2</v>
      </c>
      <c r="AR268" t="str">
        <f t="shared" si="304"/>
        <v>1</v>
      </c>
      <c r="AS268" t="str">
        <f>"3/08/2020 12:00:00 a. m."</f>
        <v>3/08/2020 12:00:00 a. m.</v>
      </c>
      <c r="AT268" t="str">
        <f t="shared" si="313"/>
        <v>1</v>
      </c>
      <c r="AU268" t="str">
        <f>""</f>
        <v/>
      </c>
      <c r="AV268" t="str">
        <f>"3"</f>
        <v>3</v>
      </c>
      <c r="AW268" t="str">
        <f>"2/09/2005 12:00:00 a. m."</f>
        <v>2/09/2005 12:00:00 a. m.</v>
      </c>
      <c r="AX268" t="str">
        <f>""</f>
        <v/>
      </c>
      <c r="AY268" t="str">
        <f t="shared" si="314"/>
        <v>30/04/2021 12:00:00 a. m.</v>
      </c>
      <c r="AZ268" t="str">
        <f>"9/09/2020 12:00:00 a. m."</f>
        <v>9/09/2020 12:00:00 a. m.</v>
      </c>
      <c r="BA268" t="str">
        <f>""</f>
        <v/>
      </c>
      <c r="BB268" t="str">
        <f>""</f>
        <v/>
      </c>
      <c r="BC268" t="str">
        <f>""</f>
        <v/>
      </c>
      <c r="BD268" t="str">
        <f t="shared" si="325"/>
        <v>1</v>
      </c>
      <c r="BE268" t="str">
        <f t="shared" si="325"/>
        <v>1</v>
      </c>
      <c r="BF268" t="str">
        <f t="shared" si="315"/>
        <v xml:space="preserve">3         </v>
      </c>
      <c r="BG268" t="str">
        <f t="shared" si="316"/>
        <v>Confirmado por laboratorio</v>
      </c>
      <c r="BH268" t="str">
        <f>"HOSPITAL INFANTIL LOS ANGELES"</f>
        <v>HOSPITAL INFANTIL LOS ANGELES</v>
      </c>
      <c r="BI268" t="str">
        <f t="shared" si="326"/>
        <v>COLOMBIA</v>
      </c>
      <c r="BJ268" t="str">
        <f t="shared" si="317"/>
        <v>CANCER INFANTIL</v>
      </c>
      <c r="BK268" t="str">
        <f>"NARIÑO"</f>
        <v>NARIÑO</v>
      </c>
      <c r="BL268" t="str">
        <f>"LA CRUZ"</f>
        <v>LA CRUZ</v>
      </c>
      <c r="BM268" t="str">
        <f t="shared" si="327"/>
        <v>COLOMBIA</v>
      </c>
      <c r="BN268" t="str">
        <f>"NARIÑO"</f>
        <v>NARIÑO</v>
      </c>
      <c r="BO268" t="str">
        <f>"LA CRUZ"</f>
        <v>LA CRUZ</v>
      </c>
      <c r="BP268" t="str">
        <f>"NARIÑO"</f>
        <v>NARIÑO</v>
      </c>
      <c r="BQ268" t="str">
        <f>"PASTO"</f>
        <v>PASTO</v>
      </c>
    </row>
    <row r="269" spans="1:69" x14ac:dyDescent="0.25">
      <c r="A269" t="str">
        <f>"7278986"</f>
        <v>7278986</v>
      </c>
      <c r="B269" t="str">
        <f t="shared" si="310"/>
        <v>459</v>
      </c>
      <c r="C269" t="str">
        <f>"17/02/2020 12:00:00 a. m."</f>
        <v>17/02/2020 12:00:00 a. m.</v>
      </c>
      <c r="D269" t="str">
        <f>"07"</f>
        <v>07</v>
      </c>
      <c r="E269" t="str">
        <f t="shared" si="311"/>
        <v>2020</v>
      </c>
      <c r="F269" t="str">
        <f>"7600102870"</f>
        <v>7600102870</v>
      </c>
      <c r="G269" t="str">
        <f t="shared" si="328"/>
        <v>01</v>
      </c>
      <c r="H269" t="str">
        <f>"1"</f>
        <v>1</v>
      </c>
      <c r="I269" t="str">
        <f t="shared" si="294"/>
        <v>1</v>
      </c>
      <c r="J269" t="str">
        <f>"M"</f>
        <v>M</v>
      </c>
      <c r="K269" t="str">
        <f t="shared" si="322"/>
        <v>170</v>
      </c>
      <c r="L269" t="str">
        <f>"41"</f>
        <v>41</v>
      </c>
      <c r="M269" t="str">
        <f>"551"</f>
        <v>551</v>
      </c>
      <c r="N269" t="str">
        <f t="shared" si="329"/>
        <v>1</v>
      </c>
      <c r="O269" t="str">
        <f>"9999"</f>
        <v>9999</v>
      </c>
      <c r="P269" t="str">
        <f>"S"</f>
        <v>S</v>
      </c>
      <c r="Q269" t="str">
        <f>"CCF024"</f>
        <v>CCF024</v>
      </c>
      <c r="R269" t="str">
        <f t="shared" si="305"/>
        <v>6</v>
      </c>
      <c r="S269" t="str">
        <f>""</f>
        <v/>
      </c>
      <c r="T269" t="str">
        <f t="shared" si="265"/>
        <v xml:space="preserve">                                                                                                    </v>
      </c>
      <c r="U269" t="str">
        <f>"          "</f>
        <v xml:space="preserve">          </v>
      </c>
      <c r="V269" t="str">
        <f t="shared" si="300"/>
        <v>2</v>
      </c>
      <c r="W269" t="str">
        <f t="shared" si="299"/>
        <v>2</v>
      </c>
      <c r="X269" t="str">
        <f t="shared" si="301"/>
        <v>2</v>
      </c>
      <c r="Y269" t="str">
        <f t="shared" si="318"/>
        <v>2</v>
      </c>
      <c r="Z269" t="str">
        <f t="shared" si="318"/>
        <v>2</v>
      </c>
      <c r="AA269" t="str">
        <f t="shared" si="312"/>
        <v xml:space="preserve">          </v>
      </c>
      <c r="AB269" t="str">
        <f t="shared" si="306"/>
        <v>2</v>
      </c>
      <c r="AC269" t="str">
        <f t="shared" si="307"/>
        <v>2</v>
      </c>
      <c r="AD269" t="str">
        <f t="shared" si="321"/>
        <v>2</v>
      </c>
      <c r="AE269" t="str">
        <f t="shared" si="321"/>
        <v>2</v>
      </c>
      <c r="AF269" t="str">
        <f t="shared" si="321"/>
        <v>2</v>
      </c>
      <c r="AG269" t="str">
        <f t="shared" si="321"/>
        <v>2</v>
      </c>
      <c r="AH269" t="str">
        <f t="shared" si="302"/>
        <v>1</v>
      </c>
      <c r="AI269" t="str">
        <f t="shared" si="323"/>
        <v xml:space="preserve">1         </v>
      </c>
      <c r="AJ269" t="str">
        <f t="shared" si="324"/>
        <v>170</v>
      </c>
      <c r="AK269" t="str">
        <f>"41"</f>
        <v>41</v>
      </c>
      <c r="AL269" t="str">
        <f>"551"</f>
        <v>551</v>
      </c>
      <c r="AM269" t="str">
        <f>"76"</f>
        <v>76</v>
      </c>
      <c r="AN269" t="str">
        <f>"76001"</f>
        <v>76001</v>
      </c>
      <c r="AO269" t="str">
        <f>"10/02/2020 12:00:00 a. m."</f>
        <v>10/02/2020 12:00:00 a. m.</v>
      </c>
      <c r="AP269" t="str">
        <f>"10/01/2020 12:00:00 a. m."</f>
        <v>10/01/2020 12:00:00 a. m.</v>
      </c>
      <c r="AQ269" t="str">
        <f>"2"</f>
        <v>2</v>
      </c>
      <c r="AR269" t="str">
        <f t="shared" si="304"/>
        <v>1</v>
      </c>
      <c r="AS269" t="str">
        <f>"10/02/2020 12:00:00 a. m."</f>
        <v>10/02/2020 12:00:00 a. m.</v>
      </c>
      <c r="AT269" t="str">
        <f t="shared" si="313"/>
        <v>1</v>
      </c>
      <c r="AU269" t="str">
        <f>""</f>
        <v/>
      </c>
      <c r="AV269" t="str">
        <f>"3"</f>
        <v>3</v>
      </c>
      <c r="AW269" t="str">
        <f>"30/10/2018 12:00:00 a. m."</f>
        <v>30/10/2018 12:00:00 a. m.</v>
      </c>
      <c r="AX269" t="str">
        <f>""</f>
        <v/>
      </c>
      <c r="AY269" t="str">
        <f t="shared" si="314"/>
        <v>30/04/2021 12:00:00 a. m.</v>
      </c>
      <c r="AZ269" t="str">
        <f>"28/02/2020 12:00:00 a. m."</f>
        <v>28/02/2020 12:00:00 a. m.</v>
      </c>
      <c r="BA269" t="str">
        <f>""</f>
        <v/>
      </c>
      <c r="BB269" t="str">
        <f>""</f>
        <v/>
      </c>
      <c r="BC269" t="str">
        <f>""</f>
        <v/>
      </c>
      <c r="BD269" t="str">
        <f t="shared" si="325"/>
        <v>1</v>
      </c>
      <c r="BE269" t="str">
        <f t="shared" si="325"/>
        <v>1</v>
      </c>
      <c r="BF269" t="str">
        <f t="shared" si="315"/>
        <v xml:space="preserve">3         </v>
      </c>
      <c r="BG269" t="str">
        <f t="shared" si="316"/>
        <v>Confirmado por laboratorio</v>
      </c>
      <c r="BH269" t="str">
        <f>"FUNDACION VALLE DEL LILI"</f>
        <v>FUNDACION VALLE DEL LILI</v>
      </c>
      <c r="BI269" t="str">
        <f t="shared" si="326"/>
        <v>COLOMBIA</v>
      </c>
      <c r="BJ269" t="str">
        <f t="shared" si="317"/>
        <v>CANCER INFANTIL</v>
      </c>
      <c r="BK269" t="str">
        <f>"HUILA"</f>
        <v>HUILA</v>
      </c>
      <c r="BL269" t="str">
        <f>"PITALITO"</f>
        <v>PITALITO</v>
      </c>
      <c r="BM269" t="str">
        <f t="shared" si="327"/>
        <v>COLOMBIA</v>
      </c>
      <c r="BN269" t="str">
        <f>"HUILA"</f>
        <v>HUILA</v>
      </c>
      <c r="BO269" t="str">
        <f>"PITALITO"</f>
        <v>PITALITO</v>
      </c>
      <c r="BP269" t="str">
        <f>"VALLE"</f>
        <v>VALLE</v>
      </c>
      <c r="BQ269" t="str">
        <f>"CALI"</f>
        <v>CALI</v>
      </c>
    </row>
    <row r="270" spans="1:69" x14ac:dyDescent="0.25">
      <c r="A270" t="str">
        <f>"7278995"</f>
        <v>7278995</v>
      </c>
      <c r="B270" t="str">
        <f t="shared" si="310"/>
        <v>459</v>
      </c>
      <c r="C270" t="str">
        <f>"15/10/2020 12:00:00 a. m."</f>
        <v>15/10/2020 12:00:00 a. m.</v>
      </c>
      <c r="D270" t="str">
        <f>"41"</f>
        <v>41</v>
      </c>
      <c r="E270" t="str">
        <f t="shared" si="311"/>
        <v>2020</v>
      </c>
      <c r="F270" t="str">
        <f>"7600102870"</f>
        <v>7600102870</v>
      </c>
      <c r="G270" t="str">
        <f t="shared" si="328"/>
        <v>01</v>
      </c>
      <c r="H270" t="str">
        <f>"15"</f>
        <v>15</v>
      </c>
      <c r="I270" t="str">
        <f t="shared" si="294"/>
        <v>1</v>
      </c>
      <c r="J270" t="str">
        <f>"F"</f>
        <v>F</v>
      </c>
      <c r="K270" t="str">
        <f t="shared" si="322"/>
        <v>170</v>
      </c>
      <c r="L270" t="str">
        <f>"76"</f>
        <v>76</v>
      </c>
      <c r="M270" t="str">
        <f>"001"</f>
        <v>001</v>
      </c>
      <c r="N270" t="str">
        <f t="shared" si="329"/>
        <v>1</v>
      </c>
      <c r="O270" t="str">
        <f>"9999"</f>
        <v>9999</v>
      </c>
      <c r="P270" t="str">
        <f>"C"</f>
        <v>C</v>
      </c>
      <c r="Q270" t="str">
        <f>"EPS010"</f>
        <v>EPS010</v>
      </c>
      <c r="R270" t="str">
        <f t="shared" si="305"/>
        <v>6</v>
      </c>
      <c r="S270" t="str">
        <f>""</f>
        <v/>
      </c>
      <c r="T270" t="str">
        <f t="shared" si="265"/>
        <v xml:space="preserve">                                                                                                    </v>
      </c>
      <c r="U270" t="str">
        <f>"          "</f>
        <v xml:space="preserve">          </v>
      </c>
      <c r="V270" t="str">
        <f t="shared" si="300"/>
        <v>2</v>
      </c>
      <c r="W270" t="str">
        <f t="shared" si="299"/>
        <v>2</v>
      </c>
      <c r="X270" t="str">
        <f t="shared" si="301"/>
        <v>2</v>
      </c>
      <c r="Y270" t="str">
        <f t="shared" si="318"/>
        <v>2</v>
      </c>
      <c r="Z270" t="str">
        <f t="shared" si="318"/>
        <v>2</v>
      </c>
      <c r="AA270" t="str">
        <f t="shared" si="312"/>
        <v xml:space="preserve">          </v>
      </c>
      <c r="AB270" t="str">
        <f t="shared" si="306"/>
        <v>2</v>
      </c>
      <c r="AC270" t="str">
        <f t="shared" si="307"/>
        <v>2</v>
      </c>
      <c r="AD270" t="str">
        <f t="shared" si="321"/>
        <v>2</v>
      </c>
      <c r="AE270" t="str">
        <f t="shared" si="321"/>
        <v>2</v>
      </c>
      <c r="AF270" t="str">
        <f t="shared" si="321"/>
        <v>2</v>
      </c>
      <c r="AG270" t="str">
        <f t="shared" si="321"/>
        <v>2</v>
      </c>
      <c r="AH270" t="str">
        <f t="shared" si="302"/>
        <v>1</v>
      </c>
      <c r="AI270" t="str">
        <f t="shared" si="323"/>
        <v xml:space="preserve">1         </v>
      </c>
      <c r="AJ270" t="str">
        <f t="shared" si="324"/>
        <v>170</v>
      </c>
      <c r="AK270" t="str">
        <f>"76"</f>
        <v>76</v>
      </c>
      <c r="AL270" t="str">
        <f>"001"</f>
        <v>001</v>
      </c>
      <c r="AM270" t="str">
        <f>"76"</f>
        <v>76</v>
      </c>
      <c r="AN270" t="str">
        <f>"76001"</f>
        <v>76001</v>
      </c>
      <c r="AO270" t="str">
        <f>"6/10/2020 12:00:00 a. m."</f>
        <v>6/10/2020 12:00:00 a. m.</v>
      </c>
      <c r="AP270" t="str">
        <f>"6/10/2020 12:00:00 a. m."</f>
        <v>6/10/2020 12:00:00 a. m.</v>
      </c>
      <c r="AQ270" t="str">
        <f>"2"</f>
        <v>2</v>
      </c>
      <c r="AR270" t="str">
        <f t="shared" si="304"/>
        <v>1</v>
      </c>
      <c r="AS270" t="str">
        <f>"6/10/2020 12:00:00 a. m."</f>
        <v>6/10/2020 12:00:00 a. m.</v>
      </c>
      <c r="AT270" t="str">
        <f t="shared" si="313"/>
        <v>1</v>
      </c>
      <c r="AU270" t="str">
        <f>""</f>
        <v/>
      </c>
      <c r="AV270" t="str">
        <f>"3"</f>
        <v>3</v>
      </c>
      <c r="AW270" t="str">
        <f>"24/10/2004 12:00:00 a. m."</f>
        <v>24/10/2004 12:00:00 a. m.</v>
      </c>
      <c r="AX270" t="str">
        <f>""</f>
        <v/>
      </c>
      <c r="AY270" t="str">
        <f t="shared" si="314"/>
        <v>30/04/2021 12:00:00 a. m.</v>
      </c>
      <c r="AZ270" t="str">
        <f>"28/10/2020 12:00:00 a. m."</f>
        <v>28/10/2020 12:00:00 a. m.</v>
      </c>
      <c r="BA270" t="str">
        <f>""</f>
        <v/>
      </c>
      <c r="BB270" t="str">
        <f>""</f>
        <v/>
      </c>
      <c r="BC270" t="str">
        <f>""</f>
        <v/>
      </c>
      <c r="BD270" t="str">
        <f t="shared" si="325"/>
        <v>1</v>
      </c>
      <c r="BE270" t="str">
        <f t="shared" si="325"/>
        <v>1</v>
      </c>
      <c r="BF270" t="str">
        <f t="shared" si="315"/>
        <v xml:space="preserve">3         </v>
      </c>
      <c r="BG270" t="str">
        <f t="shared" si="316"/>
        <v>Confirmado por laboratorio</v>
      </c>
      <c r="BH270" t="str">
        <f>"FUNDACION VALLE DEL LILI"</f>
        <v>FUNDACION VALLE DEL LILI</v>
      </c>
      <c r="BI270" t="str">
        <f t="shared" si="326"/>
        <v>COLOMBIA</v>
      </c>
      <c r="BJ270" t="str">
        <f t="shared" si="317"/>
        <v>CANCER INFANTIL</v>
      </c>
      <c r="BK270" t="str">
        <f>"VALLE"</f>
        <v>VALLE</v>
      </c>
      <c r="BL270" t="str">
        <f>"CALI"</f>
        <v>CALI</v>
      </c>
      <c r="BM270" t="str">
        <f t="shared" si="327"/>
        <v>COLOMBIA</v>
      </c>
      <c r="BN270" t="str">
        <f>"VALLE"</f>
        <v>VALLE</v>
      </c>
      <c r="BO270" t="str">
        <f>"CALI"</f>
        <v>CALI</v>
      </c>
      <c r="BP270" t="str">
        <f>"VALLE"</f>
        <v>VALLE</v>
      </c>
      <c r="BQ270" t="str">
        <f>"CALI"</f>
        <v>CALI</v>
      </c>
    </row>
    <row r="271" spans="1:69" x14ac:dyDescent="0.25">
      <c r="A271" t="str">
        <f>"7278914"</f>
        <v>7278914</v>
      </c>
      <c r="B271" t="str">
        <f t="shared" si="310"/>
        <v>459</v>
      </c>
      <c r="C271" t="str">
        <f>"2/05/2020 12:00:00 a. m."</f>
        <v>2/05/2020 12:00:00 a. m.</v>
      </c>
      <c r="D271" t="str">
        <f>"11"</f>
        <v>11</v>
      </c>
      <c r="E271" t="str">
        <f t="shared" si="311"/>
        <v>2020</v>
      </c>
      <c r="F271" t="str">
        <f>"1100108679"</f>
        <v>1100108679</v>
      </c>
      <c r="G271" t="str">
        <f t="shared" si="328"/>
        <v>01</v>
      </c>
      <c r="H271" t="str">
        <f>"10"</f>
        <v>10</v>
      </c>
      <c r="I271" t="str">
        <f t="shared" si="294"/>
        <v>1</v>
      </c>
      <c r="J271" t="str">
        <f>"F"</f>
        <v>F</v>
      </c>
      <c r="K271" t="str">
        <f t="shared" si="322"/>
        <v>170</v>
      </c>
      <c r="L271" t="str">
        <f>"11"</f>
        <v>11</v>
      </c>
      <c r="M271" t="str">
        <f>"001"</f>
        <v>001</v>
      </c>
      <c r="N271" t="str">
        <f t="shared" si="329"/>
        <v>1</v>
      </c>
      <c r="O271" t="str">
        <f>"9997"</f>
        <v>9997</v>
      </c>
      <c r="P271" t="str">
        <f>"S"</f>
        <v>S</v>
      </c>
      <c r="Q271" t="str">
        <f>"EPSS45"</f>
        <v>EPSS45</v>
      </c>
      <c r="R271" t="str">
        <f t="shared" si="305"/>
        <v>6</v>
      </c>
      <c r="S271" t="str">
        <f>""</f>
        <v/>
      </c>
      <c r="T271" t="str">
        <f t="shared" si="265"/>
        <v xml:space="preserve">                                                                                                    </v>
      </c>
      <c r="U271" t="str">
        <f>"2         "</f>
        <v xml:space="preserve">2         </v>
      </c>
      <c r="V271" t="str">
        <f t="shared" si="300"/>
        <v>2</v>
      </c>
      <c r="W271" t="str">
        <f t="shared" si="299"/>
        <v>2</v>
      </c>
      <c r="X271" t="str">
        <f t="shared" si="301"/>
        <v>2</v>
      </c>
      <c r="Y271" t="str">
        <f t="shared" si="318"/>
        <v>2</v>
      </c>
      <c r="Z271" t="str">
        <f t="shared" si="318"/>
        <v>2</v>
      </c>
      <c r="AA271" t="str">
        <f t="shared" si="312"/>
        <v xml:space="preserve">          </v>
      </c>
      <c r="AB271" t="str">
        <f t="shared" si="306"/>
        <v>2</v>
      </c>
      <c r="AC271" t="str">
        <f t="shared" si="307"/>
        <v>2</v>
      </c>
      <c r="AD271" t="str">
        <f t="shared" si="321"/>
        <v>2</v>
      </c>
      <c r="AE271" t="str">
        <f t="shared" si="321"/>
        <v>2</v>
      </c>
      <c r="AF271" t="str">
        <f t="shared" si="321"/>
        <v>2</v>
      </c>
      <c r="AG271" t="str">
        <f t="shared" si="321"/>
        <v>2</v>
      </c>
      <c r="AH271" t="str">
        <f t="shared" si="302"/>
        <v>1</v>
      </c>
      <c r="AI271" t="str">
        <f t="shared" si="323"/>
        <v xml:space="preserve">1         </v>
      </c>
      <c r="AJ271" t="str">
        <f t="shared" si="324"/>
        <v>170</v>
      </c>
      <c r="AK271" t="str">
        <f>"11"</f>
        <v>11</v>
      </c>
      <c r="AL271" t="str">
        <f>"001"</f>
        <v>001</v>
      </c>
      <c r="AM271" t="str">
        <f>"11"</f>
        <v>11</v>
      </c>
      <c r="AN271" t="str">
        <f>"11001"</f>
        <v>11001</v>
      </c>
      <c r="AO271" t="str">
        <f>"13/03/2020 12:00:00 a. m."</f>
        <v>13/03/2020 12:00:00 a. m.</v>
      </c>
      <c r="AP271" t="str">
        <f>"13/03/2020 12:00:00 a. m."</f>
        <v>13/03/2020 12:00:00 a. m.</v>
      </c>
      <c r="AQ271" t="str">
        <f>"3"</f>
        <v>3</v>
      </c>
      <c r="AR271" t="str">
        <f>"2"</f>
        <v>2</v>
      </c>
      <c r="AS271" t="str">
        <f>""</f>
        <v/>
      </c>
      <c r="AT271" t="str">
        <f t="shared" si="313"/>
        <v>1</v>
      </c>
      <c r="AU271" t="str">
        <f>""</f>
        <v/>
      </c>
      <c r="AV271" t="str">
        <f>"7"</f>
        <v>7</v>
      </c>
      <c r="AW271" t="str">
        <f>"12/05/2009 12:00:00 a. m."</f>
        <v>12/05/2009 12:00:00 a. m.</v>
      </c>
      <c r="AX271" t="str">
        <f>""</f>
        <v/>
      </c>
      <c r="AY271" t="str">
        <f t="shared" si="314"/>
        <v>30/04/2021 12:00:00 a. m.</v>
      </c>
      <c r="AZ271" t="str">
        <f>"5/04/2021 12:00:00 a. m."</f>
        <v>5/04/2021 12:00:00 a. m.</v>
      </c>
      <c r="BA271" t="str">
        <f>""</f>
        <v/>
      </c>
      <c r="BB271" t="str">
        <f>""</f>
        <v/>
      </c>
      <c r="BC271" t="str">
        <f>""</f>
        <v/>
      </c>
      <c r="BD271" t="str">
        <f t="shared" si="325"/>
        <v>1</v>
      </c>
      <c r="BE271" t="str">
        <f t="shared" si="325"/>
        <v>1</v>
      </c>
      <c r="BF271" t="str">
        <f t="shared" si="315"/>
        <v xml:space="preserve">3         </v>
      </c>
      <c r="BG271" t="str">
        <f t="shared" si="316"/>
        <v>Confirmado por laboratorio</v>
      </c>
      <c r="BH271" t="str">
        <f>"SOCIEDAD DE CIRUGIA DE BOGOTA HOSPITAL DE SAN JOSE"</f>
        <v>SOCIEDAD DE CIRUGIA DE BOGOTA HOSPITAL DE SAN JOSE</v>
      </c>
      <c r="BI271" t="str">
        <f t="shared" si="326"/>
        <v>COLOMBIA</v>
      </c>
      <c r="BJ271" t="str">
        <f t="shared" si="317"/>
        <v>CANCER INFANTIL</v>
      </c>
      <c r="BK271" t="str">
        <f>"BOGOTA"</f>
        <v>BOGOTA</v>
      </c>
      <c r="BL271" t="str">
        <f>"BOGOTA"</f>
        <v>BOGOTA</v>
      </c>
      <c r="BM271" t="str">
        <f t="shared" si="327"/>
        <v>COLOMBIA</v>
      </c>
      <c r="BN271" t="str">
        <f>"BOGOTA"</f>
        <v>BOGOTA</v>
      </c>
      <c r="BO271" t="str">
        <f>"BOGOTA"</f>
        <v>BOGOTA</v>
      </c>
      <c r="BP271" t="str">
        <f>"BOGOTA"</f>
        <v>BOGOTA</v>
      </c>
      <c r="BQ271" t="str">
        <f>"BOGOTA"</f>
        <v>BOGOTA</v>
      </c>
    </row>
    <row r="272" spans="1:69" x14ac:dyDescent="0.25">
      <c r="A272" t="str">
        <f>"7285744"</f>
        <v>7285744</v>
      </c>
      <c r="B272" t="str">
        <f t="shared" si="310"/>
        <v>459</v>
      </c>
      <c r="C272" t="str">
        <f>"3/06/2020 12:00:00 a. m."</f>
        <v>3/06/2020 12:00:00 a. m.</v>
      </c>
      <c r="D272" t="str">
        <f>"22"</f>
        <v>22</v>
      </c>
      <c r="E272" t="str">
        <f t="shared" si="311"/>
        <v>2020</v>
      </c>
      <c r="F272" t="str">
        <f>"5200100283"</f>
        <v>5200100283</v>
      </c>
      <c r="G272" t="str">
        <f t="shared" si="328"/>
        <v>01</v>
      </c>
      <c r="H272" t="str">
        <f>"11"</f>
        <v>11</v>
      </c>
      <c r="I272" t="str">
        <f>"2"</f>
        <v>2</v>
      </c>
      <c r="J272" t="str">
        <f>"F"</f>
        <v>F</v>
      </c>
      <c r="K272" t="str">
        <f t="shared" si="322"/>
        <v>170</v>
      </c>
      <c r="L272" t="str">
        <f>"52"</f>
        <v>52</v>
      </c>
      <c r="M272" t="str">
        <f>"399"</f>
        <v>399</v>
      </c>
      <c r="N272" t="str">
        <f t="shared" si="329"/>
        <v>1</v>
      </c>
      <c r="O272" t="str">
        <f>"9999"</f>
        <v>9999</v>
      </c>
      <c r="P272" t="str">
        <f>"S"</f>
        <v>S</v>
      </c>
      <c r="Q272" t="str">
        <f>"CCF027"</f>
        <v>CCF027</v>
      </c>
      <c r="R272" t="str">
        <f t="shared" si="305"/>
        <v>6</v>
      </c>
      <c r="S272" t="str">
        <f>""</f>
        <v/>
      </c>
      <c r="T272" t="str">
        <f t="shared" si="265"/>
        <v xml:space="preserve">                                                                                                    </v>
      </c>
      <c r="U272" t="str">
        <f>"1         "</f>
        <v xml:space="preserve">1         </v>
      </c>
      <c r="V272" t="str">
        <f t="shared" si="300"/>
        <v>2</v>
      </c>
      <c r="W272" t="str">
        <f t="shared" si="299"/>
        <v>2</v>
      </c>
      <c r="X272" t="str">
        <f t="shared" si="301"/>
        <v>2</v>
      </c>
      <c r="Y272" t="str">
        <f t="shared" si="318"/>
        <v>2</v>
      </c>
      <c r="Z272" t="str">
        <f t="shared" si="318"/>
        <v>2</v>
      </c>
      <c r="AA272" t="str">
        <f t="shared" si="312"/>
        <v xml:space="preserve">          </v>
      </c>
      <c r="AB272" t="str">
        <f t="shared" si="306"/>
        <v>2</v>
      </c>
      <c r="AC272" t="str">
        <f t="shared" si="307"/>
        <v>2</v>
      </c>
      <c r="AD272" t="str">
        <f t="shared" si="321"/>
        <v>2</v>
      </c>
      <c r="AE272" t="str">
        <f t="shared" si="321"/>
        <v>2</v>
      </c>
      <c r="AF272" t="str">
        <f t="shared" si="321"/>
        <v>2</v>
      </c>
      <c r="AG272" t="str">
        <f t="shared" si="321"/>
        <v>2</v>
      </c>
      <c r="AH272" t="str">
        <f t="shared" si="302"/>
        <v>1</v>
      </c>
      <c r="AI272" t="str">
        <f t="shared" si="323"/>
        <v xml:space="preserve">1         </v>
      </c>
      <c r="AJ272" t="str">
        <f t="shared" si="324"/>
        <v>170</v>
      </c>
      <c r="AK272" t="str">
        <f>"52"</f>
        <v>52</v>
      </c>
      <c r="AL272" t="str">
        <f>"399"</f>
        <v>399</v>
      </c>
      <c r="AM272" t="str">
        <f>"52"</f>
        <v>52</v>
      </c>
      <c r="AN272" t="str">
        <f>"52001"</f>
        <v>52001</v>
      </c>
      <c r="AO272" t="str">
        <f>"26/05/2020 12:00:00 a. m."</f>
        <v>26/05/2020 12:00:00 a. m.</v>
      </c>
      <c r="AP272" t="str">
        <f>"18/05/2020 12:00:00 a. m."</f>
        <v>18/05/2020 12:00:00 a. m.</v>
      </c>
      <c r="AQ272" t="str">
        <f>"2"</f>
        <v>2</v>
      </c>
      <c r="AR272" t="str">
        <f t="shared" ref="AR272:AR291" si="330">"1"</f>
        <v>1</v>
      </c>
      <c r="AS272" t="str">
        <f>"26/05/2020 12:00:00 a. m."</f>
        <v>26/05/2020 12:00:00 a. m.</v>
      </c>
      <c r="AT272" t="str">
        <f t="shared" si="313"/>
        <v>1</v>
      </c>
      <c r="AU272" t="str">
        <f>""</f>
        <v/>
      </c>
      <c r="AV272" t="str">
        <f>"3"</f>
        <v>3</v>
      </c>
      <c r="AW272" t="str">
        <f>"14/04/2020 12:00:00 a. m."</f>
        <v>14/04/2020 12:00:00 a. m.</v>
      </c>
      <c r="AX272" t="str">
        <f>""</f>
        <v/>
      </c>
      <c r="AY272" t="str">
        <f t="shared" si="314"/>
        <v>30/04/2021 12:00:00 a. m.</v>
      </c>
      <c r="AZ272" t="str">
        <f>"5/04/2021 12:00:00 a. m."</f>
        <v>5/04/2021 12:00:00 a. m.</v>
      </c>
      <c r="BA272" t="str">
        <f>""</f>
        <v/>
      </c>
      <c r="BB272" t="str">
        <f>""</f>
        <v/>
      </c>
      <c r="BC272" t="str">
        <f>""</f>
        <v/>
      </c>
      <c r="BD272" t="str">
        <f t="shared" si="325"/>
        <v>1</v>
      </c>
      <c r="BE272" t="str">
        <f t="shared" si="325"/>
        <v>1</v>
      </c>
      <c r="BF272" t="str">
        <f t="shared" si="315"/>
        <v xml:space="preserve">3         </v>
      </c>
      <c r="BG272" t="str">
        <f t="shared" si="316"/>
        <v>Confirmado por laboratorio</v>
      </c>
      <c r="BH272" t="str">
        <f>"HOSPITAL INFANTIL LOS ANGELES"</f>
        <v>HOSPITAL INFANTIL LOS ANGELES</v>
      </c>
      <c r="BI272" t="str">
        <f t="shared" si="326"/>
        <v>COLOMBIA</v>
      </c>
      <c r="BJ272" t="str">
        <f t="shared" si="317"/>
        <v>CANCER INFANTIL</v>
      </c>
      <c r="BK272" t="str">
        <f>"NARIÑO"</f>
        <v>NARIÑO</v>
      </c>
      <c r="BL272" t="str">
        <f>"LA UNION"</f>
        <v>LA UNION</v>
      </c>
      <c r="BM272" t="str">
        <f t="shared" si="327"/>
        <v>COLOMBIA</v>
      </c>
      <c r="BN272" t="str">
        <f>"NARIÑO"</f>
        <v>NARIÑO</v>
      </c>
      <c r="BO272" t="str">
        <f>"LA UNION"</f>
        <v>LA UNION</v>
      </c>
      <c r="BP272" t="str">
        <f>"NARIÑO"</f>
        <v>NARIÑO</v>
      </c>
      <c r="BQ272" t="str">
        <f>"PASTO"</f>
        <v>PASTO</v>
      </c>
    </row>
    <row r="273" spans="1:69" x14ac:dyDescent="0.25">
      <c r="A273" t="str">
        <f>"7285566"</f>
        <v>7285566</v>
      </c>
      <c r="B273" t="str">
        <f t="shared" si="310"/>
        <v>459</v>
      </c>
      <c r="C273" t="str">
        <f>"8/11/2020 12:00:00 a. m."</f>
        <v>8/11/2020 12:00:00 a. m.</v>
      </c>
      <c r="D273" t="str">
        <f>"13"</f>
        <v>13</v>
      </c>
      <c r="E273" t="str">
        <f t="shared" si="311"/>
        <v>2020</v>
      </c>
      <c r="F273" t="str">
        <f>"1100105681"</f>
        <v>1100105681</v>
      </c>
      <c r="G273" t="str">
        <f t="shared" si="328"/>
        <v>01</v>
      </c>
      <c r="H273" t="str">
        <f>"17"</f>
        <v>17</v>
      </c>
      <c r="I273" t="str">
        <f t="shared" ref="I273:I278" si="331">"1"</f>
        <v>1</v>
      </c>
      <c r="J273" t="str">
        <f>"F"</f>
        <v>F</v>
      </c>
      <c r="K273" t="str">
        <f t="shared" si="322"/>
        <v>170</v>
      </c>
      <c r="L273" t="str">
        <f>"11"</f>
        <v>11</v>
      </c>
      <c r="M273" t="str">
        <f>"001"</f>
        <v>001</v>
      </c>
      <c r="N273" t="str">
        <f t="shared" si="329"/>
        <v>1</v>
      </c>
      <c r="O273" t="str">
        <f>"9997"</f>
        <v>9997</v>
      </c>
      <c r="P273" t="str">
        <f>"C"</f>
        <v>C</v>
      </c>
      <c r="Q273" t="str">
        <f>"EPS002"</f>
        <v>EPS002</v>
      </c>
      <c r="R273" t="str">
        <f t="shared" si="305"/>
        <v>6</v>
      </c>
      <c r="S273" t="str">
        <f>""</f>
        <v/>
      </c>
      <c r="T273" t="str">
        <f t="shared" si="265"/>
        <v xml:space="preserve">                                                                                                    </v>
      </c>
      <c r="U273" t="str">
        <f>"2         "</f>
        <v xml:space="preserve">2         </v>
      </c>
      <c r="V273" t="str">
        <f t="shared" si="300"/>
        <v>2</v>
      </c>
      <c r="W273" t="str">
        <f t="shared" si="299"/>
        <v>2</v>
      </c>
      <c r="X273" t="str">
        <f t="shared" si="301"/>
        <v>2</v>
      </c>
      <c r="Y273" t="str">
        <f t="shared" si="318"/>
        <v>2</v>
      </c>
      <c r="Z273" t="str">
        <f t="shared" si="318"/>
        <v>2</v>
      </c>
      <c r="AA273" t="str">
        <f t="shared" si="312"/>
        <v xml:space="preserve">          </v>
      </c>
      <c r="AB273" t="str">
        <f t="shared" si="306"/>
        <v>2</v>
      </c>
      <c r="AC273" t="str">
        <f t="shared" si="307"/>
        <v>2</v>
      </c>
      <c r="AD273" t="str">
        <f t="shared" si="321"/>
        <v>2</v>
      </c>
      <c r="AE273" t="str">
        <f t="shared" si="321"/>
        <v>2</v>
      </c>
      <c r="AF273" t="str">
        <f t="shared" si="321"/>
        <v>2</v>
      </c>
      <c r="AG273" t="str">
        <f t="shared" si="321"/>
        <v>2</v>
      </c>
      <c r="AH273" t="str">
        <f t="shared" si="302"/>
        <v>1</v>
      </c>
      <c r="AI273" t="str">
        <f>"2         "</f>
        <v xml:space="preserve">2         </v>
      </c>
      <c r="AJ273" t="str">
        <f t="shared" si="324"/>
        <v>170</v>
      </c>
      <c r="AK273" t="str">
        <f>"11"</f>
        <v>11</v>
      </c>
      <c r="AL273" t="str">
        <f>"001"</f>
        <v>001</v>
      </c>
      <c r="AM273" t="str">
        <f>"11"</f>
        <v>11</v>
      </c>
      <c r="AN273" t="str">
        <f>"11001"</f>
        <v>11001</v>
      </c>
      <c r="AO273" t="str">
        <f>"28/03/2020 12:00:00 a. m."</f>
        <v>28/03/2020 12:00:00 a. m.</v>
      </c>
      <c r="AP273" t="str">
        <f>"23/03/2020 12:00:00 a. m."</f>
        <v>23/03/2020 12:00:00 a. m.</v>
      </c>
      <c r="AQ273" t="str">
        <f>"3"</f>
        <v>3</v>
      </c>
      <c r="AR273" t="str">
        <f t="shared" si="330"/>
        <v>1</v>
      </c>
      <c r="AS273" t="str">
        <f>"28/03/2020 12:00:00 a. m."</f>
        <v>28/03/2020 12:00:00 a. m.</v>
      </c>
      <c r="AT273" t="str">
        <f t="shared" si="313"/>
        <v>1</v>
      </c>
      <c r="AU273" t="str">
        <f>""</f>
        <v/>
      </c>
      <c r="AV273" t="str">
        <f>"0"</f>
        <v>0</v>
      </c>
      <c r="AW273" t="str">
        <f>"9/04/2003 12:00:00 a. m."</f>
        <v>9/04/2003 12:00:00 a. m.</v>
      </c>
      <c r="AX273" t="str">
        <f>""</f>
        <v/>
      </c>
      <c r="AY273" t="str">
        <f t="shared" si="314"/>
        <v>30/04/2021 12:00:00 a. m.</v>
      </c>
      <c r="AZ273" t="str">
        <f>"8/11/2020 12:00:00 a. m."</f>
        <v>8/11/2020 12:00:00 a. m.</v>
      </c>
      <c r="BA273" t="str">
        <f>""</f>
        <v/>
      </c>
      <c r="BB273" t="str">
        <f>""</f>
        <v/>
      </c>
      <c r="BC273" t="str">
        <f>""</f>
        <v/>
      </c>
      <c r="BD273" t="str">
        <f t="shared" si="325"/>
        <v>1</v>
      </c>
      <c r="BE273" t="str">
        <f t="shared" si="325"/>
        <v>1</v>
      </c>
      <c r="BF273" t="str">
        <f t="shared" si="315"/>
        <v xml:space="preserve">3         </v>
      </c>
      <c r="BG273" t="str">
        <f t="shared" si="316"/>
        <v>Confirmado por laboratorio</v>
      </c>
      <c r="BH273" t="str">
        <f>"FUNDACION HOSPITAL DE LA MISERICORDIA"</f>
        <v>FUNDACION HOSPITAL DE LA MISERICORDIA</v>
      </c>
      <c r="BI273" t="str">
        <f t="shared" si="326"/>
        <v>COLOMBIA</v>
      </c>
      <c r="BJ273" t="str">
        <f t="shared" si="317"/>
        <v>CANCER INFANTIL</v>
      </c>
      <c r="BK273" t="str">
        <f>"BOGOTA"</f>
        <v>BOGOTA</v>
      </c>
      <c r="BL273" t="str">
        <f>"BOGOTA"</f>
        <v>BOGOTA</v>
      </c>
      <c r="BM273" t="str">
        <f t="shared" si="327"/>
        <v>COLOMBIA</v>
      </c>
      <c r="BN273" t="str">
        <f t="shared" ref="BN273:BQ274" si="332">"BOGOTA"</f>
        <v>BOGOTA</v>
      </c>
      <c r="BO273" t="str">
        <f t="shared" si="332"/>
        <v>BOGOTA</v>
      </c>
      <c r="BP273" t="str">
        <f t="shared" si="332"/>
        <v>BOGOTA</v>
      </c>
      <c r="BQ273" t="str">
        <f t="shared" si="332"/>
        <v>BOGOTA</v>
      </c>
    </row>
    <row r="274" spans="1:69" x14ac:dyDescent="0.25">
      <c r="A274" t="str">
        <f>"7285568"</f>
        <v>7285568</v>
      </c>
      <c r="B274" t="str">
        <f t="shared" si="310"/>
        <v>459</v>
      </c>
      <c r="C274" t="str">
        <f>"14/06/2020 12:00:00 a. m."</f>
        <v>14/06/2020 12:00:00 a. m.</v>
      </c>
      <c r="D274" t="str">
        <f>"23"</f>
        <v>23</v>
      </c>
      <c r="E274" t="str">
        <f t="shared" si="311"/>
        <v>2020</v>
      </c>
      <c r="F274" t="str">
        <f>"1100105681"</f>
        <v>1100105681</v>
      </c>
      <c r="G274" t="str">
        <f t="shared" si="328"/>
        <v>01</v>
      </c>
      <c r="H274" t="str">
        <f>"17"</f>
        <v>17</v>
      </c>
      <c r="I274" t="str">
        <f t="shared" si="331"/>
        <v>1</v>
      </c>
      <c r="J274" t="str">
        <f>"M"</f>
        <v>M</v>
      </c>
      <c r="K274" t="str">
        <f t="shared" si="322"/>
        <v>170</v>
      </c>
      <c r="L274" t="str">
        <f>"11"</f>
        <v>11</v>
      </c>
      <c r="M274" t="str">
        <f>"001"</f>
        <v>001</v>
      </c>
      <c r="N274" t="str">
        <f t="shared" si="329"/>
        <v>1</v>
      </c>
      <c r="O274" t="str">
        <f>"9997"</f>
        <v>9997</v>
      </c>
      <c r="P274" t="str">
        <f>"C"</f>
        <v>C</v>
      </c>
      <c r="Q274" t="str">
        <f>"EPS008"</f>
        <v>EPS008</v>
      </c>
      <c r="R274" t="str">
        <f t="shared" si="305"/>
        <v>6</v>
      </c>
      <c r="S274" t="str">
        <f>""</f>
        <v/>
      </c>
      <c r="T274" t="str">
        <f t="shared" si="265"/>
        <v xml:space="preserve">                                                                                                    </v>
      </c>
      <c r="U274" t="str">
        <f>"3         "</f>
        <v xml:space="preserve">3         </v>
      </c>
      <c r="V274" t="str">
        <f t="shared" si="300"/>
        <v>2</v>
      </c>
      <c r="W274" t="str">
        <f t="shared" si="299"/>
        <v>2</v>
      </c>
      <c r="X274" t="str">
        <f t="shared" si="301"/>
        <v>2</v>
      </c>
      <c r="Y274" t="str">
        <f t="shared" si="318"/>
        <v>2</v>
      </c>
      <c r="Z274" t="str">
        <f t="shared" si="318"/>
        <v>2</v>
      </c>
      <c r="AA274" t="str">
        <f t="shared" si="312"/>
        <v xml:space="preserve">          </v>
      </c>
      <c r="AB274" t="str">
        <f t="shared" si="306"/>
        <v>2</v>
      </c>
      <c r="AC274" t="str">
        <f t="shared" si="307"/>
        <v>2</v>
      </c>
      <c r="AD274" t="str">
        <f t="shared" si="321"/>
        <v>2</v>
      </c>
      <c r="AE274" t="str">
        <f t="shared" si="321"/>
        <v>2</v>
      </c>
      <c r="AF274" t="str">
        <f t="shared" si="321"/>
        <v>2</v>
      </c>
      <c r="AG274" t="str">
        <f t="shared" si="321"/>
        <v>2</v>
      </c>
      <c r="AH274" t="str">
        <f t="shared" si="302"/>
        <v>1</v>
      </c>
      <c r="AI274" t="str">
        <f>"2         "</f>
        <v xml:space="preserve">2         </v>
      </c>
      <c r="AJ274" t="str">
        <f t="shared" si="324"/>
        <v>170</v>
      </c>
      <c r="AK274" t="str">
        <f>"11"</f>
        <v>11</v>
      </c>
      <c r="AL274" t="str">
        <f>"001"</f>
        <v>001</v>
      </c>
      <c r="AM274" t="str">
        <f>"11"</f>
        <v>11</v>
      </c>
      <c r="AN274" t="str">
        <f>"11001"</f>
        <v>11001</v>
      </c>
      <c r="AO274" t="str">
        <f>"4/06/2020 12:00:00 a. m."</f>
        <v>4/06/2020 12:00:00 a. m.</v>
      </c>
      <c r="AP274" t="str">
        <f>"28/02/2020 12:00:00 a. m."</f>
        <v>28/02/2020 12:00:00 a. m.</v>
      </c>
      <c r="AQ274" t="str">
        <f>"3"</f>
        <v>3</v>
      </c>
      <c r="AR274" t="str">
        <f t="shared" si="330"/>
        <v>1</v>
      </c>
      <c r="AS274" t="str">
        <f>"4/06/2020 12:00:00 a. m."</f>
        <v>4/06/2020 12:00:00 a. m.</v>
      </c>
      <c r="AT274" t="str">
        <f t="shared" si="313"/>
        <v>1</v>
      </c>
      <c r="AU274" t="str">
        <f>""</f>
        <v/>
      </c>
      <c r="AV274" t="str">
        <f>"0"</f>
        <v>0</v>
      </c>
      <c r="AW274" t="str">
        <f>"10/04/2003 12:00:00 a. m."</f>
        <v>10/04/2003 12:00:00 a. m.</v>
      </c>
      <c r="AX274" t="str">
        <f>""</f>
        <v/>
      </c>
      <c r="AY274" t="str">
        <f t="shared" si="314"/>
        <v>30/04/2021 12:00:00 a. m.</v>
      </c>
      <c r="AZ274" t="str">
        <f>"24/09/2020 12:00:00 a. m."</f>
        <v>24/09/2020 12:00:00 a. m.</v>
      </c>
      <c r="BA274" t="str">
        <f>""</f>
        <v/>
      </c>
      <c r="BB274" t="str">
        <f>""</f>
        <v/>
      </c>
      <c r="BC274" t="str">
        <f>""</f>
        <v/>
      </c>
      <c r="BD274" t="str">
        <f t="shared" si="325"/>
        <v>1</v>
      </c>
      <c r="BE274" t="str">
        <f t="shared" si="325"/>
        <v>1</v>
      </c>
      <c r="BF274" t="str">
        <f t="shared" si="315"/>
        <v xml:space="preserve">3         </v>
      </c>
      <c r="BG274" t="str">
        <f t="shared" si="316"/>
        <v>Confirmado por laboratorio</v>
      </c>
      <c r="BH274" t="str">
        <f>"FUNDACION HOSPITAL DE LA MISERICORDIA"</f>
        <v>FUNDACION HOSPITAL DE LA MISERICORDIA</v>
      </c>
      <c r="BI274" t="str">
        <f t="shared" si="326"/>
        <v>COLOMBIA</v>
      </c>
      <c r="BJ274" t="str">
        <f t="shared" si="317"/>
        <v>CANCER INFANTIL</v>
      </c>
      <c r="BK274" t="str">
        <f>"BOGOTA"</f>
        <v>BOGOTA</v>
      </c>
      <c r="BL274" t="str">
        <f>"BOGOTA"</f>
        <v>BOGOTA</v>
      </c>
      <c r="BM274" t="str">
        <f t="shared" si="327"/>
        <v>COLOMBIA</v>
      </c>
      <c r="BN274" t="str">
        <f t="shared" si="332"/>
        <v>BOGOTA</v>
      </c>
      <c r="BO274" t="str">
        <f t="shared" si="332"/>
        <v>BOGOTA</v>
      </c>
      <c r="BP274" t="str">
        <f t="shared" si="332"/>
        <v>BOGOTA</v>
      </c>
      <c r="BQ274" t="str">
        <f t="shared" si="332"/>
        <v>BOGOTA</v>
      </c>
    </row>
    <row r="275" spans="1:69" x14ac:dyDescent="0.25">
      <c r="A275" t="str">
        <f>"7291577"</f>
        <v>7291577</v>
      </c>
      <c r="B275" t="str">
        <f t="shared" si="310"/>
        <v>459</v>
      </c>
      <c r="C275" t="str">
        <f>"12/05/2020 12:00:00 a. m."</f>
        <v>12/05/2020 12:00:00 a. m.</v>
      </c>
      <c r="D275" t="str">
        <f>"19"</f>
        <v>19</v>
      </c>
      <c r="E275" t="str">
        <f t="shared" si="311"/>
        <v>2020</v>
      </c>
      <c r="F275" t="str">
        <f>"7600102870"</f>
        <v>7600102870</v>
      </c>
      <c r="G275" t="str">
        <f t="shared" si="328"/>
        <v>01</v>
      </c>
      <c r="H275" t="str">
        <f>"11"</f>
        <v>11</v>
      </c>
      <c r="I275" t="str">
        <f t="shared" si="331"/>
        <v>1</v>
      </c>
      <c r="J275" t="str">
        <f>"M"</f>
        <v>M</v>
      </c>
      <c r="K275" t="str">
        <f t="shared" si="322"/>
        <v>170</v>
      </c>
      <c r="L275" t="str">
        <f>"19"</f>
        <v>19</v>
      </c>
      <c r="M275" t="str">
        <f>"142"</f>
        <v>142</v>
      </c>
      <c r="N275" t="str">
        <f>"3"</f>
        <v>3</v>
      </c>
      <c r="O275" t="str">
        <f>"9999"</f>
        <v>9999</v>
      </c>
      <c r="P275" t="str">
        <f>"C"</f>
        <v>C</v>
      </c>
      <c r="Q275" t="str">
        <f>"EPS018"</f>
        <v>EPS018</v>
      </c>
      <c r="R275" t="str">
        <f t="shared" si="305"/>
        <v>6</v>
      </c>
      <c r="S275" t="str">
        <f>""</f>
        <v/>
      </c>
      <c r="T275" t="str">
        <f t="shared" ref="T275:T338" si="333">"                                                                                                    "</f>
        <v xml:space="preserve">                                                                                                    </v>
      </c>
      <c r="U275" t="str">
        <f>"          "</f>
        <v xml:space="preserve">          </v>
      </c>
      <c r="V275" t="str">
        <f t="shared" si="300"/>
        <v>2</v>
      </c>
      <c r="W275" t="str">
        <f t="shared" si="299"/>
        <v>2</v>
      </c>
      <c r="X275" t="str">
        <f t="shared" si="301"/>
        <v>2</v>
      </c>
      <c r="Y275" t="str">
        <f t="shared" si="318"/>
        <v>2</v>
      </c>
      <c r="Z275" t="str">
        <f t="shared" si="318"/>
        <v>2</v>
      </c>
      <c r="AA275" t="str">
        <f t="shared" si="312"/>
        <v xml:space="preserve">          </v>
      </c>
      <c r="AB275" t="str">
        <f t="shared" si="306"/>
        <v>2</v>
      </c>
      <c r="AC275" t="str">
        <f t="shared" si="307"/>
        <v>2</v>
      </c>
      <c r="AD275" t="str">
        <f t="shared" si="321"/>
        <v>2</v>
      </c>
      <c r="AE275" t="str">
        <f t="shared" si="321"/>
        <v>2</v>
      </c>
      <c r="AF275" t="str">
        <f t="shared" si="321"/>
        <v>2</v>
      </c>
      <c r="AG275" t="str">
        <f t="shared" si="321"/>
        <v>2</v>
      </c>
      <c r="AH275" t="str">
        <f t="shared" si="302"/>
        <v>1</v>
      </c>
      <c r="AI275" t="str">
        <f t="shared" ref="AI275:AI283" si="334">"1         "</f>
        <v xml:space="preserve">1         </v>
      </c>
      <c r="AJ275" t="str">
        <f t="shared" si="324"/>
        <v>170</v>
      </c>
      <c r="AK275" t="str">
        <f>"19"</f>
        <v>19</v>
      </c>
      <c r="AL275" t="str">
        <f>"142"</f>
        <v>142</v>
      </c>
      <c r="AM275" t="str">
        <f>"76"</f>
        <v>76</v>
      </c>
      <c r="AN275" t="str">
        <f>"76001"</f>
        <v>76001</v>
      </c>
      <c r="AO275" t="str">
        <f>"7/05/2020 12:00:00 a. m."</f>
        <v>7/05/2020 12:00:00 a. m.</v>
      </c>
      <c r="AP275" t="str">
        <f>"21/04/2020 12:00:00 a. m."</f>
        <v>21/04/2020 12:00:00 a. m.</v>
      </c>
      <c r="AQ275" t="str">
        <f>"2"</f>
        <v>2</v>
      </c>
      <c r="AR275" t="str">
        <f t="shared" si="330"/>
        <v>1</v>
      </c>
      <c r="AS275" t="str">
        <f>"7/05/2020 12:00:00 a. m."</f>
        <v>7/05/2020 12:00:00 a. m.</v>
      </c>
      <c r="AT275" t="str">
        <f t="shared" si="313"/>
        <v>1</v>
      </c>
      <c r="AU275" t="str">
        <f>""</f>
        <v/>
      </c>
      <c r="AV275" t="str">
        <f>"3"</f>
        <v>3</v>
      </c>
      <c r="AW275" t="str">
        <f>"25/03/2009 12:00:00 a. m."</f>
        <v>25/03/2009 12:00:00 a. m.</v>
      </c>
      <c r="AX275" t="str">
        <f>""</f>
        <v/>
      </c>
      <c r="AY275" t="str">
        <f t="shared" si="314"/>
        <v>30/04/2021 12:00:00 a. m.</v>
      </c>
      <c r="AZ275" t="str">
        <f>"18/05/2020 12:00:00 a. m."</f>
        <v>18/05/2020 12:00:00 a. m.</v>
      </c>
      <c r="BA275" t="str">
        <f>""</f>
        <v/>
      </c>
      <c r="BB275" t="str">
        <f>""</f>
        <v/>
      </c>
      <c r="BC275" t="str">
        <f>""</f>
        <v/>
      </c>
      <c r="BD275" t="str">
        <f t="shared" si="325"/>
        <v>1</v>
      </c>
      <c r="BE275" t="str">
        <f t="shared" si="325"/>
        <v>1</v>
      </c>
      <c r="BF275" t="str">
        <f t="shared" si="315"/>
        <v xml:space="preserve">3         </v>
      </c>
      <c r="BG275" t="str">
        <f t="shared" si="316"/>
        <v>Confirmado por laboratorio</v>
      </c>
      <c r="BH275" t="str">
        <f>"FUNDACION VALLE DEL LILI"</f>
        <v>FUNDACION VALLE DEL LILI</v>
      </c>
      <c r="BI275" t="str">
        <f t="shared" si="326"/>
        <v>COLOMBIA</v>
      </c>
      <c r="BJ275" t="str">
        <f t="shared" si="317"/>
        <v>CANCER INFANTIL</v>
      </c>
      <c r="BK275" t="str">
        <f>"CAUCA"</f>
        <v>CAUCA</v>
      </c>
      <c r="BL275" t="str">
        <f>"CALOTO"</f>
        <v>CALOTO</v>
      </c>
      <c r="BM275" t="str">
        <f t="shared" si="327"/>
        <v>COLOMBIA</v>
      </c>
      <c r="BN275" t="str">
        <f>"CAUCA"</f>
        <v>CAUCA</v>
      </c>
      <c r="BO275" t="str">
        <f>"CALOTO"</f>
        <v>CALOTO</v>
      </c>
      <c r="BP275" t="str">
        <f>"VALLE"</f>
        <v>VALLE</v>
      </c>
      <c r="BQ275" t="str">
        <f>"CALI"</f>
        <v>CALI</v>
      </c>
    </row>
    <row r="276" spans="1:69" x14ac:dyDescent="0.25">
      <c r="A276" t="str">
        <f>"7291776"</f>
        <v>7291776</v>
      </c>
      <c r="B276" t="str">
        <f t="shared" si="310"/>
        <v>459</v>
      </c>
      <c r="C276" t="str">
        <f>"21/12/2020 12:00:00 a. m."</f>
        <v>21/12/2020 12:00:00 a. m.</v>
      </c>
      <c r="D276" t="str">
        <f>"52"</f>
        <v>52</v>
      </c>
      <c r="E276" t="str">
        <f t="shared" si="311"/>
        <v>2020</v>
      </c>
      <c r="F276" t="str">
        <f>"5200100283"</f>
        <v>5200100283</v>
      </c>
      <c r="G276" t="str">
        <f t="shared" si="328"/>
        <v>01</v>
      </c>
      <c r="H276" t="str">
        <f>"7"</f>
        <v>7</v>
      </c>
      <c r="I276" t="str">
        <f t="shared" si="331"/>
        <v>1</v>
      </c>
      <c r="J276" t="str">
        <f>"M"</f>
        <v>M</v>
      </c>
      <c r="K276" t="str">
        <f t="shared" si="322"/>
        <v>170</v>
      </c>
      <c r="L276" t="str">
        <f>"86"</f>
        <v>86</v>
      </c>
      <c r="M276" t="str">
        <f>"568"</f>
        <v>568</v>
      </c>
      <c r="N276" t="str">
        <f>"3"</f>
        <v>3</v>
      </c>
      <c r="O276" t="str">
        <f>"9997"</f>
        <v>9997</v>
      </c>
      <c r="P276" t="str">
        <f>"S"</f>
        <v>S</v>
      </c>
      <c r="Q276" t="str">
        <f>"ESS118"</f>
        <v>ESS118</v>
      </c>
      <c r="R276" t="str">
        <f t="shared" si="305"/>
        <v>6</v>
      </c>
      <c r="S276" t="str">
        <f>""</f>
        <v/>
      </c>
      <c r="T276" t="str">
        <f t="shared" si="333"/>
        <v xml:space="preserve">                                                                                                    </v>
      </c>
      <c r="U276" t="str">
        <f>"2         "</f>
        <v xml:space="preserve">2         </v>
      </c>
      <c r="V276" t="str">
        <f t="shared" si="300"/>
        <v>2</v>
      </c>
      <c r="W276" t="str">
        <f t="shared" si="299"/>
        <v>2</v>
      </c>
      <c r="X276" t="str">
        <f t="shared" si="301"/>
        <v>2</v>
      </c>
      <c r="Y276" t="str">
        <f t="shared" si="318"/>
        <v>2</v>
      </c>
      <c r="Z276" t="str">
        <f t="shared" si="318"/>
        <v>2</v>
      </c>
      <c r="AA276" t="str">
        <f t="shared" si="312"/>
        <v xml:space="preserve">          </v>
      </c>
      <c r="AB276" t="str">
        <f t="shared" si="306"/>
        <v>2</v>
      </c>
      <c r="AC276" t="str">
        <f t="shared" si="307"/>
        <v>2</v>
      </c>
      <c r="AD276" t="str">
        <f t="shared" si="321"/>
        <v>2</v>
      </c>
      <c r="AE276" t="str">
        <f t="shared" si="321"/>
        <v>2</v>
      </c>
      <c r="AF276" t="str">
        <f t="shared" si="321"/>
        <v>2</v>
      </c>
      <c r="AG276" t="str">
        <f t="shared" si="321"/>
        <v>2</v>
      </c>
      <c r="AH276" t="str">
        <f t="shared" si="302"/>
        <v>1</v>
      </c>
      <c r="AI276" t="str">
        <f t="shared" si="334"/>
        <v xml:space="preserve">1         </v>
      </c>
      <c r="AJ276" t="str">
        <f t="shared" si="324"/>
        <v>170</v>
      </c>
      <c r="AK276" t="str">
        <f>"86"</f>
        <v>86</v>
      </c>
      <c r="AL276" t="str">
        <f>"568"</f>
        <v>568</v>
      </c>
      <c r="AM276" t="str">
        <f>"52"</f>
        <v>52</v>
      </c>
      <c r="AN276" t="str">
        <f>"52001"</f>
        <v>52001</v>
      </c>
      <c r="AO276" t="str">
        <f>"21/12/2020 12:00:00 a. m."</f>
        <v>21/12/2020 12:00:00 a. m.</v>
      </c>
      <c r="AP276" t="str">
        <f>"17/11/2020 12:00:00 a. m."</f>
        <v>17/11/2020 12:00:00 a. m.</v>
      </c>
      <c r="AQ276" t="str">
        <f>"2"</f>
        <v>2</v>
      </c>
      <c r="AR276" t="str">
        <f t="shared" si="330"/>
        <v>1</v>
      </c>
      <c r="AS276" t="str">
        <f>"21/12/2020 12:00:00 a. m."</f>
        <v>21/12/2020 12:00:00 a. m.</v>
      </c>
      <c r="AT276" t="str">
        <f t="shared" si="313"/>
        <v>1</v>
      </c>
      <c r="AU276" t="str">
        <f>""</f>
        <v/>
      </c>
      <c r="AV276" t="str">
        <f>"3"</f>
        <v>3</v>
      </c>
      <c r="AW276" t="str">
        <f>"14/12/2013 12:00:00 a. m."</f>
        <v>14/12/2013 12:00:00 a. m.</v>
      </c>
      <c r="AX276" t="str">
        <f>""</f>
        <v/>
      </c>
      <c r="AY276" t="str">
        <f t="shared" si="314"/>
        <v>30/04/2021 12:00:00 a. m.</v>
      </c>
      <c r="AZ276" t="str">
        <f>"9/02/2021 12:00:00 a. m."</f>
        <v>9/02/2021 12:00:00 a. m.</v>
      </c>
      <c r="BA276" t="str">
        <f>""</f>
        <v/>
      </c>
      <c r="BB276" t="str">
        <f>""</f>
        <v/>
      </c>
      <c r="BC276" t="str">
        <f>""</f>
        <v/>
      </c>
      <c r="BD276" t="str">
        <f t="shared" si="325"/>
        <v>1</v>
      </c>
      <c r="BE276" t="str">
        <f t="shared" si="325"/>
        <v>1</v>
      </c>
      <c r="BF276" t="str">
        <f t="shared" si="315"/>
        <v xml:space="preserve">3         </v>
      </c>
      <c r="BG276" t="str">
        <f t="shared" si="316"/>
        <v>Confirmado por laboratorio</v>
      </c>
      <c r="BH276" t="str">
        <f>"HOSPITAL INFANTIL LOS ANGELES"</f>
        <v>HOSPITAL INFANTIL LOS ANGELES</v>
      </c>
      <c r="BI276" t="str">
        <f t="shared" si="326"/>
        <v>COLOMBIA</v>
      </c>
      <c r="BJ276" t="str">
        <f t="shared" si="317"/>
        <v>CANCER INFANTIL</v>
      </c>
      <c r="BK276" t="str">
        <f>"PUTUMAYO"</f>
        <v>PUTUMAYO</v>
      </c>
      <c r="BL276" t="str">
        <f>"PUERTO ASIS"</f>
        <v>PUERTO ASIS</v>
      </c>
      <c r="BM276" t="str">
        <f t="shared" si="327"/>
        <v>COLOMBIA</v>
      </c>
      <c r="BN276" t="str">
        <f>"PUTUMAYO"</f>
        <v>PUTUMAYO</v>
      </c>
      <c r="BO276" t="str">
        <f>"PUERTO ASIS"</f>
        <v>PUERTO ASIS</v>
      </c>
      <c r="BP276" t="str">
        <f>"NARIÑO"</f>
        <v>NARIÑO</v>
      </c>
      <c r="BQ276" t="str">
        <f>"PASTO"</f>
        <v>PASTO</v>
      </c>
    </row>
    <row r="277" spans="1:69" x14ac:dyDescent="0.25">
      <c r="A277" t="str">
        <f>"7291676"</f>
        <v>7291676</v>
      </c>
      <c r="B277" t="str">
        <f t="shared" si="310"/>
        <v>459</v>
      </c>
      <c r="C277" t="str">
        <f>"15/12/2020 12:00:00 a. m."</f>
        <v>15/12/2020 12:00:00 a. m.</v>
      </c>
      <c r="D277" t="str">
        <f>"51"</f>
        <v>51</v>
      </c>
      <c r="E277" t="str">
        <f t="shared" si="311"/>
        <v>2020</v>
      </c>
      <c r="F277" t="str">
        <f>"1100106065"</f>
        <v>1100106065</v>
      </c>
      <c r="G277" t="str">
        <f t="shared" si="328"/>
        <v>01</v>
      </c>
      <c r="H277" t="str">
        <f>"2"</f>
        <v>2</v>
      </c>
      <c r="I277" t="str">
        <f t="shared" si="331"/>
        <v>1</v>
      </c>
      <c r="J277" t="str">
        <f>"F"</f>
        <v>F</v>
      </c>
      <c r="K277" t="str">
        <f t="shared" si="322"/>
        <v>170</v>
      </c>
      <c r="L277" t="str">
        <f>"25"</f>
        <v>25</v>
      </c>
      <c r="M277" t="str">
        <f>"535"</f>
        <v>535</v>
      </c>
      <c r="N277" t="str">
        <f>"1"</f>
        <v>1</v>
      </c>
      <c r="O277" t="str">
        <f>"9999"</f>
        <v>9999</v>
      </c>
      <c r="P277" t="str">
        <f>"S"</f>
        <v>S</v>
      </c>
      <c r="Q277" t="str">
        <f>"EPS022"</f>
        <v>EPS022</v>
      </c>
      <c r="R277" t="str">
        <f t="shared" si="305"/>
        <v>6</v>
      </c>
      <c r="S277" t="str">
        <f>""</f>
        <v/>
      </c>
      <c r="T277" t="str">
        <f t="shared" si="333"/>
        <v xml:space="preserve">                                                                                                    </v>
      </c>
      <c r="U277" t="str">
        <f>"1         "</f>
        <v xml:space="preserve">1         </v>
      </c>
      <c r="V277" t="str">
        <f t="shared" ref="V277:V308" si="335">"2"</f>
        <v>2</v>
      </c>
      <c r="W277" t="str">
        <f t="shared" si="299"/>
        <v>2</v>
      </c>
      <c r="X277" t="str">
        <f t="shared" ref="X277:X298" si="336">"2"</f>
        <v>2</v>
      </c>
      <c r="Y277" t="str">
        <f t="shared" si="318"/>
        <v>2</v>
      </c>
      <c r="Z277" t="str">
        <f t="shared" si="318"/>
        <v>2</v>
      </c>
      <c r="AA277" t="str">
        <f t="shared" si="312"/>
        <v xml:space="preserve">          </v>
      </c>
      <c r="AB277" t="str">
        <f t="shared" si="306"/>
        <v>2</v>
      </c>
      <c r="AC277" t="str">
        <f t="shared" si="307"/>
        <v>2</v>
      </c>
      <c r="AD277" t="str">
        <f t="shared" si="321"/>
        <v>2</v>
      </c>
      <c r="AE277" t="str">
        <f t="shared" si="321"/>
        <v>2</v>
      </c>
      <c r="AF277" t="str">
        <f t="shared" si="321"/>
        <v>2</v>
      </c>
      <c r="AG277" t="str">
        <f t="shared" si="321"/>
        <v>2</v>
      </c>
      <c r="AH277" t="str">
        <f t="shared" ref="AH277:AH298" si="337">"1"</f>
        <v>1</v>
      </c>
      <c r="AI277" t="str">
        <f t="shared" si="334"/>
        <v xml:space="preserve">1         </v>
      </c>
      <c r="AJ277" t="str">
        <f t="shared" si="324"/>
        <v>170</v>
      </c>
      <c r="AK277" t="str">
        <f>"25"</f>
        <v>25</v>
      </c>
      <c r="AL277" t="str">
        <f>"535"</f>
        <v>535</v>
      </c>
      <c r="AM277" t="str">
        <f>"11"</f>
        <v>11</v>
      </c>
      <c r="AN277" t="str">
        <f>"11001"</f>
        <v>11001</v>
      </c>
      <c r="AO277" t="str">
        <f>"15/12/2020 12:00:00 a. m."</f>
        <v>15/12/2020 12:00:00 a. m.</v>
      </c>
      <c r="AP277" t="str">
        <f>"31/10/2020 12:00:00 a. m."</f>
        <v>31/10/2020 12:00:00 a. m.</v>
      </c>
      <c r="AQ277" t="str">
        <f>"3"</f>
        <v>3</v>
      </c>
      <c r="AR277" t="str">
        <f t="shared" si="330"/>
        <v>1</v>
      </c>
      <c r="AS277" t="str">
        <f>"15/12/2020 12:00:00 a. m."</f>
        <v>15/12/2020 12:00:00 a. m.</v>
      </c>
      <c r="AT277" t="str">
        <f t="shared" si="313"/>
        <v>1</v>
      </c>
      <c r="AU277" t="str">
        <f>""</f>
        <v/>
      </c>
      <c r="AV277" t="str">
        <f>"0"</f>
        <v>0</v>
      </c>
      <c r="AW277" t="str">
        <f>"25/10/2018 12:00:00 a. m."</f>
        <v>25/10/2018 12:00:00 a. m.</v>
      </c>
      <c r="AX277" t="str">
        <f>""</f>
        <v/>
      </c>
      <c r="AY277" t="str">
        <f t="shared" si="314"/>
        <v>30/04/2021 12:00:00 a. m.</v>
      </c>
      <c r="AZ277" t="str">
        <f>"21/12/2020 12:00:00 a. m."</f>
        <v>21/12/2020 12:00:00 a. m.</v>
      </c>
      <c r="BA277" t="str">
        <f>""</f>
        <v/>
      </c>
      <c r="BB277" t="str">
        <f>""</f>
        <v/>
      </c>
      <c r="BC277" t="str">
        <f>""</f>
        <v/>
      </c>
      <c r="BD277" t="str">
        <f t="shared" si="325"/>
        <v>1</v>
      </c>
      <c r="BE277" t="str">
        <f t="shared" si="325"/>
        <v>1</v>
      </c>
      <c r="BF277" t="str">
        <f t="shared" si="315"/>
        <v xml:space="preserve">3         </v>
      </c>
      <c r="BG277" t="str">
        <f t="shared" si="316"/>
        <v>Confirmado por laboratorio</v>
      </c>
      <c r="BH277" t="str">
        <f>"ESE INSTITUTO NACIONAL DE CANCEROLOGIA"</f>
        <v>ESE INSTITUTO NACIONAL DE CANCEROLOGIA</v>
      </c>
      <c r="BI277" t="str">
        <f t="shared" si="326"/>
        <v>COLOMBIA</v>
      </c>
      <c r="BJ277" t="str">
        <f t="shared" si="317"/>
        <v>CANCER INFANTIL</v>
      </c>
      <c r="BK277" t="str">
        <f>"CUNDINAMARCA"</f>
        <v>CUNDINAMARCA</v>
      </c>
      <c r="BL277" t="str">
        <f>"PASCA"</f>
        <v>PASCA</v>
      </c>
      <c r="BM277" t="str">
        <f t="shared" si="327"/>
        <v>COLOMBIA</v>
      </c>
      <c r="BN277" t="str">
        <f>"CUNDINAMARCA"</f>
        <v>CUNDINAMARCA</v>
      </c>
      <c r="BO277" t="str">
        <f>"PASCA"</f>
        <v>PASCA</v>
      </c>
      <c r="BP277" t="str">
        <f>"BOGOTA"</f>
        <v>BOGOTA</v>
      </c>
      <c r="BQ277" t="str">
        <f>"BOGOTA"</f>
        <v>BOGOTA</v>
      </c>
    </row>
    <row r="278" spans="1:69" x14ac:dyDescent="0.25">
      <c r="A278" t="str">
        <f>"7285701"</f>
        <v>7285701</v>
      </c>
      <c r="B278" t="str">
        <f t="shared" si="310"/>
        <v>459</v>
      </c>
      <c r="C278" t="str">
        <f>"3/11/2020 12:00:00 a. m."</f>
        <v>3/11/2020 12:00:00 a. m.</v>
      </c>
      <c r="D278" t="str">
        <f>"44"</f>
        <v>44</v>
      </c>
      <c r="E278" t="str">
        <f t="shared" si="311"/>
        <v>2020</v>
      </c>
      <c r="F278" t="str">
        <f>"1700101920"</f>
        <v>1700101920</v>
      </c>
      <c r="G278" t="str">
        <f t="shared" si="328"/>
        <v>01</v>
      </c>
      <c r="H278" t="str">
        <f>"3"</f>
        <v>3</v>
      </c>
      <c r="I278" t="str">
        <f t="shared" si="331"/>
        <v>1</v>
      </c>
      <c r="J278" t="str">
        <f>"M"</f>
        <v>M</v>
      </c>
      <c r="K278" t="str">
        <f t="shared" si="322"/>
        <v>170</v>
      </c>
      <c r="L278" t="str">
        <f>"17"</f>
        <v>17</v>
      </c>
      <c r="M278" t="str">
        <f>"001"</f>
        <v>001</v>
      </c>
      <c r="N278" t="str">
        <f>"1"</f>
        <v>1</v>
      </c>
      <c r="O278" t="str">
        <f>"9999"</f>
        <v>9999</v>
      </c>
      <c r="P278" t="str">
        <f>"C"</f>
        <v>C</v>
      </c>
      <c r="Q278" t="str">
        <f>"EPS002"</f>
        <v>EPS002</v>
      </c>
      <c r="R278" t="str">
        <f t="shared" si="305"/>
        <v>6</v>
      </c>
      <c r="S278" t="str">
        <f>""</f>
        <v/>
      </c>
      <c r="T278" t="str">
        <f t="shared" si="333"/>
        <v xml:space="preserve">                                                                                                    </v>
      </c>
      <c r="U278" t="str">
        <f>"3         "</f>
        <v xml:space="preserve">3         </v>
      </c>
      <c r="V278" t="str">
        <f t="shared" si="335"/>
        <v>2</v>
      </c>
      <c r="W278" t="str">
        <f t="shared" si="299"/>
        <v>2</v>
      </c>
      <c r="X278" t="str">
        <f t="shared" si="336"/>
        <v>2</v>
      </c>
      <c r="Y278" t="str">
        <f t="shared" si="318"/>
        <v>2</v>
      </c>
      <c r="Z278" t="str">
        <f t="shared" si="318"/>
        <v>2</v>
      </c>
      <c r="AA278" t="str">
        <f t="shared" si="312"/>
        <v xml:space="preserve">          </v>
      </c>
      <c r="AB278" t="str">
        <f t="shared" si="306"/>
        <v>2</v>
      </c>
      <c r="AC278" t="str">
        <f t="shared" si="307"/>
        <v>2</v>
      </c>
      <c r="AD278" t="str">
        <f t="shared" si="321"/>
        <v>2</v>
      </c>
      <c r="AE278" t="str">
        <f t="shared" si="321"/>
        <v>2</v>
      </c>
      <c r="AF278" t="str">
        <f t="shared" si="321"/>
        <v>2</v>
      </c>
      <c r="AG278" t="str">
        <f t="shared" si="321"/>
        <v>2</v>
      </c>
      <c r="AH278" t="str">
        <f t="shared" si="337"/>
        <v>1</v>
      </c>
      <c r="AI278" t="str">
        <f t="shared" si="334"/>
        <v xml:space="preserve">1         </v>
      </c>
      <c r="AJ278" t="str">
        <f t="shared" si="324"/>
        <v>170</v>
      </c>
      <c r="AK278" t="str">
        <f>"17"</f>
        <v>17</v>
      </c>
      <c r="AL278" t="str">
        <f>"001"</f>
        <v>001</v>
      </c>
      <c r="AM278" t="str">
        <f>"17"</f>
        <v>17</v>
      </c>
      <c r="AN278" t="str">
        <f>"17001"</f>
        <v>17001</v>
      </c>
      <c r="AO278" t="str">
        <f>"27/10/2020 12:00:00 a. m."</f>
        <v>27/10/2020 12:00:00 a. m.</v>
      </c>
      <c r="AP278" t="str">
        <f>"27/10/2020 12:00:00 a. m."</f>
        <v>27/10/2020 12:00:00 a. m.</v>
      </c>
      <c r="AQ278" t="str">
        <f>"2"</f>
        <v>2</v>
      </c>
      <c r="AR278" t="str">
        <f t="shared" si="330"/>
        <v>1</v>
      </c>
      <c r="AS278" t="str">
        <f>"27/10/2020 12:00:00 a. m."</f>
        <v>27/10/2020 12:00:00 a. m.</v>
      </c>
      <c r="AT278" t="str">
        <f t="shared" si="313"/>
        <v>1</v>
      </c>
      <c r="AU278" t="str">
        <f>""</f>
        <v/>
      </c>
      <c r="AV278" t="str">
        <f>"3"</f>
        <v>3</v>
      </c>
      <c r="AW278" t="str">
        <f>"3/07/2017 12:00:00 a. m."</f>
        <v>3/07/2017 12:00:00 a. m.</v>
      </c>
      <c r="AX278" t="str">
        <f>""</f>
        <v/>
      </c>
      <c r="AY278" t="str">
        <f t="shared" si="314"/>
        <v>30/04/2021 12:00:00 a. m.</v>
      </c>
      <c r="AZ278" t="str">
        <f>"7/12/2020 12:00:00 a. m."</f>
        <v>7/12/2020 12:00:00 a. m.</v>
      </c>
      <c r="BA278" t="str">
        <f>""</f>
        <v/>
      </c>
      <c r="BB278" t="str">
        <f>""</f>
        <v/>
      </c>
      <c r="BC278" t="str">
        <f>""</f>
        <v/>
      </c>
      <c r="BD278" t="str">
        <f t="shared" si="325"/>
        <v>1</v>
      </c>
      <c r="BE278" t="str">
        <f t="shared" si="325"/>
        <v>1</v>
      </c>
      <c r="BF278" t="str">
        <f t="shared" si="315"/>
        <v xml:space="preserve">3         </v>
      </c>
      <c r="BG278" t="str">
        <f t="shared" si="316"/>
        <v>Confirmado por laboratorio</v>
      </c>
      <c r="BH278" t="str">
        <f>"MEINTEGRAL SAS"</f>
        <v>MEINTEGRAL SAS</v>
      </c>
      <c r="BI278" t="str">
        <f t="shared" si="326"/>
        <v>COLOMBIA</v>
      </c>
      <c r="BJ278" t="str">
        <f t="shared" si="317"/>
        <v>CANCER INFANTIL</v>
      </c>
      <c r="BK278" t="str">
        <f>"CALDAS"</f>
        <v>CALDAS</v>
      </c>
      <c r="BL278" t="str">
        <f>"MANIZALES"</f>
        <v>MANIZALES</v>
      </c>
      <c r="BM278" t="str">
        <f t="shared" si="327"/>
        <v>COLOMBIA</v>
      </c>
      <c r="BN278" t="str">
        <f>"CALDAS"</f>
        <v>CALDAS</v>
      </c>
      <c r="BO278" t="str">
        <f>"MANIZALES"</f>
        <v>MANIZALES</v>
      </c>
      <c r="BP278" t="str">
        <f>"CALDAS"</f>
        <v>CALDAS</v>
      </c>
      <c r="BQ278" t="str">
        <f>"MANIZALES"</f>
        <v>MANIZALES</v>
      </c>
    </row>
    <row r="279" spans="1:69" x14ac:dyDescent="0.25">
      <c r="A279" t="str">
        <f>"7285848"</f>
        <v>7285848</v>
      </c>
      <c r="B279" t="str">
        <f t="shared" si="310"/>
        <v>459</v>
      </c>
      <c r="C279" t="str">
        <f>"12/08/2020 12:00:00 a. m."</f>
        <v>12/08/2020 12:00:00 a. m.</v>
      </c>
      <c r="D279" t="str">
        <f>"23"</f>
        <v>23</v>
      </c>
      <c r="E279" t="str">
        <f t="shared" si="311"/>
        <v>2020</v>
      </c>
      <c r="F279" t="str">
        <f>"0500102175"</f>
        <v>0500102175</v>
      </c>
      <c r="G279" t="str">
        <f t="shared" si="328"/>
        <v>01</v>
      </c>
      <c r="H279" t="str">
        <f>"11"</f>
        <v>11</v>
      </c>
      <c r="I279" t="str">
        <f>"2"</f>
        <v>2</v>
      </c>
      <c r="J279" t="str">
        <f>"F"</f>
        <v>F</v>
      </c>
      <c r="K279" t="str">
        <f t="shared" si="322"/>
        <v>170</v>
      </c>
      <c r="L279" t="str">
        <f>"05"</f>
        <v>05</v>
      </c>
      <c r="M279" t="str">
        <f>"001"</f>
        <v>001</v>
      </c>
      <c r="N279" t="str">
        <f>"1"</f>
        <v>1</v>
      </c>
      <c r="O279" t="str">
        <f>"9999"</f>
        <v>9999</v>
      </c>
      <c r="P279" t="str">
        <f>"S"</f>
        <v>S</v>
      </c>
      <c r="Q279" t="str">
        <f>"ESS024"</f>
        <v>ESS024</v>
      </c>
      <c r="R279" t="str">
        <f t="shared" si="305"/>
        <v>6</v>
      </c>
      <c r="S279" t="str">
        <f>""</f>
        <v/>
      </c>
      <c r="T279" t="str">
        <f t="shared" si="333"/>
        <v xml:space="preserve">                                                                                                    </v>
      </c>
      <c r="U279" t="str">
        <f>"2         "</f>
        <v xml:space="preserve">2         </v>
      </c>
      <c r="V279" t="str">
        <f t="shared" si="335"/>
        <v>2</v>
      </c>
      <c r="W279" t="str">
        <f t="shared" si="299"/>
        <v>2</v>
      </c>
      <c r="X279" t="str">
        <f t="shared" si="336"/>
        <v>2</v>
      </c>
      <c r="Y279" t="str">
        <f t="shared" ref="Y279:Z298" si="338">"2"</f>
        <v>2</v>
      </c>
      <c r="Z279" t="str">
        <f t="shared" si="338"/>
        <v>2</v>
      </c>
      <c r="AA279" t="str">
        <f t="shared" si="312"/>
        <v xml:space="preserve">          </v>
      </c>
      <c r="AB279" t="str">
        <f t="shared" si="306"/>
        <v>2</v>
      </c>
      <c r="AC279" t="str">
        <f t="shared" si="307"/>
        <v>2</v>
      </c>
      <c r="AD279" t="str">
        <f t="shared" si="321"/>
        <v>2</v>
      </c>
      <c r="AE279" t="str">
        <f t="shared" si="321"/>
        <v>2</v>
      </c>
      <c r="AF279" t="str">
        <f t="shared" si="321"/>
        <v>2</v>
      </c>
      <c r="AG279" t="str">
        <f t="shared" si="321"/>
        <v>2</v>
      </c>
      <c r="AH279" t="str">
        <f t="shared" si="337"/>
        <v>1</v>
      </c>
      <c r="AI279" t="str">
        <f t="shared" si="334"/>
        <v xml:space="preserve">1         </v>
      </c>
      <c r="AJ279" t="str">
        <f t="shared" si="324"/>
        <v>170</v>
      </c>
      <c r="AK279" t="str">
        <f>"05"</f>
        <v>05</v>
      </c>
      <c r="AL279" t="str">
        <f>"001"</f>
        <v>001</v>
      </c>
      <c r="AM279" t="str">
        <f>"05"</f>
        <v>05</v>
      </c>
      <c r="AN279" t="str">
        <f>"05001"</f>
        <v>05001</v>
      </c>
      <c r="AO279" t="str">
        <f>"31/05/2020 12:00:00 a. m."</f>
        <v>31/05/2020 12:00:00 a. m.</v>
      </c>
      <c r="AP279" t="str">
        <f>"31/05/2020 12:00:00 a. m."</f>
        <v>31/05/2020 12:00:00 a. m.</v>
      </c>
      <c r="AQ279" t="str">
        <f>"2"</f>
        <v>2</v>
      </c>
      <c r="AR279" t="str">
        <f t="shared" si="330"/>
        <v>1</v>
      </c>
      <c r="AS279" t="str">
        <f>"31/05/2020 12:00:00 a. m."</f>
        <v>31/05/2020 12:00:00 a. m.</v>
      </c>
      <c r="AT279" t="str">
        <f t="shared" si="313"/>
        <v>1</v>
      </c>
      <c r="AU279" t="str">
        <f>""</f>
        <v/>
      </c>
      <c r="AV279" t="str">
        <f>"3"</f>
        <v>3</v>
      </c>
      <c r="AW279" t="str">
        <f>"9/09/2019 12:00:00 a. m."</f>
        <v>9/09/2019 12:00:00 a. m.</v>
      </c>
      <c r="AX279" t="str">
        <f>""</f>
        <v/>
      </c>
      <c r="AY279" t="str">
        <f t="shared" si="314"/>
        <v>30/04/2021 12:00:00 a. m.</v>
      </c>
      <c r="AZ279" t="str">
        <f>"22/10/2020 12:00:00 a. m."</f>
        <v>22/10/2020 12:00:00 a. m.</v>
      </c>
      <c r="BA279" t="str">
        <f>""</f>
        <v/>
      </c>
      <c r="BB279" t="str">
        <f>""</f>
        <v/>
      </c>
      <c r="BC279" t="str">
        <f>""</f>
        <v/>
      </c>
      <c r="BD279" t="str">
        <f t="shared" si="325"/>
        <v>1</v>
      </c>
      <c r="BE279" t="str">
        <f t="shared" si="325"/>
        <v>1</v>
      </c>
      <c r="BF279" t="str">
        <f t="shared" si="315"/>
        <v xml:space="preserve">3         </v>
      </c>
      <c r="BG279" t="str">
        <f t="shared" si="316"/>
        <v>Confirmado por laboratorio</v>
      </c>
      <c r="BH279" t="str">
        <f>"FUNDACION HOSPITALARIA SAN VICENTE DE PAUL"</f>
        <v>FUNDACION HOSPITALARIA SAN VICENTE DE PAUL</v>
      </c>
      <c r="BI279" t="str">
        <f t="shared" si="326"/>
        <v>COLOMBIA</v>
      </c>
      <c r="BJ279" t="str">
        <f t="shared" si="317"/>
        <v>CANCER INFANTIL</v>
      </c>
      <c r="BK279" t="str">
        <f>"ANTIOQUIA"</f>
        <v>ANTIOQUIA</v>
      </c>
      <c r="BL279" t="str">
        <f>"MEDELLIN"</f>
        <v>MEDELLIN</v>
      </c>
      <c r="BM279" t="str">
        <f t="shared" si="327"/>
        <v>COLOMBIA</v>
      </c>
      <c r="BN279" t="str">
        <f>"ANTIOQUIA"</f>
        <v>ANTIOQUIA</v>
      </c>
      <c r="BO279" t="str">
        <f>"MEDELLIN"</f>
        <v>MEDELLIN</v>
      </c>
      <c r="BP279" t="str">
        <f>"ANTIOQUIA"</f>
        <v>ANTIOQUIA</v>
      </c>
      <c r="BQ279" t="str">
        <f>"MEDELLIN"</f>
        <v>MEDELLIN</v>
      </c>
    </row>
    <row r="280" spans="1:69" x14ac:dyDescent="0.25">
      <c r="A280" t="str">
        <f>"7285704"</f>
        <v>7285704</v>
      </c>
      <c r="B280" t="str">
        <f t="shared" si="310"/>
        <v>459</v>
      </c>
      <c r="C280" t="str">
        <f>"13/07/2020 12:00:00 a. m."</f>
        <v>13/07/2020 12:00:00 a. m.</v>
      </c>
      <c r="D280" t="str">
        <f>"29"</f>
        <v>29</v>
      </c>
      <c r="E280" t="str">
        <f t="shared" si="311"/>
        <v>2020</v>
      </c>
      <c r="F280" t="str">
        <f>"1100105681"</f>
        <v>1100105681</v>
      </c>
      <c r="G280" t="str">
        <f t="shared" si="328"/>
        <v>01</v>
      </c>
      <c r="H280" t="str">
        <f>"11"</f>
        <v>11</v>
      </c>
      <c r="I280" t="str">
        <f>"1"</f>
        <v>1</v>
      </c>
      <c r="J280" t="str">
        <f>"M"</f>
        <v>M</v>
      </c>
      <c r="K280" t="str">
        <f t="shared" si="322"/>
        <v>170</v>
      </c>
      <c r="L280" t="str">
        <f>"68"</f>
        <v>68</v>
      </c>
      <c r="M280" t="str">
        <f>"679"</f>
        <v>679</v>
      </c>
      <c r="N280" t="str">
        <f>"1"</f>
        <v>1</v>
      </c>
      <c r="O280" t="str">
        <f>"9997"</f>
        <v>9997</v>
      </c>
      <c r="P280" t="str">
        <f>"C"</f>
        <v>C</v>
      </c>
      <c r="Q280" t="str">
        <f>"EPS044"</f>
        <v>EPS044</v>
      </c>
      <c r="R280" t="str">
        <f t="shared" si="305"/>
        <v>6</v>
      </c>
      <c r="S280" t="str">
        <f>""</f>
        <v/>
      </c>
      <c r="T280" t="str">
        <f t="shared" si="333"/>
        <v xml:space="preserve">                                                                                                    </v>
      </c>
      <c r="U280" t="str">
        <f>"2         "</f>
        <v xml:space="preserve">2         </v>
      </c>
      <c r="V280" t="str">
        <f t="shared" si="335"/>
        <v>2</v>
      </c>
      <c r="W280" t="str">
        <f t="shared" si="299"/>
        <v>2</v>
      </c>
      <c r="X280" t="str">
        <f t="shared" si="336"/>
        <v>2</v>
      </c>
      <c r="Y280" t="str">
        <f t="shared" si="338"/>
        <v>2</v>
      </c>
      <c r="Z280" t="str">
        <f t="shared" si="338"/>
        <v>2</v>
      </c>
      <c r="AA280" t="str">
        <f t="shared" si="312"/>
        <v xml:space="preserve">          </v>
      </c>
      <c r="AB280" t="str">
        <f t="shared" si="306"/>
        <v>2</v>
      </c>
      <c r="AC280" t="str">
        <f t="shared" si="307"/>
        <v>2</v>
      </c>
      <c r="AD280" t="str">
        <f t="shared" ref="AD280:AG299" si="339">"2"</f>
        <v>2</v>
      </c>
      <c r="AE280" t="str">
        <f t="shared" si="339"/>
        <v>2</v>
      </c>
      <c r="AF280" t="str">
        <f t="shared" si="339"/>
        <v>2</v>
      </c>
      <c r="AG280" t="str">
        <f t="shared" si="339"/>
        <v>2</v>
      </c>
      <c r="AH280" t="str">
        <f t="shared" si="337"/>
        <v>1</v>
      </c>
      <c r="AI280" t="str">
        <f t="shared" si="334"/>
        <v xml:space="preserve">1         </v>
      </c>
      <c r="AJ280" t="str">
        <f t="shared" si="324"/>
        <v>170</v>
      </c>
      <c r="AK280" t="str">
        <f>"68"</f>
        <v>68</v>
      </c>
      <c r="AL280" t="str">
        <f>"679"</f>
        <v>679</v>
      </c>
      <c r="AM280" t="str">
        <f>"11"</f>
        <v>11</v>
      </c>
      <c r="AN280" t="str">
        <f>"11001"</f>
        <v>11001</v>
      </c>
      <c r="AO280" t="str">
        <f>"12/07/2020 12:00:00 a. m."</f>
        <v>12/07/2020 12:00:00 a. m.</v>
      </c>
      <c r="AP280" t="str">
        <f>"12/02/2020 12:00:00 a. m."</f>
        <v>12/02/2020 12:00:00 a. m.</v>
      </c>
      <c r="AQ280" t="str">
        <f>"3"</f>
        <v>3</v>
      </c>
      <c r="AR280" t="str">
        <f t="shared" si="330"/>
        <v>1</v>
      </c>
      <c r="AS280" t="str">
        <f>"12/07/2020 12:00:00 a. m."</f>
        <v>12/07/2020 12:00:00 a. m.</v>
      </c>
      <c r="AT280" t="str">
        <f t="shared" si="313"/>
        <v>1</v>
      </c>
      <c r="AU280" t="str">
        <f>""</f>
        <v/>
      </c>
      <c r="AV280" t="str">
        <f>"0"</f>
        <v>0</v>
      </c>
      <c r="AW280" t="str">
        <f>"13/05/2009 12:00:00 a. m."</f>
        <v>13/05/2009 12:00:00 a. m.</v>
      </c>
      <c r="AX280" t="str">
        <f>""</f>
        <v/>
      </c>
      <c r="AY280" t="str">
        <f t="shared" si="314"/>
        <v>30/04/2021 12:00:00 a. m.</v>
      </c>
      <c r="AZ280" t="str">
        <f>"10/08/2020 12:00:00 a. m."</f>
        <v>10/08/2020 12:00:00 a. m.</v>
      </c>
      <c r="BA280" t="str">
        <f>""</f>
        <v/>
      </c>
      <c r="BB280" t="str">
        <f>""</f>
        <v/>
      </c>
      <c r="BC280" t="str">
        <f>""</f>
        <v/>
      </c>
      <c r="BD280" t="str">
        <f t="shared" si="325"/>
        <v>1</v>
      </c>
      <c r="BE280" t="str">
        <f t="shared" si="325"/>
        <v>1</v>
      </c>
      <c r="BF280" t="str">
        <f t="shared" si="315"/>
        <v xml:space="preserve">3         </v>
      </c>
      <c r="BG280" t="str">
        <f t="shared" si="316"/>
        <v>Confirmado por laboratorio</v>
      </c>
      <c r="BH280" t="str">
        <f>"FUNDACION HOSPITAL DE LA MISERICORDIA"</f>
        <v>FUNDACION HOSPITAL DE LA MISERICORDIA</v>
      </c>
      <c r="BI280" t="str">
        <f t="shared" si="326"/>
        <v>COLOMBIA</v>
      </c>
      <c r="BJ280" t="str">
        <f t="shared" si="317"/>
        <v>CANCER INFANTIL</v>
      </c>
      <c r="BK280" t="str">
        <f>"SANTANDER"</f>
        <v>SANTANDER</v>
      </c>
      <c r="BL280" t="str">
        <f>"SAN GIL"</f>
        <v>SAN GIL</v>
      </c>
      <c r="BM280" t="str">
        <f t="shared" si="327"/>
        <v>COLOMBIA</v>
      </c>
      <c r="BN280" t="str">
        <f>"SANTANDER"</f>
        <v>SANTANDER</v>
      </c>
      <c r="BO280" t="str">
        <f>"SAN GIL"</f>
        <v>SAN GIL</v>
      </c>
      <c r="BP280" t="str">
        <f>"BOGOTA"</f>
        <v>BOGOTA</v>
      </c>
      <c r="BQ280" t="str">
        <f>"BOGOTA"</f>
        <v>BOGOTA</v>
      </c>
    </row>
    <row r="281" spans="1:69" x14ac:dyDescent="0.25">
      <c r="A281" t="str">
        <f>"7291686"</f>
        <v>7291686</v>
      </c>
      <c r="B281" t="str">
        <f t="shared" si="310"/>
        <v>459</v>
      </c>
      <c r="C281" t="str">
        <f>"13/04/2020 12:00:00 a. m."</f>
        <v>13/04/2020 12:00:00 a. m.</v>
      </c>
      <c r="D281" t="str">
        <f>"16"</f>
        <v>16</v>
      </c>
      <c r="E281" t="str">
        <f t="shared" si="311"/>
        <v>2020</v>
      </c>
      <c r="F281" t="str">
        <f>"7600102870"</f>
        <v>7600102870</v>
      </c>
      <c r="G281" t="str">
        <f t="shared" si="328"/>
        <v>01</v>
      </c>
      <c r="H281" t="str">
        <f>"14"</f>
        <v>14</v>
      </c>
      <c r="I281" t="str">
        <f>"1"</f>
        <v>1</v>
      </c>
      <c r="J281" t="str">
        <f>"F"</f>
        <v>F</v>
      </c>
      <c r="K281" t="str">
        <f t="shared" si="322"/>
        <v>170</v>
      </c>
      <c r="L281" t="str">
        <f>"76"</f>
        <v>76</v>
      </c>
      <c r="M281" t="str">
        <f>"248"</f>
        <v>248</v>
      </c>
      <c r="N281" t="str">
        <f>"2"</f>
        <v>2</v>
      </c>
      <c r="O281" t="str">
        <f>"9999"</f>
        <v>9999</v>
      </c>
      <c r="P281" t="str">
        <f>"S"</f>
        <v>S</v>
      </c>
      <c r="Q281" t="str">
        <f>"ESS118"</f>
        <v>ESS118</v>
      </c>
      <c r="R281" t="str">
        <f t="shared" si="305"/>
        <v>6</v>
      </c>
      <c r="S281" t="str">
        <f>""</f>
        <v/>
      </c>
      <c r="T281" t="str">
        <f t="shared" si="333"/>
        <v xml:space="preserve">                                                                                                    </v>
      </c>
      <c r="U281" t="str">
        <f>"          "</f>
        <v xml:space="preserve">          </v>
      </c>
      <c r="V281" t="str">
        <f t="shared" si="335"/>
        <v>2</v>
      </c>
      <c r="W281" t="str">
        <f t="shared" si="299"/>
        <v>2</v>
      </c>
      <c r="X281" t="str">
        <f t="shared" si="336"/>
        <v>2</v>
      </c>
      <c r="Y281" t="str">
        <f t="shared" si="338"/>
        <v>2</v>
      </c>
      <c r="Z281" t="str">
        <f t="shared" si="338"/>
        <v>2</v>
      </c>
      <c r="AA281" t="str">
        <f t="shared" si="312"/>
        <v xml:space="preserve">          </v>
      </c>
      <c r="AB281" t="str">
        <f t="shared" si="306"/>
        <v>2</v>
      </c>
      <c r="AC281" t="str">
        <f t="shared" si="307"/>
        <v>2</v>
      </c>
      <c r="AD281" t="str">
        <f t="shared" si="339"/>
        <v>2</v>
      </c>
      <c r="AE281" t="str">
        <f t="shared" si="339"/>
        <v>2</v>
      </c>
      <c r="AF281" t="str">
        <f t="shared" si="339"/>
        <v>2</v>
      </c>
      <c r="AG281" t="str">
        <f t="shared" si="339"/>
        <v>2</v>
      </c>
      <c r="AH281" t="str">
        <f t="shared" si="337"/>
        <v>1</v>
      </c>
      <c r="AI281" t="str">
        <f t="shared" si="334"/>
        <v xml:space="preserve">1         </v>
      </c>
      <c r="AJ281" t="str">
        <f t="shared" si="324"/>
        <v>170</v>
      </c>
      <c r="AK281" t="str">
        <f>"76"</f>
        <v>76</v>
      </c>
      <c r="AL281" t="str">
        <f>"248"</f>
        <v>248</v>
      </c>
      <c r="AM281" t="str">
        <f>"76"</f>
        <v>76</v>
      </c>
      <c r="AN281" t="str">
        <f>"76001"</f>
        <v>76001</v>
      </c>
      <c r="AO281" t="str">
        <f>"12/04/2020 12:00:00 a. m."</f>
        <v>12/04/2020 12:00:00 a. m.</v>
      </c>
      <c r="AP281" t="str">
        <f>"12/03/2020 12:00:00 a. m."</f>
        <v>12/03/2020 12:00:00 a. m.</v>
      </c>
      <c r="AQ281" t="str">
        <f>"2"</f>
        <v>2</v>
      </c>
      <c r="AR281" t="str">
        <f t="shared" si="330"/>
        <v>1</v>
      </c>
      <c r="AS281" t="str">
        <f>"12/04/2020 12:00:00 a. m."</f>
        <v>12/04/2020 12:00:00 a. m.</v>
      </c>
      <c r="AT281" t="str">
        <f t="shared" si="313"/>
        <v>1</v>
      </c>
      <c r="AU281" t="str">
        <f>""</f>
        <v/>
      </c>
      <c r="AV281" t="str">
        <f>"3"</f>
        <v>3</v>
      </c>
      <c r="AW281" t="str">
        <f>"6/01/2006 12:00:00 a. m."</f>
        <v>6/01/2006 12:00:00 a. m.</v>
      </c>
      <c r="AX281" t="str">
        <f>""</f>
        <v/>
      </c>
      <c r="AY281" t="str">
        <f t="shared" si="314"/>
        <v>30/04/2021 12:00:00 a. m.</v>
      </c>
      <c r="AZ281" t="str">
        <f>"20/04/2020 12:00:00 a. m."</f>
        <v>20/04/2020 12:00:00 a. m.</v>
      </c>
      <c r="BA281" t="str">
        <f>""</f>
        <v/>
      </c>
      <c r="BB281" t="str">
        <f>""</f>
        <v/>
      </c>
      <c r="BC281" t="str">
        <f>""</f>
        <v/>
      </c>
      <c r="BD281" t="str">
        <f t="shared" si="325"/>
        <v>1</v>
      </c>
      <c r="BE281" t="str">
        <f t="shared" si="325"/>
        <v>1</v>
      </c>
      <c r="BF281" t="str">
        <f t="shared" si="315"/>
        <v xml:space="preserve">3         </v>
      </c>
      <c r="BG281" t="str">
        <f t="shared" si="316"/>
        <v>Confirmado por laboratorio</v>
      </c>
      <c r="BH281" t="str">
        <f>"FUNDACION VALLE DEL LILI"</f>
        <v>FUNDACION VALLE DEL LILI</v>
      </c>
      <c r="BI281" t="str">
        <f t="shared" si="326"/>
        <v>COLOMBIA</v>
      </c>
      <c r="BJ281" t="str">
        <f t="shared" si="317"/>
        <v>CANCER INFANTIL</v>
      </c>
      <c r="BK281" t="str">
        <f>"VALLE"</f>
        <v>VALLE</v>
      </c>
      <c r="BL281" t="str">
        <f>"EL CERRITO"</f>
        <v>EL CERRITO</v>
      </c>
      <c r="BM281" t="str">
        <f t="shared" si="327"/>
        <v>COLOMBIA</v>
      </c>
      <c r="BN281" t="str">
        <f>"VALLE"</f>
        <v>VALLE</v>
      </c>
      <c r="BO281" t="str">
        <f>"EL CERRITO"</f>
        <v>EL CERRITO</v>
      </c>
      <c r="BP281" t="str">
        <f>"VALLE"</f>
        <v>VALLE</v>
      </c>
      <c r="BQ281" t="str">
        <f>"CALI"</f>
        <v>CALI</v>
      </c>
    </row>
    <row r="282" spans="1:69" x14ac:dyDescent="0.25">
      <c r="A282" t="str">
        <f>"7291801"</f>
        <v>7291801</v>
      </c>
      <c r="B282" t="str">
        <f t="shared" si="310"/>
        <v>459</v>
      </c>
      <c r="C282" t="str">
        <f>"3/04/2020 12:00:00 a. m."</f>
        <v>3/04/2020 12:00:00 a. m.</v>
      </c>
      <c r="D282" t="str">
        <f>"14"</f>
        <v>14</v>
      </c>
      <c r="E282" t="str">
        <f t="shared" si="311"/>
        <v>2020</v>
      </c>
      <c r="F282" t="str">
        <f>"5200100283"</f>
        <v>5200100283</v>
      </c>
      <c r="G282" t="str">
        <f t="shared" si="328"/>
        <v>01</v>
      </c>
      <c r="H282" t="str">
        <f>"15"</f>
        <v>15</v>
      </c>
      <c r="I282" t="str">
        <f>"1"</f>
        <v>1</v>
      </c>
      <c r="J282" t="str">
        <f>"F"</f>
        <v>F</v>
      </c>
      <c r="K282" t="str">
        <f t="shared" si="322"/>
        <v>170</v>
      </c>
      <c r="L282" t="str">
        <f>"86"</f>
        <v>86</v>
      </c>
      <c r="M282" t="str">
        <f>"865"</f>
        <v>865</v>
      </c>
      <c r="N282" t="str">
        <f>"3"</f>
        <v>3</v>
      </c>
      <c r="O282" t="str">
        <f>"9997"</f>
        <v>9997</v>
      </c>
      <c r="P282" t="str">
        <f>"S"</f>
        <v>S</v>
      </c>
      <c r="Q282" t="str">
        <f>"ESS118"</f>
        <v>ESS118</v>
      </c>
      <c r="R282" t="str">
        <f t="shared" si="305"/>
        <v>6</v>
      </c>
      <c r="S282" t="str">
        <f>""</f>
        <v/>
      </c>
      <c r="T282" t="str">
        <f t="shared" si="333"/>
        <v xml:space="preserve">                                                                                                    </v>
      </c>
      <c r="U282" t="str">
        <f>"1         "</f>
        <v xml:space="preserve">1         </v>
      </c>
      <c r="V282" t="str">
        <f t="shared" si="335"/>
        <v>2</v>
      </c>
      <c r="W282" t="str">
        <f t="shared" si="299"/>
        <v>2</v>
      </c>
      <c r="X282" t="str">
        <f t="shared" si="336"/>
        <v>2</v>
      </c>
      <c r="Y282" t="str">
        <f t="shared" si="338"/>
        <v>2</v>
      </c>
      <c r="Z282" t="str">
        <f t="shared" si="338"/>
        <v>2</v>
      </c>
      <c r="AA282" t="str">
        <f t="shared" si="312"/>
        <v xml:space="preserve">          </v>
      </c>
      <c r="AB282" t="str">
        <f t="shared" si="306"/>
        <v>2</v>
      </c>
      <c r="AC282" t="str">
        <f t="shared" si="307"/>
        <v>2</v>
      </c>
      <c r="AD282" t="str">
        <f t="shared" si="339"/>
        <v>2</v>
      </c>
      <c r="AE282" t="str">
        <f t="shared" si="339"/>
        <v>2</v>
      </c>
      <c r="AF282" t="str">
        <f t="shared" si="339"/>
        <v>2</v>
      </c>
      <c r="AG282" t="str">
        <f t="shared" si="339"/>
        <v>2</v>
      </c>
      <c r="AH282" t="str">
        <f t="shared" si="337"/>
        <v>1</v>
      </c>
      <c r="AI282" t="str">
        <f t="shared" si="334"/>
        <v xml:space="preserve">1         </v>
      </c>
      <c r="AJ282" t="str">
        <f t="shared" si="324"/>
        <v>170</v>
      </c>
      <c r="AK282" t="str">
        <f>"86"</f>
        <v>86</v>
      </c>
      <c r="AL282" t="str">
        <f>"865"</f>
        <v>865</v>
      </c>
      <c r="AM282" t="str">
        <f>"52"</f>
        <v>52</v>
      </c>
      <c r="AN282" t="str">
        <f>"52001"</f>
        <v>52001</v>
      </c>
      <c r="AO282" t="str">
        <f>"30/03/2020 12:00:00 a. m."</f>
        <v>30/03/2020 12:00:00 a. m.</v>
      </c>
      <c r="AP282" t="str">
        <f>"15/02/2020 12:00:00 a. m."</f>
        <v>15/02/2020 12:00:00 a. m.</v>
      </c>
      <c r="AQ282" t="str">
        <f>"2"</f>
        <v>2</v>
      </c>
      <c r="AR282" t="str">
        <f t="shared" si="330"/>
        <v>1</v>
      </c>
      <c r="AS282" t="str">
        <f>"30/03/2020 12:00:00 a. m."</f>
        <v>30/03/2020 12:00:00 a. m.</v>
      </c>
      <c r="AT282" t="str">
        <f t="shared" si="313"/>
        <v>1</v>
      </c>
      <c r="AU282" t="str">
        <f>""</f>
        <v/>
      </c>
      <c r="AV282" t="str">
        <f>"3"</f>
        <v>3</v>
      </c>
      <c r="AW282" t="str">
        <f>"17/11/2004 12:00:00 a. m."</f>
        <v>17/11/2004 12:00:00 a. m.</v>
      </c>
      <c r="AX282" t="str">
        <f>""</f>
        <v/>
      </c>
      <c r="AY282" t="str">
        <f t="shared" si="314"/>
        <v>30/04/2021 12:00:00 a. m.</v>
      </c>
      <c r="AZ282" t="str">
        <f>"15/07/2020 12:00:00 a. m."</f>
        <v>15/07/2020 12:00:00 a. m.</v>
      </c>
      <c r="BA282" t="str">
        <f>""</f>
        <v/>
      </c>
      <c r="BB282" t="str">
        <f>""</f>
        <v/>
      </c>
      <c r="BC282" t="str">
        <f>""</f>
        <v/>
      </c>
      <c r="BD282" t="str">
        <f t="shared" ref="BD282:BE301" si="340">"1"</f>
        <v>1</v>
      </c>
      <c r="BE282" t="str">
        <f t="shared" si="340"/>
        <v>1</v>
      </c>
      <c r="BF282" t="str">
        <f t="shared" si="315"/>
        <v xml:space="preserve">3         </v>
      </c>
      <c r="BG282" t="str">
        <f t="shared" si="316"/>
        <v>Confirmado por laboratorio</v>
      </c>
      <c r="BH282" t="str">
        <f>"HOSPITAL INFANTIL LOS ANGELES"</f>
        <v>HOSPITAL INFANTIL LOS ANGELES</v>
      </c>
      <c r="BI282" t="str">
        <f t="shared" si="326"/>
        <v>COLOMBIA</v>
      </c>
      <c r="BJ282" t="str">
        <f t="shared" si="317"/>
        <v>CANCER INFANTIL</v>
      </c>
      <c r="BK282" t="str">
        <f>"PUTUMAYO"</f>
        <v>PUTUMAYO</v>
      </c>
      <c r="BL282" t="str">
        <f>"VALLE DEL GUAMUEZ"</f>
        <v>VALLE DEL GUAMUEZ</v>
      </c>
      <c r="BM282" t="str">
        <f t="shared" si="327"/>
        <v>COLOMBIA</v>
      </c>
      <c r="BN282" t="str">
        <f>"PUTUMAYO"</f>
        <v>PUTUMAYO</v>
      </c>
      <c r="BO282" t="str">
        <f>"VALLE DEL GUAMUEZ"</f>
        <v>VALLE DEL GUAMUEZ</v>
      </c>
      <c r="BP282" t="str">
        <f>"NARIÑO"</f>
        <v>NARIÑO</v>
      </c>
      <c r="BQ282" t="str">
        <f>"PASTO"</f>
        <v>PASTO</v>
      </c>
    </row>
    <row r="283" spans="1:69" x14ac:dyDescent="0.25">
      <c r="A283" t="str">
        <f>"7291719"</f>
        <v>7291719</v>
      </c>
      <c r="B283" t="str">
        <f t="shared" si="310"/>
        <v>459</v>
      </c>
      <c r="C283" t="str">
        <f>"23/10/2020 12:00:00 a. m."</f>
        <v>23/10/2020 12:00:00 a. m.</v>
      </c>
      <c r="D283" t="str">
        <f>"43"</f>
        <v>43</v>
      </c>
      <c r="E283" t="str">
        <f t="shared" si="311"/>
        <v>2020</v>
      </c>
      <c r="F283" t="str">
        <f>"1700100026"</f>
        <v>1700100026</v>
      </c>
      <c r="G283" t="str">
        <f t="shared" si="328"/>
        <v>01</v>
      </c>
      <c r="H283" t="str">
        <f>"1"</f>
        <v>1</v>
      </c>
      <c r="I283" t="str">
        <f>"1"</f>
        <v>1</v>
      </c>
      <c r="J283" t="str">
        <f>"M"</f>
        <v>M</v>
      </c>
      <c r="K283" t="str">
        <f t="shared" si="322"/>
        <v>170</v>
      </c>
      <c r="L283" t="str">
        <f>"18"</f>
        <v>18</v>
      </c>
      <c r="M283" t="str">
        <f>"610"</f>
        <v>610</v>
      </c>
      <c r="N283" t="str">
        <f>"1"</f>
        <v>1</v>
      </c>
      <c r="O283" t="str">
        <f>"9999"</f>
        <v>9999</v>
      </c>
      <c r="P283" t="str">
        <f>"S"</f>
        <v>S</v>
      </c>
      <c r="Q283" t="str">
        <f>"ESS062"</f>
        <v>ESS062</v>
      </c>
      <c r="R283" t="str">
        <f t="shared" ref="R283:R314" si="341">"6"</f>
        <v>6</v>
      </c>
      <c r="S283" t="str">
        <f>""</f>
        <v/>
      </c>
      <c r="T283" t="str">
        <f t="shared" si="333"/>
        <v xml:space="preserve">                                                                                                    </v>
      </c>
      <c r="U283" t="str">
        <f>"1         "</f>
        <v xml:space="preserve">1         </v>
      </c>
      <c r="V283" t="str">
        <f t="shared" si="335"/>
        <v>2</v>
      </c>
      <c r="W283" t="str">
        <f t="shared" si="299"/>
        <v>2</v>
      </c>
      <c r="X283" t="str">
        <f t="shared" si="336"/>
        <v>2</v>
      </c>
      <c r="Y283" t="str">
        <f t="shared" si="338"/>
        <v>2</v>
      </c>
      <c r="Z283" t="str">
        <f t="shared" si="338"/>
        <v>2</v>
      </c>
      <c r="AA283" t="str">
        <f t="shared" si="312"/>
        <v xml:space="preserve">          </v>
      </c>
      <c r="AB283" t="str">
        <f t="shared" si="306"/>
        <v>2</v>
      </c>
      <c r="AC283" t="str">
        <f t="shared" si="307"/>
        <v>2</v>
      </c>
      <c r="AD283" t="str">
        <f t="shared" si="339"/>
        <v>2</v>
      </c>
      <c r="AE283" t="str">
        <f t="shared" si="339"/>
        <v>2</v>
      </c>
      <c r="AF283" t="str">
        <f t="shared" si="339"/>
        <v>2</v>
      </c>
      <c r="AG283" t="str">
        <f t="shared" si="339"/>
        <v>2</v>
      </c>
      <c r="AH283" t="str">
        <f t="shared" si="337"/>
        <v>1</v>
      </c>
      <c r="AI283" t="str">
        <f t="shared" si="334"/>
        <v xml:space="preserve">1         </v>
      </c>
      <c r="AJ283" t="str">
        <f t="shared" si="324"/>
        <v>170</v>
      </c>
      <c r="AK283" t="str">
        <f>"18"</f>
        <v>18</v>
      </c>
      <c r="AL283" t="str">
        <f>"610"</f>
        <v>610</v>
      </c>
      <c r="AM283" t="str">
        <f>"17"</f>
        <v>17</v>
      </c>
      <c r="AN283" t="str">
        <f>"17001"</f>
        <v>17001</v>
      </c>
      <c r="AO283" t="str">
        <f>"21/10/2020 12:00:00 a. m."</f>
        <v>21/10/2020 12:00:00 a. m.</v>
      </c>
      <c r="AP283" t="str">
        <f>"17/09/2020 12:00:00 a. m."</f>
        <v>17/09/2020 12:00:00 a. m.</v>
      </c>
      <c r="AQ283" t="str">
        <f>"2"</f>
        <v>2</v>
      </c>
      <c r="AR283" t="str">
        <f t="shared" si="330"/>
        <v>1</v>
      </c>
      <c r="AS283" t="str">
        <f>"21/10/2020 12:00:00 a. m."</f>
        <v>21/10/2020 12:00:00 a. m.</v>
      </c>
      <c r="AT283" t="str">
        <f t="shared" si="313"/>
        <v>1</v>
      </c>
      <c r="AU283" t="str">
        <f>""</f>
        <v/>
      </c>
      <c r="AV283" t="str">
        <f>"3"</f>
        <v>3</v>
      </c>
      <c r="AW283" t="str">
        <f>"26/08/2019 12:00:00 a. m."</f>
        <v>26/08/2019 12:00:00 a. m.</v>
      </c>
      <c r="AX283" t="str">
        <f>""</f>
        <v/>
      </c>
      <c r="AY283" t="str">
        <f t="shared" si="314"/>
        <v>30/04/2021 12:00:00 a. m.</v>
      </c>
      <c r="AZ283" t="str">
        <f>"7/04/2021 12:00:00 a. m."</f>
        <v>7/04/2021 12:00:00 a. m.</v>
      </c>
      <c r="BA283" t="str">
        <f>""</f>
        <v/>
      </c>
      <c r="BB283" t="str">
        <f>""</f>
        <v/>
      </c>
      <c r="BC283" t="str">
        <f>""</f>
        <v/>
      </c>
      <c r="BD283" t="str">
        <f t="shared" si="340"/>
        <v>1</v>
      </c>
      <c r="BE283" t="str">
        <f t="shared" si="340"/>
        <v>1</v>
      </c>
      <c r="BF283" t="str">
        <f t="shared" si="315"/>
        <v xml:space="preserve">3         </v>
      </c>
      <c r="BG283" t="str">
        <f t="shared" si="316"/>
        <v>Confirmado por laboratorio</v>
      </c>
      <c r="BH283" t="str">
        <f>"CRUZ ROJA COLOMBIANA SECCIONAL CALDAS SEDE ADMINIS"</f>
        <v>CRUZ ROJA COLOMBIANA SECCIONAL CALDAS SEDE ADMINIS</v>
      </c>
      <c r="BI283" t="str">
        <f t="shared" si="326"/>
        <v>COLOMBIA</v>
      </c>
      <c r="BJ283" t="str">
        <f t="shared" si="317"/>
        <v>CANCER INFANTIL</v>
      </c>
      <c r="BK283" t="str">
        <f>"CAQUETA"</f>
        <v>CAQUETA</v>
      </c>
      <c r="BL283" t="str">
        <f>"SAN JOSE DEL FRAGUA"</f>
        <v>SAN JOSE DEL FRAGUA</v>
      </c>
      <c r="BM283" t="str">
        <f t="shared" si="327"/>
        <v>COLOMBIA</v>
      </c>
      <c r="BN283" t="str">
        <f>"CAQUETA"</f>
        <v>CAQUETA</v>
      </c>
      <c r="BO283" t="str">
        <f>"SAN JOSE DEL FRAGUA"</f>
        <v>SAN JOSE DEL FRAGUA</v>
      </c>
      <c r="BP283" t="str">
        <f>"CALDAS"</f>
        <v>CALDAS</v>
      </c>
      <c r="BQ283" t="str">
        <f>"MANIZALES"</f>
        <v>MANIZALES</v>
      </c>
    </row>
    <row r="284" spans="1:69" x14ac:dyDescent="0.25">
      <c r="A284" t="str">
        <f>"7278759"</f>
        <v>7278759</v>
      </c>
      <c r="B284" t="str">
        <f t="shared" si="310"/>
        <v>459</v>
      </c>
      <c r="C284" t="str">
        <f>"24/06/2020 12:00:00 a. m."</f>
        <v>24/06/2020 12:00:00 a. m.</v>
      </c>
      <c r="D284" t="str">
        <f>"26"</f>
        <v>26</v>
      </c>
      <c r="E284" t="str">
        <f t="shared" si="311"/>
        <v>2020</v>
      </c>
      <c r="F284" t="str">
        <f>"1100109111"</f>
        <v>1100109111</v>
      </c>
      <c r="G284" t="str">
        <f t="shared" si="328"/>
        <v>01</v>
      </c>
      <c r="H284" t="str">
        <f>"11"</f>
        <v>11</v>
      </c>
      <c r="I284" t="str">
        <f>"2"</f>
        <v>2</v>
      </c>
      <c r="J284" t="str">
        <f>"F"</f>
        <v>F</v>
      </c>
      <c r="K284" t="str">
        <f t="shared" si="322"/>
        <v>170</v>
      </c>
      <c r="L284" t="str">
        <f>"25"</f>
        <v>25</v>
      </c>
      <c r="M284" t="str">
        <f>"899"</f>
        <v>899</v>
      </c>
      <c r="N284" t="str">
        <f>"1"</f>
        <v>1</v>
      </c>
      <c r="O284" t="str">
        <f>"9999"</f>
        <v>9999</v>
      </c>
      <c r="P284" t="str">
        <f>"C"</f>
        <v>C</v>
      </c>
      <c r="Q284" t="str">
        <f>"EPS010"</f>
        <v>EPS010</v>
      </c>
      <c r="R284" t="str">
        <f t="shared" si="341"/>
        <v>6</v>
      </c>
      <c r="S284" t="str">
        <f>""</f>
        <v/>
      </c>
      <c r="T284" t="str">
        <f t="shared" si="333"/>
        <v xml:space="preserve">                                                                                                    </v>
      </c>
      <c r="U284" t="str">
        <f>"2         "</f>
        <v xml:space="preserve">2         </v>
      </c>
      <c r="V284" t="str">
        <f t="shared" si="335"/>
        <v>2</v>
      </c>
      <c r="W284" t="str">
        <f t="shared" si="299"/>
        <v>2</v>
      </c>
      <c r="X284" t="str">
        <f t="shared" si="336"/>
        <v>2</v>
      </c>
      <c r="Y284" t="str">
        <f t="shared" si="338"/>
        <v>2</v>
      </c>
      <c r="Z284" t="str">
        <f t="shared" si="338"/>
        <v>2</v>
      </c>
      <c r="AA284" t="str">
        <f t="shared" si="312"/>
        <v xml:space="preserve">          </v>
      </c>
      <c r="AB284" t="str">
        <f t="shared" si="306"/>
        <v>2</v>
      </c>
      <c r="AC284" t="str">
        <f t="shared" si="307"/>
        <v>2</v>
      </c>
      <c r="AD284" t="str">
        <f t="shared" si="339"/>
        <v>2</v>
      </c>
      <c r="AE284" t="str">
        <f t="shared" si="339"/>
        <v>2</v>
      </c>
      <c r="AF284" t="str">
        <f t="shared" si="339"/>
        <v>2</v>
      </c>
      <c r="AG284" t="str">
        <f t="shared" si="339"/>
        <v>2</v>
      </c>
      <c r="AH284" t="str">
        <f t="shared" si="337"/>
        <v>1</v>
      </c>
      <c r="AI284" t="str">
        <f>"2         "</f>
        <v xml:space="preserve">2         </v>
      </c>
      <c r="AJ284" t="str">
        <f t="shared" si="324"/>
        <v>170</v>
      </c>
      <c r="AK284" t="str">
        <f>"25"</f>
        <v>25</v>
      </c>
      <c r="AL284" t="str">
        <f>"899"</f>
        <v>899</v>
      </c>
      <c r="AM284" t="str">
        <f>"11"</f>
        <v>11</v>
      </c>
      <c r="AN284" t="str">
        <f>"11001"</f>
        <v>11001</v>
      </c>
      <c r="AO284" t="str">
        <f>"24/06/2020 12:00:00 a. m."</f>
        <v>24/06/2020 12:00:00 a. m.</v>
      </c>
      <c r="AP284" t="str">
        <f>"24/06/2020 12:00:00 a. m."</f>
        <v>24/06/2020 12:00:00 a. m.</v>
      </c>
      <c r="AQ284" t="str">
        <f>"2"</f>
        <v>2</v>
      </c>
      <c r="AR284" t="str">
        <f t="shared" si="330"/>
        <v>1</v>
      </c>
      <c r="AS284" t="str">
        <f>"24/06/2020 12:00:00 a. m."</f>
        <v>24/06/2020 12:00:00 a. m.</v>
      </c>
      <c r="AT284" t="str">
        <f>"2"</f>
        <v>2</v>
      </c>
      <c r="AU284" t="str">
        <f>"20/07/2020 12:00:00 a. m."</f>
        <v>20/07/2020 12:00:00 a. m.</v>
      </c>
      <c r="AV284" t="str">
        <f>"3"</f>
        <v>3</v>
      </c>
      <c r="AW284" t="str">
        <f>"19/07/2019 12:00:00 a. m."</f>
        <v>19/07/2019 12:00:00 a. m.</v>
      </c>
      <c r="AX284" t="str">
        <f>"C729"</f>
        <v>C729</v>
      </c>
      <c r="AY284" t="str">
        <f t="shared" si="314"/>
        <v>30/04/2021 12:00:00 a. m.</v>
      </c>
      <c r="AZ284" t="str">
        <f>"3/09/2020 12:00:00 a. m."</f>
        <v>3/09/2020 12:00:00 a. m.</v>
      </c>
      <c r="BA284" t="str">
        <f>""</f>
        <v/>
      </c>
      <c r="BB284" t="str">
        <f>""</f>
        <v/>
      </c>
      <c r="BC284" t="str">
        <f>""</f>
        <v/>
      </c>
      <c r="BD284" t="str">
        <f t="shared" si="340"/>
        <v>1</v>
      </c>
      <c r="BE284" t="str">
        <f t="shared" si="340"/>
        <v>1</v>
      </c>
      <c r="BF284" t="str">
        <f t="shared" si="315"/>
        <v xml:space="preserve">3         </v>
      </c>
      <c r="BG284" t="str">
        <f t="shared" si="316"/>
        <v>Confirmado por laboratorio</v>
      </c>
      <c r="BH284" t="str">
        <f>"FUNDACION CARDIOINFANTIL INSTITUTO DE CARDIOLOGIA"</f>
        <v>FUNDACION CARDIOINFANTIL INSTITUTO DE CARDIOLOGIA</v>
      </c>
      <c r="BI284" t="str">
        <f t="shared" si="326"/>
        <v>COLOMBIA</v>
      </c>
      <c r="BJ284" t="str">
        <f t="shared" si="317"/>
        <v>CANCER INFANTIL</v>
      </c>
      <c r="BK284" t="str">
        <f>"CUNDINAMARCA"</f>
        <v>CUNDINAMARCA</v>
      </c>
      <c r="BL284" t="str">
        <f>"ZIPAQUIRA"</f>
        <v>ZIPAQUIRA</v>
      </c>
      <c r="BM284" t="str">
        <f t="shared" si="327"/>
        <v>COLOMBIA</v>
      </c>
      <c r="BN284" t="str">
        <f>"CUNDINAMARCA"</f>
        <v>CUNDINAMARCA</v>
      </c>
      <c r="BO284" t="str">
        <f>"ZIPAQUIRA"</f>
        <v>ZIPAQUIRA</v>
      </c>
      <c r="BP284" t="str">
        <f>"BOGOTA"</f>
        <v>BOGOTA</v>
      </c>
      <c r="BQ284" t="str">
        <f>"BOGOTA"</f>
        <v>BOGOTA</v>
      </c>
    </row>
    <row r="285" spans="1:69" x14ac:dyDescent="0.25">
      <c r="A285" t="str">
        <f>"7278695"</f>
        <v>7278695</v>
      </c>
      <c r="B285" t="str">
        <f t="shared" si="310"/>
        <v>459</v>
      </c>
      <c r="C285" t="str">
        <f>"27/11/2020 12:00:00 a. m."</f>
        <v>27/11/2020 12:00:00 a. m.</v>
      </c>
      <c r="D285" t="str">
        <f>"48"</f>
        <v>48</v>
      </c>
      <c r="E285" t="str">
        <f t="shared" si="311"/>
        <v>2020</v>
      </c>
      <c r="F285" t="str">
        <f>"0500102092"</f>
        <v>0500102092</v>
      </c>
      <c r="G285" t="str">
        <f>"02"</f>
        <v>02</v>
      </c>
      <c r="H285" t="str">
        <f>"11"</f>
        <v>11</v>
      </c>
      <c r="I285" t="str">
        <f t="shared" ref="I285:I292" si="342">"1"</f>
        <v>1</v>
      </c>
      <c r="J285" t="str">
        <f>"F"</f>
        <v>F</v>
      </c>
      <c r="K285" t="str">
        <f t="shared" si="322"/>
        <v>170</v>
      </c>
      <c r="L285" t="str">
        <f>"05"</f>
        <v>05</v>
      </c>
      <c r="M285" t="str">
        <f>"129"</f>
        <v>129</v>
      </c>
      <c r="N285" t="str">
        <f>"1"</f>
        <v>1</v>
      </c>
      <c r="O285" t="str">
        <f>"9999"</f>
        <v>9999</v>
      </c>
      <c r="P285" t="str">
        <f>"C"</f>
        <v>C</v>
      </c>
      <c r="Q285" t="str">
        <f>"EMP021"</f>
        <v>EMP021</v>
      </c>
      <c r="R285" t="str">
        <f t="shared" si="341"/>
        <v>6</v>
      </c>
      <c r="S285" t="str">
        <f>""</f>
        <v/>
      </c>
      <c r="T285" t="str">
        <f t="shared" si="333"/>
        <v xml:space="preserve">                                                                                                    </v>
      </c>
      <c r="U285" t="str">
        <f>"4         "</f>
        <v xml:space="preserve">4         </v>
      </c>
      <c r="V285" t="str">
        <f t="shared" si="335"/>
        <v>2</v>
      </c>
      <c r="W285" t="str">
        <f t="shared" si="299"/>
        <v>2</v>
      </c>
      <c r="X285" t="str">
        <f t="shared" si="336"/>
        <v>2</v>
      </c>
      <c r="Y285" t="str">
        <f t="shared" si="338"/>
        <v>2</v>
      </c>
      <c r="Z285" t="str">
        <f t="shared" si="338"/>
        <v>2</v>
      </c>
      <c r="AA285" t="str">
        <f t="shared" si="312"/>
        <v xml:space="preserve">          </v>
      </c>
      <c r="AB285" t="str">
        <f t="shared" si="306"/>
        <v>2</v>
      </c>
      <c r="AC285" t="str">
        <f t="shared" si="307"/>
        <v>2</v>
      </c>
      <c r="AD285" t="str">
        <f t="shared" si="339"/>
        <v>2</v>
      </c>
      <c r="AE285" t="str">
        <f t="shared" si="339"/>
        <v>2</v>
      </c>
      <c r="AF285" t="str">
        <f t="shared" si="339"/>
        <v>2</v>
      </c>
      <c r="AG285" t="str">
        <f t="shared" si="339"/>
        <v>2</v>
      </c>
      <c r="AH285" t="str">
        <f t="shared" si="337"/>
        <v>1</v>
      </c>
      <c r="AI285" t="str">
        <f>"1         "</f>
        <v xml:space="preserve">1         </v>
      </c>
      <c r="AJ285" t="str">
        <f t="shared" si="324"/>
        <v>170</v>
      </c>
      <c r="AK285" t="str">
        <f>"05"</f>
        <v>05</v>
      </c>
      <c r="AL285" t="str">
        <f>"129"</f>
        <v>129</v>
      </c>
      <c r="AM285" t="str">
        <f>"05"</f>
        <v>05</v>
      </c>
      <c r="AN285" t="str">
        <f>"05001"</f>
        <v>05001</v>
      </c>
      <c r="AO285" t="str">
        <f>"27/11/2020 12:00:00 a. m."</f>
        <v>27/11/2020 12:00:00 a. m.</v>
      </c>
      <c r="AP285" t="str">
        <f>"27/08/2020 12:00:00 a. m."</f>
        <v>27/08/2020 12:00:00 a. m.</v>
      </c>
      <c r="AQ285" t="str">
        <f t="shared" ref="AQ285:AQ292" si="343">"3"</f>
        <v>3</v>
      </c>
      <c r="AR285" t="str">
        <f t="shared" si="330"/>
        <v>1</v>
      </c>
      <c r="AS285" t="str">
        <f>"27/11/2020 12:00:00 a. m."</f>
        <v>27/11/2020 12:00:00 a. m.</v>
      </c>
      <c r="AT285" t="str">
        <f>"1"</f>
        <v>1</v>
      </c>
      <c r="AU285" t="str">
        <f>""</f>
        <v/>
      </c>
      <c r="AV285" t="str">
        <f>"0"</f>
        <v>0</v>
      </c>
      <c r="AW285" t="str">
        <f>"19/08/2009 12:00:00 a. m."</f>
        <v>19/08/2009 12:00:00 a. m.</v>
      </c>
      <c r="AX285" t="str">
        <f>""</f>
        <v/>
      </c>
      <c r="AY285" t="str">
        <f t="shared" si="314"/>
        <v>30/04/2021 12:00:00 a. m.</v>
      </c>
      <c r="AZ285" t="str">
        <f>"5/02/2021 12:00:00 a. m."</f>
        <v>5/02/2021 12:00:00 a. m.</v>
      </c>
      <c r="BA285" t="str">
        <f>""</f>
        <v/>
      </c>
      <c r="BB285" t="str">
        <f>""</f>
        <v/>
      </c>
      <c r="BC285" t="str">
        <f>""</f>
        <v/>
      </c>
      <c r="BD285" t="str">
        <f t="shared" si="340"/>
        <v>1</v>
      </c>
      <c r="BE285" t="str">
        <f t="shared" si="340"/>
        <v>1</v>
      </c>
      <c r="BF285" t="str">
        <f t="shared" si="315"/>
        <v xml:space="preserve">3         </v>
      </c>
      <c r="BG285" t="str">
        <f t="shared" si="316"/>
        <v>Confirmado por laboratorio</v>
      </c>
      <c r="BH285" t="str">
        <f>"COMUNIDAD DE HERMANAS DOMINICAS DE LA PRESENTACION"</f>
        <v>COMUNIDAD DE HERMANAS DOMINICAS DE LA PRESENTACION</v>
      </c>
      <c r="BI285" t="str">
        <f t="shared" si="326"/>
        <v>COLOMBIA</v>
      </c>
      <c r="BJ285" t="str">
        <f t="shared" si="317"/>
        <v>CANCER INFANTIL</v>
      </c>
      <c r="BK285" t="str">
        <f>"ANTIOQUIA"</f>
        <v>ANTIOQUIA</v>
      </c>
      <c r="BL285" t="str">
        <f>"CALDAS"</f>
        <v>CALDAS</v>
      </c>
      <c r="BM285" t="str">
        <f t="shared" si="327"/>
        <v>COLOMBIA</v>
      </c>
      <c r="BN285" t="str">
        <f>"ANTIOQUIA"</f>
        <v>ANTIOQUIA</v>
      </c>
      <c r="BO285" t="str">
        <f>"CALDAS"</f>
        <v>CALDAS</v>
      </c>
      <c r="BP285" t="str">
        <f>"ANTIOQUIA"</f>
        <v>ANTIOQUIA</v>
      </c>
      <c r="BQ285" t="str">
        <f>"MEDELLIN"</f>
        <v>MEDELLIN</v>
      </c>
    </row>
    <row r="286" spans="1:69" x14ac:dyDescent="0.25">
      <c r="A286" t="str">
        <f>"7278744"</f>
        <v>7278744</v>
      </c>
      <c r="B286" t="str">
        <f t="shared" si="310"/>
        <v>459</v>
      </c>
      <c r="C286" t="str">
        <f>"5/01/2021 12:00:00 a. m."</f>
        <v>5/01/2021 12:00:00 a. m.</v>
      </c>
      <c r="D286" t="str">
        <f>"48"</f>
        <v>48</v>
      </c>
      <c r="E286" t="str">
        <f t="shared" si="311"/>
        <v>2020</v>
      </c>
      <c r="F286" t="str">
        <f>"7600103066"</f>
        <v>7600103066</v>
      </c>
      <c r="G286" t="str">
        <f t="shared" ref="G286:G292" si="344">"01"</f>
        <v>01</v>
      </c>
      <c r="H286" t="str">
        <f>"5"</f>
        <v>5</v>
      </c>
      <c r="I286" t="str">
        <f t="shared" si="342"/>
        <v>1</v>
      </c>
      <c r="J286" t="str">
        <f>"M"</f>
        <v>M</v>
      </c>
      <c r="K286" t="str">
        <f t="shared" si="322"/>
        <v>170</v>
      </c>
      <c r="L286" t="str">
        <f>"19"</f>
        <v>19</v>
      </c>
      <c r="M286" t="str">
        <f>"548"</f>
        <v>548</v>
      </c>
      <c r="N286" t="str">
        <f>"3"</f>
        <v>3</v>
      </c>
      <c r="O286" t="str">
        <f>"9997"</f>
        <v>9997</v>
      </c>
      <c r="P286" t="str">
        <f>"S"</f>
        <v>S</v>
      </c>
      <c r="Q286" t="str">
        <f>"ESS062"</f>
        <v>ESS062</v>
      </c>
      <c r="R286" t="str">
        <f t="shared" si="341"/>
        <v>6</v>
      </c>
      <c r="S286" t="str">
        <f>""</f>
        <v/>
      </c>
      <c r="T286" t="str">
        <f t="shared" si="333"/>
        <v xml:space="preserve">                                                                                                    </v>
      </c>
      <c r="U286" t="str">
        <f>"1         "</f>
        <v xml:space="preserve">1         </v>
      </c>
      <c r="V286" t="str">
        <f t="shared" si="335"/>
        <v>2</v>
      </c>
      <c r="W286" t="str">
        <f t="shared" si="299"/>
        <v>2</v>
      </c>
      <c r="X286" t="str">
        <f t="shared" si="336"/>
        <v>2</v>
      </c>
      <c r="Y286" t="str">
        <f t="shared" si="338"/>
        <v>2</v>
      </c>
      <c r="Z286" t="str">
        <f t="shared" si="338"/>
        <v>2</v>
      </c>
      <c r="AA286" t="str">
        <f t="shared" si="312"/>
        <v xml:space="preserve">          </v>
      </c>
      <c r="AB286" t="str">
        <f t="shared" si="306"/>
        <v>2</v>
      </c>
      <c r="AC286" t="str">
        <f t="shared" si="307"/>
        <v>2</v>
      </c>
      <c r="AD286" t="str">
        <f t="shared" si="339"/>
        <v>2</v>
      </c>
      <c r="AE286" t="str">
        <f t="shared" si="339"/>
        <v>2</v>
      </c>
      <c r="AF286" t="str">
        <f t="shared" si="339"/>
        <v>2</v>
      </c>
      <c r="AG286" t="str">
        <f t="shared" si="339"/>
        <v>2</v>
      </c>
      <c r="AH286" t="str">
        <f t="shared" si="337"/>
        <v>1</v>
      </c>
      <c r="AI286" t="str">
        <f>"1         "</f>
        <v xml:space="preserve">1         </v>
      </c>
      <c r="AJ286" t="str">
        <f t="shared" si="324"/>
        <v>170</v>
      </c>
      <c r="AK286" t="str">
        <f>"19"</f>
        <v>19</v>
      </c>
      <c r="AL286" t="str">
        <f>"548"</f>
        <v>548</v>
      </c>
      <c r="AM286" t="str">
        <f>"76"</f>
        <v>76</v>
      </c>
      <c r="AN286" t="str">
        <f>"76001"</f>
        <v>76001</v>
      </c>
      <c r="AO286" t="str">
        <f>"25/11/2020 12:00:00 a. m."</f>
        <v>25/11/2020 12:00:00 a. m.</v>
      </c>
      <c r="AP286" t="str">
        <f>"1/05/2020 12:00:00 a. m."</f>
        <v>1/05/2020 12:00:00 a. m.</v>
      </c>
      <c r="AQ286" t="str">
        <f t="shared" si="343"/>
        <v>3</v>
      </c>
      <c r="AR286" t="str">
        <f t="shared" si="330"/>
        <v>1</v>
      </c>
      <c r="AS286" t="str">
        <f>"25/11/2020 12:00:00 a. m."</f>
        <v>25/11/2020 12:00:00 a. m.</v>
      </c>
      <c r="AT286" t="str">
        <f>"1"</f>
        <v>1</v>
      </c>
      <c r="AU286" t="str">
        <f>""</f>
        <v/>
      </c>
      <c r="AV286" t="str">
        <f>"0"</f>
        <v>0</v>
      </c>
      <c r="AW286" t="str">
        <f>"24/01/2015 12:00:00 a. m."</f>
        <v>24/01/2015 12:00:00 a. m.</v>
      </c>
      <c r="AX286" t="str">
        <f>""</f>
        <v/>
      </c>
      <c r="AY286" t="str">
        <f t="shared" si="314"/>
        <v>30/04/2021 12:00:00 a. m.</v>
      </c>
      <c r="AZ286" t="str">
        <f>"5/01/2021 12:00:00 a. m."</f>
        <v>5/01/2021 12:00:00 a. m.</v>
      </c>
      <c r="BA286" t="str">
        <f>""</f>
        <v/>
      </c>
      <c r="BB286" t="str">
        <f>""</f>
        <v/>
      </c>
      <c r="BC286" t="str">
        <f>""</f>
        <v/>
      </c>
      <c r="BD286" t="str">
        <f t="shared" si="340"/>
        <v>1</v>
      </c>
      <c r="BE286" t="str">
        <f t="shared" si="340"/>
        <v>1</v>
      </c>
      <c r="BF286" t="str">
        <f t="shared" si="315"/>
        <v xml:space="preserve">3         </v>
      </c>
      <c r="BG286" t="str">
        <f t="shared" si="316"/>
        <v>Confirmado por laboratorio</v>
      </c>
      <c r="BH286" t="str">
        <f>"CLINICA DE OCCIDENTE SA"</f>
        <v>CLINICA DE OCCIDENTE SA</v>
      </c>
      <c r="BI286" t="str">
        <f t="shared" si="326"/>
        <v>COLOMBIA</v>
      </c>
      <c r="BJ286" t="str">
        <f t="shared" si="317"/>
        <v>CANCER INFANTIL</v>
      </c>
      <c r="BK286" t="str">
        <f>"CAUCA"</f>
        <v>CAUCA</v>
      </c>
      <c r="BL286" t="str">
        <f>"PIENDAMO"</f>
        <v>PIENDAMO</v>
      </c>
      <c r="BM286" t="str">
        <f t="shared" si="327"/>
        <v>COLOMBIA</v>
      </c>
      <c r="BN286" t="str">
        <f>"CAUCA"</f>
        <v>CAUCA</v>
      </c>
      <c r="BO286" t="str">
        <f>"PIENDAMO"</f>
        <v>PIENDAMO</v>
      </c>
      <c r="BP286" t="str">
        <f>"VALLE"</f>
        <v>VALLE</v>
      </c>
      <c r="BQ286" t="str">
        <f>"CALI"</f>
        <v>CALI</v>
      </c>
    </row>
    <row r="287" spans="1:69" x14ac:dyDescent="0.25">
      <c r="A287" t="str">
        <f>"7279021"</f>
        <v>7279021</v>
      </c>
      <c r="B287" t="str">
        <f t="shared" si="310"/>
        <v>459</v>
      </c>
      <c r="C287" t="str">
        <f>"28/07/2020 12:00:00 a. m."</f>
        <v>28/07/2020 12:00:00 a. m.</v>
      </c>
      <c r="D287" t="str">
        <f>"16"</f>
        <v>16</v>
      </c>
      <c r="E287" t="str">
        <f t="shared" si="311"/>
        <v>2020</v>
      </c>
      <c r="F287" t="str">
        <f>"6600100762"</f>
        <v>6600100762</v>
      </c>
      <c r="G287" t="str">
        <f t="shared" si="344"/>
        <v>01</v>
      </c>
      <c r="H287" t="str">
        <f>"1"</f>
        <v>1</v>
      </c>
      <c r="I287" t="str">
        <f t="shared" si="342"/>
        <v>1</v>
      </c>
      <c r="J287" t="str">
        <f t="shared" ref="J287:J295" si="345">"F"</f>
        <v>F</v>
      </c>
      <c r="K287" t="str">
        <f t="shared" si="322"/>
        <v>170</v>
      </c>
      <c r="L287" t="str">
        <f>"66"</f>
        <v>66</v>
      </c>
      <c r="M287" t="str">
        <f>"001"</f>
        <v>001</v>
      </c>
      <c r="N287" t="str">
        <f>"1"</f>
        <v>1</v>
      </c>
      <c r="O287" t="str">
        <f>"9999"</f>
        <v>9999</v>
      </c>
      <c r="P287" t="str">
        <f>"S"</f>
        <v>S</v>
      </c>
      <c r="Q287" t="str">
        <f>"EPSS45"</f>
        <v>EPSS45</v>
      </c>
      <c r="R287" t="str">
        <f t="shared" si="341"/>
        <v>6</v>
      </c>
      <c r="S287" t="str">
        <f>""</f>
        <v/>
      </c>
      <c r="T287" t="str">
        <f t="shared" si="333"/>
        <v xml:space="preserve">                                                                                                    </v>
      </c>
      <c r="U287" t="str">
        <f>"2         "</f>
        <v xml:space="preserve">2         </v>
      </c>
      <c r="V287" t="str">
        <f t="shared" si="335"/>
        <v>2</v>
      </c>
      <c r="W287" t="str">
        <f t="shared" si="299"/>
        <v>2</v>
      </c>
      <c r="X287" t="str">
        <f t="shared" si="336"/>
        <v>2</v>
      </c>
      <c r="Y287" t="str">
        <f t="shared" si="338"/>
        <v>2</v>
      </c>
      <c r="Z287" t="str">
        <f t="shared" si="338"/>
        <v>2</v>
      </c>
      <c r="AA287" t="str">
        <f t="shared" si="312"/>
        <v xml:space="preserve">          </v>
      </c>
      <c r="AB287" t="str">
        <f t="shared" si="306"/>
        <v>2</v>
      </c>
      <c r="AC287" t="str">
        <f t="shared" si="307"/>
        <v>2</v>
      </c>
      <c r="AD287" t="str">
        <f t="shared" si="339"/>
        <v>2</v>
      </c>
      <c r="AE287" t="str">
        <f t="shared" si="339"/>
        <v>2</v>
      </c>
      <c r="AF287" t="str">
        <f t="shared" si="339"/>
        <v>2</v>
      </c>
      <c r="AG287" t="str">
        <f t="shared" si="339"/>
        <v>2</v>
      </c>
      <c r="AH287" t="str">
        <f t="shared" si="337"/>
        <v>1</v>
      </c>
      <c r="AI287" t="str">
        <f>"2         "</f>
        <v xml:space="preserve">2         </v>
      </c>
      <c r="AJ287" t="str">
        <f t="shared" si="324"/>
        <v>170</v>
      </c>
      <c r="AK287" t="str">
        <f>"66"</f>
        <v>66</v>
      </c>
      <c r="AL287" t="str">
        <f>"001"</f>
        <v>001</v>
      </c>
      <c r="AM287" t="str">
        <f>"66"</f>
        <v>66</v>
      </c>
      <c r="AN287" t="str">
        <f>"66001"</f>
        <v>66001</v>
      </c>
      <c r="AO287" t="str">
        <f>"13/04/2020 12:00:00 a. m."</f>
        <v>13/04/2020 12:00:00 a. m.</v>
      </c>
      <c r="AP287" t="str">
        <f>"13/04/2020 12:00:00 a. m."</f>
        <v>13/04/2020 12:00:00 a. m.</v>
      </c>
      <c r="AQ287" t="str">
        <f t="shared" si="343"/>
        <v>3</v>
      </c>
      <c r="AR287" t="str">
        <f t="shared" si="330"/>
        <v>1</v>
      </c>
      <c r="AS287" t="str">
        <f>"13/04/2020 12:00:00 a. m."</f>
        <v>13/04/2020 12:00:00 a. m.</v>
      </c>
      <c r="AT287" t="str">
        <f>"2"</f>
        <v>2</v>
      </c>
      <c r="AU287" t="str">
        <f>"19/06/2020 12:00:00 a. m."</f>
        <v>19/06/2020 12:00:00 a. m.</v>
      </c>
      <c r="AV287" t="str">
        <f>"0"</f>
        <v>0</v>
      </c>
      <c r="AW287" t="str">
        <f>"10/08/2018 12:00:00 a. m."</f>
        <v>10/08/2018 12:00:00 a. m.</v>
      </c>
      <c r="AX287" t="str">
        <f>"C710"</f>
        <v>C710</v>
      </c>
      <c r="AY287" t="str">
        <f t="shared" si="314"/>
        <v>30/04/2021 12:00:00 a. m.</v>
      </c>
      <c r="AZ287" t="str">
        <f>"28/07/2020 12:00:00 a. m."</f>
        <v>28/07/2020 12:00:00 a. m.</v>
      </c>
      <c r="BA287" t="str">
        <f>""</f>
        <v/>
      </c>
      <c r="BB287" t="str">
        <f>""</f>
        <v/>
      </c>
      <c r="BC287" t="str">
        <f>""</f>
        <v/>
      </c>
      <c r="BD287" t="str">
        <f t="shared" si="340"/>
        <v>1</v>
      </c>
      <c r="BE287" t="str">
        <f t="shared" si="340"/>
        <v>1</v>
      </c>
      <c r="BF287" t="str">
        <f t="shared" si="315"/>
        <v xml:space="preserve">3         </v>
      </c>
      <c r="BG287" t="str">
        <f t="shared" si="316"/>
        <v>Confirmado por laboratorio</v>
      </c>
      <c r="BH287" t="str">
        <f>"HOSPITAL UNIVERSITARIO SAN JORGE DE PEREIRA"</f>
        <v>HOSPITAL UNIVERSITARIO SAN JORGE DE PEREIRA</v>
      </c>
      <c r="BI287" t="str">
        <f t="shared" si="326"/>
        <v>COLOMBIA</v>
      </c>
      <c r="BJ287" t="str">
        <f t="shared" si="317"/>
        <v>CANCER INFANTIL</v>
      </c>
      <c r="BK287" t="str">
        <f>"RISARALDA"</f>
        <v>RISARALDA</v>
      </c>
      <c r="BL287" t="str">
        <f>"PEREIRA"</f>
        <v>PEREIRA</v>
      </c>
      <c r="BM287" t="str">
        <f t="shared" si="327"/>
        <v>COLOMBIA</v>
      </c>
      <c r="BN287" t="str">
        <f>"RISARALDA"</f>
        <v>RISARALDA</v>
      </c>
      <c r="BO287" t="str">
        <f>"PEREIRA"</f>
        <v>PEREIRA</v>
      </c>
      <c r="BP287" t="str">
        <f>"RISARALDA"</f>
        <v>RISARALDA</v>
      </c>
      <c r="BQ287" t="str">
        <f>"PEREIRA"</f>
        <v>PEREIRA</v>
      </c>
    </row>
    <row r="288" spans="1:69" x14ac:dyDescent="0.25">
      <c r="A288" t="str">
        <f>"7279043"</f>
        <v>7279043</v>
      </c>
      <c r="B288" t="str">
        <f t="shared" si="310"/>
        <v>459</v>
      </c>
      <c r="C288" t="str">
        <f>"14/08/2020 12:00:00 a. m."</f>
        <v>14/08/2020 12:00:00 a. m.</v>
      </c>
      <c r="D288" t="str">
        <f>"29"</f>
        <v>29</v>
      </c>
      <c r="E288" t="str">
        <f t="shared" si="311"/>
        <v>2020</v>
      </c>
      <c r="F288" t="str">
        <f>"6600100762"</f>
        <v>6600100762</v>
      </c>
      <c r="G288" t="str">
        <f t="shared" si="344"/>
        <v>01</v>
      </c>
      <c r="H288" t="str">
        <f>"15"</f>
        <v>15</v>
      </c>
      <c r="I288" t="str">
        <f t="shared" si="342"/>
        <v>1</v>
      </c>
      <c r="J288" t="str">
        <f t="shared" si="345"/>
        <v>F</v>
      </c>
      <c r="K288" t="str">
        <f t="shared" si="322"/>
        <v>170</v>
      </c>
      <c r="L288" t="str">
        <f>"66"</f>
        <v>66</v>
      </c>
      <c r="M288" t="str">
        <f>"001"</f>
        <v>001</v>
      </c>
      <c r="N288" t="str">
        <f>"2"</f>
        <v>2</v>
      </c>
      <c r="O288" t="str">
        <f>"9999"</f>
        <v>9999</v>
      </c>
      <c r="P288" t="str">
        <f>"C"</f>
        <v>C</v>
      </c>
      <c r="Q288" t="str">
        <f>"EPS044"</f>
        <v>EPS044</v>
      </c>
      <c r="R288" t="str">
        <f t="shared" si="341"/>
        <v>6</v>
      </c>
      <c r="S288" t="str">
        <f>""</f>
        <v/>
      </c>
      <c r="T288" t="str">
        <f t="shared" si="333"/>
        <v xml:space="preserve">                                                                                                    </v>
      </c>
      <c r="U288" t="str">
        <f>"1         "</f>
        <v xml:space="preserve">1         </v>
      </c>
      <c r="V288" t="str">
        <f t="shared" si="335"/>
        <v>2</v>
      </c>
      <c r="W288" t="str">
        <f t="shared" si="299"/>
        <v>2</v>
      </c>
      <c r="X288" t="str">
        <f t="shared" si="336"/>
        <v>2</v>
      </c>
      <c r="Y288" t="str">
        <f t="shared" si="338"/>
        <v>2</v>
      </c>
      <c r="Z288" t="str">
        <f t="shared" si="338"/>
        <v>2</v>
      </c>
      <c r="AA288" t="str">
        <f t="shared" si="312"/>
        <v xml:space="preserve">          </v>
      </c>
      <c r="AB288" t="str">
        <f t="shared" si="306"/>
        <v>2</v>
      </c>
      <c r="AC288" t="str">
        <f t="shared" si="307"/>
        <v>2</v>
      </c>
      <c r="AD288" t="str">
        <f t="shared" si="339"/>
        <v>2</v>
      </c>
      <c r="AE288" t="str">
        <f t="shared" si="339"/>
        <v>2</v>
      </c>
      <c r="AF288" t="str">
        <f t="shared" si="339"/>
        <v>2</v>
      </c>
      <c r="AG288" t="str">
        <f t="shared" si="339"/>
        <v>2</v>
      </c>
      <c r="AH288" t="str">
        <f t="shared" si="337"/>
        <v>1</v>
      </c>
      <c r="AI288" t="str">
        <f>"1         "</f>
        <v xml:space="preserve">1         </v>
      </c>
      <c r="AJ288" t="str">
        <f t="shared" si="324"/>
        <v>170</v>
      </c>
      <c r="AK288" t="str">
        <f>"66"</f>
        <v>66</v>
      </c>
      <c r="AL288" t="str">
        <f>"001"</f>
        <v>001</v>
      </c>
      <c r="AM288" t="str">
        <f>"66"</f>
        <v>66</v>
      </c>
      <c r="AN288" t="str">
        <f>"66001"</f>
        <v>66001</v>
      </c>
      <c r="AO288" t="str">
        <f>"18/07/2020 12:00:00 a. m."</f>
        <v>18/07/2020 12:00:00 a. m.</v>
      </c>
      <c r="AP288" t="str">
        <f>"10/03/2020 12:00:00 a. m."</f>
        <v>10/03/2020 12:00:00 a. m.</v>
      </c>
      <c r="AQ288" t="str">
        <f t="shared" si="343"/>
        <v>3</v>
      </c>
      <c r="AR288" t="str">
        <f t="shared" si="330"/>
        <v>1</v>
      </c>
      <c r="AS288" t="str">
        <f>"18/07/2020 12:00:00 a. m."</f>
        <v>18/07/2020 12:00:00 a. m.</v>
      </c>
      <c r="AT288" t="str">
        <f>"2"</f>
        <v>2</v>
      </c>
      <c r="AU288" t="str">
        <f>"8/10/2020 12:00:00 a. m."</f>
        <v>8/10/2020 12:00:00 a. m.</v>
      </c>
      <c r="AV288" t="str">
        <f>"7"</f>
        <v>7</v>
      </c>
      <c r="AW288" t="str">
        <f>"16/11/2004 12:00:00 a. m."</f>
        <v>16/11/2004 12:00:00 a. m.</v>
      </c>
      <c r="AX288" t="str">
        <f>"J969"</f>
        <v>J969</v>
      </c>
      <c r="AY288" t="str">
        <f t="shared" si="314"/>
        <v>30/04/2021 12:00:00 a. m.</v>
      </c>
      <c r="AZ288" t="str">
        <f>"6/04/2021 12:00:00 a. m."</f>
        <v>6/04/2021 12:00:00 a. m.</v>
      </c>
      <c r="BA288" t="str">
        <f>""</f>
        <v/>
      </c>
      <c r="BB288" t="str">
        <f>""</f>
        <v/>
      </c>
      <c r="BC288" t="str">
        <f>""</f>
        <v/>
      </c>
      <c r="BD288" t="str">
        <f t="shared" si="340"/>
        <v>1</v>
      </c>
      <c r="BE288" t="str">
        <f t="shared" si="340"/>
        <v>1</v>
      </c>
      <c r="BF288" t="str">
        <f t="shared" si="315"/>
        <v xml:space="preserve">3         </v>
      </c>
      <c r="BG288" t="str">
        <f t="shared" si="316"/>
        <v>Confirmado por laboratorio</v>
      </c>
      <c r="BH288" t="str">
        <f>"HOSPITAL UNIVERSITARIO SAN JORGE DE PEREIRA"</f>
        <v>HOSPITAL UNIVERSITARIO SAN JORGE DE PEREIRA</v>
      </c>
      <c r="BI288" t="str">
        <f t="shared" si="326"/>
        <v>COLOMBIA</v>
      </c>
      <c r="BJ288" t="str">
        <f t="shared" si="317"/>
        <v>CANCER INFANTIL</v>
      </c>
      <c r="BK288" t="str">
        <f>"RISARALDA"</f>
        <v>RISARALDA</v>
      </c>
      <c r="BL288" t="str">
        <f>"PEREIRA"</f>
        <v>PEREIRA</v>
      </c>
      <c r="BM288" t="str">
        <f t="shared" si="327"/>
        <v>COLOMBIA</v>
      </c>
      <c r="BN288" t="str">
        <f>"RISARALDA"</f>
        <v>RISARALDA</v>
      </c>
      <c r="BO288" t="str">
        <f>"PEREIRA"</f>
        <v>PEREIRA</v>
      </c>
      <c r="BP288" t="str">
        <f>"RISARALDA"</f>
        <v>RISARALDA</v>
      </c>
      <c r="BQ288" t="str">
        <f>"PEREIRA"</f>
        <v>PEREIRA</v>
      </c>
    </row>
    <row r="289" spans="1:69" x14ac:dyDescent="0.25">
      <c r="A289" t="str">
        <f>"7278889"</f>
        <v>7278889</v>
      </c>
      <c r="B289" t="str">
        <f t="shared" si="310"/>
        <v>459</v>
      </c>
      <c r="C289" t="str">
        <f>"26/10/2020 12:00:00 a. m."</f>
        <v>26/10/2020 12:00:00 a. m.</v>
      </c>
      <c r="D289" t="str">
        <f>"42"</f>
        <v>42</v>
      </c>
      <c r="E289" t="str">
        <f t="shared" si="311"/>
        <v>2020</v>
      </c>
      <c r="F289" t="str">
        <f>"6854704947"</f>
        <v>6854704947</v>
      </c>
      <c r="G289" t="str">
        <f t="shared" si="344"/>
        <v>01</v>
      </c>
      <c r="H289" t="str">
        <f>"10"</f>
        <v>10</v>
      </c>
      <c r="I289" t="str">
        <f t="shared" si="342"/>
        <v>1</v>
      </c>
      <c r="J289" t="str">
        <f t="shared" si="345"/>
        <v>F</v>
      </c>
      <c r="K289" t="str">
        <f t="shared" si="322"/>
        <v>170</v>
      </c>
      <c r="L289" t="str">
        <f>"68"</f>
        <v>68</v>
      </c>
      <c r="M289" t="str">
        <f>"001"</f>
        <v>001</v>
      </c>
      <c r="N289" t="str">
        <f>"1"</f>
        <v>1</v>
      </c>
      <c r="O289" t="str">
        <f>"9997"</f>
        <v>9997</v>
      </c>
      <c r="P289" t="str">
        <f>"C"</f>
        <v>C</v>
      </c>
      <c r="Q289" t="str">
        <f>"ESSC24"</f>
        <v>ESSC24</v>
      </c>
      <c r="R289" t="str">
        <f t="shared" si="341"/>
        <v>6</v>
      </c>
      <c r="S289" t="str">
        <f>""</f>
        <v/>
      </c>
      <c r="T289" t="str">
        <f t="shared" si="333"/>
        <v xml:space="preserve">                                                                                                    </v>
      </c>
      <c r="U289" t="str">
        <f>"2         "</f>
        <v xml:space="preserve">2         </v>
      </c>
      <c r="V289" t="str">
        <f t="shared" si="335"/>
        <v>2</v>
      </c>
      <c r="W289" t="str">
        <f t="shared" si="299"/>
        <v>2</v>
      </c>
      <c r="X289" t="str">
        <f t="shared" si="336"/>
        <v>2</v>
      </c>
      <c r="Y289" t="str">
        <f t="shared" si="338"/>
        <v>2</v>
      </c>
      <c r="Z289" t="str">
        <f t="shared" si="338"/>
        <v>2</v>
      </c>
      <c r="AA289" t="str">
        <f t="shared" si="312"/>
        <v xml:space="preserve">          </v>
      </c>
      <c r="AB289" t="str">
        <f t="shared" si="306"/>
        <v>2</v>
      </c>
      <c r="AC289" t="str">
        <f t="shared" si="307"/>
        <v>2</v>
      </c>
      <c r="AD289" t="str">
        <f t="shared" si="339"/>
        <v>2</v>
      </c>
      <c r="AE289" t="str">
        <f t="shared" si="339"/>
        <v>2</v>
      </c>
      <c r="AF289" t="str">
        <f t="shared" si="339"/>
        <v>2</v>
      </c>
      <c r="AG289" t="str">
        <f t="shared" si="339"/>
        <v>2</v>
      </c>
      <c r="AH289" t="str">
        <f t="shared" si="337"/>
        <v>1</v>
      </c>
      <c r="AI289" t="str">
        <f>"1         "</f>
        <v xml:space="preserve">1         </v>
      </c>
      <c r="AJ289" t="str">
        <f t="shared" si="324"/>
        <v>170</v>
      </c>
      <c r="AK289" t="str">
        <f>"68"</f>
        <v>68</v>
      </c>
      <c r="AL289" t="str">
        <f>"001"</f>
        <v>001</v>
      </c>
      <c r="AM289" t="str">
        <f>"68"</f>
        <v>68</v>
      </c>
      <c r="AN289" t="str">
        <f>"68547"</f>
        <v>68547</v>
      </c>
      <c r="AO289" t="str">
        <f>"15/10/2020 12:00:00 a. m."</f>
        <v>15/10/2020 12:00:00 a. m.</v>
      </c>
      <c r="AP289" t="str">
        <f>"10/10/2020 12:00:00 a. m."</f>
        <v>10/10/2020 12:00:00 a. m.</v>
      </c>
      <c r="AQ289" t="str">
        <f t="shared" si="343"/>
        <v>3</v>
      </c>
      <c r="AR289" t="str">
        <f t="shared" si="330"/>
        <v>1</v>
      </c>
      <c r="AS289" t="str">
        <f>"15/10/2020 12:00:00 a. m."</f>
        <v>15/10/2020 12:00:00 a. m.</v>
      </c>
      <c r="AT289" t="str">
        <f t="shared" ref="AT289:AT312" si="346">"1"</f>
        <v>1</v>
      </c>
      <c r="AU289" t="str">
        <f>""</f>
        <v/>
      </c>
      <c r="AV289" t="str">
        <f>"0"</f>
        <v>0</v>
      </c>
      <c r="AW289" t="str">
        <f>"3/04/2010 12:00:00 a. m."</f>
        <v>3/04/2010 12:00:00 a. m.</v>
      </c>
      <c r="AX289" t="str">
        <f>""</f>
        <v/>
      </c>
      <c r="AY289" t="str">
        <f t="shared" si="314"/>
        <v>30/04/2021 12:00:00 a. m.</v>
      </c>
      <c r="AZ289" t="str">
        <f>"26/10/2020 12:00:00 a. m."</f>
        <v>26/10/2020 12:00:00 a. m.</v>
      </c>
      <c r="BA289" t="str">
        <f>""</f>
        <v/>
      </c>
      <c r="BB289" t="str">
        <f>""</f>
        <v/>
      </c>
      <c r="BC289" t="str">
        <f>""</f>
        <v/>
      </c>
      <c r="BD289" t="str">
        <f t="shared" si="340"/>
        <v>1</v>
      </c>
      <c r="BE289" t="str">
        <f t="shared" si="340"/>
        <v>1</v>
      </c>
      <c r="BF289" t="str">
        <f t="shared" si="315"/>
        <v xml:space="preserve">3         </v>
      </c>
      <c r="BG289" t="str">
        <f t="shared" si="316"/>
        <v>Confirmado por laboratorio</v>
      </c>
      <c r="BH289" t="str">
        <f>"HOSPITAL INTERNACIONAL DE COLOMBIA"</f>
        <v>HOSPITAL INTERNACIONAL DE COLOMBIA</v>
      </c>
      <c r="BI289" t="str">
        <f t="shared" si="326"/>
        <v>COLOMBIA</v>
      </c>
      <c r="BJ289" t="str">
        <f t="shared" si="317"/>
        <v>CANCER INFANTIL</v>
      </c>
      <c r="BK289" t="str">
        <f>"SANTANDER"</f>
        <v>SANTANDER</v>
      </c>
      <c r="BL289" t="str">
        <f>"BUCARAMANGA"</f>
        <v>BUCARAMANGA</v>
      </c>
      <c r="BM289" t="str">
        <f t="shared" si="327"/>
        <v>COLOMBIA</v>
      </c>
      <c r="BN289" t="str">
        <f>"SANTANDER"</f>
        <v>SANTANDER</v>
      </c>
      <c r="BO289" t="str">
        <f>"BUCARAMANGA"</f>
        <v>BUCARAMANGA</v>
      </c>
      <c r="BP289" t="str">
        <f>"SANTANDER"</f>
        <v>SANTANDER</v>
      </c>
      <c r="BQ289" t="str">
        <f>"PIEDECUESTA"</f>
        <v>PIEDECUESTA</v>
      </c>
    </row>
    <row r="290" spans="1:69" x14ac:dyDescent="0.25">
      <c r="A290" t="str">
        <f>"7285387"</f>
        <v>7285387</v>
      </c>
      <c r="B290" t="str">
        <f t="shared" si="310"/>
        <v>459</v>
      </c>
      <c r="C290" t="str">
        <f>"13/05/2020 12:00:00 a. m."</f>
        <v>13/05/2020 12:00:00 a. m.</v>
      </c>
      <c r="D290" t="str">
        <f>"15"</f>
        <v>15</v>
      </c>
      <c r="E290" t="str">
        <f t="shared" si="311"/>
        <v>2020</v>
      </c>
      <c r="F290" t="str">
        <f>"0500102175"</f>
        <v>0500102175</v>
      </c>
      <c r="G290" t="str">
        <f t="shared" si="344"/>
        <v>01</v>
      </c>
      <c r="H290" t="str">
        <f>"4"</f>
        <v>4</v>
      </c>
      <c r="I290" t="str">
        <f t="shared" si="342"/>
        <v>1</v>
      </c>
      <c r="J290" t="str">
        <f t="shared" si="345"/>
        <v>F</v>
      </c>
      <c r="K290" t="str">
        <f t="shared" si="322"/>
        <v>170</v>
      </c>
      <c r="L290" t="str">
        <f>"05"</f>
        <v>05</v>
      </c>
      <c r="M290" t="str">
        <f>"315"</f>
        <v>315</v>
      </c>
      <c r="N290" t="str">
        <f>"2"</f>
        <v>2</v>
      </c>
      <c r="O290" t="str">
        <f>"9999"</f>
        <v>9999</v>
      </c>
      <c r="P290" t="str">
        <f>"S"</f>
        <v>S</v>
      </c>
      <c r="Q290" t="str">
        <f>"EPSS40"</f>
        <v>EPSS40</v>
      </c>
      <c r="R290" t="str">
        <f t="shared" si="341"/>
        <v>6</v>
      </c>
      <c r="S290" t="str">
        <f>""</f>
        <v/>
      </c>
      <c r="T290" t="str">
        <f t="shared" si="333"/>
        <v xml:space="preserve">                                                                                                    </v>
      </c>
      <c r="U290" t="str">
        <f>"2         "</f>
        <v xml:space="preserve">2         </v>
      </c>
      <c r="V290" t="str">
        <f t="shared" si="335"/>
        <v>2</v>
      </c>
      <c r="W290" t="str">
        <f t="shared" si="299"/>
        <v>2</v>
      </c>
      <c r="X290" t="str">
        <f t="shared" si="336"/>
        <v>2</v>
      </c>
      <c r="Y290" t="str">
        <f t="shared" si="338"/>
        <v>2</v>
      </c>
      <c r="Z290" t="str">
        <f t="shared" si="338"/>
        <v>2</v>
      </c>
      <c r="AA290" t="str">
        <f t="shared" si="312"/>
        <v xml:space="preserve">          </v>
      </c>
      <c r="AB290" t="str">
        <f t="shared" si="306"/>
        <v>2</v>
      </c>
      <c r="AC290" t="str">
        <f t="shared" si="307"/>
        <v>2</v>
      </c>
      <c r="AD290" t="str">
        <f t="shared" si="339"/>
        <v>2</v>
      </c>
      <c r="AE290" t="str">
        <f t="shared" si="339"/>
        <v>2</v>
      </c>
      <c r="AF290" t="str">
        <f t="shared" si="339"/>
        <v>2</v>
      </c>
      <c r="AG290" t="str">
        <f t="shared" si="339"/>
        <v>2</v>
      </c>
      <c r="AH290" t="str">
        <f t="shared" si="337"/>
        <v>1</v>
      </c>
      <c r="AI290" t="str">
        <f>"1         "</f>
        <v xml:space="preserve">1         </v>
      </c>
      <c r="AJ290" t="str">
        <f t="shared" si="324"/>
        <v>170</v>
      </c>
      <c r="AK290" t="str">
        <f>"05"</f>
        <v>05</v>
      </c>
      <c r="AL290" t="str">
        <f>"315"</f>
        <v>315</v>
      </c>
      <c r="AM290" t="str">
        <f>"05"</f>
        <v>05</v>
      </c>
      <c r="AN290" t="str">
        <f>"05001"</f>
        <v>05001</v>
      </c>
      <c r="AO290" t="str">
        <f>"5/04/2020 12:00:00 a. m."</f>
        <v>5/04/2020 12:00:00 a. m.</v>
      </c>
      <c r="AP290" t="str">
        <f>"21/03/2020 12:00:00 a. m."</f>
        <v>21/03/2020 12:00:00 a. m.</v>
      </c>
      <c r="AQ290" t="str">
        <f t="shared" si="343"/>
        <v>3</v>
      </c>
      <c r="AR290" t="str">
        <f t="shared" si="330"/>
        <v>1</v>
      </c>
      <c r="AS290" t="str">
        <f>"5/04/2020 12:00:00 a. m."</f>
        <v>5/04/2020 12:00:00 a. m.</v>
      </c>
      <c r="AT290" t="str">
        <f t="shared" si="346"/>
        <v>1</v>
      </c>
      <c r="AU290" t="str">
        <f>""</f>
        <v/>
      </c>
      <c r="AV290" t="str">
        <f>"0"</f>
        <v>0</v>
      </c>
      <c r="AW290" t="str">
        <f>"23/08/2015 12:00:00 a. m."</f>
        <v>23/08/2015 12:00:00 a. m.</v>
      </c>
      <c r="AX290" t="str">
        <f>""</f>
        <v/>
      </c>
      <c r="AY290" t="str">
        <f t="shared" si="314"/>
        <v>30/04/2021 12:00:00 a. m.</v>
      </c>
      <c r="AZ290" t="str">
        <f>"13/05/2020 12:00:00 a. m."</f>
        <v>13/05/2020 12:00:00 a. m.</v>
      </c>
      <c r="BA290" t="str">
        <f>""</f>
        <v/>
      </c>
      <c r="BB290" t="str">
        <f>""</f>
        <v/>
      </c>
      <c r="BC290" t="str">
        <f>""</f>
        <v/>
      </c>
      <c r="BD290" t="str">
        <f t="shared" si="340"/>
        <v>1</v>
      </c>
      <c r="BE290" t="str">
        <f t="shared" si="340"/>
        <v>1</v>
      </c>
      <c r="BF290" t="str">
        <f t="shared" si="315"/>
        <v xml:space="preserve">3         </v>
      </c>
      <c r="BG290" t="str">
        <f t="shared" si="316"/>
        <v>Confirmado por laboratorio</v>
      </c>
      <c r="BH290" t="str">
        <f>"FUNDACION HOSPITALARIA SAN VICENTE DE PAUL"</f>
        <v>FUNDACION HOSPITALARIA SAN VICENTE DE PAUL</v>
      </c>
      <c r="BI290" t="str">
        <f t="shared" si="326"/>
        <v>COLOMBIA</v>
      </c>
      <c r="BJ290" t="str">
        <f t="shared" si="317"/>
        <v>CANCER INFANTIL</v>
      </c>
      <c r="BK290" t="str">
        <f>"ANTIOQUIA"</f>
        <v>ANTIOQUIA</v>
      </c>
      <c r="BL290" t="str">
        <f>"GUADALUPE"</f>
        <v>GUADALUPE</v>
      </c>
      <c r="BM290" t="str">
        <f t="shared" si="327"/>
        <v>COLOMBIA</v>
      </c>
      <c r="BN290" t="str">
        <f>"ANTIOQUIA"</f>
        <v>ANTIOQUIA</v>
      </c>
      <c r="BO290" t="str">
        <f>"GUADALUPE"</f>
        <v>GUADALUPE</v>
      </c>
      <c r="BP290" t="str">
        <f>"ANTIOQUIA"</f>
        <v>ANTIOQUIA</v>
      </c>
      <c r="BQ290" t="str">
        <f>"MEDELLIN"</f>
        <v>MEDELLIN</v>
      </c>
    </row>
    <row r="291" spans="1:69" x14ac:dyDescent="0.25">
      <c r="A291" t="str">
        <f>"7285356"</f>
        <v>7285356</v>
      </c>
      <c r="B291" t="str">
        <f t="shared" si="310"/>
        <v>459</v>
      </c>
      <c r="C291" t="str">
        <f>"7/11/2020 12:00:00 a. m."</f>
        <v>7/11/2020 12:00:00 a. m.</v>
      </c>
      <c r="D291" t="str">
        <f>"33"</f>
        <v>33</v>
      </c>
      <c r="E291" t="str">
        <f t="shared" si="311"/>
        <v>2020</v>
      </c>
      <c r="F291" t="str">
        <f>"2300100949"</f>
        <v>2300100949</v>
      </c>
      <c r="G291" t="str">
        <f t="shared" si="344"/>
        <v>01</v>
      </c>
      <c r="H291" t="str">
        <f>"10"</f>
        <v>10</v>
      </c>
      <c r="I291" t="str">
        <f t="shared" si="342"/>
        <v>1</v>
      </c>
      <c r="J291" t="str">
        <f t="shared" si="345"/>
        <v>F</v>
      </c>
      <c r="K291" t="str">
        <f t="shared" si="322"/>
        <v>170</v>
      </c>
      <c r="L291" t="str">
        <f>"05"</f>
        <v>05</v>
      </c>
      <c r="M291" t="str">
        <f>"659"</f>
        <v>659</v>
      </c>
      <c r="N291" t="str">
        <f>"3"</f>
        <v>3</v>
      </c>
      <c r="O291" t="str">
        <f>"9997"</f>
        <v>9997</v>
      </c>
      <c r="P291" t="str">
        <f>"S"</f>
        <v>S</v>
      </c>
      <c r="Q291" t="str">
        <f>"EPSS41"</f>
        <v>EPSS41</v>
      </c>
      <c r="R291" t="str">
        <f t="shared" si="341"/>
        <v>6</v>
      </c>
      <c r="S291" t="str">
        <f>""</f>
        <v/>
      </c>
      <c r="T291" t="str">
        <f t="shared" si="333"/>
        <v xml:space="preserve">                                                                                                    </v>
      </c>
      <c r="U291" t="str">
        <f>"1         "</f>
        <v xml:space="preserve">1         </v>
      </c>
      <c r="V291" t="str">
        <f t="shared" si="335"/>
        <v>2</v>
      </c>
      <c r="W291" t="str">
        <f t="shared" si="299"/>
        <v>2</v>
      </c>
      <c r="X291" t="str">
        <f t="shared" si="336"/>
        <v>2</v>
      </c>
      <c r="Y291" t="str">
        <f t="shared" si="338"/>
        <v>2</v>
      </c>
      <c r="Z291" t="str">
        <f t="shared" si="338"/>
        <v>2</v>
      </c>
      <c r="AA291" t="str">
        <f t="shared" si="312"/>
        <v xml:space="preserve">          </v>
      </c>
      <c r="AB291" t="str">
        <f t="shared" si="306"/>
        <v>2</v>
      </c>
      <c r="AC291" t="str">
        <f t="shared" si="307"/>
        <v>2</v>
      </c>
      <c r="AD291" t="str">
        <f t="shared" si="339"/>
        <v>2</v>
      </c>
      <c r="AE291" t="str">
        <f t="shared" si="339"/>
        <v>2</v>
      </c>
      <c r="AF291" t="str">
        <f t="shared" si="339"/>
        <v>2</v>
      </c>
      <c r="AG291" t="str">
        <f t="shared" si="339"/>
        <v>2</v>
      </c>
      <c r="AH291" t="str">
        <f t="shared" si="337"/>
        <v>1</v>
      </c>
      <c r="AI291" t="str">
        <f>"2         "</f>
        <v xml:space="preserve">2         </v>
      </c>
      <c r="AJ291" t="str">
        <f t="shared" si="324"/>
        <v>170</v>
      </c>
      <c r="AK291" t="str">
        <f>"05"</f>
        <v>05</v>
      </c>
      <c r="AL291" t="str">
        <f>"659"</f>
        <v>659</v>
      </c>
      <c r="AM291" t="str">
        <f>"23"</f>
        <v>23</v>
      </c>
      <c r="AN291" t="str">
        <f>"23001"</f>
        <v>23001</v>
      </c>
      <c r="AO291" t="str">
        <f>"12/08/2020 12:00:00 a. m."</f>
        <v>12/08/2020 12:00:00 a. m.</v>
      </c>
      <c r="AP291" t="str">
        <f>"22/07/2020 12:00:00 a. m."</f>
        <v>22/07/2020 12:00:00 a. m.</v>
      </c>
      <c r="AQ291" t="str">
        <f t="shared" si="343"/>
        <v>3</v>
      </c>
      <c r="AR291" t="str">
        <f t="shared" si="330"/>
        <v>1</v>
      </c>
      <c r="AS291" t="str">
        <f>"12/08/2020 12:00:00 a. m."</f>
        <v>12/08/2020 12:00:00 a. m.</v>
      </c>
      <c r="AT291" t="str">
        <f t="shared" si="346"/>
        <v>1</v>
      </c>
      <c r="AU291" t="str">
        <f>""</f>
        <v/>
      </c>
      <c r="AV291" t="str">
        <f>"7"</f>
        <v>7</v>
      </c>
      <c r="AW291" t="str">
        <f>"25/10/2010 12:00:00 a. m."</f>
        <v>25/10/2010 12:00:00 a. m.</v>
      </c>
      <c r="AX291" t="str">
        <f>""</f>
        <v/>
      </c>
      <c r="AY291" t="str">
        <f t="shared" si="314"/>
        <v>30/04/2021 12:00:00 a. m.</v>
      </c>
      <c r="AZ291" t="str">
        <f>"4/12/2020 12:00:00 a. m."</f>
        <v>4/12/2020 12:00:00 a. m.</v>
      </c>
      <c r="BA291" t="str">
        <f>""</f>
        <v/>
      </c>
      <c r="BB291" t="str">
        <f>""</f>
        <v/>
      </c>
      <c r="BC291" t="str">
        <f>""</f>
        <v/>
      </c>
      <c r="BD291" t="str">
        <f t="shared" si="340"/>
        <v>1</v>
      </c>
      <c r="BE291" t="str">
        <f t="shared" si="340"/>
        <v>1</v>
      </c>
      <c r="BF291" t="str">
        <f t="shared" si="315"/>
        <v xml:space="preserve">3         </v>
      </c>
      <c r="BG291" t="str">
        <f t="shared" si="316"/>
        <v>Confirmado por laboratorio</v>
      </c>
      <c r="BH291" t="str">
        <f>"ONCOMEDICA S A"</f>
        <v>ONCOMEDICA S A</v>
      </c>
      <c r="BI291" t="str">
        <f t="shared" si="326"/>
        <v>COLOMBIA</v>
      </c>
      <c r="BJ291" t="str">
        <f t="shared" si="317"/>
        <v>CANCER INFANTIL</v>
      </c>
      <c r="BK291" t="str">
        <f>"ANTIOQUIA"</f>
        <v>ANTIOQUIA</v>
      </c>
      <c r="BL291" t="str">
        <f>"SAN JUAN DE URABA"</f>
        <v>SAN JUAN DE URABA</v>
      </c>
      <c r="BM291" t="str">
        <f t="shared" si="327"/>
        <v>COLOMBIA</v>
      </c>
      <c r="BN291" t="str">
        <f>"ANTIOQUIA"</f>
        <v>ANTIOQUIA</v>
      </c>
      <c r="BO291" t="str">
        <f>"SAN JUAN DE URABA"</f>
        <v>SAN JUAN DE URABA</v>
      </c>
      <c r="BP291" t="str">
        <f>"CORDOBA"</f>
        <v>CORDOBA</v>
      </c>
      <c r="BQ291" t="str">
        <f>"MONTERIA"</f>
        <v>MONTERIA</v>
      </c>
    </row>
    <row r="292" spans="1:69" x14ac:dyDescent="0.25">
      <c r="A292" t="str">
        <f>"7285401"</f>
        <v>7285401</v>
      </c>
      <c r="B292" t="str">
        <f t="shared" si="310"/>
        <v>459</v>
      </c>
      <c r="C292" t="str">
        <f>"2/01/2020 12:00:00 a. m."</f>
        <v>2/01/2020 12:00:00 a. m.</v>
      </c>
      <c r="D292" t="str">
        <f>"01"</f>
        <v>01</v>
      </c>
      <c r="E292" t="str">
        <f t="shared" si="311"/>
        <v>2020</v>
      </c>
      <c r="F292" t="str">
        <f>"0561502129"</f>
        <v>0561502129</v>
      </c>
      <c r="G292" t="str">
        <f t="shared" si="344"/>
        <v>01</v>
      </c>
      <c r="H292" t="str">
        <f>"15"</f>
        <v>15</v>
      </c>
      <c r="I292" t="str">
        <f t="shared" si="342"/>
        <v>1</v>
      </c>
      <c r="J292" t="str">
        <f t="shared" si="345"/>
        <v>F</v>
      </c>
      <c r="K292" t="str">
        <f t="shared" si="322"/>
        <v>170</v>
      </c>
      <c r="L292" t="str">
        <f>"05"</f>
        <v>05</v>
      </c>
      <c r="M292" t="str">
        <f>"659"</f>
        <v>659</v>
      </c>
      <c r="N292" t="str">
        <f>"2"</f>
        <v>2</v>
      </c>
      <c r="O292" t="str">
        <f>"9997"</f>
        <v>9997</v>
      </c>
      <c r="P292" t="str">
        <f>"S"</f>
        <v>S</v>
      </c>
      <c r="Q292" t="str">
        <f>"EPSI03"</f>
        <v>EPSI03</v>
      </c>
      <c r="R292" t="str">
        <f t="shared" si="341"/>
        <v>6</v>
      </c>
      <c r="S292" t="str">
        <f>""</f>
        <v/>
      </c>
      <c r="T292" t="str">
        <f t="shared" si="333"/>
        <v xml:space="preserve">                                                                                                    </v>
      </c>
      <c r="U292" t="str">
        <f>"2         "</f>
        <v xml:space="preserve">2         </v>
      </c>
      <c r="V292" t="str">
        <f t="shared" si="335"/>
        <v>2</v>
      </c>
      <c r="W292" t="str">
        <f t="shared" si="299"/>
        <v>2</v>
      </c>
      <c r="X292" t="str">
        <f t="shared" si="336"/>
        <v>2</v>
      </c>
      <c r="Y292" t="str">
        <f t="shared" si="338"/>
        <v>2</v>
      </c>
      <c r="Z292" t="str">
        <f t="shared" si="338"/>
        <v>2</v>
      </c>
      <c r="AA292" t="str">
        <f t="shared" si="312"/>
        <v xml:space="preserve">          </v>
      </c>
      <c r="AB292" t="str">
        <f t="shared" si="306"/>
        <v>2</v>
      </c>
      <c r="AC292" t="str">
        <f t="shared" si="307"/>
        <v>2</v>
      </c>
      <c r="AD292" t="str">
        <f t="shared" si="339"/>
        <v>2</v>
      </c>
      <c r="AE292" t="str">
        <f t="shared" si="339"/>
        <v>2</v>
      </c>
      <c r="AF292" t="str">
        <f t="shared" si="339"/>
        <v>2</v>
      </c>
      <c r="AG292" t="str">
        <f t="shared" si="339"/>
        <v>2</v>
      </c>
      <c r="AH292" t="str">
        <f t="shared" si="337"/>
        <v>1</v>
      </c>
      <c r="AI292" t="str">
        <f>"1         "</f>
        <v xml:space="preserve">1         </v>
      </c>
      <c r="AJ292" t="str">
        <f t="shared" si="324"/>
        <v>170</v>
      </c>
      <c r="AK292" t="str">
        <f>"05"</f>
        <v>05</v>
      </c>
      <c r="AL292" t="str">
        <f>"659"</f>
        <v>659</v>
      </c>
      <c r="AM292" t="str">
        <f>"05"</f>
        <v>05</v>
      </c>
      <c r="AN292" t="str">
        <f>"05615"</f>
        <v>05615</v>
      </c>
      <c r="AO292" t="str">
        <f>"2/01/2020 12:00:00 a. m."</f>
        <v>2/01/2020 12:00:00 a. m.</v>
      </c>
      <c r="AP292" t="str">
        <f>"1/06/2019 12:00:00 a. m."</f>
        <v>1/06/2019 12:00:00 a. m.</v>
      </c>
      <c r="AQ292" t="str">
        <f t="shared" si="343"/>
        <v>3</v>
      </c>
      <c r="AR292" t="str">
        <f>"2"</f>
        <v>2</v>
      </c>
      <c r="AS292" t="str">
        <f>""</f>
        <v/>
      </c>
      <c r="AT292" t="str">
        <f t="shared" si="346"/>
        <v>1</v>
      </c>
      <c r="AU292" t="str">
        <f>""</f>
        <v/>
      </c>
      <c r="AV292" t="str">
        <f>"0"</f>
        <v>0</v>
      </c>
      <c r="AW292" t="str">
        <f>"17/08/2004 12:00:00 a. m."</f>
        <v>17/08/2004 12:00:00 a. m.</v>
      </c>
      <c r="AX292" t="str">
        <f>""</f>
        <v/>
      </c>
      <c r="AY292" t="str">
        <f t="shared" si="314"/>
        <v>30/04/2021 12:00:00 a. m.</v>
      </c>
      <c r="AZ292" t="str">
        <f>"29/01/2020 12:00:00 a. m."</f>
        <v>29/01/2020 12:00:00 a. m.</v>
      </c>
      <c r="BA292" t="str">
        <f>""</f>
        <v/>
      </c>
      <c r="BB292" t="str">
        <f>""</f>
        <v/>
      </c>
      <c r="BC292" t="str">
        <f>""</f>
        <v/>
      </c>
      <c r="BD292" t="str">
        <f t="shared" si="340"/>
        <v>1</v>
      </c>
      <c r="BE292" t="str">
        <f t="shared" si="340"/>
        <v>1</v>
      </c>
      <c r="BF292" t="str">
        <f t="shared" si="315"/>
        <v xml:space="preserve">3         </v>
      </c>
      <c r="BG292" t="str">
        <f t="shared" si="316"/>
        <v>Confirmado por laboratorio</v>
      </c>
      <c r="BH292" t="str">
        <f>"SOCIEDAD MEDICA DE RIONEGRO SA SOMER SA"</f>
        <v>SOCIEDAD MEDICA DE RIONEGRO SA SOMER SA</v>
      </c>
      <c r="BI292" t="str">
        <f t="shared" si="326"/>
        <v>COLOMBIA</v>
      </c>
      <c r="BJ292" t="str">
        <f t="shared" si="317"/>
        <v>CANCER INFANTIL</v>
      </c>
      <c r="BK292" t="str">
        <f>"ANTIOQUIA"</f>
        <v>ANTIOQUIA</v>
      </c>
      <c r="BL292" t="str">
        <f>"SAN JUAN DE URABA"</f>
        <v>SAN JUAN DE URABA</v>
      </c>
      <c r="BM292" t="str">
        <f t="shared" si="327"/>
        <v>COLOMBIA</v>
      </c>
      <c r="BN292" t="str">
        <f>"ANTIOQUIA"</f>
        <v>ANTIOQUIA</v>
      </c>
      <c r="BO292" t="str">
        <f>"SAN JUAN DE URABA"</f>
        <v>SAN JUAN DE URABA</v>
      </c>
      <c r="BP292" t="str">
        <f>"ANTIOQUIA"</f>
        <v>ANTIOQUIA</v>
      </c>
      <c r="BQ292" t="str">
        <f>"RIONEGRO"</f>
        <v>RIONEGRO</v>
      </c>
    </row>
    <row r="293" spans="1:69" x14ac:dyDescent="0.25">
      <c r="A293" t="str">
        <f>"7278919"</f>
        <v>7278919</v>
      </c>
      <c r="B293" t="str">
        <f t="shared" si="310"/>
        <v>459</v>
      </c>
      <c r="C293" t="str">
        <f>"29/10/2020 12:00:00 a. m."</f>
        <v>29/10/2020 12:00:00 a. m.</v>
      </c>
      <c r="D293" t="str">
        <f>"44"</f>
        <v>44</v>
      </c>
      <c r="E293" t="str">
        <f t="shared" si="311"/>
        <v>2020</v>
      </c>
      <c r="F293" t="str">
        <f>"1100108171"</f>
        <v>1100108171</v>
      </c>
      <c r="G293" t="str">
        <f>"02"</f>
        <v>02</v>
      </c>
      <c r="H293" t="str">
        <f>"11"</f>
        <v>11</v>
      </c>
      <c r="I293" t="str">
        <f>"2"</f>
        <v>2</v>
      </c>
      <c r="J293" t="str">
        <f t="shared" si="345"/>
        <v>F</v>
      </c>
      <c r="K293" t="str">
        <f t="shared" si="322"/>
        <v>170</v>
      </c>
      <c r="L293" t="str">
        <f>"11"</f>
        <v>11</v>
      </c>
      <c r="M293" t="str">
        <f>"001"</f>
        <v>001</v>
      </c>
      <c r="N293" t="str">
        <f t="shared" ref="N293:N304" si="347">"1"</f>
        <v>1</v>
      </c>
      <c r="O293" t="str">
        <f>"9999"</f>
        <v>9999</v>
      </c>
      <c r="P293" t="str">
        <f>"C"</f>
        <v>C</v>
      </c>
      <c r="Q293" t="str">
        <f>"EPS017"</f>
        <v>EPS017</v>
      </c>
      <c r="R293" t="str">
        <f t="shared" si="341"/>
        <v>6</v>
      </c>
      <c r="S293" t="str">
        <f>""</f>
        <v/>
      </c>
      <c r="T293" t="str">
        <f t="shared" si="333"/>
        <v xml:space="preserve">                                                                                                    </v>
      </c>
      <c r="U293" t="str">
        <f>"2         "</f>
        <v xml:space="preserve">2         </v>
      </c>
      <c r="V293" t="str">
        <f t="shared" si="335"/>
        <v>2</v>
      </c>
      <c r="W293" t="str">
        <f t="shared" si="299"/>
        <v>2</v>
      </c>
      <c r="X293" t="str">
        <f t="shared" si="336"/>
        <v>2</v>
      </c>
      <c r="Y293" t="str">
        <f t="shared" si="338"/>
        <v>2</v>
      </c>
      <c r="Z293" t="str">
        <f t="shared" si="338"/>
        <v>2</v>
      </c>
      <c r="AA293" t="str">
        <f t="shared" si="312"/>
        <v xml:space="preserve">          </v>
      </c>
      <c r="AB293" t="str">
        <f t="shared" si="306"/>
        <v>2</v>
      </c>
      <c r="AC293" t="str">
        <f t="shared" si="307"/>
        <v>2</v>
      </c>
      <c r="AD293" t="str">
        <f t="shared" si="339"/>
        <v>2</v>
      </c>
      <c r="AE293" t="str">
        <f t="shared" si="339"/>
        <v>2</v>
      </c>
      <c r="AF293" t="str">
        <f t="shared" si="339"/>
        <v>2</v>
      </c>
      <c r="AG293" t="str">
        <f t="shared" si="339"/>
        <v>2</v>
      </c>
      <c r="AH293" t="str">
        <f t="shared" si="337"/>
        <v>1</v>
      </c>
      <c r="AI293" t="str">
        <f>"1         "</f>
        <v xml:space="preserve">1         </v>
      </c>
      <c r="AJ293" t="str">
        <f t="shared" si="324"/>
        <v>170</v>
      </c>
      <c r="AK293" t="str">
        <f>"11"</f>
        <v>11</v>
      </c>
      <c r="AL293" t="str">
        <f>"001"</f>
        <v>001</v>
      </c>
      <c r="AM293" t="str">
        <f>"11"</f>
        <v>11</v>
      </c>
      <c r="AN293" t="str">
        <f>"11001"</f>
        <v>11001</v>
      </c>
      <c r="AO293" t="str">
        <f>"27/10/2020 12:00:00 a. m."</f>
        <v>27/10/2020 12:00:00 a. m.</v>
      </c>
      <c r="AP293" t="str">
        <f>"21/10/2020 12:00:00 a. m."</f>
        <v>21/10/2020 12:00:00 a. m.</v>
      </c>
      <c r="AQ293" t="str">
        <f>"2"</f>
        <v>2</v>
      </c>
      <c r="AR293" t="str">
        <f>"1"</f>
        <v>1</v>
      </c>
      <c r="AS293" t="str">
        <f>"27/10/2020 12:00:00 a. m."</f>
        <v>27/10/2020 12:00:00 a. m.</v>
      </c>
      <c r="AT293" t="str">
        <f t="shared" si="346"/>
        <v>1</v>
      </c>
      <c r="AU293" t="str">
        <f>""</f>
        <v/>
      </c>
      <c r="AV293" t="str">
        <f>"3"</f>
        <v>3</v>
      </c>
      <c r="AW293" t="str">
        <f>"18/11/2019 12:00:00 a. m."</f>
        <v>18/11/2019 12:00:00 a. m.</v>
      </c>
      <c r="AX293" t="str">
        <f>""</f>
        <v/>
      </c>
      <c r="AY293" t="str">
        <f t="shared" si="314"/>
        <v>30/04/2021 12:00:00 a. m.</v>
      </c>
      <c r="AZ293" t="str">
        <f>"17/11/2020 12:00:00 a. m."</f>
        <v>17/11/2020 12:00:00 a. m.</v>
      </c>
      <c r="BA293" t="str">
        <f>""</f>
        <v/>
      </c>
      <c r="BB293" t="str">
        <f>""</f>
        <v/>
      </c>
      <c r="BC293" t="str">
        <f>""</f>
        <v/>
      </c>
      <c r="BD293" t="str">
        <f t="shared" si="340"/>
        <v>1</v>
      </c>
      <c r="BE293" t="str">
        <f t="shared" si="340"/>
        <v>1</v>
      </c>
      <c r="BF293" t="str">
        <f t="shared" si="315"/>
        <v xml:space="preserve">3         </v>
      </c>
      <c r="BG293" t="str">
        <f t="shared" si="316"/>
        <v>Confirmado por laboratorio</v>
      </c>
      <c r="BH293" t="str">
        <f>"CLINICA INFANTIL COLSUBSIDIO"</f>
        <v>CLINICA INFANTIL COLSUBSIDIO</v>
      </c>
      <c r="BI293" t="str">
        <f t="shared" si="326"/>
        <v>COLOMBIA</v>
      </c>
      <c r="BJ293" t="str">
        <f t="shared" si="317"/>
        <v>CANCER INFANTIL</v>
      </c>
      <c r="BK293" t="str">
        <f>"BOGOTA"</f>
        <v>BOGOTA</v>
      </c>
      <c r="BL293" t="str">
        <f>"BOGOTA"</f>
        <v>BOGOTA</v>
      </c>
      <c r="BM293" t="str">
        <f t="shared" si="327"/>
        <v>COLOMBIA</v>
      </c>
      <c r="BN293" t="str">
        <f t="shared" ref="BN293:BQ294" si="348">"BOGOTA"</f>
        <v>BOGOTA</v>
      </c>
      <c r="BO293" t="str">
        <f t="shared" si="348"/>
        <v>BOGOTA</v>
      </c>
      <c r="BP293" t="str">
        <f t="shared" si="348"/>
        <v>BOGOTA</v>
      </c>
      <c r="BQ293" t="str">
        <f t="shared" si="348"/>
        <v>BOGOTA</v>
      </c>
    </row>
    <row r="294" spans="1:69" x14ac:dyDescent="0.25">
      <c r="A294" t="str">
        <f>"7278881"</f>
        <v>7278881</v>
      </c>
      <c r="B294" t="str">
        <f t="shared" si="310"/>
        <v>459</v>
      </c>
      <c r="C294" t="str">
        <f>"16/09/2020 12:00:00 a. m."</f>
        <v>16/09/2020 12:00:00 a. m.</v>
      </c>
      <c r="D294" t="str">
        <f>"36"</f>
        <v>36</v>
      </c>
      <c r="E294" t="str">
        <f t="shared" si="311"/>
        <v>2020</v>
      </c>
      <c r="F294" t="str">
        <f>"1100108171"</f>
        <v>1100108171</v>
      </c>
      <c r="G294" t="str">
        <f>"02"</f>
        <v>02</v>
      </c>
      <c r="H294" t="str">
        <f>"12"</f>
        <v>12</v>
      </c>
      <c r="I294" t="str">
        <f>"1"</f>
        <v>1</v>
      </c>
      <c r="J294" t="str">
        <f t="shared" si="345"/>
        <v>F</v>
      </c>
      <c r="K294" t="str">
        <f t="shared" si="322"/>
        <v>170</v>
      </c>
      <c r="L294" t="str">
        <f>"11"</f>
        <v>11</v>
      </c>
      <c r="M294" t="str">
        <f>"001"</f>
        <v>001</v>
      </c>
      <c r="N294" t="str">
        <f t="shared" si="347"/>
        <v>1</v>
      </c>
      <c r="O294" t="str">
        <f>"9997"</f>
        <v>9997</v>
      </c>
      <c r="P294" t="str">
        <f>"C"</f>
        <v>C</v>
      </c>
      <c r="Q294" t="str">
        <f>"EPS017"</f>
        <v>EPS017</v>
      </c>
      <c r="R294" t="str">
        <f t="shared" si="341"/>
        <v>6</v>
      </c>
      <c r="S294" t="str">
        <f>""</f>
        <v/>
      </c>
      <c r="T294" t="str">
        <f t="shared" si="333"/>
        <v xml:space="preserve">                                                                                                    </v>
      </c>
      <c r="U294" t="str">
        <f>"3         "</f>
        <v xml:space="preserve">3         </v>
      </c>
      <c r="V294" t="str">
        <f t="shared" si="335"/>
        <v>2</v>
      </c>
      <c r="W294" t="str">
        <f t="shared" si="299"/>
        <v>2</v>
      </c>
      <c r="X294" t="str">
        <f t="shared" si="336"/>
        <v>2</v>
      </c>
      <c r="Y294" t="str">
        <f t="shared" si="338"/>
        <v>2</v>
      </c>
      <c r="Z294" t="str">
        <f t="shared" si="338"/>
        <v>2</v>
      </c>
      <c r="AA294" t="str">
        <f t="shared" si="312"/>
        <v xml:space="preserve">          </v>
      </c>
      <c r="AB294" t="str">
        <f t="shared" si="306"/>
        <v>2</v>
      </c>
      <c r="AC294" t="str">
        <f t="shared" si="307"/>
        <v>2</v>
      </c>
      <c r="AD294" t="str">
        <f t="shared" si="339"/>
        <v>2</v>
      </c>
      <c r="AE294" t="str">
        <f t="shared" si="339"/>
        <v>2</v>
      </c>
      <c r="AF294" t="str">
        <f t="shared" si="339"/>
        <v>2</v>
      </c>
      <c r="AG294" t="str">
        <f t="shared" si="339"/>
        <v>2</v>
      </c>
      <c r="AH294" t="str">
        <f t="shared" si="337"/>
        <v>1</v>
      </c>
      <c r="AI294" t="str">
        <f>"2         "</f>
        <v xml:space="preserve">2         </v>
      </c>
      <c r="AJ294" t="str">
        <f t="shared" si="324"/>
        <v>170</v>
      </c>
      <c r="AK294" t="str">
        <f>"11"</f>
        <v>11</v>
      </c>
      <c r="AL294" t="str">
        <f>"001"</f>
        <v>001</v>
      </c>
      <c r="AM294" t="str">
        <f>"11"</f>
        <v>11</v>
      </c>
      <c r="AN294" t="str">
        <f>"11001"</f>
        <v>11001</v>
      </c>
      <c r="AO294" t="str">
        <f>"31/08/2020 12:00:00 a. m."</f>
        <v>31/08/2020 12:00:00 a. m.</v>
      </c>
      <c r="AP294" t="str">
        <f>"8/06/2020 12:00:00 a. m."</f>
        <v>8/06/2020 12:00:00 a. m.</v>
      </c>
      <c r="AQ294" t="str">
        <f>"2"</f>
        <v>2</v>
      </c>
      <c r="AR294" t="str">
        <f>"2"</f>
        <v>2</v>
      </c>
      <c r="AS294" t="str">
        <f>""</f>
        <v/>
      </c>
      <c r="AT294" t="str">
        <f t="shared" si="346"/>
        <v>1</v>
      </c>
      <c r="AU294" t="str">
        <f>""</f>
        <v/>
      </c>
      <c r="AV294" t="str">
        <f>"3"</f>
        <v>3</v>
      </c>
      <c r="AW294" t="str">
        <f>"6/06/2008 12:00:00 a. m."</f>
        <v>6/06/2008 12:00:00 a. m.</v>
      </c>
      <c r="AX294" t="str">
        <f>""</f>
        <v/>
      </c>
      <c r="AY294" t="str">
        <f t="shared" si="314"/>
        <v>30/04/2021 12:00:00 a. m.</v>
      </c>
      <c r="AZ294" t="str">
        <f>"6/10/2020 12:00:00 a. m."</f>
        <v>6/10/2020 12:00:00 a. m.</v>
      </c>
      <c r="BA294" t="str">
        <f>""</f>
        <v/>
      </c>
      <c r="BB294" t="str">
        <f>""</f>
        <v/>
      </c>
      <c r="BC294" t="str">
        <f>""</f>
        <v/>
      </c>
      <c r="BD294" t="str">
        <f t="shared" si="340"/>
        <v>1</v>
      </c>
      <c r="BE294" t="str">
        <f t="shared" si="340"/>
        <v>1</v>
      </c>
      <c r="BF294" t="str">
        <f t="shared" si="315"/>
        <v xml:space="preserve">3         </v>
      </c>
      <c r="BG294" t="str">
        <f t="shared" si="316"/>
        <v>Confirmado por laboratorio</v>
      </c>
      <c r="BH294" t="str">
        <f>"CLINICA INFANTIL COLSUBSIDIO"</f>
        <v>CLINICA INFANTIL COLSUBSIDIO</v>
      </c>
      <c r="BI294" t="str">
        <f t="shared" si="326"/>
        <v>COLOMBIA</v>
      </c>
      <c r="BJ294" t="str">
        <f t="shared" si="317"/>
        <v>CANCER INFANTIL</v>
      </c>
      <c r="BK294" t="str">
        <f>"BOGOTA"</f>
        <v>BOGOTA</v>
      </c>
      <c r="BL294" t="str">
        <f>"BOGOTA"</f>
        <v>BOGOTA</v>
      </c>
      <c r="BM294" t="str">
        <f t="shared" si="327"/>
        <v>COLOMBIA</v>
      </c>
      <c r="BN294" t="str">
        <f t="shared" si="348"/>
        <v>BOGOTA</v>
      </c>
      <c r="BO294" t="str">
        <f t="shared" si="348"/>
        <v>BOGOTA</v>
      </c>
      <c r="BP294" t="str">
        <f t="shared" si="348"/>
        <v>BOGOTA</v>
      </c>
      <c r="BQ294" t="str">
        <f t="shared" si="348"/>
        <v>BOGOTA</v>
      </c>
    </row>
    <row r="295" spans="1:69" x14ac:dyDescent="0.25">
      <c r="A295" t="str">
        <f>"7291539"</f>
        <v>7291539</v>
      </c>
      <c r="B295" t="str">
        <f t="shared" si="310"/>
        <v>459</v>
      </c>
      <c r="C295" t="str">
        <f>"9/12/2020 12:00:00 a. m."</f>
        <v>9/12/2020 12:00:00 a. m.</v>
      </c>
      <c r="D295" t="str">
        <f>"50"</f>
        <v>50</v>
      </c>
      <c r="E295" t="str">
        <f t="shared" si="311"/>
        <v>2020</v>
      </c>
      <c r="F295" t="str">
        <f>"0500102104"</f>
        <v>0500102104</v>
      </c>
      <c r="G295" t="str">
        <f t="shared" ref="G295:G301" si="349">"01"</f>
        <v>01</v>
      </c>
      <c r="H295" t="str">
        <f>"2"</f>
        <v>2</v>
      </c>
      <c r="I295" t="str">
        <f>"1"</f>
        <v>1</v>
      </c>
      <c r="J295" t="str">
        <f t="shared" si="345"/>
        <v>F</v>
      </c>
      <c r="K295" t="str">
        <f t="shared" si="322"/>
        <v>170</v>
      </c>
      <c r="L295" t="str">
        <f>"05"</f>
        <v>05</v>
      </c>
      <c r="M295" t="str">
        <f>"088"</f>
        <v>088</v>
      </c>
      <c r="N295" t="str">
        <f t="shared" si="347"/>
        <v>1</v>
      </c>
      <c r="O295" t="str">
        <f>"9999"</f>
        <v>9999</v>
      </c>
      <c r="P295" t="str">
        <f>"C"</f>
        <v>C</v>
      </c>
      <c r="Q295" t="str">
        <f>"EPS010"</f>
        <v>EPS010</v>
      </c>
      <c r="R295" t="str">
        <f t="shared" si="341"/>
        <v>6</v>
      </c>
      <c r="S295" t="str">
        <f>""</f>
        <v/>
      </c>
      <c r="T295" t="str">
        <f t="shared" si="333"/>
        <v xml:space="preserve">                                                                                                    </v>
      </c>
      <c r="U295" t="str">
        <f>"3         "</f>
        <v xml:space="preserve">3         </v>
      </c>
      <c r="V295" t="str">
        <f t="shared" si="335"/>
        <v>2</v>
      </c>
      <c r="W295" t="str">
        <f t="shared" si="299"/>
        <v>2</v>
      </c>
      <c r="X295" t="str">
        <f t="shared" si="336"/>
        <v>2</v>
      </c>
      <c r="Y295" t="str">
        <f t="shared" si="338"/>
        <v>2</v>
      </c>
      <c r="Z295" t="str">
        <f t="shared" si="338"/>
        <v>2</v>
      </c>
      <c r="AA295" t="str">
        <f t="shared" si="312"/>
        <v xml:space="preserve">          </v>
      </c>
      <c r="AB295" t="str">
        <f t="shared" si="306"/>
        <v>2</v>
      </c>
      <c r="AC295" t="str">
        <f t="shared" si="307"/>
        <v>2</v>
      </c>
      <c r="AD295" t="str">
        <f t="shared" si="339"/>
        <v>2</v>
      </c>
      <c r="AE295" t="str">
        <f t="shared" si="339"/>
        <v>2</v>
      </c>
      <c r="AF295" t="str">
        <f t="shared" si="339"/>
        <v>2</v>
      </c>
      <c r="AG295" t="str">
        <f t="shared" si="339"/>
        <v>2</v>
      </c>
      <c r="AH295" t="str">
        <f t="shared" si="337"/>
        <v>1</v>
      </c>
      <c r="AI295" t="str">
        <f>"1         "</f>
        <v xml:space="preserve">1         </v>
      </c>
      <c r="AJ295" t="str">
        <f t="shared" si="324"/>
        <v>170</v>
      </c>
      <c r="AK295" t="str">
        <f>"05"</f>
        <v>05</v>
      </c>
      <c r="AL295" t="str">
        <f>"088"</f>
        <v>088</v>
      </c>
      <c r="AM295" t="str">
        <f>"05"</f>
        <v>05</v>
      </c>
      <c r="AN295" t="str">
        <f>"05001"</f>
        <v>05001</v>
      </c>
      <c r="AO295" t="str">
        <f>"1/12/2020 12:00:00 a. m."</f>
        <v>1/12/2020 12:00:00 a. m.</v>
      </c>
      <c r="AP295" t="str">
        <f>"1/10/2020 12:00:00 a. m."</f>
        <v>1/10/2020 12:00:00 a. m.</v>
      </c>
      <c r="AQ295" t="str">
        <f>"3"</f>
        <v>3</v>
      </c>
      <c r="AR295" t="str">
        <f t="shared" ref="AR295:AR302" si="350">"1"</f>
        <v>1</v>
      </c>
      <c r="AS295" t="str">
        <f>"1/12/2020 12:00:00 a. m."</f>
        <v>1/12/2020 12:00:00 a. m.</v>
      </c>
      <c r="AT295" t="str">
        <f t="shared" si="346"/>
        <v>1</v>
      </c>
      <c r="AU295" t="str">
        <f>""</f>
        <v/>
      </c>
      <c r="AV295" t="str">
        <f>"0"</f>
        <v>0</v>
      </c>
      <c r="AW295" t="str">
        <f>"1/01/2018 12:00:00 a. m."</f>
        <v>1/01/2018 12:00:00 a. m.</v>
      </c>
      <c r="AX295" t="str">
        <f>""</f>
        <v/>
      </c>
      <c r="AY295" t="str">
        <f t="shared" si="314"/>
        <v>30/04/2021 12:00:00 a. m.</v>
      </c>
      <c r="AZ295" t="str">
        <f>"30/12/2020 12:00:00 a. m."</f>
        <v>30/12/2020 12:00:00 a. m.</v>
      </c>
      <c r="BA295" t="str">
        <f>""</f>
        <v/>
      </c>
      <c r="BB295" t="str">
        <f>""</f>
        <v/>
      </c>
      <c r="BC295" t="str">
        <f>""</f>
        <v/>
      </c>
      <c r="BD295" t="str">
        <f t="shared" si="340"/>
        <v>1</v>
      </c>
      <c r="BE295" t="str">
        <f t="shared" si="340"/>
        <v>1</v>
      </c>
      <c r="BF295" t="str">
        <f t="shared" si="315"/>
        <v xml:space="preserve">3         </v>
      </c>
      <c r="BG295" t="str">
        <f t="shared" si="316"/>
        <v>Confirmado por laboratorio</v>
      </c>
      <c r="BH295" t="str">
        <f>"HOSPITAL PABLO TOBON URIBE"</f>
        <v>HOSPITAL PABLO TOBON URIBE</v>
      </c>
      <c r="BI295" t="str">
        <f t="shared" si="326"/>
        <v>COLOMBIA</v>
      </c>
      <c r="BJ295" t="str">
        <f t="shared" si="317"/>
        <v>CANCER INFANTIL</v>
      </c>
      <c r="BK295" t="str">
        <f>"ANTIOQUIA"</f>
        <v>ANTIOQUIA</v>
      </c>
      <c r="BL295" t="str">
        <f>"BELLO"</f>
        <v>BELLO</v>
      </c>
      <c r="BM295" t="str">
        <f t="shared" si="327"/>
        <v>COLOMBIA</v>
      </c>
      <c r="BN295" t="str">
        <f>"ANTIOQUIA"</f>
        <v>ANTIOQUIA</v>
      </c>
      <c r="BO295" t="str">
        <f>"BELLO"</f>
        <v>BELLO</v>
      </c>
      <c r="BP295" t="str">
        <f>"ANTIOQUIA"</f>
        <v>ANTIOQUIA</v>
      </c>
      <c r="BQ295" t="str">
        <f>"MEDELLIN"</f>
        <v>MEDELLIN</v>
      </c>
    </row>
    <row r="296" spans="1:69" x14ac:dyDescent="0.25">
      <c r="A296" t="str">
        <f>"7291535"</f>
        <v>7291535</v>
      </c>
      <c r="B296" t="str">
        <f t="shared" si="310"/>
        <v>459</v>
      </c>
      <c r="C296" t="str">
        <f>"21/04/2020 12:00:00 a. m."</f>
        <v>21/04/2020 12:00:00 a. m.</v>
      </c>
      <c r="D296" t="str">
        <f>"03"</f>
        <v>03</v>
      </c>
      <c r="E296" t="str">
        <f t="shared" si="311"/>
        <v>2020</v>
      </c>
      <c r="F296" t="str">
        <f>"0500102175"</f>
        <v>0500102175</v>
      </c>
      <c r="G296" t="str">
        <f t="shared" si="349"/>
        <v>01</v>
      </c>
      <c r="H296" t="str">
        <f>"11"</f>
        <v>11</v>
      </c>
      <c r="I296" t="str">
        <f>"1"</f>
        <v>1</v>
      </c>
      <c r="J296" t="str">
        <f>"M"</f>
        <v>M</v>
      </c>
      <c r="K296" t="str">
        <f t="shared" si="322"/>
        <v>170</v>
      </c>
      <c r="L296" t="str">
        <f>"05"</f>
        <v>05</v>
      </c>
      <c r="M296" t="str">
        <f>"088"</f>
        <v>088</v>
      </c>
      <c r="N296" t="str">
        <f t="shared" si="347"/>
        <v>1</v>
      </c>
      <c r="O296" t="str">
        <f>"9999"</f>
        <v>9999</v>
      </c>
      <c r="P296" t="str">
        <f>"C"</f>
        <v>C</v>
      </c>
      <c r="Q296" t="str">
        <f>"EPS005"</f>
        <v>EPS005</v>
      </c>
      <c r="R296" t="str">
        <f t="shared" si="341"/>
        <v>6</v>
      </c>
      <c r="S296" t="str">
        <f>""</f>
        <v/>
      </c>
      <c r="T296" t="str">
        <f t="shared" si="333"/>
        <v xml:space="preserve">                                                                                                    </v>
      </c>
      <c r="U296" t="str">
        <f>"2         "</f>
        <v xml:space="preserve">2         </v>
      </c>
      <c r="V296" t="str">
        <f t="shared" si="335"/>
        <v>2</v>
      </c>
      <c r="W296" t="str">
        <f t="shared" si="299"/>
        <v>2</v>
      </c>
      <c r="X296" t="str">
        <f t="shared" si="336"/>
        <v>2</v>
      </c>
      <c r="Y296" t="str">
        <f t="shared" si="338"/>
        <v>2</v>
      </c>
      <c r="Z296" t="str">
        <f t="shared" si="338"/>
        <v>2</v>
      </c>
      <c r="AA296" t="str">
        <f t="shared" si="312"/>
        <v xml:space="preserve">          </v>
      </c>
      <c r="AB296" t="str">
        <f t="shared" si="306"/>
        <v>2</v>
      </c>
      <c r="AC296" t="str">
        <f t="shared" si="307"/>
        <v>2</v>
      </c>
      <c r="AD296" t="str">
        <f t="shared" si="339"/>
        <v>2</v>
      </c>
      <c r="AE296" t="str">
        <f t="shared" si="339"/>
        <v>2</v>
      </c>
      <c r="AF296" t="str">
        <f t="shared" si="339"/>
        <v>2</v>
      </c>
      <c r="AG296" t="str">
        <f t="shared" si="339"/>
        <v>2</v>
      </c>
      <c r="AH296" t="str">
        <f t="shared" si="337"/>
        <v>1</v>
      </c>
      <c r="AI296" t="str">
        <f>"1         "</f>
        <v xml:space="preserve">1         </v>
      </c>
      <c r="AJ296" t="str">
        <f t="shared" si="324"/>
        <v>170</v>
      </c>
      <c r="AK296" t="str">
        <f>"05"</f>
        <v>05</v>
      </c>
      <c r="AL296" t="str">
        <f>"088"</f>
        <v>088</v>
      </c>
      <c r="AM296" t="str">
        <f>"05"</f>
        <v>05</v>
      </c>
      <c r="AN296" t="str">
        <f>"05001"</f>
        <v>05001</v>
      </c>
      <c r="AO296" t="str">
        <f>"17/01/2020 12:00:00 a. m."</f>
        <v>17/01/2020 12:00:00 a. m.</v>
      </c>
      <c r="AP296" t="str">
        <f>"17/11/2019 12:00:00 a. m."</f>
        <v>17/11/2019 12:00:00 a. m.</v>
      </c>
      <c r="AQ296" t="str">
        <f>"3"</f>
        <v>3</v>
      </c>
      <c r="AR296" t="str">
        <f t="shared" si="350"/>
        <v>1</v>
      </c>
      <c r="AS296" t="str">
        <f>"19/02/2020 12:00:00 a. m."</f>
        <v>19/02/2020 12:00:00 a. m.</v>
      </c>
      <c r="AT296" t="str">
        <f t="shared" si="346"/>
        <v>1</v>
      </c>
      <c r="AU296" t="str">
        <f>""</f>
        <v/>
      </c>
      <c r="AV296" t="str">
        <f>"0"</f>
        <v>0</v>
      </c>
      <c r="AW296" t="str">
        <f>"18/06/2008 12:00:00 a. m."</f>
        <v>18/06/2008 12:00:00 a. m.</v>
      </c>
      <c r="AX296" t="str">
        <f>""</f>
        <v/>
      </c>
      <c r="AY296" t="str">
        <f t="shared" si="314"/>
        <v>30/04/2021 12:00:00 a. m.</v>
      </c>
      <c r="AZ296" t="str">
        <f>"21/04/2020 12:00:00 a. m."</f>
        <v>21/04/2020 12:00:00 a. m.</v>
      </c>
      <c r="BA296" t="str">
        <f>""</f>
        <v/>
      </c>
      <c r="BB296" t="str">
        <f>""</f>
        <v/>
      </c>
      <c r="BC296" t="str">
        <f>""</f>
        <v/>
      </c>
      <c r="BD296" t="str">
        <f t="shared" si="340"/>
        <v>1</v>
      </c>
      <c r="BE296" t="str">
        <f t="shared" si="340"/>
        <v>1</v>
      </c>
      <c r="BF296" t="str">
        <f t="shared" si="315"/>
        <v xml:space="preserve">3         </v>
      </c>
      <c r="BG296" t="str">
        <f t="shared" si="316"/>
        <v>Confirmado por laboratorio</v>
      </c>
      <c r="BH296" t="str">
        <f>"FUNDACION HOSPITALARIA SAN VICENTE DE PAUL"</f>
        <v>FUNDACION HOSPITALARIA SAN VICENTE DE PAUL</v>
      </c>
      <c r="BI296" t="str">
        <f t="shared" si="326"/>
        <v>COLOMBIA</v>
      </c>
      <c r="BJ296" t="str">
        <f t="shared" si="317"/>
        <v>CANCER INFANTIL</v>
      </c>
      <c r="BK296" t="str">
        <f>"ANTIOQUIA"</f>
        <v>ANTIOQUIA</v>
      </c>
      <c r="BL296" t="str">
        <f>"BELLO"</f>
        <v>BELLO</v>
      </c>
      <c r="BM296" t="str">
        <f t="shared" si="327"/>
        <v>COLOMBIA</v>
      </c>
      <c r="BN296" t="str">
        <f>"ANTIOQUIA"</f>
        <v>ANTIOQUIA</v>
      </c>
      <c r="BO296" t="str">
        <f>"BELLO"</f>
        <v>BELLO</v>
      </c>
      <c r="BP296" t="str">
        <f>"ANTIOQUIA"</f>
        <v>ANTIOQUIA</v>
      </c>
      <c r="BQ296" t="str">
        <f>"MEDELLIN"</f>
        <v>MEDELLIN</v>
      </c>
    </row>
    <row r="297" spans="1:69" x14ac:dyDescent="0.25">
      <c r="A297" t="str">
        <f>"7291536"</f>
        <v>7291536</v>
      </c>
      <c r="B297" t="str">
        <f t="shared" si="310"/>
        <v>459</v>
      </c>
      <c r="C297" t="str">
        <f>"10/11/2020 12:00:00 a. m."</f>
        <v>10/11/2020 12:00:00 a. m.</v>
      </c>
      <c r="D297" t="str">
        <f>"20"</f>
        <v>20</v>
      </c>
      <c r="E297" t="str">
        <f t="shared" si="311"/>
        <v>2020</v>
      </c>
      <c r="F297" t="str">
        <f>"0500102175"</f>
        <v>0500102175</v>
      </c>
      <c r="G297" t="str">
        <f t="shared" si="349"/>
        <v>01</v>
      </c>
      <c r="H297" t="str">
        <f>"8"</f>
        <v>8</v>
      </c>
      <c r="I297" t="str">
        <f>"1"</f>
        <v>1</v>
      </c>
      <c r="J297" t="str">
        <f>"M"</f>
        <v>M</v>
      </c>
      <c r="K297" t="str">
        <f t="shared" si="322"/>
        <v>170</v>
      </c>
      <c r="L297" t="str">
        <f>"05"</f>
        <v>05</v>
      </c>
      <c r="M297" t="str">
        <f>"088"</f>
        <v>088</v>
      </c>
      <c r="N297" t="str">
        <f t="shared" si="347"/>
        <v>1</v>
      </c>
      <c r="O297" t="str">
        <f>"9997"</f>
        <v>9997</v>
      </c>
      <c r="P297" t="str">
        <f>"S"</f>
        <v>S</v>
      </c>
      <c r="Q297" t="str">
        <f>"EPSS40"</f>
        <v>EPSS40</v>
      </c>
      <c r="R297" t="str">
        <f t="shared" si="341"/>
        <v>6</v>
      </c>
      <c r="S297" t="str">
        <f>""</f>
        <v/>
      </c>
      <c r="T297" t="str">
        <f t="shared" si="333"/>
        <v xml:space="preserve">                                                                                                    </v>
      </c>
      <c r="U297" t="str">
        <f>"2         "</f>
        <v xml:space="preserve">2         </v>
      </c>
      <c r="V297" t="str">
        <f t="shared" si="335"/>
        <v>2</v>
      </c>
      <c r="W297" t="str">
        <f t="shared" si="299"/>
        <v>2</v>
      </c>
      <c r="X297" t="str">
        <f t="shared" si="336"/>
        <v>2</v>
      </c>
      <c r="Y297" t="str">
        <f t="shared" si="338"/>
        <v>2</v>
      </c>
      <c r="Z297" t="str">
        <f t="shared" si="338"/>
        <v>2</v>
      </c>
      <c r="AA297" t="str">
        <f t="shared" si="312"/>
        <v xml:space="preserve">          </v>
      </c>
      <c r="AB297" t="str">
        <f t="shared" si="306"/>
        <v>2</v>
      </c>
      <c r="AC297" t="str">
        <f t="shared" si="307"/>
        <v>2</v>
      </c>
      <c r="AD297" t="str">
        <f t="shared" si="339"/>
        <v>2</v>
      </c>
      <c r="AE297" t="str">
        <f t="shared" si="339"/>
        <v>2</v>
      </c>
      <c r="AF297" t="str">
        <f t="shared" si="339"/>
        <v>2</v>
      </c>
      <c r="AG297" t="str">
        <f t="shared" si="339"/>
        <v>2</v>
      </c>
      <c r="AH297" t="str">
        <f t="shared" si="337"/>
        <v>1</v>
      </c>
      <c r="AI297" t="str">
        <f>"1         "</f>
        <v xml:space="preserve">1         </v>
      </c>
      <c r="AJ297" t="str">
        <f t="shared" si="324"/>
        <v>170</v>
      </c>
      <c r="AK297" t="str">
        <f>"05"</f>
        <v>05</v>
      </c>
      <c r="AL297" t="str">
        <f>"088"</f>
        <v>088</v>
      </c>
      <c r="AM297" t="str">
        <f>"05"</f>
        <v>05</v>
      </c>
      <c r="AN297" t="str">
        <f>"05001"</f>
        <v>05001</v>
      </c>
      <c r="AO297" t="str">
        <f>"13/05/2020 12:00:00 a. m."</f>
        <v>13/05/2020 12:00:00 a. m.</v>
      </c>
      <c r="AP297" t="str">
        <f>"28/04/2020 12:00:00 a. m."</f>
        <v>28/04/2020 12:00:00 a. m.</v>
      </c>
      <c r="AQ297" t="str">
        <f>"3"</f>
        <v>3</v>
      </c>
      <c r="AR297" t="str">
        <f t="shared" si="350"/>
        <v>1</v>
      </c>
      <c r="AS297" t="str">
        <f>"13/05/2020 12:00:00 a. m."</f>
        <v>13/05/2020 12:00:00 a. m.</v>
      </c>
      <c r="AT297" t="str">
        <f t="shared" si="346"/>
        <v>1</v>
      </c>
      <c r="AU297" t="str">
        <f>""</f>
        <v/>
      </c>
      <c r="AV297" t="str">
        <f>"0"</f>
        <v>0</v>
      </c>
      <c r="AW297" t="str">
        <f>"11/02/2012 12:00:00 a. m."</f>
        <v>11/02/2012 12:00:00 a. m.</v>
      </c>
      <c r="AX297" t="str">
        <f>""</f>
        <v/>
      </c>
      <c r="AY297" t="str">
        <f t="shared" si="314"/>
        <v>30/04/2021 12:00:00 a. m.</v>
      </c>
      <c r="AZ297" t="str">
        <f>"10/11/2020 12:00:00 a. m."</f>
        <v>10/11/2020 12:00:00 a. m.</v>
      </c>
      <c r="BA297" t="str">
        <f>""</f>
        <v/>
      </c>
      <c r="BB297" t="str">
        <f>""</f>
        <v/>
      </c>
      <c r="BC297" t="str">
        <f>""</f>
        <v/>
      </c>
      <c r="BD297" t="str">
        <f t="shared" si="340"/>
        <v>1</v>
      </c>
      <c r="BE297" t="str">
        <f t="shared" si="340"/>
        <v>1</v>
      </c>
      <c r="BF297" t="str">
        <f t="shared" si="315"/>
        <v xml:space="preserve">3         </v>
      </c>
      <c r="BG297" t="str">
        <f t="shared" si="316"/>
        <v>Confirmado por laboratorio</v>
      </c>
      <c r="BH297" t="str">
        <f>"FUNDACION HOSPITALARIA SAN VICENTE DE PAUL"</f>
        <v>FUNDACION HOSPITALARIA SAN VICENTE DE PAUL</v>
      </c>
      <c r="BI297" t="str">
        <f t="shared" si="326"/>
        <v>COLOMBIA</v>
      </c>
      <c r="BJ297" t="str">
        <f t="shared" si="317"/>
        <v>CANCER INFANTIL</v>
      </c>
      <c r="BK297" t="str">
        <f>"ANTIOQUIA"</f>
        <v>ANTIOQUIA</v>
      </c>
      <c r="BL297" t="str">
        <f>"BELLO"</f>
        <v>BELLO</v>
      </c>
      <c r="BM297" t="str">
        <f t="shared" si="327"/>
        <v>COLOMBIA</v>
      </c>
      <c r="BN297" t="str">
        <f>"ANTIOQUIA"</f>
        <v>ANTIOQUIA</v>
      </c>
      <c r="BO297" t="str">
        <f>"BELLO"</f>
        <v>BELLO</v>
      </c>
      <c r="BP297" t="str">
        <f>"ANTIOQUIA"</f>
        <v>ANTIOQUIA</v>
      </c>
      <c r="BQ297" t="str">
        <f>"MEDELLIN"</f>
        <v>MEDELLIN</v>
      </c>
    </row>
    <row r="298" spans="1:69" x14ac:dyDescent="0.25">
      <c r="A298" t="str">
        <f>"7291538"</f>
        <v>7291538</v>
      </c>
      <c r="B298" t="str">
        <f t="shared" si="310"/>
        <v>459</v>
      </c>
      <c r="C298" t="str">
        <f>"13/05/2020 12:00:00 a. m."</f>
        <v>13/05/2020 12:00:00 a. m.</v>
      </c>
      <c r="D298" t="str">
        <f>"09"</f>
        <v>09</v>
      </c>
      <c r="E298" t="str">
        <f t="shared" si="311"/>
        <v>2020</v>
      </c>
      <c r="F298" t="str">
        <f>"0500102175"</f>
        <v>0500102175</v>
      </c>
      <c r="G298" t="str">
        <f t="shared" si="349"/>
        <v>01</v>
      </c>
      <c r="H298" t="str">
        <f>"7"</f>
        <v>7</v>
      </c>
      <c r="I298" t="str">
        <f>"1"</f>
        <v>1</v>
      </c>
      <c r="J298" t="str">
        <f>"M"</f>
        <v>M</v>
      </c>
      <c r="K298" t="str">
        <f t="shared" si="322"/>
        <v>170</v>
      </c>
      <c r="L298" t="str">
        <f>"05"</f>
        <v>05</v>
      </c>
      <c r="M298" t="str">
        <f>"088"</f>
        <v>088</v>
      </c>
      <c r="N298" t="str">
        <f t="shared" si="347"/>
        <v>1</v>
      </c>
      <c r="O298" t="str">
        <f>"9997"</f>
        <v>9997</v>
      </c>
      <c r="P298" t="str">
        <f>"C"</f>
        <v>C</v>
      </c>
      <c r="Q298" t="str">
        <f>"EPS010"</f>
        <v>EPS010</v>
      </c>
      <c r="R298" t="str">
        <f t="shared" si="341"/>
        <v>6</v>
      </c>
      <c r="S298" t="str">
        <f>""</f>
        <v/>
      </c>
      <c r="T298" t="str">
        <f t="shared" si="333"/>
        <v xml:space="preserve">                                                                                                    </v>
      </c>
      <c r="U298" t="str">
        <f>"2         "</f>
        <v xml:space="preserve">2         </v>
      </c>
      <c r="V298" t="str">
        <f t="shared" si="335"/>
        <v>2</v>
      </c>
      <c r="W298" t="str">
        <f t="shared" si="299"/>
        <v>2</v>
      </c>
      <c r="X298" t="str">
        <f t="shared" si="336"/>
        <v>2</v>
      </c>
      <c r="Y298" t="str">
        <f t="shared" si="338"/>
        <v>2</v>
      </c>
      <c r="Z298" t="str">
        <f t="shared" si="338"/>
        <v>2</v>
      </c>
      <c r="AA298" t="str">
        <f t="shared" si="312"/>
        <v xml:space="preserve">          </v>
      </c>
      <c r="AB298" t="str">
        <f t="shared" si="306"/>
        <v>2</v>
      </c>
      <c r="AC298" t="str">
        <f t="shared" si="307"/>
        <v>2</v>
      </c>
      <c r="AD298" t="str">
        <f t="shared" si="339"/>
        <v>2</v>
      </c>
      <c r="AE298" t="str">
        <f t="shared" si="339"/>
        <v>2</v>
      </c>
      <c r="AF298" t="str">
        <f t="shared" si="339"/>
        <v>2</v>
      </c>
      <c r="AG298" t="str">
        <f t="shared" si="339"/>
        <v>2</v>
      </c>
      <c r="AH298" t="str">
        <f t="shared" si="337"/>
        <v>1</v>
      </c>
      <c r="AI298" t="str">
        <f>"1         "</f>
        <v xml:space="preserve">1         </v>
      </c>
      <c r="AJ298" t="str">
        <f t="shared" si="324"/>
        <v>170</v>
      </c>
      <c r="AK298" t="str">
        <f>"05"</f>
        <v>05</v>
      </c>
      <c r="AL298" t="str">
        <f>"088"</f>
        <v>088</v>
      </c>
      <c r="AM298" t="str">
        <f>"05"</f>
        <v>05</v>
      </c>
      <c r="AN298" t="str">
        <f>"05001"</f>
        <v>05001</v>
      </c>
      <c r="AO298" t="str">
        <f>"29/02/2020 12:00:00 a. m."</f>
        <v>29/02/2020 12:00:00 a. m.</v>
      </c>
      <c r="AP298" t="str">
        <f>"24/02/2020 12:00:00 a. m."</f>
        <v>24/02/2020 12:00:00 a. m.</v>
      </c>
      <c r="AQ298" t="str">
        <f>"2"</f>
        <v>2</v>
      </c>
      <c r="AR298" t="str">
        <f t="shared" si="350"/>
        <v>1</v>
      </c>
      <c r="AS298" t="str">
        <f>"29/02/2020 12:00:00 a. m."</f>
        <v>29/02/2020 12:00:00 a. m.</v>
      </c>
      <c r="AT298" t="str">
        <f t="shared" si="346"/>
        <v>1</v>
      </c>
      <c r="AU298" t="str">
        <f>""</f>
        <v/>
      </c>
      <c r="AV298" t="str">
        <f>"3"</f>
        <v>3</v>
      </c>
      <c r="AW298" t="str">
        <f>"7/10/2012 12:00:00 a. m."</f>
        <v>7/10/2012 12:00:00 a. m.</v>
      </c>
      <c r="AX298" t="str">
        <f>""</f>
        <v/>
      </c>
      <c r="AY298" t="str">
        <f t="shared" si="314"/>
        <v>30/04/2021 12:00:00 a. m.</v>
      </c>
      <c r="AZ298" t="str">
        <f>"26/08/2020 12:00:00 a. m."</f>
        <v>26/08/2020 12:00:00 a. m.</v>
      </c>
      <c r="BA298" t="str">
        <f>""</f>
        <v/>
      </c>
      <c r="BB298" t="str">
        <f>""</f>
        <v/>
      </c>
      <c r="BC298" t="str">
        <f>""</f>
        <v/>
      </c>
      <c r="BD298" t="str">
        <f t="shared" si="340"/>
        <v>1</v>
      </c>
      <c r="BE298" t="str">
        <f t="shared" si="340"/>
        <v>1</v>
      </c>
      <c r="BF298" t="str">
        <f t="shared" si="315"/>
        <v xml:space="preserve">3         </v>
      </c>
      <c r="BG298" t="str">
        <f t="shared" si="316"/>
        <v>Confirmado por laboratorio</v>
      </c>
      <c r="BH298" t="str">
        <f>"FUNDACION HOSPITALARIA SAN VICENTE DE PAUL"</f>
        <v>FUNDACION HOSPITALARIA SAN VICENTE DE PAUL</v>
      </c>
      <c r="BI298" t="str">
        <f t="shared" si="326"/>
        <v>COLOMBIA</v>
      </c>
      <c r="BJ298" t="str">
        <f t="shared" si="317"/>
        <v>CANCER INFANTIL</v>
      </c>
      <c r="BK298" t="str">
        <f>"ANTIOQUIA"</f>
        <v>ANTIOQUIA</v>
      </c>
      <c r="BL298" t="str">
        <f>"BELLO"</f>
        <v>BELLO</v>
      </c>
      <c r="BM298" t="str">
        <f t="shared" si="327"/>
        <v>COLOMBIA</v>
      </c>
      <c r="BN298" t="str">
        <f>"ANTIOQUIA"</f>
        <v>ANTIOQUIA</v>
      </c>
      <c r="BO298" t="str">
        <f>"BELLO"</f>
        <v>BELLO</v>
      </c>
      <c r="BP298" t="str">
        <f>"ANTIOQUIA"</f>
        <v>ANTIOQUIA</v>
      </c>
      <c r="BQ298" t="str">
        <f>"MEDELLIN"</f>
        <v>MEDELLIN</v>
      </c>
    </row>
    <row r="299" spans="1:69" x14ac:dyDescent="0.25">
      <c r="A299" t="str">
        <f>"7285756"</f>
        <v>7285756</v>
      </c>
      <c r="B299" t="str">
        <f t="shared" si="310"/>
        <v>459</v>
      </c>
      <c r="C299" t="str">
        <f>"23/06/2020 12:00:00 a. m."</f>
        <v>23/06/2020 12:00:00 a. m.</v>
      </c>
      <c r="D299" t="str">
        <f>"20"</f>
        <v>20</v>
      </c>
      <c r="E299" t="str">
        <f t="shared" si="311"/>
        <v>2020</v>
      </c>
      <c r="F299" t="str">
        <f>"5400100371"</f>
        <v>5400100371</v>
      </c>
      <c r="G299" t="str">
        <f t="shared" si="349"/>
        <v>01</v>
      </c>
      <c r="H299" t="str">
        <f>"1"</f>
        <v>1</v>
      </c>
      <c r="I299" t="str">
        <f>"2"</f>
        <v>2</v>
      </c>
      <c r="J299" t="str">
        <f>"F"</f>
        <v>F</v>
      </c>
      <c r="K299" t="str">
        <f>"862"</f>
        <v>862</v>
      </c>
      <c r="L299" t="str">
        <f>"01"</f>
        <v>01</v>
      </c>
      <c r="M299" t="str">
        <f>"862"</f>
        <v>862</v>
      </c>
      <c r="N299" t="str">
        <f t="shared" si="347"/>
        <v>1</v>
      </c>
      <c r="O299" t="str">
        <f>"9999"</f>
        <v>9999</v>
      </c>
      <c r="P299" t="str">
        <f>"N"</f>
        <v>N</v>
      </c>
      <c r="Q299" t="str">
        <f>""</f>
        <v/>
      </c>
      <c r="R299" t="str">
        <f t="shared" si="341"/>
        <v>6</v>
      </c>
      <c r="S299" t="str">
        <f>""</f>
        <v/>
      </c>
      <c r="T299" t="str">
        <f t="shared" si="333"/>
        <v xml:space="preserve">                                                                                                    </v>
      </c>
      <c r="U299" t="str">
        <f>"2         "</f>
        <v xml:space="preserve">2         </v>
      </c>
      <c r="V299" t="str">
        <f t="shared" si="335"/>
        <v>2</v>
      </c>
      <c r="W299" t="str">
        <f t="shared" si="299"/>
        <v>2</v>
      </c>
      <c r="X299" t="str">
        <f>"1"</f>
        <v>1</v>
      </c>
      <c r="Y299" t="str">
        <f t="shared" ref="Y299:Z318" si="351">"2"</f>
        <v>2</v>
      </c>
      <c r="Z299" t="str">
        <f t="shared" si="351"/>
        <v>2</v>
      </c>
      <c r="AA299" t="str">
        <f t="shared" si="312"/>
        <v xml:space="preserve">          </v>
      </c>
      <c r="AB299" t="str">
        <f t="shared" si="306"/>
        <v>2</v>
      </c>
      <c r="AC299" t="str">
        <f t="shared" si="307"/>
        <v>2</v>
      </c>
      <c r="AD299" t="str">
        <f t="shared" si="339"/>
        <v>2</v>
      </c>
      <c r="AE299" t="str">
        <f t="shared" si="339"/>
        <v>2</v>
      </c>
      <c r="AF299" t="str">
        <f t="shared" si="339"/>
        <v>2</v>
      </c>
      <c r="AG299" t="str">
        <f t="shared" si="339"/>
        <v>2</v>
      </c>
      <c r="AH299" t="str">
        <f>"2"</f>
        <v>2</v>
      </c>
      <c r="AI299" t="str">
        <f>"2         "</f>
        <v xml:space="preserve">2         </v>
      </c>
      <c r="AJ299" t="str">
        <f>"862"</f>
        <v>862</v>
      </c>
      <c r="AK299" t="str">
        <f>"01"</f>
        <v>01</v>
      </c>
      <c r="AL299" t="str">
        <f>"862"</f>
        <v>862</v>
      </c>
      <c r="AM299" t="str">
        <f>"54"</f>
        <v>54</v>
      </c>
      <c r="AN299" t="str">
        <f>"54001"</f>
        <v>54001</v>
      </c>
      <c r="AO299" t="str">
        <f>"12/05/2020 12:00:00 a. m."</f>
        <v>12/05/2020 12:00:00 a. m.</v>
      </c>
      <c r="AP299" t="str">
        <f>"12/05/2020 12:00:00 a. m."</f>
        <v>12/05/2020 12:00:00 a. m.</v>
      </c>
      <c r="AQ299" t="str">
        <f>"3"</f>
        <v>3</v>
      </c>
      <c r="AR299" t="str">
        <f t="shared" si="350"/>
        <v>1</v>
      </c>
      <c r="AS299" t="str">
        <f>"12/05/2020 12:00:00 a. m."</f>
        <v>12/05/2020 12:00:00 a. m.</v>
      </c>
      <c r="AT299" t="str">
        <f t="shared" si="346"/>
        <v>1</v>
      </c>
      <c r="AU299" t="str">
        <f>""</f>
        <v/>
      </c>
      <c r="AV299" t="str">
        <f>"7"</f>
        <v>7</v>
      </c>
      <c r="AW299" t="str">
        <f>"11/05/2020 12:00:00 a. m."</f>
        <v>11/05/2020 12:00:00 a. m.</v>
      </c>
      <c r="AX299" t="str">
        <f>""</f>
        <v/>
      </c>
      <c r="AY299" t="str">
        <f t="shared" si="314"/>
        <v>30/04/2021 12:00:00 a. m.</v>
      </c>
      <c r="AZ299" t="str">
        <f>"30/06/2020 12:00:00 a. m."</f>
        <v>30/06/2020 12:00:00 a. m.</v>
      </c>
      <c r="BA299" t="str">
        <f>""</f>
        <v/>
      </c>
      <c r="BB299" t="str">
        <f>""</f>
        <v/>
      </c>
      <c r="BC299" t="str">
        <f>""</f>
        <v/>
      </c>
      <c r="BD299" t="str">
        <f t="shared" si="340"/>
        <v>1</v>
      </c>
      <c r="BE299" t="str">
        <f t="shared" si="340"/>
        <v>1</v>
      </c>
      <c r="BF299" t="str">
        <f t="shared" si="315"/>
        <v xml:space="preserve">3         </v>
      </c>
      <c r="BG299" t="str">
        <f t="shared" si="316"/>
        <v>Confirmado por laboratorio</v>
      </c>
      <c r="BH299" t="str">
        <f>"EMPRESA SOCIAL DEL ESTADO HOSPITAL UNIVERSITARIO E"</f>
        <v>EMPRESA SOCIAL DEL ESTADO HOSPITAL UNIVERSITARIO E</v>
      </c>
      <c r="BI299" t="str">
        <f>"VENEZUELA"</f>
        <v>VENEZUELA</v>
      </c>
      <c r="BJ299" t="str">
        <f t="shared" si="317"/>
        <v>CANCER INFANTIL</v>
      </c>
      <c r="BK299" t="str">
        <f>"EXTERIOR"</f>
        <v>EXTERIOR</v>
      </c>
      <c r="BL299" t="str">
        <f>"EXTERIOR_VENEZUELA"</f>
        <v>EXTERIOR_VENEZUELA</v>
      </c>
      <c r="BM299" t="str">
        <f>"VENEZUELA"</f>
        <v>VENEZUELA</v>
      </c>
      <c r="BN299" t="str">
        <f>"EXTERIOR"</f>
        <v>EXTERIOR</v>
      </c>
      <c r="BO299" t="str">
        <f>"EXTERIOR_VENEZUELA"</f>
        <v>EXTERIOR_VENEZUELA</v>
      </c>
      <c r="BP299" t="str">
        <f>"NORTE SANTANDER"</f>
        <v>NORTE SANTANDER</v>
      </c>
      <c r="BQ299" t="str">
        <f>"CUCUTA"</f>
        <v>CUCUTA</v>
      </c>
    </row>
    <row r="300" spans="1:69" x14ac:dyDescent="0.25">
      <c r="A300" t="str">
        <f>"7285449"</f>
        <v>7285449</v>
      </c>
      <c r="B300" t="str">
        <f t="shared" si="310"/>
        <v>459</v>
      </c>
      <c r="C300" t="str">
        <f>"17/11/2020 12:00:00 a. m."</f>
        <v>17/11/2020 12:00:00 a. m.</v>
      </c>
      <c r="D300" t="str">
        <f>"46"</f>
        <v>46</v>
      </c>
      <c r="E300" t="str">
        <f t="shared" si="311"/>
        <v>2020</v>
      </c>
      <c r="F300" t="str">
        <f>"1100109111"</f>
        <v>1100109111</v>
      </c>
      <c r="G300" t="str">
        <f t="shared" si="349"/>
        <v>01</v>
      </c>
      <c r="H300" t="str">
        <f>"3"</f>
        <v>3</v>
      </c>
      <c r="I300" t="str">
        <f t="shared" ref="I300:I305" si="352">"1"</f>
        <v>1</v>
      </c>
      <c r="J300" t="str">
        <f>"F"</f>
        <v>F</v>
      </c>
      <c r="K300" t="str">
        <f>"170"</f>
        <v>170</v>
      </c>
      <c r="L300" t="str">
        <f>"66"</f>
        <v>66</v>
      </c>
      <c r="M300" t="str">
        <f>"001"</f>
        <v>001</v>
      </c>
      <c r="N300" t="str">
        <f t="shared" si="347"/>
        <v>1</v>
      </c>
      <c r="O300" t="str">
        <f>"9999"</f>
        <v>9999</v>
      </c>
      <c r="P300" t="str">
        <f>"C"</f>
        <v>C</v>
      </c>
      <c r="Q300" t="str">
        <f>"EPS002"</f>
        <v>EPS002</v>
      </c>
      <c r="R300" t="str">
        <f t="shared" si="341"/>
        <v>6</v>
      </c>
      <c r="S300" t="str">
        <f>""</f>
        <v/>
      </c>
      <c r="T300" t="str">
        <f t="shared" si="333"/>
        <v xml:space="preserve">                                                                                                    </v>
      </c>
      <c r="U300" t="str">
        <f>"6         "</f>
        <v xml:space="preserve">6         </v>
      </c>
      <c r="V300" t="str">
        <f t="shared" si="335"/>
        <v>2</v>
      </c>
      <c r="W300" t="str">
        <f t="shared" si="299"/>
        <v>2</v>
      </c>
      <c r="X300" t="str">
        <f>"2"</f>
        <v>2</v>
      </c>
      <c r="Y300" t="str">
        <f t="shared" si="351"/>
        <v>2</v>
      </c>
      <c r="Z300" t="str">
        <f t="shared" si="351"/>
        <v>2</v>
      </c>
      <c r="AA300" t="str">
        <f t="shared" si="312"/>
        <v xml:space="preserve">          </v>
      </c>
      <c r="AB300" t="str">
        <f t="shared" si="306"/>
        <v>2</v>
      </c>
      <c r="AC300" t="str">
        <f t="shared" si="307"/>
        <v>2</v>
      </c>
      <c r="AD300" t="str">
        <f t="shared" ref="AD300:AG319" si="353">"2"</f>
        <v>2</v>
      </c>
      <c r="AE300" t="str">
        <f t="shared" si="353"/>
        <v>2</v>
      </c>
      <c r="AF300" t="str">
        <f t="shared" si="353"/>
        <v>2</v>
      </c>
      <c r="AG300" t="str">
        <f t="shared" si="353"/>
        <v>2</v>
      </c>
      <c r="AH300" t="str">
        <f>"1"</f>
        <v>1</v>
      </c>
      <c r="AI300" t="str">
        <f>"1         "</f>
        <v xml:space="preserve">1         </v>
      </c>
      <c r="AJ300" t="str">
        <f>"170"</f>
        <v>170</v>
      </c>
      <c r="AK300" t="str">
        <f>"66"</f>
        <v>66</v>
      </c>
      <c r="AL300" t="str">
        <f>"001"</f>
        <v>001</v>
      </c>
      <c r="AM300" t="str">
        <f>"11"</f>
        <v>11</v>
      </c>
      <c r="AN300" t="str">
        <f>"11001"</f>
        <v>11001</v>
      </c>
      <c r="AO300" t="str">
        <f>"13/11/2020 12:00:00 a. m."</f>
        <v>13/11/2020 12:00:00 a. m.</v>
      </c>
      <c r="AP300" t="str">
        <f>"10/11/2020 12:00:00 a. m."</f>
        <v>10/11/2020 12:00:00 a. m.</v>
      </c>
      <c r="AQ300" t="str">
        <f>"3"</f>
        <v>3</v>
      </c>
      <c r="AR300" t="str">
        <f t="shared" si="350"/>
        <v>1</v>
      </c>
      <c r="AS300" t="str">
        <f>"13/11/2020 12:00:00 a. m."</f>
        <v>13/11/2020 12:00:00 a. m.</v>
      </c>
      <c r="AT300" t="str">
        <f t="shared" si="346"/>
        <v>1</v>
      </c>
      <c r="AU300" t="str">
        <f>""</f>
        <v/>
      </c>
      <c r="AV300" t="str">
        <f>"0"</f>
        <v>0</v>
      </c>
      <c r="AW300" t="str">
        <f>"19/02/2017 12:00:00 a. m."</f>
        <v>19/02/2017 12:00:00 a. m.</v>
      </c>
      <c r="AX300" t="str">
        <f>""</f>
        <v/>
      </c>
      <c r="AY300" t="str">
        <f t="shared" si="314"/>
        <v>30/04/2021 12:00:00 a. m.</v>
      </c>
      <c r="AZ300" t="str">
        <f>"23/11/2020 12:00:00 a. m."</f>
        <v>23/11/2020 12:00:00 a. m.</v>
      </c>
      <c r="BA300" t="str">
        <f>""</f>
        <v/>
      </c>
      <c r="BB300" t="str">
        <f>""</f>
        <v/>
      </c>
      <c r="BC300" t="str">
        <f>""</f>
        <v/>
      </c>
      <c r="BD300" t="str">
        <f t="shared" si="340"/>
        <v>1</v>
      </c>
      <c r="BE300" t="str">
        <f t="shared" si="340"/>
        <v>1</v>
      </c>
      <c r="BF300" t="str">
        <f t="shared" si="315"/>
        <v xml:space="preserve">3         </v>
      </c>
      <c r="BG300" t="str">
        <f t="shared" si="316"/>
        <v>Confirmado por laboratorio</v>
      </c>
      <c r="BH300" t="str">
        <f>"FUNDACION CARDIOINFANTIL INSTITUTO DE CARDIOLOGIA"</f>
        <v>FUNDACION CARDIOINFANTIL INSTITUTO DE CARDIOLOGIA</v>
      </c>
      <c r="BI300" t="str">
        <f>"COLOMBIA"</f>
        <v>COLOMBIA</v>
      </c>
      <c r="BJ300" t="str">
        <f t="shared" si="317"/>
        <v>CANCER INFANTIL</v>
      </c>
      <c r="BK300" t="str">
        <f>"RISARALDA"</f>
        <v>RISARALDA</v>
      </c>
      <c r="BL300" t="str">
        <f>"PEREIRA"</f>
        <v>PEREIRA</v>
      </c>
      <c r="BM300" t="str">
        <f>"COLOMBIA"</f>
        <v>COLOMBIA</v>
      </c>
      <c r="BN300" t="str">
        <f>"RISARALDA"</f>
        <v>RISARALDA</v>
      </c>
      <c r="BO300" t="str">
        <f>"PEREIRA"</f>
        <v>PEREIRA</v>
      </c>
      <c r="BP300" t="str">
        <f>"BOGOTA"</f>
        <v>BOGOTA</v>
      </c>
      <c r="BQ300" t="str">
        <f>"BOGOTA"</f>
        <v>BOGOTA</v>
      </c>
    </row>
    <row r="301" spans="1:69" x14ac:dyDescent="0.25">
      <c r="A301" t="str">
        <f>"7285407"</f>
        <v>7285407</v>
      </c>
      <c r="B301" t="str">
        <f t="shared" si="310"/>
        <v>459</v>
      </c>
      <c r="C301" t="str">
        <f>"11/12/2020 12:00:00 a. m."</f>
        <v>11/12/2020 12:00:00 a. m.</v>
      </c>
      <c r="D301" t="str">
        <f>"48"</f>
        <v>48</v>
      </c>
      <c r="E301" t="str">
        <f t="shared" si="311"/>
        <v>2020</v>
      </c>
      <c r="F301" t="str">
        <f>"0500102175"</f>
        <v>0500102175</v>
      </c>
      <c r="G301" t="str">
        <f t="shared" si="349"/>
        <v>01</v>
      </c>
      <c r="H301" t="str">
        <f>"3"</f>
        <v>3</v>
      </c>
      <c r="I301" t="str">
        <f t="shared" si="352"/>
        <v>1</v>
      </c>
      <c r="J301" t="str">
        <f>"F"</f>
        <v>F</v>
      </c>
      <c r="K301" t="str">
        <f>"170"</f>
        <v>170</v>
      </c>
      <c r="L301" t="str">
        <f>"05"</f>
        <v>05</v>
      </c>
      <c r="M301" t="str">
        <f>"120"</f>
        <v>120</v>
      </c>
      <c r="N301" t="str">
        <f t="shared" si="347"/>
        <v>1</v>
      </c>
      <c r="O301" t="str">
        <f>"9999"</f>
        <v>9999</v>
      </c>
      <c r="P301" t="str">
        <f>"C"</f>
        <v>C</v>
      </c>
      <c r="Q301" t="str">
        <f>"EPS041"</f>
        <v>EPS041</v>
      </c>
      <c r="R301" t="str">
        <f t="shared" si="341"/>
        <v>6</v>
      </c>
      <c r="S301" t="str">
        <f>""</f>
        <v/>
      </c>
      <c r="T301" t="str">
        <f t="shared" si="333"/>
        <v xml:space="preserve">                                                                                                    </v>
      </c>
      <c r="U301" t="str">
        <f>"1         "</f>
        <v xml:space="preserve">1         </v>
      </c>
      <c r="V301" t="str">
        <f t="shared" si="335"/>
        <v>2</v>
      </c>
      <c r="W301" t="str">
        <f t="shared" si="299"/>
        <v>2</v>
      </c>
      <c r="X301" t="str">
        <f>"2"</f>
        <v>2</v>
      </c>
      <c r="Y301" t="str">
        <f t="shared" si="351"/>
        <v>2</v>
      </c>
      <c r="Z301" t="str">
        <f t="shared" si="351"/>
        <v>2</v>
      </c>
      <c r="AA301" t="str">
        <f t="shared" si="312"/>
        <v xml:space="preserve">          </v>
      </c>
      <c r="AB301" t="str">
        <f t="shared" si="306"/>
        <v>2</v>
      </c>
      <c r="AC301" t="str">
        <f t="shared" si="307"/>
        <v>2</v>
      </c>
      <c r="AD301" t="str">
        <f t="shared" si="353"/>
        <v>2</v>
      </c>
      <c r="AE301" t="str">
        <f t="shared" si="353"/>
        <v>2</v>
      </c>
      <c r="AF301" t="str">
        <f t="shared" si="353"/>
        <v>2</v>
      </c>
      <c r="AG301" t="str">
        <f t="shared" si="353"/>
        <v>2</v>
      </c>
      <c r="AH301" t="str">
        <f>"1"</f>
        <v>1</v>
      </c>
      <c r="AI301" t="str">
        <f>"1         "</f>
        <v xml:space="preserve">1         </v>
      </c>
      <c r="AJ301" t="str">
        <f>"170"</f>
        <v>170</v>
      </c>
      <c r="AK301" t="str">
        <f>"05"</f>
        <v>05</v>
      </c>
      <c r="AL301" t="str">
        <f>"120"</f>
        <v>120</v>
      </c>
      <c r="AM301" t="str">
        <f>"05"</f>
        <v>05</v>
      </c>
      <c r="AN301" t="str">
        <f>"05001"</f>
        <v>05001</v>
      </c>
      <c r="AO301" t="str">
        <f>"24/11/2020 12:00:00 a. m."</f>
        <v>24/11/2020 12:00:00 a. m.</v>
      </c>
      <c r="AP301" t="str">
        <f>"24/10/2020 12:00:00 a. m."</f>
        <v>24/10/2020 12:00:00 a. m.</v>
      </c>
      <c r="AQ301" t="str">
        <f>"3"</f>
        <v>3</v>
      </c>
      <c r="AR301" t="str">
        <f t="shared" si="350"/>
        <v>1</v>
      </c>
      <c r="AS301" t="str">
        <f>"24/11/2020 12:00:00 a. m."</f>
        <v>24/11/2020 12:00:00 a. m.</v>
      </c>
      <c r="AT301" t="str">
        <f t="shared" si="346"/>
        <v>1</v>
      </c>
      <c r="AU301" t="str">
        <f>""</f>
        <v/>
      </c>
      <c r="AV301" t="str">
        <f>"0"</f>
        <v>0</v>
      </c>
      <c r="AW301" t="str">
        <f>"2/06/2017 12:00:00 a. m."</f>
        <v>2/06/2017 12:00:00 a. m.</v>
      </c>
      <c r="AX301" t="str">
        <f>""</f>
        <v/>
      </c>
      <c r="AY301" t="str">
        <f t="shared" si="314"/>
        <v>30/04/2021 12:00:00 a. m.</v>
      </c>
      <c r="AZ301" t="str">
        <f>"11/12/2020 12:00:00 a. m."</f>
        <v>11/12/2020 12:00:00 a. m.</v>
      </c>
      <c r="BA301" t="str">
        <f>""</f>
        <v/>
      </c>
      <c r="BB301" t="str">
        <f>""</f>
        <v/>
      </c>
      <c r="BC301" t="str">
        <f>""</f>
        <v/>
      </c>
      <c r="BD301" t="str">
        <f t="shared" si="340"/>
        <v>1</v>
      </c>
      <c r="BE301" t="str">
        <f t="shared" si="340"/>
        <v>1</v>
      </c>
      <c r="BF301" t="str">
        <f t="shared" si="315"/>
        <v xml:space="preserve">3         </v>
      </c>
      <c r="BG301" t="str">
        <f t="shared" si="316"/>
        <v>Confirmado por laboratorio</v>
      </c>
      <c r="BH301" t="str">
        <f>"FUNDACION HOSPITALARIA SAN VICENTE DE PAUL"</f>
        <v>FUNDACION HOSPITALARIA SAN VICENTE DE PAUL</v>
      </c>
      <c r="BI301" t="str">
        <f>"COLOMBIA"</f>
        <v>COLOMBIA</v>
      </c>
      <c r="BJ301" t="str">
        <f t="shared" si="317"/>
        <v>CANCER INFANTIL</v>
      </c>
      <c r="BK301" t="str">
        <f>"ANTIOQUIA"</f>
        <v>ANTIOQUIA</v>
      </c>
      <c r="BL301" t="str">
        <f>"CACERES"</f>
        <v>CACERES</v>
      </c>
      <c r="BM301" t="str">
        <f>"COLOMBIA"</f>
        <v>COLOMBIA</v>
      </c>
      <c r="BN301" t="str">
        <f>"ANTIOQUIA"</f>
        <v>ANTIOQUIA</v>
      </c>
      <c r="BO301" t="str">
        <f>"CACERES"</f>
        <v>CACERES</v>
      </c>
      <c r="BP301" t="str">
        <f>"ANTIOQUIA"</f>
        <v>ANTIOQUIA</v>
      </c>
      <c r="BQ301" t="str">
        <f>"MEDELLIN"</f>
        <v>MEDELLIN</v>
      </c>
    </row>
    <row r="302" spans="1:69" x14ac:dyDescent="0.25">
      <c r="A302" t="str">
        <f>"7285342"</f>
        <v>7285342</v>
      </c>
      <c r="B302" t="str">
        <f t="shared" si="310"/>
        <v>459</v>
      </c>
      <c r="C302" t="str">
        <f>"3/12/2020 12:00:00 a. m."</f>
        <v>3/12/2020 12:00:00 a. m.</v>
      </c>
      <c r="D302" t="str">
        <f>"48"</f>
        <v>48</v>
      </c>
      <c r="E302" t="str">
        <f t="shared" si="311"/>
        <v>2020</v>
      </c>
      <c r="F302" t="str">
        <f>"1100116338"</f>
        <v>1100116338</v>
      </c>
      <c r="G302" t="str">
        <f>"83"</f>
        <v>83</v>
      </c>
      <c r="H302" t="str">
        <f>"14"</f>
        <v>14</v>
      </c>
      <c r="I302" t="str">
        <f t="shared" si="352"/>
        <v>1</v>
      </c>
      <c r="J302" t="str">
        <f>"M"</f>
        <v>M</v>
      </c>
      <c r="K302" t="str">
        <f>"170"</f>
        <v>170</v>
      </c>
      <c r="L302" t="str">
        <f>"25"</f>
        <v>25</v>
      </c>
      <c r="M302" t="str">
        <f>"430"</f>
        <v>430</v>
      </c>
      <c r="N302" t="str">
        <f t="shared" si="347"/>
        <v>1</v>
      </c>
      <c r="O302" t="str">
        <f>"9997"</f>
        <v>9997</v>
      </c>
      <c r="P302" t="str">
        <f>"P"</f>
        <v>P</v>
      </c>
      <c r="Q302" t="str">
        <f>"RES003"</f>
        <v>RES003</v>
      </c>
      <c r="R302" t="str">
        <f t="shared" si="341"/>
        <v>6</v>
      </c>
      <c r="S302" t="str">
        <f>""</f>
        <v/>
      </c>
      <c r="T302" t="str">
        <f t="shared" si="333"/>
        <v xml:space="preserve">                                                                                                    </v>
      </c>
      <c r="U302" t="str">
        <f>"2         "</f>
        <v xml:space="preserve">2         </v>
      </c>
      <c r="V302" t="str">
        <f t="shared" si="335"/>
        <v>2</v>
      </c>
      <c r="W302" t="str">
        <f t="shared" si="299"/>
        <v>2</v>
      </c>
      <c r="X302" t="str">
        <f>"2"</f>
        <v>2</v>
      </c>
      <c r="Y302" t="str">
        <f t="shared" si="351"/>
        <v>2</v>
      </c>
      <c r="Z302" t="str">
        <f t="shared" si="351"/>
        <v>2</v>
      </c>
      <c r="AA302" t="str">
        <f t="shared" si="312"/>
        <v xml:space="preserve">          </v>
      </c>
      <c r="AB302" t="str">
        <f t="shared" si="306"/>
        <v>2</v>
      </c>
      <c r="AC302" t="str">
        <f t="shared" si="307"/>
        <v>2</v>
      </c>
      <c r="AD302" t="str">
        <f t="shared" si="353"/>
        <v>2</v>
      </c>
      <c r="AE302" t="str">
        <f t="shared" si="353"/>
        <v>2</v>
      </c>
      <c r="AF302" t="str">
        <f t="shared" si="353"/>
        <v>2</v>
      </c>
      <c r="AG302" t="str">
        <f t="shared" si="353"/>
        <v>2</v>
      </c>
      <c r="AH302" t="str">
        <f>"1"</f>
        <v>1</v>
      </c>
      <c r="AI302" t="str">
        <f>"1         "</f>
        <v xml:space="preserve">1         </v>
      </c>
      <c r="AJ302" t="str">
        <f>"170"</f>
        <v>170</v>
      </c>
      <c r="AK302" t="str">
        <f>"25"</f>
        <v>25</v>
      </c>
      <c r="AL302" t="str">
        <f>"430"</f>
        <v>430</v>
      </c>
      <c r="AM302" t="str">
        <f>"11"</f>
        <v>11</v>
      </c>
      <c r="AN302" t="str">
        <f>"11001"</f>
        <v>11001</v>
      </c>
      <c r="AO302" t="str">
        <f>"26/11/2020 12:00:00 a. m."</f>
        <v>26/11/2020 12:00:00 a. m.</v>
      </c>
      <c r="AP302" t="str">
        <f>"15/08/2020 12:00:00 a. m."</f>
        <v>15/08/2020 12:00:00 a. m.</v>
      </c>
      <c r="AQ302" t="str">
        <f>"2"</f>
        <v>2</v>
      </c>
      <c r="AR302" t="str">
        <f t="shared" si="350"/>
        <v>1</v>
      </c>
      <c r="AS302" t="str">
        <f>"26/11/2020 12:00:00 a. m."</f>
        <v>26/11/2020 12:00:00 a. m.</v>
      </c>
      <c r="AT302" t="str">
        <f t="shared" si="346"/>
        <v>1</v>
      </c>
      <c r="AU302" t="str">
        <f>""</f>
        <v/>
      </c>
      <c r="AV302" t="str">
        <f>"3"</f>
        <v>3</v>
      </c>
      <c r="AW302" t="str">
        <f>"6/02/2006 12:00:00 a. m."</f>
        <v>6/02/2006 12:00:00 a. m.</v>
      </c>
      <c r="AX302" t="str">
        <f>""</f>
        <v/>
      </c>
      <c r="AY302" t="str">
        <f t="shared" si="314"/>
        <v>30/04/2021 12:00:00 a. m.</v>
      </c>
      <c r="AZ302" t="str">
        <f>"13/12/2020 12:00:00 a. m."</f>
        <v>13/12/2020 12:00:00 a. m.</v>
      </c>
      <c r="BA302" t="str">
        <f>""</f>
        <v/>
      </c>
      <c r="BB302" t="str">
        <f>""</f>
        <v/>
      </c>
      <c r="BC302" t="str">
        <f>""</f>
        <v/>
      </c>
      <c r="BD302" t="str">
        <f t="shared" ref="BD302:BE321" si="354">"1"</f>
        <v>1</v>
      </c>
      <c r="BE302" t="str">
        <f t="shared" si="354"/>
        <v>1</v>
      </c>
      <c r="BF302" t="str">
        <f t="shared" si="315"/>
        <v xml:space="preserve">3         </v>
      </c>
      <c r="BG302" t="str">
        <f t="shared" si="316"/>
        <v>Confirmado por laboratorio</v>
      </c>
      <c r="BH302" t="str">
        <f>"HOSPITAL MILITAR CENTRAL CHAPINERO"</f>
        <v>HOSPITAL MILITAR CENTRAL CHAPINERO</v>
      </c>
      <c r="BI302" t="str">
        <f>"COLOMBIA"</f>
        <v>COLOMBIA</v>
      </c>
      <c r="BJ302" t="str">
        <f t="shared" si="317"/>
        <v>CANCER INFANTIL</v>
      </c>
      <c r="BK302" t="str">
        <f>"CUNDINAMARCA"</f>
        <v>CUNDINAMARCA</v>
      </c>
      <c r="BL302" t="str">
        <f>"MADRID"</f>
        <v>MADRID</v>
      </c>
      <c r="BM302" t="str">
        <f>"COLOMBIA"</f>
        <v>COLOMBIA</v>
      </c>
      <c r="BN302" t="str">
        <f>"CUNDINAMARCA"</f>
        <v>CUNDINAMARCA</v>
      </c>
      <c r="BO302" t="str">
        <f>"MADRID"</f>
        <v>MADRID</v>
      </c>
      <c r="BP302" t="str">
        <f>"BOGOTA"</f>
        <v>BOGOTA</v>
      </c>
      <c r="BQ302" t="str">
        <f>"BOGOTA"</f>
        <v>BOGOTA</v>
      </c>
    </row>
    <row r="303" spans="1:69" x14ac:dyDescent="0.25">
      <c r="A303" t="str">
        <f>"7285757"</f>
        <v>7285757</v>
      </c>
      <c r="B303" t="str">
        <f t="shared" si="310"/>
        <v>459</v>
      </c>
      <c r="C303" t="str">
        <f>"23/06/2020 12:00:00 a. m."</f>
        <v>23/06/2020 12:00:00 a. m.</v>
      </c>
      <c r="D303" t="str">
        <f>"19"</f>
        <v>19</v>
      </c>
      <c r="E303" t="str">
        <f t="shared" si="311"/>
        <v>2020</v>
      </c>
      <c r="F303" t="str">
        <f>"5400100371"</f>
        <v>5400100371</v>
      </c>
      <c r="G303" t="str">
        <f t="shared" ref="G303:G312" si="355">"01"</f>
        <v>01</v>
      </c>
      <c r="H303" t="str">
        <f>"13"</f>
        <v>13</v>
      </c>
      <c r="I303" t="str">
        <f t="shared" si="352"/>
        <v>1</v>
      </c>
      <c r="J303" t="str">
        <f>"F"</f>
        <v>F</v>
      </c>
      <c r="K303" t="str">
        <f>"862"</f>
        <v>862</v>
      </c>
      <c r="L303" t="str">
        <f>"01"</f>
        <v>01</v>
      </c>
      <c r="M303" t="str">
        <f>"862"</f>
        <v>862</v>
      </c>
      <c r="N303" t="str">
        <f t="shared" si="347"/>
        <v>1</v>
      </c>
      <c r="O303" t="str">
        <f>"9999"</f>
        <v>9999</v>
      </c>
      <c r="P303" t="str">
        <f>"N"</f>
        <v>N</v>
      </c>
      <c r="Q303" t="str">
        <f>""</f>
        <v/>
      </c>
      <c r="R303" t="str">
        <f t="shared" si="341"/>
        <v>6</v>
      </c>
      <c r="S303" t="str">
        <f>""</f>
        <v/>
      </c>
      <c r="T303" t="str">
        <f t="shared" si="333"/>
        <v xml:space="preserve">                                                                                                    </v>
      </c>
      <c r="U303" t="str">
        <f>"2         "</f>
        <v xml:space="preserve">2         </v>
      </c>
      <c r="V303" t="str">
        <f t="shared" si="335"/>
        <v>2</v>
      </c>
      <c r="W303" t="str">
        <f t="shared" si="299"/>
        <v>2</v>
      </c>
      <c r="X303" t="str">
        <f>"1"</f>
        <v>1</v>
      </c>
      <c r="Y303" t="str">
        <f t="shared" si="351"/>
        <v>2</v>
      </c>
      <c r="Z303" t="str">
        <f t="shared" si="351"/>
        <v>2</v>
      </c>
      <c r="AA303" t="str">
        <f t="shared" si="312"/>
        <v xml:space="preserve">          </v>
      </c>
      <c r="AB303" t="str">
        <f t="shared" si="306"/>
        <v>2</v>
      </c>
      <c r="AC303" t="str">
        <f t="shared" si="307"/>
        <v>2</v>
      </c>
      <c r="AD303" t="str">
        <f t="shared" si="353"/>
        <v>2</v>
      </c>
      <c r="AE303" t="str">
        <f t="shared" si="353"/>
        <v>2</v>
      </c>
      <c r="AF303" t="str">
        <f t="shared" si="353"/>
        <v>2</v>
      </c>
      <c r="AG303" t="str">
        <f t="shared" si="353"/>
        <v>2</v>
      </c>
      <c r="AH303" t="str">
        <f>"2"</f>
        <v>2</v>
      </c>
      <c r="AI303" t="str">
        <f>"1         "</f>
        <v xml:space="preserve">1         </v>
      </c>
      <c r="AJ303" t="str">
        <f>"862"</f>
        <v>862</v>
      </c>
      <c r="AK303" t="str">
        <f>"01"</f>
        <v>01</v>
      </c>
      <c r="AL303" t="str">
        <f>"862"</f>
        <v>862</v>
      </c>
      <c r="AM303" t="str">
        <f>"54"</f>
        <v>54</v>
      </c>
      <c r="AN303" t="str">
        <f>"54001"</f>
        <v>54001</v>
      </c>
      <c r="AO303" t="str">
        <f>"5/05/2020 12:00:00 a. m."</f>
        <v>5/05/2020 12:00:00 a. m.</v>
      </c>
      <c r="AP303" t="str">
        <f>"26/03/2020 12:00:00 a. m."</f>
        <v>26/03/2020 12:00:00 a. m.</v>
      </c>
      <c r="AQ303" t="str">
        <f>"3"</f>
        <v>3</v>
      </c>
      <c r="AR303" t="str">
        <f>"2"</f>
        <v>2</v>
      </c>
      <c r="AS303" t="str">
        <f>""</f>
        <v/>
      </c>
      <c r="AT303" t="str">
        <f t="shared" si="346"/>
        <v>1</v>
      </c>
      <c r="AU303" t="str">
        <f>""</f>
        <v/>
      </c>
      <c r="AV303" t="str">
        <f>"0"</f>
        <v>0</v>
      </c>
      <c r="AW303" t="str">
        <f>"23/11/2006 12:00:00 a. m."</f>
        <v>23/11/2006 12:00:00 a. m.</v>
      </c>
      <c r="AX303" t="str">
        <f>""</f>
        <v/>
      </c>
      <c r="AY303" t="str">
        <f t="shared" si="314"/>
        <v>30/04/2021 12:00:00 a. m.</v>
      </c>
      <c r="AZ303" t="str">
        <f>"23/06/2020 12:00:00 a. m."</f>
        <v>23/06/2020 12:00:00 a. m.</v>
      </c>
      <c r="BA303" t="str">
        <f>""</f>
        <v/>
      </c>
      <c r="BB303" t="str">
        <f>""</f>
        <v/>
      </c>
      <c r="BC303" t="str">
        <f>""</f>
        <v/>
      </c>
      <c r="BD303" t="str">
        <f t="shared" si="354"/>
        <v>1</v>
      </c>
      <c r="BE303" t="str">
        <f t="shared" si="354"/>
        <v>1</v>
      </c>
      <c r="BF303" t="str">
        <f t="shared" si="315"/>
        <v xml:space="preserve">3         </v>
      </c>
      <c r="BG303" t="str">
        <f t="shared" si="316"/>
        <v>Confirmado por laboratorio</v>
      </c>
      <c r="BH303" t="str">
        <f>"EMPRESA SOCIAL DEL ESTADO HOSPITAL UNIVERSITARIO E"</f>
        <v>EMPRESA SOCIAL DEL ESTADO HOSPITAL UNIVERSITARIO E</v>
      </c>
      <c r="BI303" t="str">
        <f>"VENEZUELA"</f>
        <v>VENEZUELA</v>
      </c>
      <c r="BJ303" t="str">
        <f t="shared" si="317"/>
        <v>CANCER INFANTIL</v>
      </c>
      <c r="BK303" t="str">
        <f>"EXTERIOR"</f>
        <v>EXTERIOR</v>
      </c>
      <c r="BL303" t="str">
        <f>"EXTERIOR_VENEZUELA"</f>
        <v>EXTERIOR_VENEZUELA</v>
      </c>
      <c r="BM303" t="str">
        <f>"VENEZUELA"</f>
        <v>VENEZUELA</v>
      </c>
      <c r="BN303" t="str">
        <f>"EXTERIOR"</f>
        <v>EXTERIOR</v>
      </c>
      <c r="BO303" t="str">
        <f>"EXTERIOR_VENEZUELA"</f>
        <v>EXTERIOR_VENEZUELA</v>
      </c>
      <c r="BP303" t="str">
        <f>"NORTE SANTANDER"</f>
        <v>NORTE SANTANDER</v>
      </c>
      <c r="BQ303" t="str">
        <f>"CUCUTA"</f>
        <v>CUCUTA</v>
      </c>
    </row>
    <row r="304" spans="1:69" x14ac:dyDescent="0.25">
      <c r="A304" t="str">
        <f>"7285783"</f>
        <v>7285783</v>
      </c>
      <c r="B304" t="str">
        <f t="shared" si="310"/>
        <v>459</v>
      </c>
      <c r="C304" t="str">
        <f>"12/02/2021 12:00:00 a. m."</f>
        <v>12/02/2021 12:00:00 a. m.</v>
      </c>
      <c r="D304" t="str">
        <f>"43"</f>
        <v>43</v>
      </c>
      <c r="E304" t="str">
        <f t="shared" si="311"/>
        <v>2020</v>
      </c>
      <c r="F304" t="str">
        <f>"5400100371"</f>
        <v>5400100371</v>
      </c>
      <c r="G304" t="str">
        <f t="shared" si="355"/>
        <v>01</v>
      </c>
      <c r="H304" t="str">
        <f>"16"</f>
        <v>16</v>
      </c>
      <c r="I304" t="str">
        <f t="shared" si="352"/>
        <v>1</v>
      </c>
      <c r="J304" t="str">
        <f>"F"</f>
        <v>F</v>
      </c>
      <c r="K304" t="str">
        <f>"862"</f>
        <v>862</v>
      </c>
      <c r="L304" t="str">
        <f>"01"</f>
        <v>01</v>
      </c>
      <c r="M304" t="str">
        <f>"862"</f>
        <v>862</v>
      </c>
      <c r="N304" t="str">
        <f t="shared" si="347"/>
        <v>1</v>
      </c>
      <c r="O304" t="str">
        <f>"9999"</f>
        <v>9999</v>
      </c>
      <c r="P304" t="str">
        <f>"N"</f>
        <v>N</v>
      </c>
      <c r="Q304" t="str">
        <f>""</f>
        <v/>
      </c>
      <c r="R304" t="str">
        <f t="shared" si="341"/>
        <v>6</v>
      </c>
      <c r="S304" t="str">
        <f>""</f>
        <v/>
      </c>
      <c r="T304" t="str">
        <f t="shared" si="333"/>
        <v xml:space="preserve">                                                                                                    </v>
      </c>
      <c r="U304" t="str">
        <f>"2         "</f>
        <v xml:space="preserve">2         </v>
      </c>
      <c r="V304" t="str">
        <f t="shared" si="335"/>
        <v>2</v>
      </c>
      <c r="W304" t="str">
        <f t="shared" si="299"/>
        <v>2</v>
      </c>
      <c r="X304" t="str">
        <f>"1"</f>
        <v>1</v>
      </c>
      <c r="Y304" t="str">
        <f t="shared" si="351"/>
        <v>2</v>
      </c>
      <c r="Z304" t="str">
        <f t="shared" si="351"/>
        <v>2</v>
      </c>
      <c r="AA304" t="str">
        <f t="shared" si="312"/>
        <v xml:space="preserve">          </v>
      </c>
      <c r="AB304" t="str">
        <f t="shared" si="306"/>
        <v>2</v>
      </c>
      <c r="AC304" t="str">
        <f t="shared" si="307"/>
        <v>2</v>
      </c>
      <c r="AD304" t="str">
        <f t="shared" si="353"/>
        <v>2</v>
      </c>
      <c r="AE304" t="str">
        <f t="shared" si="353"/>
        <v>2</v>
      </c>
      <c r="AF304" t="str">
        <f t="shared" si="353"/>
        <v>2</v>
      </c>
      <c r="AG304" t="str">
        <f t="shared" si="353"/>
        <v>2</v>
      </c>
      <c r="AH304" t="str">
        <f>"2"</f>
        <v>2</v>
      </c>
      <c r="AI304" t="str">
        <f>"2         "</f>
        <v xml:space="preserve">2         </v>
      </c>
      <c r="AJ304" t="str">
        <f>"862"</f>
        <v>862</v>
      </c>
      <c r="AK304" t="str">
        <f>"01"</f>
        <v>01</v>
      </c>
      <c r="AL304" t="str">
        <f>"862"</f>
        <v>862</v>
      </c>
      <c r="AM304" t="str">
        <f>"54"</f>
        <v>54</v>
      </c>
      <c r="AN304" t="str">
        <f>"54001"</f>
        <v>54001</v>
      </c>
      <c r="AO304" t="str">
        <f>"20/10/2020 12:00:00 a. m."</f>
        <v>20/10/2020 12:00:00 a. m.</v>
      </c>
      <c r="AP304" t="str">
        <f>"12/10/2020 12:00:00 a. m."</f>
        <v>12/10/2020 12:00:00 a. m.</v>
      </c>
      <c r="AQ304" t="str">
        <f>"3"</f>
        <v>3</v>
      </c>
      <c r="AR304" t="str">
        <f>"1"</f>
        <v>1</v>
      </c>
      <c r="AS304" t="str">
        <f>"20/10/2020 12:00:00 a. m."</f>
        <v>20/10/2020 12:00:00 a. m.</v>
      </c>
      <c r="AT304" t="str">
        <f t="shared" si="346"/>
        <v>1</v>
      </c>
      <c r="AU304" t="str">
        <f>""</f>
        <v/>
      </c>
      <c r="AV304" t="str">
        <f>"0"</f>
        <v>0</v>
      </c>
      <c r="AW304" t="str">
        <f>"1/10/2004 12:00:00 a. m."</f>
        <v>1/10/2004 12:00:00 a. m.</v>
      </c>
      <c r="AX304" t="str">
        <f>""</f>
        <v/>
      </c>
      <c r="AY304" t="str">
        <f t="shared" si="314"/>
        <v>30/04/2021 12:00:00 a. m.</v>
      </c>
      <c r="AZ304" t="str">
        <f>"12/02/2021 12:00:00 a. m."</f>
        <v>12/02/2021 12:00:00 a. m.</v>
      </c>
      <c r="BA304" t="str">
        <f>""</f>
        <v/>
      </c>
      <c r="BB304" t="str">
        <f>""</f>
        <v/>
      </c>
      <c r="BC304" t="str">
        <f>""</f>
        <v/>
      </c>
      <c r="BD304" t="str">
        <f t="shared" si="354"/>
        <v>1</v>
      </c>
      <c r="BE304" t="str">
        <f t="shared" si="354"/>
        <v>1</v>
      </c>
      <c r="BF304" t="str">
        <f t="shared" si="315"/>
        <v xml:space="preserve">3         </v>
      </c>
      <c r="BG304" t="str">
        <f t="shared" si="316"/>
        <v>Confirmado por laboratorio</v>
      </c>
      <c r="BH304" t="str">
        <f>"EMPRESA SOCIAL DEL ESTADO HOSPITAL UNIVERSITARIO E"</f>
        <v>EMPRESA SOCIAL DEL ESTADO HOSPITAL UNIVERSITARIO E</v>
      </c>
      <c r="BI304" t="str">
        <f>"VENEZUELA"</f>
        <v>VENEZUELA</v>
      </c>
      <c r="BJ304" t="str">
        <f t="shared" si="317"/>
        <v>CANCER INFANTIL</v>
      </c>
      <c r="BK304" t="str">
        <f>"EXTERIOR"</f>
        <v>EXTERIOR</v>
      </c>
      <c r="BL304" t="str">
        <f>"EXTERIOR_VENEZUELA"</f>
        <v>EXTERIOR_VENEZUELA</v>
      </c>
      <c r="BM304" t="str">
        <f>"VENEZUELA"</f>
        <v>VENEZUELA</v>
      </c>
      <c r="BN304" t="str">
        <f>"EXTERIOR"</f>
        <v>EXTERIOR</v>
      </c>
      <c r="BO304" t="str">
        <f>"EXTERIOR_VENEZUELA"</f>
        <v>EXTERIOR_VENEZUELA</v>
      </c>
      <c r="BP304" t="str">
        <f>"NORTE SANTANDER"</f>
        <v>NORTE SANTANDER</v>
      </c>
      <c r="BQ304" t="str">
        <f>"CUCUTA"</f>
        <v>CUCUTA</v>
      </c>
    </row>
    <row r="305" spans="1:69" x14ac:dyDescent="0.25">
      <c r="A305" t="str">
        <f>"7278746"</f>
        <v>7278746</v>
      </c>
      <c r="B305" t="str">
        <f t="shared" si="310"/>
        <v>459</v>
      </c>
      <c r="C305" t="str">
        <f>"28/12/2020 12:00:00 a. m."</f>
        <v>28/12/2020 12:00:00 a. m.</v>
      </c>
      <c r="D305" t="str">
        <f>"39"</f>
        <v>39</v>
      </c>
      <c r="E305" t="str">
        <f t="shared" si="311"/>
        <v>2020</v>
      </c>
      <c r="F305" t="str">
        <f>"7600103066"</f>
        <v>7600103066</v>
      </c>
      <c r="G305" t="str">
        <f t="shared" si="355"/>
        <v>01</v>
      </c>
      <c r="H305" t="str">
        <f>"15"</f>
        <v>15</v>
      </c>
      <c r="I305" t="str">
        <f t="shared" si="352"/>
        <v>1</v>
      </c>
      <c r="J305" t="str">
        <f>"F"</f>
        <v>F</v>
      </c>
      <c r="K305" t="str">
        <f t="shared" ref="K305:K328" si="356">"170"</f>
        <v>170</v>
      </c>
      <c r="L305" t="str">
        <f>"19"</f>
        <v>19</v>
      </c>
      <c r="M305" t="str">
        <f>"548"</f>
        <v>548</v>
      </c>
      <c r="N305" t="str">
        <f>"3"</f>
        <v>3</v>
      </c>
      <c r="O305" t="str">
        <f>"9997"</f>
        <v>9997</v>
      </c>
      <c r="P305" t="str">
        <f>"C"</f>
        <v>C</v>
      </c>
      <c r="Q305" t="str">
        <f>"EPS005"</f>
        <v>EPS005</v>
      </c>
      <c r="R305" t="str">
        <f t="shared" si="341"/>
        <v>6</v>
      </c>
      <c r="S305" t="str">
        <f>""</f>
        <v/>
      </c>
      <c r="T305" t="str">
        <f t="shared" si="333"/>
        <v xml:space="preserve">                                                                                                    </v>
      </c>
      <c r="U305" t="str">
        <f>"1         "</f>
        <v xml:space="preserve">1         </v>
      </c>
      <c r="V305" t="str">
        <f t="shared" si="335"/>
        <v>2</v>
      </c>
      <c r="W305" t="str">
        <f t="shared" si="299"/>
        <v>2</v>
      </c>
      <c r="X305" t="str">
        <f t="shared" ref="X305:X328" si="357">"2"</f>
        <v>2</v>
      </c>
      <c r="Y305" t="str">
        <f t="shared" si="351"/>
        <v>2</v>
      </c>
      <c r="Z305" t="str">
        <f t="shared" si="351"/>
        <v>2</v>
      </c>
      <c r="AA305" t="str">
        <f t="shared" si="312"/>
        <v xml:space="preserve">          </v>
      </c>
      <c r="AB305" t="str">
        <f t="shared" si="306"/>
        <v>2</v>
      </c>
      <c r="AC305" t="str">
        <f t="shared" si="307"/>
        <v>2</v>
      </c>
      <c r="AD305" t="str">
        <f t="shared" si="353"/>
        <v>2</v>
      </c>
      <c r="AE305" t="str">
        <f t="shared" si="353"/>
        <v>2</v>
      </c>
      <c r="AF305" t="str">
        <f t="shared" si="353"/>
        <v>2</v>
      </c>
      <c r="AG305" t="str">
        <f t="shared" si="353"/>
        <v>2</v>
      </c>
      <c r="AH305" t="str">
        <f t="shared" ref="AH305:AH328" si="358">"1"</f>
        <v>1</v>
      </c>
      <c r="AI305" t="str">
        <f t="shared" ref="AI305:AI311" si="359">"1         "</f>
        <v xml:space="preserve">1         </v>
      </c>
      <c r="AJ305" t="str">
        <f t="shared" ref="AJ305:AJ328" si="360">"170"</f>
        <v>170</v>
      </c>
      <c r="AK305" t="str">
        <f>"19"</f>
        <v>19</v>
      </c>
      <c r="AL305" t="str">
        <f>"548"</f>
        <v>548</v>
      </c>
      <c r="AM305" t="str">
        <f>"76"</f>
        <v>76</v>
      </c>
      <c r="AN305" t="str">
        <f>"76001"</f>
        <v>76001</v>
      </c>
      <c r="AO305" t="str">
        <f>"23/09/2020 12:00:00 a. m."</f>
        <v>23/09/2020 12:00:00 a. m.</v>
      </c>
      <c r="AP305" t="str">
        <f>"22/08/2020 12:00:00 a. m."</f>
        <v>22/08/2020 12:00:00 a. m.</v>
      </c>
      <c r="AQ305" t="str">
        <f>"3"</f>
        <v>3</v>
      </c>
      <c r="AR305" t="str">
        <f>"2"</f>
        <v>2</v>
      </c>
      <c r="AS305" t="str">
        <f>""</f>
        <v/>
      </c>
      <c r="AT305" t="str">
        <f t="shared" si="346"/>
        <v>1</v>
      </c>
      <c r="AU305" t="str">
        <f>""</f>
        <v/>
      </c>
      <c r="AV305" t="str">
        <f t="shared" ref="AV305:AV311" si="361">"3"</f>
        <v>3</v>
      </c>
      <c r="AW305" t="str">
        <f>"10/10/2005 12:00:00 a. m."</f>
        <v>10/10/2005 12:00:00 a. m.</v>
      </c>
      <c r="AX305" t="str">
        <f>""</f>
        <v/>
      </c>
      <c r="AY305" t="str">
        <f t="shared" si="314"/>
        <v>30/04/2021 12:00:00 a. m.</v>
      </c>
      <c r="AZ305" t="str">
        <f>"29/01/2021 12:00:00 a. m."</f>
        <v>29/01/2021 12:00:00 a. m.</v>
      </c>
      <c r="BA305" t="str">
        <f>""</f>
        <v/>
      </c>
      <c r="BB305" t="str">
        <f>""</f>
        <v/>
      </c>
      <c r="BC305" t="str">
        <f>""</f>
        <v/>
      </c>
      <c r="BD305" t="str">
        <f t="shared" si="354"/>
        <v>1</v>
      </c>
      <c r="BE305" t="str">
        <f t="shared" si="354"/>
        <v>1</v>
      </c>
      <c r="BF305" t="str">
        <f t="shared" si="315"/>
        <v xml:space="preserve">3         </v>
      </c>
      <c r="BG305" t="str">
        <f t="shared" si="316"/>
        <v>Confirmado por laboratorio</v>
      </c>
      <c r="BH305" t="str">
        <f>"CLINICA DE OCCIDENTE SA"</f>
        <v>CLINICA DE OCCIDENTE SA</v>
      </c>
      <c r="BI305" t="str">
        <f t="shared" ref="BI305:BI328" si="362">"COLOMBIA"</f>
        <v>COLOMBIA</v>
      </c>
      <c r="BJ305" t="str">
        <f t="shared" si="317"/>
        <v>CANCER INFANTIL</v>
      </c>
      <c r="BK305" t="str">
        <f>"CAUCA"</f>
        <v>CAUCA</v>
      </c>
      <c r="BL305" t="str">
        <f>"PIENDAMO"</f>
        <v>PIENDAMO</v>
      </c>
      <c r="BM305" t="str">
        <f t="shared" ref="BM305:BM328" si="363">"COLOMBIA"</f>
        <v>COLOMBIA</v>
      </c>
      <c r="BN305" t="str">
        <f>"CAUCA"</f>
        <v>CAUCA</v>
      </c>
      <c r="BO305" t="str">
        <f>"PIENDAMO"</f>
        <v>PIENDAMO</v>
      </c>
      <c r="BP305" t="str">
        <f>"VALLE"</f>
        <v>VALLE</v>
      </c>
      <c r="BQ305" t="str">
        <f>"CALI"</f>
        <v>CALI</v>
      </c>
    </row>
    <row r="306" spans="1:69" x14ac:dyDescent="0.25">
      <c r="A306" t="str">
        <f>"7278769"</f>
        <v>7278769</v>
      </c>
      <c r="B306" t="str">
        <f t="shared" si="310"/>
        <v>459</v>
      </c>
      <c r="C306" t="str">
        <f>"10/03/2020 12:00:00 a. m."</f>
        <v>10/03/2020 12:00:00 a. m.</v>
      </c>
      <c r="D306" t="str">
        <f>"11"</f>
        <v>11</v>
      </c>
      <c r="E306" t="str">
        <f t="shared" si="311"/>
        <v>2020</v>
      </c>
      <c r="F306" t="str">
        <f>"7600103799"</f>
        <v>7600103799</v>
      </c>
      <c r="G306" t="str">
        <f t="shared" si="355"/>
        <v>01</v>
      </c>
      <c r="H306" t="str">
        <f>"6"</f>
        <v>6</v>
      </c>
      <c r="I306" t="str">
        <f>"2"</f>
        <v>2</v>
      </c>
      <c r="J306" t="str">
        <f>"M"</f>
        <v>M</v>
      </c>
      <c r="K306" t="str">
        <f t="shared" si="356"/>
        <v>170</v>
      </c>
      <c r="L306" t="str">
        <f>"41"</f>
        <v>41</v>
      </c>
      <c r="M306" t="str">
        <f>"359"</f>
        <v>359</v>
      </c>
      <c r="N306" t="str">
        <f>"1"</f>
        <v>1</v>
      </c>
      <c r="O306" t="str">
        <f>"9999"</f>
        <v>9999</v>
      </c>
      <c r="P306" t="str">
        <f>"S"</f>
        <v>S</v>
      </c>
      <c r="Q306" t="str">
        <f>"EPSI03"</f>
        <v>EPSI03</v>
      </c>
      <c r="R306" t="str">
        <f t="shared" si="341"/>
        <v>6</v>
      </c>
      <c r="S306" t="str">
        <f>""</f>
        <v/>
      </c>
      <c r="T306" t="str">
        <f t="shared" si="333"/>
        <v xml:space="preserve">                                                                                                    </v>
      </c>
      <c r="U306" t="str">
        <f>"          "</f>
        <v xml:space="preserve">          </v>
      </c>
      <c r="V306" t="str">
        <f t="shared" si="335"/>
        <v>2</v>
      </c>
      <c r="W306" t="str">
        <f t="shared" si="299"/>
        <v>2</v>
      </c>
      <c r="X306" t="str">
        <f t="shared" si="357"/>
        <v>2</v>
      </c>
      <c r="Y306" t="str">
        <f t="shared" si="351"/>
        <v>2</v>
      </c>
      <c r="Z306" t="str">
        <f t="shared" si="351"/>
        <v>2</v>
      </c>
      <c r="AA306" t="str">
        <f t="shared" si="312"/>
        <v xml:space="preserve">          </v>
      </c>
      <c r="AB306" t="str">
        <f t="shared" si="306"/>
        <v>2</v>
      </c>
      <c r="AC306" t="str">
        <f t="shared" si="307"/>
        <v>2</v>
      </c>
      <c r="AD306" t="str">
        <f t="shared" si="353"/>
        <v>2</v>
      </c>
      <c r="AE306" t="str">
        <f t="shared" si="353"/>
        <v>2</v>
      </c>
      <c r="AF306" t="str">
        <f t="shared" si="353"/>
        <v>2</v>
      </c>
      <c r="AG306" t="str">
        <f t="shared" si="353"/>
        <v>2</v>
      </c>
      <c r="AH306" t="str">
        <f t="shared" si="358"/>
        <v>1</v>
      </c>
      <c r="AI306" t="str">
        <f t="shared" si="359"/>
        <v xml:space="preserve">1         </v>
      </c>
      <c r="AJ306" t="str">
        <f t="shared" si="360"/>
        <v>170</v>
      </c>
      <c r="AK306" t="str">
        <f>"41"</f>
        <v>41</v>
      </c>
      <c r="AL306" t="str">
        <f>"359"</f>
        <v>359</v>
      </c>
      <c r="AM306" t="str">
        <f>"76"</f>
        <v>76</v>
      </c>
      <c r="AN306" t="str">
        <f>"76001"</f>
        <v>76001</v>
      </c>
      <c r="AO306" t="str">
        <f>"9/03/2020 12:00:00 a. m."</f>
        <v>9/03/2020 12:00:00 a. m.</v>
      </c>
      <c r="AP306" t="str">
        <f>"1/01/2020 12:00:00 a. m."</f>
        <v>1/01/2020 12:00:00 a. m.</v>
      </c>
      <c r="AQ306" t="str">
        <f>"2"</f>
        <v>2</v>
      </c>
      <c r="AR306" t="str">
        <f t="shared" ref="AR306:AR331" si="364">"1"</f>
        <v>1</v>
      </c>
      <c r="AS306" t="str">
        <f>"9/03/2020 12:00:00 a. m."</f>
        <v>9/03/2020 12:00:00 a. m.</v>
      </c>
      <c r="AT306" t="str">
        <f t="shared" si="346"/>
        <v>1</v>
      </c>
      <c r="AU306" t="str">
        <f>""</f>
        <v/>
      </c>
      <c r="AV306" t="str">
        <f t="shared" si="361"/>
        <v>3</v>
      </c>
      <c r="AW306" t="str">
        <f>"28/08/2019 12:00:00 a. m."</f>
        <v>28/08/2019 12:00:00 a. m.</v>
      </c>
      <c r="AX306" t="str">
        <f>""</f>
        <v/>
      </c>
      <c r="AY306" t="str">
        <f t="shared" si="314"/>
        <v>30/04/2021 12:00:00 a. m.</v>
      </c>
      <c r="AZ306" t="str">
        <f>"27/04/2020 12:00:00 a. m."</f>
        <v>27/04/2020 12:00:00 a. m.</v>
      </c>
      <c r="BA306" t="str">
        <f>""</f>
        <v/>
      </c>
      <c r="BB306" t="str">
        <f>""</f>
        <v/>
      </c>
      <c r="BC306" t="str">
        <f>""</f>
        <v/>
      </c>
      <c r="BD306" t="str">
        <f t="shared" si="354"/>
        <v>1</v>
      </c>
      <c r="BE306" t="str">
        <f t="shared" si="354"/>
        <v>1</v>
      </c>
      <c r="BF306" t="str">
        <f t="shared" si="315"/>
        <v xml:space="preserve">3         </v>
      </c>
      <c r="BG306" t="str">
        <f t="shared" si="316"/>
        <v>Confirmado por laboratorio</v>
      </c>
      <c r="BH306" t="str">
        <f>"HOSPITAL UNIVERSITARIO DEL VALLE EVARISTO GARCIA"</f>
        <v>HOSPITAL UNIVERSITARIO DEL VALLE EVARISTO GARCIA</v>
      </c>
      <c r="BI306" t="str">
        <f t="shared" si="362"/>
        <v>COLOMBIA</v>
      </c>
      <c r="BJ306" t="str">
        <f t="shared" si="317"/>
        <v>CANCER INFANTIL</v>
      </c>
      <c r="BK306" t="str">
        <f>"HUILA"</f>
        <v>HUILA</v>
      </c>
      <c r="BL306" t="str">
        <f>"ISNOS (SAN JOSE DE ISNOS)"</f>
        <v>ISNOS (SAN JOSE DE ISNOS)</v>
      </c>
      <c r="BM306" t="str">
        <f t="shared" si="363"/>
        <v>COLOMBIA</v>
      </c>
      <c r="BN306" t="str">
        <f>"HUILA"</f>
        <v>HUILA</v>
      </c>
      <c r="BO306" t="str">
        <f>"ISNOS (SAN JOSE DE ISNOS)"</f>
        <v>ISNOS (SAN JOSE DE ISNOS)</v>
      </c>
      <c r="BP306" t="str">
        <f>"VALLE"</f>
        <v>VALLE</v>
      </c>
      <c r="BQ306" t="str">
        <f>"CALI"</f>
        <v>CALI</v>
      </c>
    </row>
    <row r="307" spans="1:69" x14ac:dyDescent="0.25">
      <c r="A307" t="str">
        <f>"7278771"</f>
        <v>7278771</v>
      </c>
      <c r="B307" t="str">
        <f t="shared" si="310"/>
        <v>459</v>
      </c>
      <c r="C307" t="str">
        <f>"4/11/2020 12:00:00 a. m."</f>
        <v>4/11/2020 12:00:00 a. m.</v>
      </c>
      <c r="D307" t="str">
        <f>"42"</f>
        <v>42</v>
      </c>
      <c r="E307" t="str">
        <f t="shared" si="311"/>
        <v>2020</v>
      </c>
      <c r="F307" t="str">
        <f>"7600103799"</f>
        <v>7600103799</v>
      </c>
      <c r="G307" t="str">
        <f t="shared" si="355"/>
        <v>01</v>
      </c>
      <c r="H307" t="str">
        <f>"2"</f>
        <v>2</v>
      </c>
      <c r="I307" t="str">
        <f>"1"</f>
        <v>1</v>
      </c>
      <c r="J307" t="str">
        <f>"M"</f>
        <v>M</v>
      </c>
      <c r="K307" t="str">
        <f t="shared" si="356"/>
        <v>170</v>
      </c>
      <c r="L307" t="str">
        <f>"52"</f>
        <v>52</v>
      </c>
      <c r="M307" t="str">
        <f>"390"</f>
        <v>390</v>
      </c>
      <c r="N307" t="str">
        <f>"1"</f>
        <v>1</v>
      </c>
      <c r="O307" t="str">
        <f>"9999"</f>
        <v>9999</v>
      </c>
      <c r="P307" t="str">
        <f>"S"</f>
        <v>S</v>
      </c>
      <c r="Q307" t="str">
        <f>"ESS062"</f>
        <v>ESS062</v>
      </c>
      <c r="R307" t="str">
        <f t="shared" si="341"/>
        <v>6</v>
      </c>
      <c r="S307" t="str">
        <f>""</f>
        <v/>
      </c>
      <c r="T307" t="str">
        <f t="shared" si="333"/>
        <v xml:space="preserve">                                                                                                    </v>
      </c>
      <c r="U307" t="str">
        <f>"1         "</f>
        <v xml:space="preserve">1         </v>
      </c>
      <c r="V307" t="str">
        <f t="shared" si="335"/>
        <v>2</v>
      </c>
      <c r="W307" t="str">
        <f t="shared" si="299"/>
        <v>2</v>
      </c>
      <c r="X307" t="str">
        <f t="shared" si="357"/>
        <v>2</v>
      </c>
      <c r="Y307" t="str">
        <f t="shared" si="351"/>
        <v>2</v>
      </c>
      <c r="Z307" t="str">
        <f t="shared" si="351"/>
        <v>2</v>
      </c>
      <c r="AA307" t="str">
        <f t="shared" si="312"/>
        <v xml:space="preserve">          </v>
      </c>
      <c r="AB307" t="str">
        <f t="shared" si="306"/>
        <v>2</v>
      </c>
      <c r="AC307" t="str">
        <f t="shared" si="307"/>
        <v>2</v>
      </c>
      <c r="AD307" t="str">
        <f t="shared" si="353"/>
        <v>2</v>
      </c>
      <c r="AE307" t="str">
        <f t="shared" si="353"/>
        <v>2</v>
      </c>
      <c r="AF307" t="str">
        <f t="shared" si="353"/>
        <v>2</v>
      </c>
      <c r="AG307" t="str">
        <f t="shared" si="353"/>
        <v>2</v>
      </c>
      <c r="AH307" t="str">
        <f t="shared" si="358"/>
        <v>1</v>
      </c>
      <c r="AI307" t="str">
        <f t="shared" si="359"/>
        <v xml:space="preserve">1         </v>
      </c>
      <c r="AJ307" t="str">
        <f t="shared" si="360"/>
        <v>170</v>
      </c>
      <c r="AK307" t="str">
        <f>"52"</f>
        <v>52</v>
      </c>
      <c r="AL307" t="str">
        <f>"390"</f>
        <v>390</v>
      </c>
      <c r="AM307" t="str">
        <f>"76"</f>
        <v>76</v>
      </c>
      <c r="AN307" t="str">
        <f>"76001"</f>
        <v>76001</v>
      </c>
      <c r="AO307" t="str">
        <f>"15/10/2020 12:00:00 a. m."</f>
        <v>15/10/2020 12:00:00 a. m.</v>
      </c>
      <c r="AP307" t="str">
        <f>"1/10/2020 12:00:00 a. m."</f>
        <v>1/10/2020 12:00:00 a. m.</v>
      </c>
      <c r="AQ307" t="str">
        <f>"2"</f>
        <v>2</v>
      </c>
      <c r="AR307" t="str">
        <f t="shared" si="364"/>
        <v>1</v>
      </c>
      <c r="AS307" t="str">
        <f>"15/10/2020 12:00:00 a. m."</f>
        <v>15/10/2020 12:00:00 a. m.</v>
      </c>
      <c r="AT307" t="str">
        <f t="shared" si="346"/>
        <v>1</v>
      </c>
      <c r="AU307" t="str">
        <f>""</f>
        <v/>
      </c>
      <c r="AV307" t="str">
        <f t="shared" si="361"/>
        <v>3</v>
      </c>
      <c r="AW307" t="str">
        <f>"28/10/2018 12:00:00 a. m."</f>
        <v>28/10/2018 12:00:00 a. m.</v>
      </c>
      <c r="AX307" t="str">
        <f>""</f>
        <v/>
      </c>
      <c r="AY307" t="str">
        <f t="shared" si="314"/>
        <v>30/04/2021 12:00:00 a. m.</v>
      </c>
      <c r="AZ307" t="str">
        <f>"20/11/2020 12:00:00 a. m."</f>
        <v>20/11/2020 12:00:00 a. m.</v>
      </c>
      <c r="BA307" t="str">
        <f>""</f>
        <v/>
      </c>
      <c r="BB307" t="str">
        <f>""</f>
        <v/>
      </c>
      <c r="BC307" t="str">
        <f>""</f>
        <v/>
      </c>
      <c r="BD307" t="str">
        <f t="shared" si="354"/>
        <v>1</v>
      </c>
      <c r="BE307" t="str">
        <f t="shared" si="354"/>
        <v>1</v>
      </c>
      <c r="BF307" t="str">
        <f t="shared" si="315"/>
        <v xml:space="preserve">3         </v>
      </c>
      <c r="BG307" t="str">
        <f t="shared" si="316"/>
        <v>Confirmado por laboratorio</v>
      </c>
      <c r="BH307" t="str">
        <f>"HOSPITAL UNIVERSITARIO DEL VALLE EVARISTO GARCIA"</f>
        <v>HOSPITAL UNIVERSITARIO DEL VALLE EVARISTO GARCIA</v>
      </c>
      <c r="BI307" t="str">
        <f t="shared" si="362"/>
        <v>COLOMBIA</v>
      </c>
      <c r="BJ307" t="str">
        <f t="shared" si="317"/>
        <v>CANCER INFANTIL</v>
      </c>
      <c r="BK307" t="str">
        <f>"NARIÑO"</f>
        <v>NARIÑO</v>
      </c>
      <c r="BL307" t="str">
        <f>"LA TOLA"</f>
        <v>LA TOLA</v>
      </c>
      <c r="BM307" t="str">
        <f t="shared" si="363"/>
        <v>COLOMBIA</v>
      </c>
      <c r="BN307" t="str">
        <f>"NARIÑO"</f>
        <v>NARIÑO</v>
      </c>
      <c r="BO307" t="str">
        <f>"LA TOLA"</f>
        <v>LA TOLA</v>
      </c>
      <c r="BP307" t="str">
        <f>"VALLE"</f>
        <v>VALLE</v>
      </c>
      <c r="BQ307" t="str">
        <f>"CALI"</f>
        <v>CALI</v>
      </c>
    </row>
    <row r="308" spans="1:69" x14ac:dyDescent="0.25">
      <c r="A308" t="str">
        <f>"7279260"</f>
        <v>7279260</v>
      </c>
      <c r="B308" t="str">
        <f t="shared" si="310"/>
        <v>459</v>
      </c>
      <c r="C308" t="str">
        <f>"14/08/2020 12:00:00 a. m."</f>
        <v>14/08/2020 12:00:00 a. m.</v>
      </c>
      <c r="D308" t="str">
        <f>"33"</f>
        <v>33</v>
      </c>
      <c r="E308" t="str">
        <f t="shared" si="311"/>
        <v>2020</v>
      </c>
      <c r="F308" t="str">
        <f>"7600102870"</f>
        <v>7600102870</v>
      </c>
      <c r="G308" t="str">
        <f t="shared" si="355"/>
        <v>01</v>
      </c>
      <c r="H308" t="str">
        <f>"16"</f>
        <v>16</v>
      </c>
      <c r="I308" t="str">
        <f>"3"</f>
        <v>3</v>
      </c>
      <c r="J308" t="str">
        <f>"F"</f>
        <v>F</v>
      </c>
      <c r="K308" t="str">
        <f t="shared" si="356"/>
        <v>170</v>
      </c>
      <c r="L308" t="str">
        <f>"76"</f>
        <v>76</v>
      </c>
      <c r="M308" t="str">
        <f>"834"</f>
        <v>834</v>
      </c>
      <c r="N308" t="str">
        <f>"1"</f>
        <v>1</v>
      </c>
      <c r="O308" t="str">
        <f>"9999"</f>
        <v>9999</v>
      </c>
      <c r="P308" t="str">
        <f>"C"</f>
        <v>C</v>
      </c>
      <c r="Q308" t="str">
        <f>"EPS018"</f>
        <v>EPS018</v>
      </c>
      <c r="R308" t="str">
        <f t="shared" si="341"/>
        <v>6</v>
      </c>
      <c r="S308" t="str">
        <f>""</f>
        <v/>
      </c>
      <c r="T308" t="str">
        <f t="shared" si="333"/>
        <v xml:space="preserve">                                                                                                    </v>
      </c>
      <c r="U308" t="str">
        <f>"          "</f>
        <v xml:space="preserve">          </v>
      </c>
      <c r="V308" t="str">
        <f t="shared" si="335"/>
        <v>2</v>
      </c>
      <c r="W308" t="str">
        <f t="shared" ref="W308:W371" si="365">"2"</f>
        <v>2</v>
      </c>
      <c r="X308" t="str">
        <f t="shared" si="357"/>
        <v>2</v>
      </c>
      <c r="Y308" t="str">
        <f t="shared" si="351"/>
        <v>2</v>
      </c>
      <c r="Z308" t="str">
        <f t="shared" si="351"/>
        <v>2</v>
      </c>
      <c r="AA308" t="str">
        <f t="shared" si="312"/>
        <v xml:space="preserve">          </v>
      </c>
      <c r="AB308" t="str">
        <f t="shared" si="306"/>
        <v>2</v>
      </c>
      <c r="AC308" t="str">
        <f t="shared" si="307"/>
        <v>2</v>
      </c>
      <c r="AD308" t="str">
        <f t="shared" si="353"/>
        <v>2</v>
      </c>
      <c r="AE308" t="str">
        <f t="shared" si="353"/>
        <v>2</v>
      </c>
      <c r="AF308" t="str">
        <f t="shared" si="353"/>
        <v>2</v>
      </c>
      <c r="AG308" t="str">
        <f t="shared" si="353"/>
        <v>2</v>
      </c>
      <c r="AH308" t="str">
        <f t="shared" si="358"/>
        <v>1</v>
      </c>
      <c r="AI308" t="str">
        <f t="shared" si="359"/>
        <v xml:space="preserve">1         </v>
      </c>
      <c r="AJ308" t="str">
        <f t="shared" si="360"/>
        <v>170</v>
      </c>
      <c r="AK308" t="str">
        <f>"76"</f>
        <v>76</v>
      </c>
      <c r="AL308" t="str">
        <f>"834"</f>
        <v>834</v>
      </c>
      <c r="AM308" t="str">
        <f>"76"</f>
        <v>76</v>
      </c>
      <c r="AN308" t="str">
        <f>"76001"</f>
        <v>76001</v>
      </c>
      <c r="AO308" t="str">
        <f>"12/08/2020 12:00:00 a. m."</f>
        <v>12/08/2020 12:00:00 a. m.</v>
      </c>
      <c r="AP308" t="str">
        <f>"29/07/2020 12:00:00 a. m."</f>
        <v>29/07/2020 12:00:00 a. m.</v>
      </c>
      <c r="AQ308" t="str">
        <f>"2"</f>
        <v>2</v>
      </c>
      <c r="AR308" t="str">
        <f t="shared" si="364"/>
        <v>1</v>
      </c>
      <c r="AS308" t="str">
        <f>"12/08/2020 12:00:00 a. m."</f>
        <v>12/08/2020 12:00:00 a. m.</v>
      </c>
      <c r="AT308" t="str">
        <f t="shared" si="346"/>
        <v>1</v>
      </c>
      <c r="AU308" t="str">
        <f>""</f>
        <v/>
      </c>
      <c r="AV308" t="str">
        <f t="shared" si="361"/>
        <v>3</v>
      </c>
      <c r="AW308" t="str">
        <f>"29/07/2020 12:00:00 a. m."</f>
        <v>29/07/2020 12:00:00 a. m.</v>
      </c>
      <c r="AX308" t="str">
        <f>""</f>
        <v/>
      </c>
      <c r="AY308" t="str">
        <f t="shared" si="314"/>
        <v>30/04/2021 12:00:00 a. m.</v>
      </c>
      <c r="AZ308" t="str">
        <f>"27/08/2020 12:00:00 a. m."</f>
        <v>27/08/2020 12:00:00 a. m.</v>
      </c>
      <c r="BA308" t="str">
        <f>""</f>
        <v/>
      </c>
      <c r="BB308" t="str">
        <f>""</f>
        <v/>
      </c>
      <c r="BC308" t="str">
        <f>""</f>
        <v/>
      </c>
      <c r="BD308" t="str">
        <f t="shared" si="354"/>
        <v>1</v>
      </c>
      <c r="BE308" t="str">
        <f t="shared" si="354"/>
        <v>1</v>
      </c>
      <c r="BF308" t="str">
        <f t="shared" si="315"/>
        <v xml:space="preserve">3         </v>
      </c>
      <c r="BG308" t="str">
        <f t="shared" si="316"/>
        <v>Confirmado por laboratorio</v>
      </c>
      <c r="BH308" t="str">
        <f>"FUNDACION VALLE DEL LILI"</f>
        <v>FUNDACION VALLE DEL LILI</v>
      </c>
      <c r="BI308" t="str">
        <f t="shared" si="362"/>
        <v>COLOMBIA</v>
      </c>
      <c r="BJ308" t="str">
        <f t="shared" si="317"/>
        <v>CANCER INFANTIL</v>
      </c>
      <c r="BK308" t="str">
        <f>"VALLE"</f>
        <v>VALLE</v>
      </c>
      <c r="BL308" t="str">
        <f>"TULUA"</f>
        <v>TULUA</v>
      </c>
      <c r="BM308" t="str">
        <f t="shared" si="363"/>
        <v>COLOMBIA</v>
      </c>
      <c r="BN308" t="str">
        <f>"VALLE"</f>
        <v>VALLE</v>
      </c>
      <c r="BO308" t="str">
        <f>"TULUA"</f>
        <v>TULUA</v>
      </c>
      <c r="BP308" t="str">
        <f>"VALLE"</f>
        <v>VALLE</v>
      </c>
      <c r="BQ308" t="str">
        <f>"CALI"</f>
        <v>CALI</v>
      </c>
    </row>
    <row r="309" spans="1:69" x14ac:dyDescent="0.25">
      <c r="A309" t="str">
        <f>"7279176"</f>
        <v>7279176</v>
      </c>
      <c r="B309" t="str">
        <f t="shared" si="310"/>
        <v>459</v>
      </c>
      <c r="C309" t="str">
        <f>"31/10/2020 12:00:00 a. m."</f>
        <v>31/10/2020 12:00:00 a. m.</v>
      </c>
      <c r="D309" t="str">
        <f>"43"</f>
        <v>43</v>
      </c>
      <c r="E309" t="str">
        <f t="shared" si="311"/>
        <v>2020</v>
      </c>
      <c r="F309" t="str">
        <f>"7300101047"</f>
        <v>7300101047</v>
      </c>
      <c r="G309" t="str">
        <f t="shared" si="355"/>
        <v>01</v>
      </c>
      <c r="H309" t="str">
        <f>"16"</f>
        <v>16</v>
      </c>
      <c r="I309" t="str">
        <f t="shared" ref="I309:I321" si="366">"1"</f>
        <v>1</v>
      </c>
      <c r="J309" t="str">
        <f>"M"</f>
        <v>M</v>
      </c>
      <c r="K309" t="str">
        <f t="shared" si="356"/>
        <v>170</v>
      </c>
      <c r="L309" t="str">
        <f>"73"</f>
        <v>73</v>
      </c>
      <c r="M309" t="str">
        <f>"675"</f>
        <v>675</v>
      </c>
      <c r="N309" t="str">
        <f>"3"</f>
        <v>3</v>
      </c>
      <c r="O309" t="str">
        <f>"9997"</f>
        <v>9997</v>
      </c>
      <c r="P309" t="str">
        <f>"S"</f>
        <v>S</v>
      </c>
      <c r="Q309" t="str">
        <f>"EPSS41"</f>
        <v>EPSS41</v>
      </c>
      <c r="R309" t="str">
        <f t="shared" si="341"/>
        <v>6</v>
      </c>
      <c r="S309" t="str">
        <f>""</f>
        <v/>
      </c>
      <c r="T309" t="str">
        <f t="shared" si="333"/>
        <v xml:space="preserve">                                                                                                    </v>
      </c>
      <c r="U309" t="str">
        <f>"1         "</f>
        <v xml:space="preserve">1         </v>
      </c>
      <c r="V309" t="str">
        <f t="shared" ref="V309:V340" si="367">"2"</f>
        <v>2</v>
      </c>
      <c r="W309" t="str">
        <f t="shared" si="365"/>
        <v>2</v>
      </c>
      <c r="X309" t="str">
        <f t="shared" si="357"/>
        <v>2</v>
      </c>
      <c r="Y309" t="str">
        <f t="shared" si="351"/>
        <v>2</v>
      </c>
      <c r="Z309" t="str">
        <f t="shared" si="351"/>
        <v>2</v>
      </c>
      <c r="AA309" t="str">
        <f t="shared" si="312"/>
        <v xml:space="preserve">          </v>
      </c>
      <c r="AB309" t="str">
        <f t="shared" si="306"/>
        <v>2</v>
      </c>
      <c r="AC309" t="str">
        <f t="shared" si="307"/>
        <v>2</v>
      </c>
      <c r="AD309" t="str">
        <f t="shared" si="353"/>
        <v>2</v>
      </c>
      <c r="AE309" t="str">
        <f t="shared" si="353"/>
        <v>2</v>
      </c>
      <c r="AF309" t="str">
        <f t="shared" si="353"/>
        <v>2</v>
      </c>
      <c r="AG309" t="str">
        <f t="shared" si="353"/>
        <v>2</v>
      </c>
      <c r="AH309" t="str">
        <f t="shared" si="358"/>
        <v>1</v>
      </c>
      <c r="AI309" t="str">
        <f t="shared" si="359"/>
        <v xml:space="preserve">1         </v>
      </c>
      <c r="AJ309" t="str">
        <f t="shared" si="360"/>
        <v>170</v>
      </c>
      <c r="AK309" t="str">
        <f>"73"</f>
        <v>73</v>
      </c>
      <c r="AL309" t="str">
        <f>"675"</f>
        <v>675</v>
      </c>
      <c r="AM309" t="str">
        <f>"73"</f>
        <v>73</v>
      </c>
      <c r="AN309" t="str">
        <f>"73001"</f>
        <v>73001</v>
      </c>
      <c r="AO309" t="str">
        <f>"20/10/2020 12:00:00 a. m."</f>
        <v>20/10/2020 12:00:00 a. m.</v>
      </c>
      <c r="AP309" t="str">
        <f>"20/05/2020 12:00:00 a. m."</f>
        <v>20/05/2020 12:00:00 a. m.</v>
      </c>
      <c r="AQ309" t="str">
        <f>"2"</f>
        <v>2</v>
      </c>
      <c r="AR309" t="str">
        <f t="shared" si="364"/>
        <v>1</v>
      </c>
      <c r="AS309" t="str">
        <f>"20/10/2020 12:00:00 a. m."</f>
        <v>20/10/2020 12:00:00 a. m.</v>
      </c>
      <c r="AT309" t="str">
        <f t="shared" si="346"/>
        <v>1</v>
      </c>
      <c r="AU309" t="str">
        <f>""</f>
        <v/>
      </c>
      <c r="AV309" t="str">
        <f t="shared" si="361"/>
        <v>3</v>
      </c>
      <c r="AW309" t="str">
        <f>"14/02/2004 12:00:00 a. m."</f>
        <v>14/02/2004 12:00:00 a. m.</v>
      </c>
      <c r="AX309" t="str">
        <f>""</f>
        <v/>
      </c>
      <c r="AY309" t="str">
        <f t="shared" si="314"/>
        <v>30/04/2021 12:00:00 a. m.</v>
      </c>
      <c r="AZ309" t="str">
        <f>"17/12/2020 12:00:00 a. m."</f>
        <v>17/12/2020 12:00:00 a. m.</v>
      </c>
      <c r="BA309" t="str">
        <f>""</f>
        <v/>
      </c>
      <c r="BB309" t="str">
        <f>""</f>
        <v/>
      </c>
      <c r="BC309" t="str">
        <f>""</f>
        <v/>
      </c>
      <c r="BD309" t="str">
        <f t="shared" si="354"/>
        <v>1</v>
      </c>
      <c r="BE309" t="str">
        <f t="shared" si="354"/>
        <v>1</v>
      </c>
      <c r="BF309" t="str">
        <f t="shared" si="315"/>
        <v xml:space="preserve">3         </v>
      </c>
      <c r="BG309" t="str">
        <f t="shared" si="316"/>
        <v>Confirmado por laboratorio</v>
      </c>
      <c r="BH309" t="str">
        <f>"HOSPITAL FEDERICO LLERAS ACOSTA ESE SEDE LA FRANC"</f>
        <v>HOSPITAL FEDERICO LLERAS ACOSTA ESE SEDE LA FRANC</v>
      </c>
      <c r="BI309" t="str">
        <f t="shared" si="362"/>
        <v>COLOMBIA</v>
      </c>
      <c r="BJ309" t="str">
        <f t="shared" si="317"/>
        <v>CANCER INFANTIL</v>
      </c>
      <c r="BK309" t="str">
        <f>"TOLIMA"</f>
        <v>TOLIMA</v>
      </c>
      <c r="BL309" t="str">
        <f>"SAN ANTONIO"</f>
        <v>SAN ANTONIO</v>
      </c>
      <c r="BM309" t="str">
        <f t="shared" si="363"/>
        <v>COLOMBIA</v>
      </c>
      <c r="BN309" t="str">
        <f>"TOLIMA"</f>
        <v>TOLIMA</v>
      </c>
      <c r="BO309" t="str">
        <f>"SAN ANTONIO"</f>
        <v>SAN ANTONIO</v>
      </c>
      <c r="BP309" t="str">
        <f>"TOLIMA"</f>
        <v>TOLIMA</v>
      </c>
      <c r="BQ309" t="str">
        <f>"IBAGUE"</f>
        <v>IBAGUE</v>
      </c>
    </row>
    <row r="310" spans="1:69" x14ac:dyDescent="0.25">
      <c r="A310" t="str">
        <f>"7279212"</f>
        <v>7279212</v>
      </c>
      <c r="B310" t="str">
        <f t="shared" si="310"/>
        <v>459</v>
      </c>
      <c r="C310" t="str">
        <f>"21/02/2020 12:00:00 a. m."</f>
        <v>21/02/2020 12:00:00 a. m.</v>
      </c>
      <c r="D310" t="str">
        <f>"06"</f>
        <v>06</v>
      </c>
      <c r="E310" t="str">
        <f t="shared" si="311"/>
        <v>2020</v>
      </c>
      <c r="F310" t="str">
        <f>"7600101111"</f>
        <v>7600101111</v>
      </c>
      <c r="G310" t="str">
        <f t="shared" si="355"/>
        <v>01</v>
      </c>
      <c r="H310" t="str">
        <f>"5"</f>
        <v>5</v>
      </c>
      <c r="I310" t="str">
        <f t="shared" si="366"/>
        <v>1</v>
      </c>
      <c r="J310" t="str">
        <f>"F"</f>
        <v>F</v>
      </c>
      <c r="K310" t="str">
        <f t="shared" si="356"/>
        <v>170</v>
      </c>
      <c r="L310" t="str">
        <f>"76"</f>
        <v>76</v>
      </c>
      <c r="M310" t="str">
        <f>"892"</f>
        <v>892</v>
      </c>
      <c r="N310" t="str">
        <f>"1"</f>
        <v>1</v>
      </c>
      <c r="O310" t="str">
        <f>"9999"</f>
        <v>9999</v>
      </c>
      <c r="P310" t="str">
        <f>"C"</f>
        <v>C</v>
      </c>
      <c r="Q310" t="str">
        <f>"EPS018"</f>
        <v>EPS018</v>
      </c>
      <c r="R310" t="str">
        <f t="shared" si="341"/>
        <v>6</v>
      </c>
      <c r="S310" t="str">
        <f>""</f>
        <v/>
      </c>
      <c r="T310" t="str">
        <f t="shared" si="333"/>
        <v xml:space="preserve">                                                                                                    </v>
      </c>
      <c r="U310" t="str">
        <f>"          "</f>
        <v xml:space="preserve">          </v>
      </c>
      <c r="V310" t="str">
        <f t="shared" si="367"/>
        <v>2</v>
      </c>
      <c r="W310" t="str">
        <f t="shared" si="365"/>
        <v>2</v>
      </c>
      <c r="X310" t="str">
        <f t="shared" si="357"/>
        <v>2</v>
      </c>
      <c r="Y310" t="str">
        <f t="shared" si="351"/>
        <v>2</v>
      </c>
      <c r="Z310" t="str">
        <f t="shared" si="351"/>
        <v>2</v>
      </c>
      <c r="AA310" t="str">
        <f t="shared" si="312"/>
        <v xml:space="preserve">          </v>
      </c>
      <c r="AB310" t="str">
        <f t="shared" si="306"/>
        <v>2</v>
      </c>
      <c r="AC310" t="str">
        <f t="shared" si="307"/>
        <v>2</v>
      </c>
      <c r="AD310" t="str">
        <f t="shared" si="353"/>
        <v>2</v>
      </c>
      <c r="AE310" t="str">
        <f t="shared" si="353"/>
        <v>2</v>
      </c>
      <c r="AF310" t="str">
        <f t="shared" si="353"/>
        <v>2</v>
      </c>
      <c r="AG310" t="str">
        <f t="shared" si="353"/>
        <v>2</v>
      </c>
      <c r="AH310" t="str">
        <f t="shared" si="358"/>
        <v>1</v>
      </c>
      <c r="AI310" t="str">
        <f t="shared" si="359"/>
        <v xml:space="preserve">1         </v>
      </c>
      <c r="AJ310" t="str">
        <f t="shared" si="360"/>
        <v>170</v>
      </c>
      <c r="AK310" t="str">
        <f>"76"</f>
        <v>76</v>
      </c>
      <c r="AL310" t="str">
        <f>"892"</f>
        <v>892</v>
      </c>
      <c r="AM310" t="str">
        <f>"76"</f>
        <v>76</v>
      </c>
      <c r="AN310" t="str">
        <f>"76001"</f>
        <v>76001</v>
      </c>
      <c r="AO310" t="str">
        <f>"5/02/2020 12:00:00 a. m."</f>
        <v>5/02/2020 12:00:00 a. m.</v>
      </c>
      <c r="AP310" t="str">
        <f>"20/10/2019 12:00:00 a. m."</f>
        <v>20/10/2019 12:00:00 a. m.</v>
      </c>
      <c r="AQ310" t="str">
        <f>"2"</f>
        <v>2</v>
      </c>
      <c r="AR310" t="str">
        <f t="shared" si="364"/>
        <v>1</v>
      </c>
      <c r="AS310" t="str">
        <f>"5/02/2020 12:00:00 a. m."</f>
        <v>5/02/2020 12:00:00 a. m.</v>
      </c>
      <c r="AT310" t="str">
        <f t="shared" si="346"/>
        <v>1</v>
      </c>
      <c r="AU310" t="str">
        <f>""</f>
        <v/>
      </c>
      <c r="AV310" t="str">
        <f t="shared" si="361"/>
        <v>3</v>
      </c>
      <c r="AW310" t="str">
        <f>"1/02/2015 12:00:00 a. m."</f>
        <v>1/02/2015 12:00:00 a. m.</v>
      </c>
      <c r="AX310" t="str">
        <f>""</f>
        <v/>
      </c>
      <c r="AY310" t="str">
        <f t="shared" si="314"/>
        <v>30/04/2021 12:00:00 a. m.</v>
      </c>
      <c r="AZ310" t="str">
        <f>"17/03/2020 12:00:00 a. m."</f>
        <v>17/03/2020 12:00:00 a. m.</v>
      </c>
      <c r="BA310" t="str">
        <f>""</f>
        <v/>
      </c>
      <c r="BB310" t="str">
        <f>""</f>
        <v/>
      </c>
      <c r="BC310" t="str">
        <f>""</f>
        <v/>
      </c>
      <c r="BD310" t="str">
        <f t="shared" si="354"/>
        <v>1</v>
      </c>
      <c r="BE310" t="str">
        <f t="shared" si="354"/>
        <v>1</v>
      </c>
      <c r="BF310" t="str">
        <f t="shared" si="315"/>
        <v xml:space="preserve">3         </v>
      </c>
      <c r="BG310" t="str">
        <f t="shared" si="316"/>
        <v>Confirmado por laboratorio</v>
      </c>
      <c r="BH310" t="str">
        <f>"CENTRO MEDICO IMBANACO CMI"</f>
        <v>CENTRO MEDICO IMBANACO CMI</v>
      </c>
      <c r="BI310" t="str">
        <f t="shared" si="362"/>
        <v>COLOMBIA</v>
      </c>
      <c r="BJ310" t="str">
        <f t="shared" si="317"/>
        <v>CANCER INFANTIL</v>
      </c>
      <c r="BK310" t="str">
        <f>"VALLE"</f>
        <v>VALLE</v>
      </c>
      <c r="BL310" t="str">
        <f>"YUMBO"</f>
        <v>YUMBO</v>
      </c>
      <c r="BM310" t="str">
        <f t="shared" si="363"/>
        <v>COLOMBIA</v>
      </c>
      <c r="BN310" t="str">
        <f>"VALLE"</f>
        <v>VALLE</v>
      </c>
      <c r="BO310" t="str">
        <f>"YUMBO"</f>
        <v>YUMBO</v>
      </c>
      <c r="BP310" t="str">
        <f>"VALLE"</f>
        <v>VALLE</v>
      </c>
      <c r="BQ310" t="str">
        <f>"CALI"</f>
        <v>CALI</v>
      </c>
    </row>
    <row r="311" spans="1:69" x14ac:dyDescent="0.25">
      <c r="A311" t="str">
        <f>"7291732"</f>
        <v>7291732</v>
      </c>
      <c r="B311" t="str">
        <f t="shared" si="310"/>
        <v>459</v>
      </c>
      <c r="C311" t="str">
        <f>"26/11/2020 12:00:00 a. m."</f>
        <v>26/11/2020 12:00:00 a. m.</v>
      </c>
      <c r="D311" t="str">
        <f>"48"</f>
        <v>48</v>
      </c>
      <c r="E311" t="str">
        <f t="shared" si="311"/>
        <v>2020</v>
      </c>
      <c r="F311" t="str">
        <f>"5000100529"</f>
        <v>5000100529</v>
      </c>
      <c r="G311" t="str">
        <f t="shared" si="355"/>
        <v>01</v>
      </c>
      <c r="H311" t="str">
        <f>"14"</f>
        <v>14</v>
      </c>
      <c r="I311" t="str">
        <f t="shared" si="366"/>
        <v>1</v>
      </c>
      <c r="J311" t="str">
        <f>"M"</f>
        <v>M</v>
      </c>
      <c r="K311" t="str">
        <f t="shared" si="356"/>
        <v>170</v>
      </c>
      <c r="L311" t="str">
        <f>"50"</f>
        <v>50</v>
      </c>
      <c r="M311" t="str">
        <f>"313"</f>
        <v>313</v>
      </c>
      <c r="N311" t="str">
        <f>"2"</f>
        <v>2</v>
      </c>
      <c r="O311" t="str">
        <f>"9999"</f>
        <v>9999</v>
      </c>
      <c r="P311" t="str">
        <f>"S"</f>
        <v>S</v>
      </c>
      <c r="Q311" t="str">
        <f>"EPSS34"</f>
        <v>EPSS34</v>
      </c>
      <c r="R311" t="str">
        <f t="shared" si="341"/>
        <v>6</v>
      </c>
      <c r="S311" t="str">
        <f>""</f>
        <v/>
      </c>
      <c r="T311" t="str">
        <f t="shared" si="333"/>
        <v xml:space="preserve">                                                                                                    </v>
      </c>
      <c r="U311" t="str">
        <f>"1         "</f>
        <v xml:space="preserve">1         </v>
      </c>
      <c r="V311" t="str">
        <f t="shared" si="367"/>
        <v>2</v>
      </c>
      <c r="W311" t="str">
        <f t="shared" si="365"/>
        <v>2</v>
      </c>
      <c r="X311" t="str">
        <f t="shared" si="357"/>
        <v>2</v>
      </c>
      <c r="Y311" t="str">
        <f t="shared" si="351"/>
        <v>2</v>
      </c>
      <c r="Z311" t="str">
        <f t="shared" si="351"/>
        <v>2</v>
      </c>
      <c r="AA311" t="str">
        <f t="shared" si="312"/>
        <v xml:space="preserve">          </v>
      </c>
      <c r="AB311" t="str">
        <f t="shared" si="306"/>
        <v>2</v>
      </c>
      <c r="AC311" t="str">
        <f t="shared" si="307"/>
        <v>2</v>
      </c>
      <c r="AD311" t="str">
        <f t="shared" si="353"/>
        <v>2</v>
      </c>
      <c r="AE311" t="str">
        <f t="shared" si="353"/>
        <v>2</v>
      </c>
      <c r="AF311" t="str">
        <f t="shared" si="353"/>
        <v>2</v>
      </c>
      <c r="AG311" t="str">
        <f t="shared" si="353"/>
        <v>2</v>
      </c>
      <c r="AH311" t="str">
        <f t="shared" si="358"/>
        <v>1</v>
      </c>
      <c r="AI311" t="str">
        <f t="shared" si="359"/>
        <v xml:space="preserve">1         </v>
      </c>
      <c r="AJ311" t="str">
        <f t="shared" si="360"/>
        <v>170</v>
      </c>
      <c r="AK311" t="str">
        <f>"50"</f>
        <v>50</v>
      </c>
      <c r="AL311" t="str">
        <f>"313"</f>
        <v>313</v>
      </c>
      <c r="AM311" t="str">
        <f>"50"</f>
        <v>50</v>
      </c>
      <c r="AN311" t="str">
        <f>"50001"</f>
        <v>50001</v>
      </c>
      <c r="AO311" t="str">
        <f>"25/11/2020 12:00:00 a. m."</f>
        <v>25/11/2020 12:00:00 a. m.</v>
      </c>
      <c r="AP311" t="str">
        <f>"25/11/2020 12:00:00 a. m."</f>
        <v>25/11/2020 12:00:00 a. m.</v>
      </c>
      <c r="AQ311" t="str">
        <f>"3"</f>
        <v>3</v>
      </c>
      <c r="AR311" t="str">
        <f t="shared" si="364"/>
        <v>1</v>
      </c>
      <c r="AS311" t="str">
        <f>"25/11/2020 12:00:00 a. m."</f>
        <v>25/11/2020 12:00:00 a. m.</v>
      </c>
      <c r="AT311" t="str">
        <f t="shared" si="346"/>
        <v>1</v>
      </c>
      <c r="AU311" t="str">
        <f>""</f>
        <v/>
      </c>
      <c r="AV311" t="str">
        <f t="shared" si="361"/>
        <v>3</v>
      </c>
      <c r="AW311" t="str">
        <f>"24/02/2006 12:00:00 a. m."</f>
        <v>24/02/2006 12:00:00 a. m.</v>
      </c>
      <c r="AX311" t="str">
        <f>""</f>
        <v/>
      </c>
      <c r="AY311" t="str">
        <f t="shared" si="314"/>
        <v>30/04/2021 12:00:00 a. m.</v>
      </c>
      <c r="AZ311" t="str">
        <f>"31/01/2021 12:00:00 a. m."</f>
        <v>31/01/2021 12:00:00 a. m.</v>
      </c>
      <c r="BA311" t="str">
        <f>""</f>
        <v/>
      </c>
      <c r="BB311" t="str">
        <f>""</f>
        <v/>
      </c>
      <c r="BC311" t="str">
        <f>""</f>
        <v/>
      </c>
      <c r="BD311" t="str">
        <f t="shared" si="354"/>
        <v>1</v>
      </c>
      <c r="BE311" t="str">
        <f t="shared" si="354"/>
        <v>1</v>
      </c>
      <c r="BF311" t="str">
        <f t="shared" si="315"/>
        <v xml:space="preserve">3         </v>
      </c>
      <c r="BG311" t="str">
        <f t="shared" si="316"/>
        <v>Confirmado por laboratorio</v>
      </c>
      <c r="BH311" t="str">
        <f>"HOSPITAL DEPARTAMENTAL DE VILLAVICENCIO"</f>
        <v>HOSPITAL DEPARTAMENTAL DE VILLAVICENCIO</v>
      </c>
      <c r="BI311" t="str">
        <f t="shared" si="362"/>
        <v>COLOMBIA</v>
      </c>
      <c r="BJ311" t="str">
        <f t="shared" si="317"/>
        <v>CANCER INFANTIL</v>
      </c>
      <c r="BK311" t="str">
        <f>"META"</f>
        <v>META</v>
      </c>
      <c r="BL311" t="str">
        <f>"GRANADA"</f>
        <v>GRANADA</v>
      </c>
      <c r="BM311" t="str">
        <f t="shared" si="363"/>
        <v>COLOMBIA</v>
      </c>
      <c r="BN311" t="str">
        <f>"META"</f>
        <v>META</v>
      </c>
      <c r="BO311" t="str">
        <f>"GRANADA"</f>
        <v>GRANADA</v>
      </c>
      <c r="BP311" t="str">
        <f>"META"</f>
        <v>META</v>
      </c>
      <c r="BQ311" t="str">
        <f>"VILLAVICENCIO"</f>
        <v>VILLAVICENCIO</v>
      </c>
    </row>
    <row r="312" spans="1:69" x14ac:dyDescent="0.25">
      <c r="A312" t="str">
        <f>"7291675"</f>
        <v>7291675</v>
      </c>
      <c r="B312" t="str">
        <f t="shared" si="310"/>
        <v>459</v>
      </c>
      <c r="C312" t="str">
        <f>"16/05/2020 12:00:00 a. m."</f>
        <v>16/05/2020 12:00:00 a. m.</v>
      </c>
      <c r="D312" t="str">
        <f>"19"</f>
        <v>19</v>
      </c>
      <c r="E312" t="str">
        <f t="shared" si="311"/>
        <v>2020</v>
      </c>
      <c r="F312" t="str">
        <f>"1100105681"</f>
        <v>1100105681</v>
      </c>
      <c r="G312" t="str">
        <f t="shared" si="355"/>
        <v>01</v>
      </c>
      <c r="H312" t="str">
        <f>"13"</f>
        <v>13</v>
      </c>
      <c r="I312" t="str">
        <f t="shared" si="366"/>
        <v>1</v>
      </c>
      <c r="J312" t="str">
        <f>"F"</f>
        <v>F</v>
      </c>
      <c r="K312" t="str">
        <f t="shared" si="356"/>
        <v>170</v>
      </c>
      <c r="L312" t="str">
        <f>"25"</f>
        <v>25</v>
      </c>
      <c r="M312" t="str">
        <f>"320"</f>
        <v>320</v>
      </c>
      <c r="N312" t="str">
        <f>"3"</f>
        <v>3</v>
      </c>
      <c r="O312" t="str">
        <f>"9997"</f>
        <v>9997</v>
      </c>
      <c r="P312" t="str">
        <f>"C"</f>
        <v>C</v>
      </c>
      <c r="Q312" t="str">
        <f>"EPS017"</f>
        <v>EPS017</v>
      </c>
      <c r="R312" t="str">
        <f t="shared" si="341"/>
        <v>6</v>
      </c>
      <c r="S312" t="str">
        <f>""</f>
        <v/>
      </c>
      <c r="T312" t="str">
        <f t="shared" si="333"/>
        <v xml:space="preserve">                                                                                                    </v>
      </c>
      <c r="U312" t="str">
        <f>"2         "</f>
        <v xml:space="preserve">2         </v>
      </c>
      <c r="V312" t="str">
        <f t="shared" si="367"/>
        <v>2</v>
      </c>
      <c r="W312" t="str">
        <f t="shared" si="365"/>
        <v>2</v>
      </c>
      <c r="X312" t="str">
        <f t="shared" si="357"/>
        <v>2</v>
      </c>
      <c r="Y312" t="str">
        <f t="shared" si="351"/>
        <v>2</v>
      </c>
      <c r="Z312" t="str">
        <f t="shared" si="351"/>
        <v>2</v>
      </c>
      <c r="AA312" t="str">
        <f t="shared" si="312"/>
        <v xml:space="preserve">          </v>
      </c>
      <c r="AB312" t="str">
        <f t="shared" si="306"/>
        <v>2</v>
      </c>
      <c r="AC312" t="str">
        <f t="shared" si="307"/>
        <v>2</v>
      </c>
      <c r="AD312" t="str">
        <f t="shared" si="353"/>
        <v>2</v>
      </c>
      <c r="AE312" t="str">
        <f t="shared" si="353"/>
        <v>2</v>
      </c>
      <c r="AF312" t="str">
        <f t="shared" si="353"/>
        <v>2</v>
      </c>
      <c r="AG312" t="str">
        <f t="shared" si="353"/>
        <v>2</v>
      </c>
      <c r="AH312" t="str">
        <f t="shared" si="358"/>
        <v>1</v>
      </c>
      <c r="AI312" t="str">
        <f>"2         "</f>
        <v xml:space="preserve">2         </v>
      </c>
      <c r="AJ312" t="str">
        <f t="shared" si="360"/>
        <v>170</v>
      </c>
      <c r="AK312" t="str">
        <f>"25"</f>
        <v>25</v>
      </c>
      <c r="AL312" t="str">
        <f>"320"</f>
        <v>320</v>
      </c>
      <c r="AM312" t="str">
        <f>"11"</f>
        <v>11</v>
      </c>
      <c r="AN312" t="str">
        <f>"11001"</f>
        <v>11001</v>
      </c>
      <c r="AO312" t="str">
        <f>"7/05/2020 12:00:00 a. m."</f>
        <v>7/05/2020 12:00:00 a. m.</v>
      </c>
      <c r="AP312" t="str">
        <f>"7/04/2020 12:00:00 a. m."</f>
        <v>7/04/2020 12:00:00 a. m.</v>
      </c>
      <c r="AQ312" t="str">
        <f>"3"</f>
        <v>3</v>
      </c>
      <c r="AR312" t="str">
        <f t="shared" si="364"/>
        <v>1</v>
      </c>
      <c r="AS312" t="str">
        <f>"7/05/2020 12:00:00 a. m."</f>
        <v>7/05/2020 12:00:00 a. m.</v>
      </c>
      <c r="AT312" t="str">
        <f t="shared" si="346"/>
        <v>1</v>
      </c>
      <c r="AU312" t="str">
        <f>""</f>
        <v/>
      </c>
      <c r="AV312" t="str">
        <f>"0"</f>
        <v>0</v>
      </c>
      <c r="AW312" t="str">
        <f>"13/12/2006 12:00:00 a. m."</f>
        <v>13/12/2006 12:00:00 a. m.</v>
      </c>
      <c r="AX312" t="str">
        <f>""</f>
        <v/>
      </c>
      <c r="AY312" t="str">
        <f t="shared" si="314"/>
        <v>30/04/2021 12:00:00 a. m.</v>
      </c>
      <c r="AZ312" t="str">
        <f>"4/08/2020 12:00:00 a. m."</f>
        <v>4/08/2020 12:00:00 a. m.</v>
      </c>
      <c r="BA312" t="str">
        <f>""</f>
        <v/>
      </c>
      <c r="BB312" t="str">
        <f>""</f>
        <v/>
      </c>
      <c r="BC312" t="str">
        <f>""</f>
        <v/>
      </c>
      <c r="BD312" t="str">
        <f t="shared" si="354"/>
        <v>1</v>
      </c>
      <c r="BE312" t="str">
        <f t="shared" si="354"/>
        <v>1</v>
      </c>
      <c r="BF312" t="str">
        <f t="shared" si="315"/>
        <v xml:space="preserve">3         </v>
      </c>
      <c r="BG312" t="str">
        <f t="shared" si="316"/>
        <v>Confirmado por laboratorio</v>
      </c>
      <c r="BH312" t="str">
        <f>"FUNDACION HOSPITAL DE LA MISERICORDIA"</f>
        <v>FUNDACION HOSPITAL DE LA MISERICORDIA</v>
      </c>
      <c r="BI312" t="str">
        <f t="shared" si="362"/>
        <v>COLOMBIA</v>
      </c>
      <c r="BJ312" t="str">
        <f t="shared" si="317"/>
        <v>CANCER INFANTIL</v>
      </c>
      <c r="BK312" t="str">
        <f>"CUNDINAMARCA"</f>
        <v>CUNDINAMARCA</v>
      </c>
      <c r="BL312" t="str">
        <f>"GUADUAS"</f>
        <v>GUADUAS</v>
      </c>
      <c r="BM312" t="str">
        <f t="shared" si="363"/>
        <v>COLOMBIA</v>
      </c>
      <c r="BN312" t="str">
        <f>"CUNDINAMARCA"</f>
        <v>CUNDINAMARCA</v>
      </c>
      <c r="BO312" t="str">
        <f>"GUADUAS"</f>
        <v>GUADUAS</v>
      </c>
      <c r="BP312" t="str">
        <f t="shared" ref="BP312:BQ314" si="368">"BOGOTA"</f>
        <v>BOGOTA</v>
      </c>
      <c r="BQ312" t="str">
        <f t="shared" si="368"/>
        <v>BOGOTA</v>
      </c>
    </row>
    <row r="313" spans="1:69" x14ac:dyDescent="0.25">
      <c r="A313" t="str">
        <f>"7291640"</f>
        <v>7291640</v>
      </c>
      <c r="B313" t="str">
        <f t="shared" si="310"/>
        <v>459</v>
      </c>
      <c r="C313" t="str">
        <f>"7/04/2020 12:00:00 a. m."</f>
        <v>7/04/2020 12:00:00 a. m.</v>
      </c>
      <c r="D313" t="str">
        <f>"14"</f>
        <v>14</v>
      </c>
      <c r="E313" t="str">
        <f t="shared" si="311"/>
        <v>2020</v>
      </c>
      <c r="F313" t="str">
        <f>"1100108171"</f>
        <v>1100108171</v>
      </c>
      <c r="G313" t="str">
        <f>"02"</f>
        <v>02</v>
      </c>
      <c r="H313" t="str">
        <f>"11"</f>
        <v>11</v>
      </c>
      <c r="I313" t="str">
        <f t="shared" si="366"/>
        <v>1</v>
      </c>
      <c r="J313" t="str">
        <f>"F"</f>
        <v>F</v>
      </c>
      <c r="K313" t="str">
        <f t="shared" si="356"/>
        <v>170</v>
      </c>
      <c r="L313" t="str">
        <f>"25"</f>
        <v>25</v>
      </c>
      <c r="M313" t="str">
        <f>"183"</f>
        <v>183</v>
      </c>
      <c r="N313" t="str">
        <f>"1"</f>
        <v>1</v>
      </c>
      <c r="O313" t="str">
        <f>"9997"</f>
        <v>9997</v>
      </c>
      <c r="P313" t="str">
        <f>"C"</f>
        <v>C</v>
      </c>
      <c r="Q313" t="str">
        <f>"EPS017"</f>
        <v>EPS017</v>
      </c>
      <c r="R313" t="str">
        <f t="shared" si="341"/>
        <v>6</v>
      </c>
      <c r="S313" t="str">
        <f>""</f>
        <v/>
      </c>
      <c r="T313" t="str">
        <f t="shared" si="333"/>
        <v xml:space="preserve">                                                                                                    </v>
      </c>
      <c r="U313" t="str">
        <f>"2         "</f>
        <v xml:space="preserve">2         </v>
      </c>
      <c r="V313" t="str">
        <f t="shared" si="367"/>
        <v>2</v>
      </c>
      <c r="W313" t="str">
        <f t="shared" si="365"/>
        <v>2</v>
      </c>
      <c r="X313" t="str">
        <f t="shared" si="357"/>
        <v>2</v>
      </c>
      <c r="Y313" t="str">
        <f t="shared" si="351"/>
        <v>2</v>
      </c>
      <c r="Z313" t="str">
        <f t="shared" si="351"/>
        <v>2</v>
      </c>
      <c r="AA313" t="str">
        <f t="shared" si="312"/>
        <v xml:space="preserve">          </v>
      </c>
      <c r="AB313" t="str">
        <f t="shared" si="306"/>
        <v>2</v>
      </c>
      <c r="AC313" t="str">
        <f t="shared" si="307"/>
        <v>2</v>
      </c>
      <c r="AD313" t="str">
        <f t="shared" si="353"/>
        <v>2</v>
      </c>
      <c r="AE313" t="str">
        <f t="shared" si="353"/>
        <v>2</v>
      </c>
      <c r="AF313" t="str">
        <f t="shared" si="353"/>
        <v>2</v>
      </c>
      <c r="AG313" t="str">
        <f t="shared" si="353"/>
        <v>2</v>
      </c>
      <c r="AH313" t="str">
        <f t="shared" si="358"/>
        <v>1</v>
      </c>
      <c r="AI313" t="str">
        <f t="shared" ref="AI313:AI324" si="369">"1         "</f>
        <v xml:space="preserve">1         </v>
      </c>
      <c r="AJ313" t="str">
        <f t="shared" si="360"/>
        <v>170</v>
      </c>
      <c r="AK313" t="str">
        <f>"25"</f>
        <v>25</v>
      </c>
      <c r="AL313" t="str">
        <f>"183"</f>
        <v>183</v>
      </c>
      <c r="AM313" t="str">
        <f>"11"</f>
        <v>11</v>
      </c>
      <c r="AN313" t="str">
        <f>"11001"</f>
        <v>11001</v>
      </c>
      <c r="AO313" t="str">
        <f>"4/04/2020 12:00:00 a. m."</f>
        <v>4/04/2020 12:00:00 a. m.</v>
      </c>
      <c r="AP313" t="str">
        <f>"4/01/2020 12:00:00 a. m."</f>
        <v>4/01/2020 12:00:00 a. m.</v>
      </c>
      <c r="AQ313" t="str">
        <f>"2"</f>
        <v>2</v>
      </c>
      <c r="AR313" t="str">
        <f t="shared" si="364"/>
        <v>1</v>
      </c>
      <c r="AS313" t="str">
        <f>"4/04/2020 12:00:00 a. m."</f>
        <v>4/04/2020 12:00:00 a. m.</v>
      </c>
      <c r="AT313" t="str">
        <f>"2"</f>
        <v>2</v>
      </c>
      <c r="AU313" t="str">
        <f>"26/06/2020 12:00:00 a. m."</f>
        <v>26/06/2020 12:00:00 a. m.</v>
      </c>
      <c r="AV313" t="str">
        <f>"3"</f>
        <v>3</v>
      </c>
      <c r="AW313" t="str">
        <f>"11/07/2008 12:00:00 a. m."</f>
        <v>11/07/2008 12:00:00 a. m.</v>
      </c>
      <c r="AX313" t="str">
        <f>"C910"</f>
        <v>C910</v>
      </c>
      <c r="AY313" t="str">
        <f t="shared" si="314"/>
        <v>30/04/2021 12:00:00 a. m.</v>
      </c>
      <c r="AZ313" t="str">
        <f>"21/04/2020 12:00:00 a. m."</f>
        <v>21/04/2020 12:00:00 a. m.</v>
      </c>
      <c r="BA313" t="str">
        <f>""</f>
        <v/>
      </c>
      <c r="BB313" t="str">
        <f>""</f>
        <v/>
      </c>
      <c r="BC313" t="str">
        <f>""</f>
        <v/>
      </c>
      <c r="BD313" t="str">
        <f t="shared" si="354"/>
        <v>1</v>
      </c>
      <c r="BE313" t="str">
        <f t="shared" si="354"/>
        <v>1</v>
      </c>
      <c r="BF313" t="str">
        <f t="shared" si="315"/>
        <v xml:space="preserve">3         </v>
      </c>
      <c r="BG313" t="str">
        <f t="shared" si="316"/>
        <v>Confirmado por laboratorio</v>
      </c>
      <c r="BH313" t="str">
        <f>"CLINICA INFANTIL COLSUBSIDIO"</f>
        <v>CLINICA INFANTIL COLSUBSIDIO</v>
      </c>
      <c r="BI313" t="str">
        <f t="shared" si="362"/>
        <v>COLOMBIA</v>
      </c>
      <c r="BJ313" t="str">
        <f t="shared" si="317"/>
        <v>CANCER INFANTIL</v>
      </c>
      <c r="BK313" t="str">
        <f>"CUNDINAMARCA"</f>
        <v>CUNDINAMARCA</v>
      </c>
      <c r="BL313" t="str">
        <f>"CHOCONTA"</f>
        <v>CHOCONTA</v>
      </c>
      <c r="BM313" t="str">
        <f t="shared" si="363"/>
        <v>COLOMBIA</v>
      </c>
      <c r="BN313" t="str">
        <f>"CUNDINAMARCA"</f>
        <v>CUNDINAMARCA</v>
      </c>
      <c r="BO313" t="str">
        <f>"CHOCONTA"</f>
        <v>CHOCONTA</v>
      </c>
      <c r="BP313" t="str">
        <f t="shared" si="368"/>
        <v>BOGOTA</v>
      </c>
      <c r="BQ313" t="str">
        <f t="shared" si="368"/>
        <v>BOGOTA</v>
      </c>
    </row>
    <row r="314" spans="1:69" x14ac:dyDescent="0.25">
      <c r="A314" t="str">
        <f>"7278913"</f>
        <v>7278913</v>
      </c>
      <c r="B314" t="str">
        <f t="shared" si="310"/>
        <v>459</v>
      </c>
      <c r="C314" t="str">
        <f>"27/05/2020 12:00:00 a. m."</f>
        <v>27/05/2020 12:00:00 a. m.</v>
      </c>
      <c r="D314" t="str">
        <f>"21"</f>
        <v>21</v>
      </c>
      <c r="E314" t="str">
        <f t="shared" si="311"/>
        <v>2020</v>
      </c>
      <c r="F314" t="str">
        <f>"1100108171"</f>
        <v>1100108171</v>
      </c>
      <c r="G314" t="str">
        <f>"02"</f>
        <v>02</v>
      </c>
      <c r="H314" t="str">
        <f>"16"</f>
        <v>16</v>
      </c>
      <c r="I314" t="str">
        <f t="shared" si="366"/>
        <v>1</v>
      </c>
      <c r="J314" t="str">
        <f>"F"</f>
        <v>F</v>
      </c>
      <c r="K314" t="str">
        <f t="shared" si="356"/>
        <v>170</v>
      </c>
      <c r="L314" t="str">
        <f>"15"</f>
        <v>15</v>
      </c>
      <c r="M314" t="str">
        <f>"224"</f>
        <v>224</v>
      </c>
      <c r="N314" t="str">
        <f>"1"</f>
        <v>1</v>
      </c>
      <c r="O314" t="str">
        <f>"9997"</f>
        <v>9997</v>
      </c>
      <c r="P314" t="str">
        <f>"C"</f>
        <v>C</v>
      </c>
      <c r="Q314" t="str">
        <f>"EPS017"</f>
        <v>EPS017</v>
      </c>
      <c r="R314" t="str">
        <f t="shared" si="341"/>
        <v>6</v>
      </c>
      <c r="S314" t="str">
        <f>""</f>
        <v/>
      </c>
      <c r="T314" t="str">
        <f t="shared" si="333"/>
        <v xml:space="preserve">                                                                                                    </v>
      </c>
      <c r="U314" t="str">
        <f>"1         "</f>
        <v xml:space="preserve">1         </v>
      </c>
      <c r="V314" t="str">
        <f t="shared" si="367"/>
        <v>2</v>
      </c>
      <c r="W314" t="str">
        <f t="shared" si="365"/>
        <v>2</v>
      </c>
      <c r="X314" t="str">
        <f t="shared" si="357"/>
        <v>2</v>
      </c>
      <c r="Y314" t="str">
        <f t="shared" si="351"/>
        <v>2</v>
      </c>
      <c r="Z314" t="str">
        <f t="shared" si="351"/>
        <v>2</v>
      </c>
      <c r="AA314" t="str">
        <f t="shared" si="312"/>
        <v xml:space="preserve">          </v>
      </c>
      <c r="AB314" t="str">
        <f t="shared" si="306"/>
        <v>2</v>
      </c>
      <c r="AC314" t="str">
        <f t="shared" si="307"/>
        <v>2</v>
      </c>
      <c r="AD314" t="str">
        <f t="shared" si="353"/>
        <v>2</v>
      </c>
      <c r="AE314" t="str">
        <f t="shared" si="353"/>
        <v>2</v>
      </c>
      <c r="AF314" t="str">
        <f t="shared" si="353"/>
        <v>2</v>
      </c>
      <c r="AG314" t="str">
        <f t="shared" si="353"/>
        <v>2</v>
      </c>
      <c r="AH314" t="str">
        <f t="shared" si="358"/>
        <v>1</v>
      </c>
      <c r="AI314" t="str">
        <f t="shared" si="369"/>
        <v xml:space="preserve">1         </v>
      </c>
      <c r="AJ314" t="str">
        <f t="shared" si="360"/>
        <v>170</v>
      </c>
      <c r="AK314" t="str">
        <f>"15"</f>
        <v>15</v>
      </c>
      <c r="AL314" t="str">
        <f>"224"</f>
        <v>224</v>
      </c>
      <c r="AM314" t="str">
        <f>"11"</f>
        <v>11</v>
      </c>
      <c r="AN314" t="str">
        <f>"11001"</f>
        <v>11001</v>
      </c>
      <c r="AO314" t="str">
        <f>"23/05/2020 12:00:00 a. m."</f>
        <v>23/05/2020 12:00:00 a. m.</v>
      </c>
      <c r="AP314" t="str">
        <f>"1/05/2019 12:00:00 a. m."</f>
        <v>1/05/2019 12:00:00 a. m.</v>
      </c>
      <c r="AQ314" t="str">
        <f>"2"</f>
        <v>2</v>
      </c>
      <c r="AR314" t="str">
        <f t="shared" si="364"/>
        <v>1</v>
      </c>
      <c r="AS314" t="str">
        <f>"23/05/2020 12:00:00 a. m."</f>
        <v>23/05/2020 12:00:00 a. m.</v>
      </c>
      <c r="AT314" t="str">
        <f>"1"</f>
        <v>1</v>
      </c>
      <c r="AU314" t="str">
        <f>""</f>
        <v/>
      </c>
      <c r="AV314" t="str">
        <f>"3"</f>
        <v>3</v>
      </c>
      <c r="AW314" t="str">
        <f>"4/04/2004 12:00:00 a. m."</f>
        <v>4/04/2004 12:00:00 a. m.</v>
      </c>
      <c r="AX314" t="str">
        <f>""</f>
        <v/>
      </c>
      <c r="AY314" t="str">
        <f t="shared" si="314"/>
        <v>30/04/2021 12:00:00 a. m.</v>
      </c>
      <c r="AZ314" t="str">
        <f>"23/06/2020 12:00:00 a. m."</f>
        <v>23/06/2020 12:00:00 a. m.</v>
      </c>
      <c r="BA314" t="str">
        <f>""</f>
        <v/>
      </c>
      <c r="BB314" t="str">
        <f>""</f>
        <v/>
      </c>
      <c r="BC314" t="str">
        <f>""</f>
        <v/>
      </c>
      <c r="BD314" t="str">
        <f t="shared" si="354"/>
        <v>1</v>
      </c>
      <c r="BE314" t="str">
        <f t="shared" si="354"/>
        <v>1</v>
      </c>
      <c r="BF314" t="str">
        <f t="shared" si="315"/>
        <v xml:space="preserve">3         </v>
      </c>
      <c r="BG314" t="str">
        <f t="shared" si="316"/>
        <v>Confirmado por laboratorio</v>
      </c>
      <c r="BH314" t="str">
        <f>"CLINICA INFANTIL COLSUBSIDIO"</f>
        <v>CLINICA INFANTIL COLSUBSIDIO</v>
      </c>
      <c r="BI314" t="str">
        <f t="shared" si="362"/>
        <v>COLOMBIA</v>
      </c>
      <c r="BJ314" t="str">
        <f t="shared" si="317"/>
        <v>CANCER INFANTIL</v>
      </c>
      <c r="BK314" t="str">
        <f>"BOYACA"</f>
        <v>BOYACA</v>
      </c>
      <c r="BL314" t="str">
        <f>"CUCAITA"</f>
        <v>CUCAITA</v>
      </c>
      <c r="BM314" t="str">
        <f t="shared" si="363"/>
        <v>COLOMBIA</v>
      </c>
      <c r="BN314" t="str">
        <f>"BOYACA"</f>
        <v>BOYACA</v>
      </c>
      <c r="BO314" t="str">
        <f>"CUCAITA"</f>
        <v>CUCAITA</v>
      </c>
      <c r="BP314" t="str">
        <f t="shared" si="368"/>
        <v>BOGOTA</v>
      </c>
      <c r="BQ314" t="str">
        <f t="shared" si="368"/>
        <v>BOGOTA</v>
      </c>
    </row>
    <row r="315" spans="1:69" x14ac:dyDescent="0.25">
      <c r="A315" t="str">
        <f>"7278791"</f>
        <v>7278791</v>
      </c>
      <c r="B315" t="str">
        <f t="shared" si="310"/>
        <v>459</v>
      </c>
      <c r="C315" t="str">
        <f>"4/01/2021 12:00:00 a. m."</f>
        <v>4/01/2021 12:00:00 a. m.</v>
      </c>
      <c r="D315" t="str">
        <f>"52"</f>
        <v>52</v>
      </c>
      <c r="E315" t="str">
        <f t="shared" si="311"/>
        <v>2020</v>
      </c>
      <c r="F315" t="str">
        <f>"6800100792"</f>
        <v>6800100792</v>
      </c>
      <c r="G315" t="str">
        <f t="shared" ref="G315:G354" si="370">"01"</f>
        <v>01</v>
      </c>
      <c r="H315" t="str">
        <f>"3"</f>
        <v>3</v>
      </c>
      <c r="I315" t="str">
        <f t="shared" si="366"/>
        <v>1</v>
      </c>
      <c r="J315" t="str">
        <f>"M"</f>
        <v>M</v>
      </c>
      <c r="K315" t="str">
        <f t="shared" si="356"/>
        <v>170</v>
      </c>
      <c r="L315" t="str">
        <f>"68"</f>
        <v>68</v>
      </c>
      <c r="M315" t="str">
        <f>"425"</f>
        <v>425</v>
      </c>
      <c r="N315" t="str">
        <f>"2"</f>
        <v>2</v>
      </c>
      <c r="O315" t="str">
        <f>"9999"</f>
        <v>9999</v>
      </c>
      <c r="P315" t="str">
        <f>"S"</f>
        <v>S</v>
      </c>
      <c r="Q315" t="str">
        <f>"ESS133"</f>
        <v>ESS133</v>
      </c>
      <c r="R315" t="str">
        <f t="shared" ref="R315:R325" si="371">"6"</f>
        <v>6</v>
      </c>
      <c r="S315" t="str">
        <f>""</f>
        <v/>
      </c>
      <c r="T315" t="str">
        <f t="shared" si="333"/>
        <v xml:space="preserve">                                                                                                    </v>
      </c>
      <c r="U315" t="str">
        <f>"1         "</f>
        <v xml:space="preserve">1         </v>
      </c>
      <c r="V315" t="str">
        <f t="shared" si="367"/>
        <v>2</v>
      </c>
      <c r="W315" t="str">
        <f t="shared" si="365"/>
        <v>2</v>
      </c>
      <c r="X315" t="str">
        <f t="shared" si="357"/>
        <v>2</v>
      </c>
      <c r="Y315" t="str">
        <f t="shared" si="351"/>
        <v>2</v>
      </c>
      <c r="Z315" t="str">
        <f t="shared" si="351"/>
        <v>2</v>
      </c>
      <c r="AA315" t="str">
        <f t="shared" si="312"/>
        <v xml:space="preserve">          </v>
      </c>
      <c r="AB315" t="str">
        <f t="shared" si="306"/>
        <v>2</v>
      </c>
      <c r="AC315" t="str">
        <f t="shared" si="307"/>
        <v>2</v>
      </c>
      <c r="AD315" t="str">
        <f t="shared" si="353"/>
        <v>2</v>
      </c>
      <c r="AE315" t="str">
        <f t="shared" si="353"/>
        <v>2</v>
      </c>
      <c r="AF315" t="str">
        <f t="shared" si="353"/>
        <v>2</v>
      </c>
      <c r="AG315" t="str">
        <f t="shared" si="353"/>
        <v>2</v>
      </c>
      <c r="AH315" t="str">
        <f t="shared" si="358"/>
        <v>1</v>
      </c>
      <c r="AI315" t="str">
        <f t="shared" si="369"/>
        <v xml:space="preserve">1         </v>
      </c>
      <c r="AJ315" t="str">
        <f t="shared" si="360"/>
        <v>170</v>
      </c>
      <c r="AK315" t="str">
        <f>"68"</f>
        <v>68</v>
      </c>
      <c r="AL315" t="str">
        <f>"425"</f>
        <v>425</v>
      </c>
      <c r="AM315" t="str">
        <f>"68"</f>
        <v>68</v>
      </c>
      <c r="AN315" t="str">
        <f>"68001"</f>
        <v>68001</v>
      </c>
      <c r="AO315" t="str">
        <f>"22/12/2020 12:00:00 a. m."</f>
        <v>22/12/2020 12:00:00 a. m.</v>
      </c>
      <c r="AP315" t="str">
        <f>"22/12/2020 12:00:00 a. m."</f>
        <v>22/12/2020 12:00:00 a. m.</v>
      </c>
      <c r="AQ315" t="str">
        <f>"3"</f>
        <v>3</v>
      </c>
      <c r="AR315" t="str">
        <f t="shared" si="364"/>
        <v>1</v>
      </c>
      <c r="AS315" t="str">
        <f>"23/12/2020 12:00:00 a. m."</f>
        <v>23/12/2020 12:00:00 a. m.</v>
      </c>
      <c r="AT315" t="str">
        <f>"1"</f>
        <v>1</v>
      </c>
      <c r="AU315" t="str">
        <f>""</f>
        <v/>
      </c>
      <c r="AV315" t="str">
        <f>"0"</f>
        <v>0</v>
      </c>
      <c r="AW315" t="str">
        <f>"30/03/2017 12:00:00 a. m."</f>
        <v>30/03/2017 12:00:00 a. m.</v>
      </c>
      <c r="AX315" t="str">
        <f>""</f>
        <v/>
      </c>
      <c r="AY315" t="str">
        <f t="shared" si="314"/>
        <v>30/04/2021 12:00:00 a. m.</v>
      </c>
      <c r="AZ315" t="str">
        <f>"4/01/2021 12:00:00 a. m."</f>
        <v>4/01/2021 12:00:00 a. m.</v>
      </c>
      <c r="BA315" t="str">
        <f>""</f>
        <v/>
      </c>
      <c r="BB315" t="str">
        <f>""</f>
        <v/>
      </c>
      <c r="BC315" t="str">
        <f>""</f>
        <v/>
      </c>
      <c r="BD315" t="str">
        <f t="shared" si="354"/>
        <v>1</v>
      </c>
      <c r="BE315" t="str">
        <f t="shared" si="354"/>
        <v>1</v>
      </c>
      <c r="BF315" t="str">
        <f t="shared" si="315"/>
        <v xml:space="preserve">3         </v>
      </c>
      <c r="BG315" t="str">
        <f t="shared" si="316"/>
        <v>Confirmado por laboratorio</v>
      </c>
      <c r="BH315" t="str">
        <f>"ESE HOSPITAL UNIVERSITARIO DE SANTANDER"</f>
        <v>ESE HOSPITAL UNIVERSITARIO DE SANTANDER</v>
      </c>
      <c r="BI315" t="str">
        <f t="shared" si="362"/>
        <v>COLOMBIA</v>
      </c>
      <c r="BJ315" t="str">
        <f t="shared" si="317"/>
        <v>CANCER INFANTIL</v>
      </c>
      <c r="BK315" t="str">
        <f>"SANTANDER"</f>
        <v>SANTANDER</v>
      </c>
      <c r="BL315" t="str">
        <f>"MACARAVITA"</f>
        <v>MACARAVITA</v>
      </c>
      <c r="BM315" t="str">
        <f t="shared" si="363"/>
        <v>COLOMBIA</v>
      </c>
      <c r="BN315" t="str">
        <f>"SANTANDER"</f>
        <v>SANTANDER</v>
      </c>
      <c r="BO315" t="str">
        <f>"MACARAVITA"</f>
        <v>MACARAVITA</v>
      </c>
      <c r="BP315" t="str">
        <f>"SANTANDER"</f>
        <v>SANTANDER</v>
      </c>
      <c r="BQ315" t="str">
        <f>"BUCARAMANGA"</f>
        <v>BUCARAMANGA</v>
      </c>
    </row>
    <row r="316" spans="1:69" x14ac:dyDescent="0.25">
      <c r="A316" t="str">
        <f>"7278781"</f>
        <v>7278781</v>
      </c>
      <c r="B316" t="str">
        <f t="shared" si="310"/>
        <v>459</v>
      </c>
      <c r="C316" t="str">
        <f>"24/03/2021 12:00:00 a. m."</f>
        <v>24/03/2021 12:00:00 a. m.</v>
      </c>
      <c r="D316" t="str">
        <f>"45"</f>
        <v>45</v>
      </c>
      <c r="E316" t="str">
        <f t="shared" si="311"/>
        <v>2020</v>
      </c>
      <c r="F316" t="str">
        <f>"6800100431"</f>
        <v>6800100431</v>
      </c>
      <c r="G316" t="str">
        <f t="shared" si="370"/>
        <v>01</v>
      </c>
      <c r="H316" t="str">
        <f>"15"</f>
        <v>15</v>
      </c>
      <c r="I316" t="str">
        <f t="shared" si="366"/>
        <v>1</v>
      </c>
      <c r="J316" t="str">
        <f>"F"</f>
        <v>F</v>
      </c>
      <c r="K316" t="str">
        <f t="shared" si="356"/>
        <v>170</v>
      </c>
      <c r="L316" t="str">
        <f>"54"</f>
        <v>54</v>
      </c>
      <c r="M316" t="str">
        <f>"001"</f>
        <v>001</v>
      </c>
      <c r="N316" t="str">
        <f>"1"</f>
        <v>1</v>
      </c>
      <c r="O316" t="str">
        <f>"9999"</f>
        <v>9999</v>
      </c>
      <c r="P316" t="str">
        <f>"C"</f>
        <v>C</v>
      </c>
      <c r="Q316" t="str">
        <f>"EPS005"</f>
        <v>EPS005</v>
      </c>
      <c r="R316" t="str">
        <f t="shared" si="371"/>
        <v>6</v>
      </c>
      <c r="S316" t="str">
        <f>""</f>
        <v/>
      </c>
      <c r="T316" t="str">
        <f t="shared" si="333"/>
        <v xml:space="preserve">                                                                                                    </v>
      </c>
      <c r="U316" t="str">
        <f>"          "</f>
        <v xml:space="preserve">          </v>
      </c>
      <c r="V316" t="str">
        <f t="shared" si="367"/>
        <v>2</v>
      </c>
      <c r="W316" t="str">
        <f t="shared" si="365"/>
        <v>2</v>
      </c>
      <c r="X316" t="str">
        <f t="shared" si="357"/>
        <v>2</v>
      </c>
      <c r="Y316" t="str">
        <f t="shared" si="351"/>
        <v>2</v>
      </c>
      <c r="Z316" t="str">
        <f t="shared" si="351"/>
        <v>2</v>
      </c>
      <c r="AA316" t="str">
        <f t="shared" si="312"/>
        <v xml:space="preserve">          </v>
      </c>
      <c r="AB316" t="str">
        <f t="shared" ref="AB316:AB379" si="372">"2"</f>
        <v>2</v>
      </c>
      <c r="AC316" t="str">
        <f t="shared" si="307"/>
        <v>2</v>
      </c>
      <c r="AD316" t="str">
        <f t="shared" si="353"/>
        <v>2</v>
      </c>
      <c r="AE316" t="str">
        <f t="shared" si="353"/>
        <v>2</v>
      </c>
      <c r="AF316" t="str">
        <f t="shared" si="353"/>
        <v>2</v>
      </c>
      <c r="AG316" t="str">
        <f t="shared" si="353"/>
        <v>2</v>
      </c>
      <c r="AH316" t="str">
        <f t="shared" si="358"/>
        <v>1</v>
      </c>
      <c r="AI316" t="str">
        <f t="shared" si="369"/>
        <v xml:space="preserve">1         </v>
      </c>
      <c r="AJ316" t="str">
        <f t="shared" si="360"/>
        <v>170</v>
      </c>
      <c r="AK316" t="str">
        <f>"54"</f>
        <v>54</v>
      </c>
      <c r="AL316" t="str">
        <f>"001"</f>
        <v>001</v>
      </c>
      <c r="AM316" t="str">
        <f>"68"</f>
        <v>68</v>
      </c>
      <c r="AN316" t="str">
        <f>"68001"</f>
        <v>68001</v>
      </c>
      <c r="AO316" t="str">
        <f>"2/11/2020 12:00:00 a. m."</f>
        <v>2/11/2020 12:00:00 a. m.</v>
      </c>
      <c r="AP316" t="str">
        <f>"5/10/2020 12:00:00 a. m."</f>
        <v>5/10/2020 12:00:00 a. m.</v>
      </c>
      <c r="AQ316" t="str">
        <f>"3"</f>
        <v>3</v>
      </c>
      <c r="AR316" t="str">
        <f t="shared" si="364"/>
        <v>1</v>
      </c>
      <c r="AS316" t="str">
        <f>"1/02/2021 12:00:00 a. m."</f>
        <v>1/02/2021 12:00:00 a. m.</v>
      </c>
      <c r="AT316" t="str">
        <f>"1"</f>
        <v>1</v>
      </c>
      <c r="AU316" t="str">
        <f>""</f>
        <v/>
      </c>
      <c r="AV316" t="str">
        <f>"0"</f>
        <v>0</v>
      </c>
      <c r="AW316" t="str">
        <f>"10/11/2005 12:00:00 a. m."</f>
        <v>10/11/2005 12:00:00 a. m.</v>
      </c>
      <c r="AX316" t="str">
        <f>""</f>
        <v/>
      </c>
      <c r="AY316" t="str">
        <f t="shared" si="314"/>
        <v>30/04/2021 12:00:00 a. m.</v>
      </c>
      <c r="AZ316" t="str">
        <f>"6/04/2021 12:00:00 a. m."</f>
        <v>6/04/2021 12:00:00 a. m.</v>
      </c>
      <c r="BA316" t="str">
        <f>""</f>
        <v/>
      </c>
      <c r="BB316" t="str">
        <f>""</f>
        <v/>
      </c>
      <c r="BC316" t="str">
        <f>""</f>
        <v/>
      </c>
      <c r="BD316" t="str">
        <f t="shared" si="354"/>
        <v>1</v>
      </c>
      <c r="BE316" t="str">
        <f t="shared" si="354"/>
        <v>1</v>
      </c>
      <c r="BF316" t="str">
        <f t="shared" si="315"/>
        <v xml:space="preserve">3         </v>
      </c>
      <c r="BG316" t="str">
        <f t="shared" si="316"/>
        <v>Confirmado por laboratorio</v>
      </c>
      <c r="BH316" t="str">
        <f>"CLINICA MATERNO INFANTEL SAN LUIS SA"</f>
        <v>CLINICA MATERNO INFANTEL SAN LUIS SA</v>
      </c>
      <c r="BI316" t="str">
        <f t="shared" si="362"/>
        <v>COLOMBIA</v>
      </c>
      <c r="BJ316" t="str">
        <f t="shared" si="317"/>
        <v>CANCER INFANTIL</v>
      </c>
      <c r="BK316" t="str">
        <f>"NORTE SANTANDER"</f>
        <v>NORTE SANTANDER</v>
      </c>
      <c r="BL316" t="str">
        <f>"CUCUTA"</f>
        <v>CUCUTA</v>
      </c>
      <c r="BM316" t="str">
        <f t="shared" si="363"/>
        <v>COLOMBIA</v>
      </c>
      <c r="BN316" t="str">
        <f>"NORTE SANTANDER"</f>
        <v>NORTE SANTANDER</v>
      </c>
      <c r="BO316" t="str">
        <f>"CUCUTA"</f>
        <v>CUCUTA</v>
      </c>
      <c r="BP316" t="str">
        <f>"SANTANDER"</f>
        <v>SANTANDER</v>
      </c>
      <c r="BQ316" t="str">
        <f>"BUCARAMANGA"</f>
        <v>BUCARAMANGA</v>
      </c>
    </row>
    <row r="317" spans="1:69" x14ac:dyDescent="0.25">
      <c r="A317" t="str">
        <f>"7278931"</f>
        <v>7278931</v>
      </c>
      <c r="B317" t="str">
        <f t="shared" si="310"/>
        <v>459</v>
      </c>
      <c r="C317" t="str">
        <f>"25/09/2020 12:00:00 a. m."</f>
        <v>25/09/2020 12:00:00 a. m.</v>
      </c>
      <c r="D317" t="str">
        <f>"27"</f>
        <v>27</v>
      </c>
      <c r="E317" t="str">
        <f t="shared" si="311"/>
        <v>2020</v>
      </c>
      <c r="F317" t="str">
        <f>"6827600289"</f>
        <v>6827600289</v>
      </c>
      <c r="G317" t="str">
        <f t="shared" si="370"/>
        <v>01</v>
      </c>
      <c r="H317" t="str">
        <f>"12"</f>
        <v>12</v>
      </c>
      <c r="I317" t="str">
        <f t="shared" si="366"/>
        <v>1</v>
      </c>
      <c r="J317" t="str">
        <f>"M"</f>
        <v>M</v>
      </c>
      <c r="K317" t="str">
        <f t="shared" si="356"/>
        <v>170</v>
      </c>
      <c r="L317" t="str">
        <f>"13"</f>
        <v>13</v>
      </c>
      <c r="M317" t="str">
        <f>"670"</f>
        <v>670</v>
      </c>
      <c r="N317" t="str">
        <f>"3"</f>
        <v>3</v>
      </c>
      <c r="O317" t="str">
        <f>"9997"</f>
        <v>9997</v>
      </c>
      <c r="P317" t="str">
        <f>"S"</f>
        <v>S</v>
      </c>
      <c r="Q317" t="str">
        <f>"EPSS41"</f>
        <v>EPSS41</v>
      </c>
      <c r="R317" t="str">
        <f t="shared" si="371"/>
        <v>6</v>
      </c>
      <c r="S317" t="str">
        <f>""</f>
        <v/>
      </c>
      <c r="T317" t="str">
        <f t="shared" si="333"/>
        <v xml:space="preserve">                                                                                                    </v>
      </c>
      <c r="U317" t="str">
        <f>"2         "</f>
        <v xml:space="preserve">2         </v>
      </c>
      <c r="V317" t="str">
        <f t="shared" si="367"/>
        <v>2</v>
      </c>
      <c r="W317" t="str">
        <f t="shared" si="365"/>
        <v>2</v>
      </c>
      <c r="X317" t="str">
        <f t="shared" si="357"/>
        <v>2</v>
      </c>
      <c r="Y317" t="str">
        <f t="shared" si="351"/>
        <v>2</v>
      </c>
      <c r="Z317" t="str">
        <f t="shared" si="351"/>
        <v>2</v>
      </c>
      <c r="AA317" t="str">
        <f t="shared" si="312"/>
        <v xml:space="preserve">          </v>
      </c>
      <c r="AB317" t="str">
        <f t="shared" si="372"/>
        <v>2</v>
      </c>
      <c r="AC317" t="str">
        <f t="shared" ref="AC317:AC380" si="373">"2"</f>
        <v>2</v>
      </c>
      <c r="AD317" t="str">
        <f t="shared" si="353"/>
        <v>2</v>
      </c>
      <c r="AE317" t="str">
        <f t="shared" si="353"/>
        <v>2</v>
      </c>
      <c r="AF317" t="str">
        <f t="shared" si="353"/>
        <v>2</v>
      </c>
      <c r="AG317" t="str">
        <f t="shared" si="353"/>
        <v>2</v>
      </c>
      <c r="AH317" t="str">
        <f t="shared" si="358"/>
        <v>1</v>
      </c>
      <c r="AI317" t="str">
        <f t="shared" si="369"/>
        <v xml:space="preserve">1         </v>
      </c>
      <c r="AJ317" t="str">
        <f t="shared" si="360"/>
        <v>170</v>
      </c>
      <c r="AK317" t="str">
        <f>"13"</f>
        <v>13</v>
      </c>
      <c r="AL317" t="str">
        <f>"670"</f>
        <v>670</v>
      </c>
      <c r="AM317" t="str">
        <f>"68"</f>
        <v>68</v>
      </c>
      <c r="AN317" t="str">
        <f>"68276"</f>
        <v>68276</v>
      </c>
      <c r="AO317" t="str">
        <f>"1/07/2020 12:00:00 a. m."</f>
        <v>1/07/2020 12:00:00 a. m.</v>
      </c>
      <c r="AP317" t="str">
        <f>"1/07/2020 12:00:00 a. m."</f>
        <v>1/07/2020 12:00:00 a. m.</v>
      </c>
      <c r="AQ317" t="str">
        <f>"3"</f>
        <v>3</v>
      </c>
      <c r="AR317" t="str">
        <f t="shared" si="364"/>
        <v>1</v>
      </c>
      <c r="AS317" t="str">
        <f>"1/07/2020 12:00:00 a. m."</f>
        <v>1/07/2020 12:00:00 a. m.</v>
      </c>
      <c r="AT317" t="str">
        <f>"2"</f>
        <v>2</v>
      </c>
      <c r="AU317" t="str">
        <f>"4/07/2020 12:00:00 a. m."</f>
        <v>4/07/2020 12:00:00 a. m.</v>
      </c>
      <c r="AV317" t="str">
        <f>"0"</f>
        <v>0</v>
      </c>
      <c r="AW317" t="str">
        <f>"30/12/2007 12:00:00 a. m."</f>
        <v>30/12/2007 12:00:00 a. m.</v>
      </c>
      <c r="AX317" t="str">
        <f>"C383"</f>
        <v>C383</v>
      </c>
      <c r="AY317" t="str">
        <f t="shared" si="314"/>
        <v>30/04/2021 12:00:00 a. m.</v>
      </c>
      <c r="AZ317" t="str">
        <f>"25/09/2020 12:00:00 a. m."</f>
        <v>25/09/2020 12:00:00 a. m.</v>
      </c>
      <c r="BA317" t="str">
        <f>""</f>
        <v/>
      </c>
      <c r="BB317" t="str">
        <f>""</f>
        <v/>
      </c>
      <c r="BC317" t="str">
        <f>""</f>
        <v/>
      </c>
      <c r="BD317" t="str">
        <f t="shared" si="354"/>
        <v>1</v>
      </c>
      <c r="BE317" t="str">
        <f t="shared" si="354"/>
        <v>1</v>
      </c>
      <c r="BF317" t="str">
        <f t="shared" si="315"/>
        <v xml:space="preserve">3         </v>
      </c>
      <c r="BG317" t="str">
        <f t="shared" si="316"/>
        <v>Confirmado por laboratorio</v>
      </c>
      <c r="BH317" t="str">
        <f>"FUNDACION CARDIOVASCULAR DE COLOMBIA"</f>
        <v>FUNDACION CARDIOVASCULAR DE COLOMBIA</v>
      </c>
      <c r="BI317" t="str">
        <f t="shared" si="362"/>
        <v>COLOMBIA</v>
      </c>
      <c r="BJ317" t="str">
        <f t="shared" si="317"/>
        <v>CANCER INFANTIL</v>
      </c>
      <c r="BK317" t="str">
        <f>"BOLIVAR"</f>
        <v>BOLIVAR</v>
      </c>
      <c r="BL317" t="str">
        <f>"SAN PABLO"</f>
        <v>SAN PABLO</v>
      </c>
      <c r="BM317" t="str">
        <f t="shared" si="363"/>
        <v>COLOMBIA</v>
      </c>
      <c r="BN317" t="str">
        <f>"BOLIVAR"</f>
        <v>BOLIVAR</v>
      </c>
      <c r="BO317" t="str">
        <f>"SAN PABLO"</f>
        <v>SAN PABLO</v>
      </c>
      <c r="BP317" t="str">
        <f>"SANTANDER"</f>
        <v>SANTANDER</v>
      </c>
      <c r="BQ317" t="str">
        <f>"FLORIDABLANCA"</f>
        <v>FLORIDABLANCA</v>
      </c>
    </row>
    <row r="318" spans="1:69" x14ac:dyDescent="0.25">
      <c r="A318" t="str">
        <f>"7278860"</f>
        <v>7278860</v>
      </c>
      <c r="B318" t="str">
        <f t="shared" si="310"/>
        <v>459</v>
      </c>
      <c r="C318" t="str">
        <f>"3/12/2020 12:00:00 a. m."</f>
        <v>3/12/2020 12:00:00 a. m.</v>
      </c>
      <c r="D318" t="str">
        <f>"49"</f>
        <v>49</v>
      </c>
      <c r="E318" t="str">
        <f t="shared" si="311"/>
        <v>2020</v>
      </c>
      <c r="F318" t="str">
        <f>"0504513197"</f>
        <v>0504513197</v>
      </c>
      <c r="G318" t="str">
        <f t="shared" si="370"/>
        <v>01</v>
      </c>
      <c r="H318" t="str">
        <f>"14"</f>
        <v>14</v>
      </c>
      <c r="I318" t="str">
        <f t="shared" si="366"/>
        <v>1</v>
      </c>
      <c r="J318" t="str">
        <f>"M"</f>
        <v>M</v>
      </c>
      <c r="K318" t="str">
        <f t="shared" si="356"/>
        <v>170</v>
      </c>
      <c r="L318" t="str">
        <f>"05"</f>
        <v>05</v>
      </c>
      <c r="M318" t="str">
        <f>"045"</f>
        <v>045</v>
      </c>
      <c r="N318" t="str">
        <f t="shared" ref="N318:N329" si="374">"1"</f>
        <v>1</v>
      </c>
      <c r="O318" t="str">
        <f>"9997"</f>
        <v>9997</v>
      </c>
      <c r="P318" t="str">
        <f>"S"</f>
        <v>S</v>
      </c>
      <c r="Q318" t="str">
        <f>"EPSS40"</f>
        <v>EPSS40</v>
      </c>
      <c r="R318" t="str">
        <f t="shared" si="371"/>
        <v>6</v>
      </c>
      <c r="S318" t="str">
        <f>""</f>
        <v/>
      </c>
      <c r="T318" t="str">
        <f t="shared" si="333"/>
        <v xml:space="preserve">                                                                                                    </v>
      </c>
      <c r="U318" t="str">
        <f>"2         "</f>
        <v xml:space="preserve">2         </v>
      </c>
      <c r="V318" t="str">
        <f t="shared" si="367"/>
        <v>2</v>
      </c>
      <c r="W318" t="str">
        <f t="shared" si="365"/>
        <v>2</v>
      </c>
      <c r="X318" t="str">
        <f t="shared" si="357"/>
        <v>2</v>
      </c>
      <c r="Y318" t="str">
        <f t="shared" si="351"/>
        <v>2</v>
      </c>
      <c r="Z318" t="str">
        <f t="shared" si="351"/>
        <v>2</v>
      </c>
      <c r="AA318" t="str">
        <f t="shared" si="312"/>
        <v xml:space="preserve">          </v>
      </c>
      <c r="AB318" t="str">
        <f t="shared" si="372"/>
        <v>2</v>
      </c>
      <c r="AC318" t="str">
        <f t="shared" si="373"/>
        <v>2</v>
      </c>
      <c r="AD318" t="str">
        <f t="shared" si="353"/>
        <v>2</v>
      </c>
      <c r="AE318" t="str">
        <f t="shared" si="353"/>
        <v>2</v>
      </c>
      <c r="AF318" t="str">
        <f t="shared" si="353"/>
        <v>2</v>
      </c>
      <c r="AG318" t="str">
        <f t="shared" si="353"/>
        <v>2</v>
      </c>
      <c r="AH318" t="str">
        <f t="shared" si="358"/>
        <v>1</v>
      </c>
      <c r="AI318" t="str">
        <f t="shared" si="369"/>
        <v xml:space="preserve">1         </v>
      </c>
      <c r="AJ318" t="str">
        <f t="shared" si="360"/>
        <v>170</v>
      </c>
      <c r="AK318" t="str">
        <f>"05"</f>
        <v>05</v>
      </c>
      <c r="AL318" t="str">
        <f>"045"</f>
        <v>045</v>
      </c>
      <c r="AM318" t="str">
        <f>"05"</f>
        <v>05</v>
      </c>
      <c r="AN318" t="str">
        <f>"05045"</f>
        <v>05045</v>
      </c>
      <c r="AO318" t="str">
        <f>"3/12/2020 12:00:00 a. m."</f>
        <v>3/12/2020 12:00:00 a. m.</v>
      </c>
      <c r="AP318" t="str">
        <f>"3/12/2020 12:00:00 a. m."</f>
        <v>3/12/2020 12:00:00 a. m.</v>
      </c>
      <c r="AQ318" t="str">
        <f>"3"</f>
        <v>3</v>
      </c>
      <c r="AR318" t="str">
        <f t="shared" si="364"/>
        <v>1</v>
      </c>
      <c r="AS318" t="str">
        <f>"3/12/2020 12:00:00 a. m."</f>
        <v>3/12/2020 12:00:00 a. m.</v>
      </c>
      <c r="AT318" t="str">
        <f t="shared" ref="AT318:AT349" si="375">"1"</f>
        <v>1</v>
      </c>
      <c r="AU318" t="str">
        <f>""</f>
        <v/>
      </c>
      <c r="AV318" t="str">
        <f>"0"</f>
        <v>0</v>
      </c>
      <c r="AW318" t="str">
        <f>"18/12/2006 12:00:00 a. m."</f>
        <v>18/12/2006 12:00:00 a. m.</v>
      </c>
      <c r="AX318" t="str">
        <f>""</f>
        <v/>
      </c>
      <c r="AY318" t="str">
        <f t="shared" si="314"/>
        <v>30/04/2021 12:00:00 a. m.</v>
      </c>
      <c r="AZ318" t="str">
        <f>"12/01/2021 12:00:00 a. m."</f>
        <v>12/01/2021 12:00:00 a. m.</v>
      </c>
      <c r="BA318" t="str">
        <f>""</f>
        <v/>
      </c>
      <c r="BB318" t="str">
        <f>""</f>
        <v/>
      </c>
      <c r="BC318" t="str">
        <f>""</f>
        <v/>
      </c>
      <c r="BD318" t="str">
        <f t="shared" si="354"/>
        <v>1</v>
      </c>
      <c r="BE318" t="str">
        <f t="shared" si="354"/>
        <v>1</v>
      </c>
      <c r="BF318" t="str">
        <f t="shared" si="315"/>
        <v xml:space="preserve">3         </v>
      </c>
      <c r="BG318" t="str">
        <f t="shared" si="316"/>
        <v>Confirmado por laboratorio</v>
      </c>
      <c r="BH318" t="str">
        <f>"PROMOTORA CLINICA ZONA FRANCA DE URABA   SAS"</f>
        <v>PROMOTORA CLINICA ZONA FRANCA DE URABA   SAS</v>
      </c>
      <c r="BI318" t="str">
        <f t="shared" si="362"/>
        <v>COLOMBIA</v>
      </c>
      <c r="BJ318" t="str">
        <f t="shared" si="317"/>
        <v>CANCER INFANTIL</v>
      </c>
      <c r="BK318" t="str">
        <f>"ANTIOQUIA"</f>
        <v>ANTIOQUIA</v>
      </c>
      <c r="BL318" t="str">
        <f>"APARTADO"</f>
        <v>APARTADO</v>
      </c>
      <c r="BM318" t="str">
        <f t="shared" si="363"/>
        <v>COLOMBIA</v>
      </c>
      <c r="BN318" t="str">
        <f>"ANTIOQUIA"</f>
        <v>ANTIOQUIA</v>
      </c>
      <c r="BO318" t="str">
        <f>"APARTADO"</f>
        <v>APARTADO</v>
      </c>
      <c r="BP318" t="str">
        <f>"ANTIOQUIA"</f>
        <v>ANTIOQUIA</v>
      </c>
      <c r="BQ318" t="str">
        <f>"APARTADO"</f>
        <v>APARTADO</v>
      </c>
    </row>
    <row r="319" spans="1:69" x14ac:dyDescent="0.25">
      <c r="A319" t="str">
        <f>"7278890"</f>
        <v>7278890</v>
      </c>
      <c r="B319" t="str">
        <f t="shared" si="310"/>
        <v>459</v>
      </c>
      <c r="C319" t="str">
        <f>"22/09/2020 12:00:00 a. m."</f>
        <v>22/09/2020 12:00:00 a. m.</v>
      </c>
      <c r="D319" t="str">
        <f>"35"</f>
        <v>35</v>
      </c>
      <c r="E319" t="str">
        <f t="shared" si="311"/>
        <v>2020</v>
      </c>
      <c r="F319" t="str">
        <f>"6854704947"</f>
        <v>6854704947</v>
      </c>
      <c r="G319" t="str">
        <f t="shared" si="370"/>
        <v>01</v>
      </c>
      <c r="H319" t="str">
        <f>"4"</f>
        <v>4</v>
      </c>
      <c r="I319" t="str">
        <f t="shared" si="366"/>
        <v>1</v>
      </c>
      <c r="J319" t="str">
        <f>"F"</f>
        <v>F</v>
      </c>
      <c r="K319" t="str">
        <f t="shared" si="356"/>
        <v>170</v>
      </c>
      <c r="L319" t="str">
        <f>"81"</f>
        <v>81</v>
      </c>
      <c r="M319" t="str">
        <f>"001"</f>
        <v>001</v>
      </c>
      <c r="N319" t="str">
        <f t="shared" si="374"/>
        <v>1</v>
      </c>
      <c r="O319" t="str">
        <f>"9999"</f>
        <v>9999</v>
      </c>
      <c r="P319" t="str">
        <f>"S"</f>
        <v>S</v>
      </c>
      <c r="Q319" t="str">
        <f>"EPSS37"</f>
        <v>EPSS37</v>
      </c>
      <c r="R319" t="str">
        <f t="shared" si="371"/>
        <v>6</v>
      </c>
      <c r="S319" t="str">
        <f>""</f>
        <v/>
      </c>
      <c r="T319" t="str">
        <f t="shared" si="333"/>
        <v xml:space="preserve">                                                                                                    </v>
      </c>
      <c r="U319" t="str">
        <f>"1         "</f>
        <v xml:space="preserve">1         </v>
      </c>
      <c r="V319" t="str">
        <f t="shared" si="367"/>
        <v>2</v>
      </c>
      <c r="W319" t="str">
        <f t="shared" si="365"/>
        <v>2</v>
      </c>
      <c r="X319" t="str">
        <f t="shared" si="357"/>
        <v>2</v>
      </c>
      <c r="Y319" t="str">
        <f t="shared" ref="Y319:Z338" si="376">"2"</f>
        <v>2</v>
      </c>
      <c r="Z319" t="str">
        <f t="shared" si="376"/>
        <v>2</v>
      </c>
      <c r="AA319" t="str">
        <f t="shared" si="312"/>
        <v xml:space="preserve">          </v>
      </c>
      <c r="AB319" t="str">
        <f t="shared" si="372"/>
        <v>2</v>
      </c>
      <c r="AC319" t="str">
        <f t="shared" si="373"/>
        <v>2</v>
      </c>
      <c r="AD319" t="str">
        <f t="shared" si="353"/>
        <v>2</v>
      </c>
      <c r="AE319" t="str">
        <f t="shared" si="353"/>
        <v>2</v>
      </c>
      <c r="AF319" t="str">
        <f t="shared" si="353"/>
        <v>2</v>
      </c>
      <c r="AG319" t="str">
        <f t="shared" si="353"/>
        <v>2</v>
      </c>
      <c r="AH319" t="str">
        <f t="shared" si="358"/>
        <v>1</v>
      </c>
      <c r="AI319" t="str">
        <f t="shared" si="369"/>
        <v xml:space="preserve">1         </v>
      </c>
      <c r="AJ319" t="str">
        <f t="shared" si="360"/>
        <v>170</v>
      </c>
      <c r="AK319" t="str">
        <f>"81"</f>
        <v>81</v>
      </c>
      <c r="AL319" t="str">
        <f>"001"</f>
        <v>001</v>
      </c>
      <c r="AM319" t="str">
        <f>"68"</f>
        <v>68</v>
      </c>
      <c r="AN319" t="str">
        <f>"68547"</f>
        <v>68547</v>
      </c>
      <c r="AO319" t="str">
        <f>"28/08/2020 12:00:00 a. m."</f>
        <v>28/08/2020 12:00:00 a. m.</v>
      </c>
      <c r="AP319" t="str">
        <f>"20/08/2020 12:00:00 a. m."</f>
        <v>20/08/2020 12:00:00 a. m.</v>
      </c>
      <c r="AQ319" t="str">
        <f>"3"</f>
        <v>3</v>
      </c>
      <c r="AR319" t="str">
        <f t="shared" si="364"/>
        <v>1</v>
      </c>
      <c r="AS319" t="str">
        <f>"9/09/2020 12:00:00 a. m."</f>
        <v>9/09/2020 12:00:00 a. m.</v>
      </c>
      <c r="AT319" t="str">
        <f t="shared" si="375"/>
        <v>1</v>
      </c>
      <c r="AU319" t="str">
        <f>""</f>
        <v/>
      </c>
      <c r="AV319" t="str">
        <f>"0"</f>
        <v>0</v>
      </c>
      <c r="AW319" t="str">
        <f>"20/04/2016 12:00:00 a. m."</f>
        <v>20/04/2016 12:00:00 a. m.</v>
      </c>
      <c r="AX319" t="str">
        <f>""</f>
        <v/>
      </c>
      <c r="AY319" t="str">
        <f t="shared" si="314"/>
        <v>30/04/2021 12:00:00 a. m.</v>
      </c>
      <c r="AZ319" t="str">
        <f>"22/09/2020 12:00:00 a. m."</f>
        <v>22/09/2020 12:00:00 a. m.</v>
      </c>
      <c r="BA319" t="str">
        <f>""</f>
        <v/>
      </c>
      <c r="BB319" t="str">
        <f>""</f>
        <v/>
      </c>
      <c r="BC319" t="str">
        <f>""</f>
        <v/>
      </c>
      <c r="BD319" t="str">
        <f t="shared" si="354"/>
        <v>1</v>
      </c>
      <c r="BE319" t="str">
        <f t="shared" si="354"/>
        <v>1</v>
      </c>
      <c r="BF319" t="str">
        <f t="shared" si="315"/>
        <v xml:space="preserve">3         </v>
      </c>
      <c r="BG319" t="str">
        <f t="shared" si="316"/>
        <v>Confirmado por laboratorio</v>
      </c>
      <c r="BH319" t="str">
        <f>"HOSPITAL INTERNACIONAL DE COLOMBIA"</f>
        <v>HOSPITAL INTERNACIONAL DE COLOMBIA</v>
      </c>
      <c r="BI319" t="str">
        <f t="shared" si="362"/>
        <v>COLOMBIA</v>
      </c>
      <c r="BJ319" t="str">
        <f t="shared" si="317"/>
        <v>CANCER INFANTIL</v>
      </c>
      <c r="BK319" t="str">
        <f>"ARAUCA"</f>
        <v>ARAUCA</v>
      </c>
      <c r="BL319" t="str">
        <f>"ARAUCA"</f>
        <v>ARAUCA</v>
      </c>
      <c r="BM319" t="str">
        <f t="shared" si="363"/>
        <v>COLOMBIA</v>
      </c>
      <c r="BN319" t="str">
        <f>"ARAUCA"</f>
        <v>ARAUCA</v>
      </c>
      <c r="BO319" t="str">
        <f>"ARAUCA"</f>
        <v>ARAUCA</v>
      </c>
      <c r="BP319" t="str">
        <f>"SANTANDER"</f>
        <v>SANTANDER</v>
      </c>
      <c r="BQ319" t="str">
        <f>"PIEDECUESTA"</f>
        <v>PIEDECUESTA</v>
      </c>
    </row>
    <row r="320" spans="1:69" x14ac:dyDescent="0.25">
      <c r="A320" t="str">
        <f>"7291563"</f>
        <v>7291563</v>
      </c>
      <c r="B320" t="str">
        <f t="shared" si="310"/>
        <v>459</v>
      </c>
      <c r="C320" t="str">
        <f>"15/07/2020 12:00:00 a. m."</f>
        <v>15/07/2020 12:00:00 a. m.</v>
      </c>
      <c r="D320" t="str">
        <f>"24"</f>
        <v>24</v>
      </c>
      <c r="E320" t="str">
        <f t="shared" si="311"/>
        <v>2020</v>
      </c>
      <c r="F320" t="str">
        <f>"1700100026"</f>
        <v>1700100026</v>
      </c>
      <c r="G320" t="str">
        <f t="shared" si="370"/>
        <v>01</v>
      </c>
      <c r="H320" t="str">
        <f>"3"</f>
        <v>3</v>
      </c>
      <c r="I320" t="str">
        <f t="shared" si="366"/>
        <v>1</v>
      </c>
      <c r="J320" t="str">
        <f>"F"</f>
        <v>F</v>
      </c>
      <c r="K320" t="str">
        <f t="shared" si="356"/>
        <v>170</v>
      </c>
      <c r="L320" t="str">
        <f>"17"</f>
        <v>17</v>
      </c>
      <c r="M320" t="str">
        <f>"777"</f>
        <v>777</v>
      </c>
      <c r="N320" t="str">
        <f t="shared" si="374"/>
        <v>1</v>
      </c>
      <c r="O320" t="str">
        <f>"9999"</f>
        <v>9999</v>
      </c>
      <c r="P320" t="str">
        <f>"C"</f>
        <v>C</v>
      </c>
      <c r="Q320" t="str">
        <f>"EPS037"</f>
        <v>EPS037</v>
      </c>
      <c r="R320" t="str">
        <f t="shared" si="371"/>
        <v>6</v>
      </c>
      <c r="S320" t="str">
        <f>""</f>
        <v/>
      </c>
      <c r="T320" t="str">
        <f t="shared" si="333"/>
        <v xml:space="preserve">                                                                                                    </v>
      </c>
      <c r="U320" t="str">
        <f>"2         "</f>
        <v xml:space="preserve">2         </v>
      </c>
      <c r="V320" t="str">
        <f t="shared" si="367"/>
        <v>2</v>
      </c>
      <c r="W320" t="str">
        <f t="shared" si="365"/>
        <v>2</v>
      </c>
      <c r="X320" t="str">
        <f t="shared" si="357"/>
        <v>2</v>
      </c>
      <c r="Y320" t="str">
        <f t="shared" si="376"/>
        <v>2</v>
      </c>
      <c r="Z320" t="str">
        <f t="shared" si="376"/>
        <v>2</v>
      </c>
      <c r="AA320" t="str">
        <f t="shared" si="312"/>
        <v xml:space="preserve">          </v>
      </c>
      <c r="AB320" t="str">
        <f t="shared" si="372"/>
        <v>2</v>
      </c>
      <c r="AC320" t="str">
        <f t="shared" si="373"/>
        <v>2</v>
      </c>
      <c r="AD320" t="str">
        <f t="shared" ref="AD320:AG339" si="377">"2"</f>
        <v>2</v>
      </c>
      <c r="AE320" t="str">
        <f t="shared" si="377"/>
        <v>2</v>
      </c>
      <c r="AF320" t="str">
        <f t="shared" si="377"/>
        <v>2</v>
      </c>
      <c r="AG320" t="str">
        <f t="shared" si="377"/>
        <v>2</v>
      </c>
      <c r="AH320" t="str">
        <f t="shared" si="358"/>
        <v>1</v>
      </c>
      <c r="AI320" t="str">
        <f t="shared" si="369"/>
        <v xml:space="preserve">1         </v>
      </c>
      <c r="AJ320" t="str">
        <f t="shared" si="360"/>
        <v>170</v>
      </c>
      <c r="AK320" t="str">
        <f>"17"</f>
        <v>17</v>
      </c>
      <c r="AL320" t="str">
        <f>"777"</f>
        <v>777</v>
      </c>
      <c r="AM320" t="str">
        <f>"17"</f>
        <v>17</v>
      </c>
      <c r="AN320" t="str">
        <f>"17001"</f>
        <v>17001</v>
      </c>
      <c r="AO320" t="str">
        <f>"12/06/2020 12:00:00 a. m."</f>
        <v>12/06/2020 12:00:00 a. m.</v>
      </c>
      <c r="AP320" t="str">
        <f>"27/05/2020 12:00:00 a. m."</f>
        <v>27/05/2020 12:00:00 a. m.</v>
      </c>
      <c r="AQ320" t="str">
        <f>"2"</f>
        <v>2</v>
      </c>
      <c r="AR320" t="str">
        <f t="shared" si="364"/>
        <v>1</v>
      </c>
      <c r="AS320" t="str">
        <f>"12/06/2020 12:00:00 a. m."</f>
        <v>12/06/2020 12:00:00 a. m.</v>
      </c>
      <c r="AT320" t="str">
        <f t="shared" si="375"/>
        <v>1</v>
      </c>
      <c r="AU320" t="str">
        <f>""</f>
        <v/>
      </c>
      <c r="AV320" t="str">
        <f>"3"</f>
        <v>3</v>
      </c>
      <c r="AW320" t="str">
        <f>"14/12/2016 12:00:00 a. m."</f>
        <v>14/12/2016 12:00:00 a. m.</v>
      </c>
      <c r="AX320" t="str">
        <f>""</f>
        <v/>
      </c>
      <c r="AY320" t="str">
        <f t="shared" si="314"/>
        <v>30/04/2021 12:00:00 a. m.</v>
      </c>
      <c r="AZ320" t="str">
        <f>"5/08/2020 12:00:00 a. m."</f>
        <v>5/08/2020 12:00:00 a. m.</v>
      </c>
      <c r="BA320" t="str">
        <f>""</f>
        <v/>
      </c>
      <c r="BB320" t="str">
        <f>""</f>
        <v/>
      </c>
      <c r="BC320" t="str">
        <f>""</f>
        <v/>
      </c>
      <c r="BD320" t="str">
        <f t="shared" si="354"/>
        <v>1</v>
      </c>
      <c r="BE320" t="str">
        <f t="shared" si="354"/>
        <v>1</v>
      </c>
      <c r="BF320" t="str">
        <f t="shared" si="315"/>
        <v xml:space="preserve">3         </v>
      </c>
      <c r="BG320" t="str">
        <f t="shared" si="316"/>
        <v>Confirmado por laboratorio</v>
      </c>
      <c r="BH320" t="str">
        <f>"CRUZ ROJA COLOMBIANA SECCIONAL CALDAS SEDE ADMINIS"</f>
        <v>CRUZ ROJA COLOMBIANA SECCIONAL CALDAS SEDE ADMINIS</v>
      </c>
      <c r="BI320" t="str">
        <f t="shared" si="362"/>
        <v>COLOMBIA</v>
      </c>
      <c r="BJ320" t="str">
        <f t="shared" si="317"/>
        <v>CANCER INFANTIL</v>
      </c>
      <c r="BK320" t="str">
        <f>"CALDAS"</f>
        <v>CALDAS</v>
      </c>
      <c r="BL320" t="str">
        <f>"SUPIA"</f>
        <v>SUPIA</v>
      </c>
      <c r="BM320" t="str">
        <f t="shared" si="363"/>
        <v>COLOMBIA</v>
      </c>
      <c r="BN320" t="str">
        <f>"CALDAS"</f>
        <v>CALDAS</v>
      </c>
      <c r="BO320" t="str">
        <f>"SUPIA"</f>
        <v>SUPIA</v>
      </c>
      <c r="BP320" t="str">
        <f>"CALDAS"</f>
        <v>CALDAS</v>
      </c>
      <c r="BQ320" t="str">
        <f>"MANIZALES"</f>
        <v>MANIZALES</v>
      </c>
    </row>
    <row r="321" spans="1:69" x14ac:dyDescent="0.25">
      <c r="A321" t="str">
        <f>"7291618"</f>
        <v>7291618</v>
      </c>
      <c r="B321" t="str">
        <f t="shared" si="310"/>
        <v>459</v>
      </c>
      <c r="C321" t="str">
        <f>"31/03/2020 12:00:00 a. m."</f>
        <v>31/03/2020 12:00:00 a. m.</v>
      </c>
      <c r="D321" t="str">
        <f>"07"</f>
        <v>07</v>
      </c>
      <c r="E321" t="str">
        <f t="shared" si="311"/>
        <v>2020</v>
      </c>
      <c r="F321" t="str">
        <f>"6800100431"</f>
        <v>6800100431</v>
      </c>
      <c r="G321" t="str">
        <f t="shared" si="370"/>
        <v>01</v>
      </c>
      <c r="H321" t="str">
        <f>"16"</f>
        <v>16</v>
      </c>
      <c r="I321" t="str">
        <f t="shared" si="366"/>
        <v>1</v>
      </c>
      <c r="J321" t="str">
        <f>"F"</f>
        <v>F</v>
      </c>
      <c r="K321" t="str">
        <f t="shared" si="356"/>
        <v>170</v>
      </c>
      <c r="L321" t="str">
        <f>"20"</f>
        <v>20</v>
      </c>
      <c r="M321" t="str">
        <f>"011"</f>
        <v>011</v>
      </c>
      <c r="N321" t="str">
        <f t="shared" si="374"/>
        <v>1</v>
      </c>
      <c r="O321" t="str">
        <f>"9999"</f>
        <v>9999</v>
      </c>
      <c r="P321" t="str">
        <f>"S"</f>
        <v>S</v>
      </c>
      <c r="Q321" t="str">
        <f>"ESS133"</f>
        <v>ESS133</v>
      </c>
      <c r="R321" t="str">
        <f t="shared" si="371"/>
        <v>6</v>
      </c>
      <c r="S321" t="str">
        <f>""</f>
        <v/>
      </c>
      <c r="T321" t="str">
        <f t="shared" si="333"/>
        <v xml:space="preserve">                                                                                                    </v>
      </c>
      <c r="U321" t="str">
        <f>"          "</f>
        <v xml:space="preserve">          </v>
      </c>
      <c r="V321" t="str">
        <f t="shared" si="367"/>
        <v>2</v>
      </c>
      <c r="W321" t="str">
        <f t="shared" si="365"/>
        <v>2</v>
      </c>
      <c r="X321" t="str">
        <f t="shared" si="357"/>
        <v>2</v>
      </c>
      <c r="Y321" t="str">
        <f t="shared" si="376"/>
        <v>2</v>
      </c>
      <c r="Z321" t="str">
        <f t="shared" si="376"/>
        <v>2</v>
      </c>
      <c r="AA321" t="str">
        <f t="shared" si="312"/>
        <v xml:space="preserve">          </v>
      </c>
      <c r="AB321" t="str">
        <f t="shared" si="372"/>
        <v>2</v>
      </c>
      <c r="AC321" t="str">
        <f t="shared" si="373"/>
        <v>2</v>
      </c>
      <c r="AD321" t="str">
        <f t="shared" si="377"/>
        <v>2</v>
      </c>
      <c r="AE321" t="str">
        <f t="shared" si="377"/>
        <v>2</v>
      </c>
      <c r="AF321" t="str">
        <f t="shared" si="377"/>
        <v>2</v>
      </c>
      <c r="AG321" t="str">
        <f t="shared" si="377"/>
        <v>2</v>
      </c>
      <c r="AH321" t="str">
        <f t="shared" si="358"/>
        <v>1</v>
      </c>
      <c r="AI321" t="str">
        <f t="shared" si="369"/>
        <v xml:space="preserve">1         </v>
      </c>
      <c r="AJ321" t="str">
        <f t="shared" si="360"/>
        <v>170</v>
      </c>
      <c r="AK321" t="str">
        <f>"20"</f>
        <v>20</v>
      </c>
      <c r="AL321" t="str">
        <f>"011"</f>
        <v>011</v>
      </c>
      <c r="AM321" t="str">
        <f>"68"</f>
        <v>68</v>
      </c>
      <c r="AN321" t="str">
        <f>"68001"</f>
        <v>68001</v>
      </c>
      <c r="AO321" t="str">
        <f>"13/02/2020 12:00:00 a. m."</f>
        <v>13/02/2020 12:00:00 a. m.</v>
      </c>
      <c r="AP321" t="str">
        <f>"13/02/2020 12:00:00 a. m."</f>
        <v>13/02/2020 12:00:00 a. m.</v>
      </c>
      <c r="AQ321" t="str">
        <f>"3"</f>
        <v>3</v>
      </c>
      <c r="AR321" t="str">
        <f t="shared" si="364"/>
        <v>1</v>
      </c>
      <c r="AS321" t="str">
        <f>"13/02/2020 12:00:00 a. m."</f>
        <v>13/02/2020 12:00:00 a. m.</v>
      </c>
      <c r="AT321" t="str">
        <f t="shared" si="375"/>
        <v>1</v>
      </c>
      <c r="AU321" t="str">
        <f>""</f>
        <v/>
      </c>
      <c r="AV321" t="str">
        <f>"7"</f>
        <v>7</v>
      </c>
      <c r="AW321" t="str">
        <f>"30/01/2004 12:00:00 a. m."</f>
        <v>30/01/2004 12:00:00 a. m.</v>
      </c>
      <c r="AX321" t="str">
        <f>""</f>
        <v/>
      </c>
      <c r="AY321" t="str">
        <f t="shared" si="314"/>
        <v>30/04/2021 12:00:00 a. m.</v>
      </c>
      <c r="AZ321" t="str">
        <f>"6/04/2021 12:00:00 a. m."</f>
        <v>6/04/2021 12:00:00 a. m.</v>
      </c>
      <c r="BA321" t="str">
        <f>""</f>
        <v/>
      </c>
      <c r="BB321" t="str">
        <f>""</f>
        <v/>
      </c>
      <c r="BC321" t="str">
        <f>""</f>
        <v/>
      </c>
      <c r="BD321" t="str">
        <f t="shared" si="354"/>
        <v>1</v>
      </c>
      <c r="BE321" t="str">
        <f t="shared" si="354"/>
        <v>1</v>
      </c>
      <c r="BF321" t="str">
        <f t="shared" si="315"/>
        <v xml:space="preserve">3         </v>
      </c>
      <c r="BG321" t="str">
        <f t="shared" si="316"/>
        <v>Confirmado por laboratorio</v>
      </c>
      <c r="BH321" t="str">
        <f>"CLINICA MATERNO INFANTEL SAN LUIS SA"</f>
        <v>CLINICA MATERNO INFANTEL SAN LUIS SA</v>
      </c>
      <c r="BI321" t="str">
        <f t="shared" si="362"/>
        <v>COLOMBIA</v>
      </c>
      <c r="BJ321" t="str">
        <f t="shared" si="317"/>
        <v>CANCER INFANTIL</v>
      </c>
      <c r="BK321" t="str">
        <f>"CESAR"</f>
        <v>CESAR</v>
      </c>
      <c r="BL321" t="str">
        <f>"AGUACHICA"</f>
        <v>AGUACHICA</v>
      </c>
      <c r="BM321" t="str">
        <f t="shared" si="363"/>
        <v>COLOMBIA</v>
      </c>
      <c r="BN321" t="str">
        <f>"CESAR"</f>
        <v>CESAR</v>
      </c>
      <c r="BO321" t="str">
        <f>"AGUACHICA"</f>
        <v>AGUACHICA</v>
      </c>
      <c r="BP321" t="str">
        <f>"SANTANDER"</f>
        <v>SANTANDER</v>
      </c>
      <c r="BQ321" t="str">
        <f>"BUCARAMANGA"</f>
        <v>BUCARAMANGA</v>
      </c>
    </row>
    <row r="322" spans="1:69" x14ac:dyDescent="0.25">
      <c r="A322" t="str">
        <f>"7291681"</f>
        <v>7291681</v>
      </c>
      <c r="B322" t="str">
        <f t="shared" ref="B322:B385" si="378">"459"</f>
        <v>459</v>
      </c>
      <c r="C322" t="str">
        <f>"18/03/2020 12:00:00 a. m."</f>
        <v>18/03/2020 12:00:00 a. m.</v>
      </c>
      <c r="D322" t="str">
        <f>"10"</f>
        <v>10</v>
      </c>
      <c r="E322" t="str">
        <f t="shared" ref="E322:E385" si="379">"2020"</f>
        <v>2020</v>
      </c>
      <c r="F322" t="str">
        <f>"7600102870"</f>
        <v>7600102870</v>
      </c>
      <c r="G322" t="str">
        <f t="shared" si="370"/>
        <v>01</v>
      </c>
      <c r="H322" t="str">
        <f>"11"</f>
        <v>11</v>
      </c>
      <c r="I322" t="str">
        <f>"2"</f>
        <v>2</v>
      </c>
      <c r="J322" t="str">
        <f>"F"</f>
        <v>F</v>
      </c>
      <c r="K322" t="str">
        <f t="shared" si="356"/>
        <v>170</v>
      </c>
      <c r="L322" t="str">
        <f>"76"</f>
        <v>76</v>
      </c>
      <c r="M322" t="str">
        <f>"318"</f>
        <v>318</v>
      </c>
      <c r="N322" t="str">
        <f t="shared" si="374"/>
        <v>1</v>
      </c>
      <c r="O322" t="str">
        <f>"9999"</f>
        <v>9999</v>
      </c>
      <c r="P322" t="str">
        <f>"C"</f>
        <v>C</v>
      </c>
      <c r="Q322" t="str">
        <f>"EPS037"</f>
        <v>EPS037</v>
      </c>
      <c r="R322" t="str">
        <f t="shared" si="371"/>
        <v>6</v>
      </c>
      <c r="S322" t="str">
        <f>""</f>
        <v/>
      </c>
      <c r="T322" t="str">
        <f t="shared" si="333"/>
        <v xml:space="preserve">                                                                                                    </v>
      </c>
      <c r="U322" t="str">
        <f>"          "</f>
        <v xml:space="preserve">          </v>
      </c>
      <c r="V322" t="str">
        <f t="shared" si="367"/>
        <v>2</v>
      </c>
      <c r="W322" t="str">
        <f t="shared" si="365"/>
        <v>2</v>
      </c>
      <c r="X322" t="str">
        <f t="shared" si="357"/>
        <v>2</v>
      </c>
      <c r="Y322" t="str">
        <f t="shared" si="376"/>
        <v>2</v>
      </c>
      <c r="Z322" t="str">
        <f t="shared" si="376"/>
        <v>2</v>
      </c>
      <c r="AA322" t="str">
        <f t="shared" ref="AA322:AA385" si="380">"          "</f>
        <v xml:space="preserve">          </v>
      </c>
      <c r="AB322" t="str">
        <f t="shared" si="372"/>
        <v>2</v>
      </c>
      <c r="AC322" t="str">
        <f t="shared" si="373"/>
        <v>2</v>
      </c>
      <c r="AD322" t="str">
        <f t="shared" si="377"/>
        <v>2</v>
      </c>
      <c r="AE322" t="str">
        <f t="shared" si="377"/>
        <v>2</v>
      </c>
      <c r="AF322" t="str">
        <f t="shared" si="377"/>
        <v>2</v>
      </c>
      <c r="AG322" t="str">
        <f t="shared" si="377"/>
        <v>2</v>
      </c>
      <c r="AH322" t="str">
        <f t="shared" si="358"/>
        <v>1</v>
      </c>
      <c r="AI322" t="str">
        <f t="shared" si="369"/>
        <v xml:space="preserve">1         </v>
      </c>
      <c r="AJ322" t="str">
        <f t="shared" si="360"/>
        <v>170</v>
      </c>
      <c r="AK322" t="str">
        <f>"76"</f>
        <v>76</v>
      </c>
      <c r="AL322" t="str">
        <f>"318"</f>
        <v>318</v>
      </c>
      <c r="AM322" t="str">
        <f>"76"</f>
        <v>76</v>
      </c>
      <c r="AN322" t="str">
        <f>"76001"</f>
        <v>76001</v>
      </c>
      <c r="AO322" t="str">
        <f>"2/03/2020 12:00:00 a. m."</f>
        <v>2/03/2020 12:00:00 a. m.</v>
      </c>
      <c r="AP322" t="str">
        <f>"2/03/2020 12:00:00 a. m."</f>
        <v>2/03/2020 12:00:00 a. m.</v>
      </c>
      <c r="AQ322" t="str">
        <f>"3"</f>
        <v>3</v>
      </c>
      <c r="AR322" t="str">
        <f t="shared" si="364"/>
        <v>1</v>
      </c>
      <c r="AS322" t="str">
        <f>"2/03/2020 12:00:00 a. m."</f>
        <v>2/03/2020 12:00:00 a. m.</v>
      </c>
      <c r="AT322" t="str">
        <f t="shared" si="375"/>
        <v>1</v>
      </c>
      <c r="AU322" t="str">
        <f>""</f>
        <v/>
      </c>
      <c r="AV322" t="str">
        <f>"0"</f>
        <v>0</v>
      </c>
      <c r="AW322" t="str">
        <f>"6/04/2019 12:00:00 a. m."</f>
        <v>6/04/2019 12:00:00 a. m.</v>
      </c>
      <c r="AX322" t="str">
        <f>""</f>
        <v/>
      </c>
      <c r="AY322" t="str">
        <f t="shared" ref="AY322:AY385" si="381">"30/04/2021 12:00:00 a. m."</f>
        <v>30/04/2021 12:00:00 a. m.</v>
      </c>
      <c r="AZ322" t="str">
        <f>"18/03/2020 12:00:00 a. m."</f>
        <v>18/03/2020 12:00:00 a. m.</v>
      </c>
      <c r="BA322" t="str">
        <f>""</f>
        <v/>
      </c>
      <c r="BB322" t="str">
        <f>""</f>
        <v/>
      </c>
      <c r="BC322" t="str">
        <f>""</f>
        <v/>
      </c>
      <c r="BD322" t="str">
        <f t="shared" ref="BD322:BE341" si="382">"1"</f>
        <v>1</v>
      </c>
      <c r="BE322" t="str">
        <f t="shared" si="382"/>
        <v>1</v>
      </c>
      <c r="BF322" t="str">
        <f t="shared" ref="BF322:BF385" si="383">"3         "</f>
        <v xml:space="preserve">3         </v>
      </c>
      <c r="BG322" t="str">
        <f t="shared" ref="BG322:BG385" si="384">"Confirmado por laboratorio"</f>
        <v>Confirmado por laboratorio</v>
      </c>
      <c r="BH322" t="str">
        <f>"FUNDACION VALLE DEL LILI"</f>
        <v>FUNDACION VALLE DEL LILI</v>
      </c>
      <c r="BI322" t="str">
        <f t="shared" si="362"/>
        <v>COLOMBIA</v>
      </c>
      <c r="BJ322" t="str">
        <f t="shared" ref="BJ322:BJ385" si="385">"CANCER INFANTIL"</f>
        <v>CANCER INFANTIL</v>
      </c>
      <c r="BK322" t="str">
        <f>"VALLE"</f>
        <v>VALLE</v>
      </c>
      <c r="BL322" t="str">
        <f>"GUACARI"</f>
        <v>GUACARI</v>
      </c>
      <c r="BM322" t="str">
        <f t="shared" si="363"/>
        <v>COLOMBIA</v>
      </c>
      <c r="BN322" t="str">
        <f>"VALLE"</f>
        <v>VALLE</v>
      </c>
      <c r="BO322" t="str">
        <f>"GUACARI"</f>
        <v>GUACARI</v>
      </c>
      <c r="BP322" t="str">
        <f>"VALLE"</f>
        <v>VALLE</v>
      </c>
      <c r="BQ322" t="str">
        <f>"CALI"</f>
        <v>CALI</v>
      </c>
    </row>
    <row r="323" spans="1:69" x14ac:dyDescent="0.25">
      <c r="A323" t="str">
        <f>"7278905"</f>
        <v>7278905</v>
      </c>
      <c r="B323" t="str">
        <f t="shared" si="378"/>
        <v>459</v>
      </c>
      <c r="C323" t="str">
        <f>"5/02/2021 12:00:00 a. m."</f>
        <v>5/02/2021 12:00:00 a. m.</v>
      </c>
      <c r="D323" t="str">
        <f>"51"</f>
        <v>51</v>
      </c>
      <c r="E323" t="str">
        <f t="shared" si="379"/>
        <v>2020</v>
      </c>
      <c r="F323" t="str">
        <f>"5400100470"</f>
        <v>5400100470</v>
      </c>
      <c r="G323" t="str">
        <f t="shared" si="370"/>
        <v>01</v>
      </c>
      <c r="H323" t="str">
        <f>"14"</f>
        <v>14</v>
      </c>
      <c r="I323" t="str">
        <f t="shared" ref="I323:I331" si="386">"1"</f>
        <v>1</v>
      </c>
      <c r="J323" t="str">
        <f>"F"</f>
        <v>F</v>
      </c>
      <c r="K323" t="str">
        <f t="shared" si="356"/>
        <v>170</v>
      </c>
      <c r="L323" t="str">
        <f>"54"</f>
        <v>54</v>
      </c>
      <c r="M323" t="str">
        <f>"001"</f>
        <v>001</v>
      </c>
      <c r="N323" t="str">
        <f t="shared" si="374"/>
        <v>1</v>
      </c>
      <c r="O323" t="str">
        <f>"9997"</f>
        <v>9997</v>
      </c>
      <c r="P323" t="str">
        <f>"C"</f>
        <v>C</v>
      </c>
      <c r="Q323" t="str">
        <f>"EPS037"</f>
        <v>EPS037</v>
      </c>
      <c r="R323" t="str">
        <f t="shared" si="371"/>
        <v>6</v>
      </c>
      <c r="S323" t="str">
        <f>""</f>
        <v/>
      </c>
      <c r="T323" t="str">
        <f t="shared" si="333"/>
        <v xml:space="preserve">                                                                                                    </v>
      </c>
      <c r="U323" t="str">
        <f>"2         "</f>
        <v xml:space="preserve">2         </v>
      </c>
      <c r="V323" t="str">
        <f t="shared" si="367"/>
        <v>2</v>
      </c>
      <c r="W323" t="str">
        <f t="shared" si="365"/>
        <v>2</v>
      </c>
      <c r="X323" t="str">
        <f t="shared" si="357"/>
        <v>2</v>
      </c>
      <c r="Y323" t="str">
        <f t="shared" si="376"/>
        <v>2</v>
      </c>
      <c r="Z323" t="str">
        <f t="shared" si="376"/>
        <v>2</v>
      </c>
      <c r="AA323" t="str">
        <f t="shared" si="380"/>
        <v xml:space="preserve">          </v>
      </c>
      <c r="AB323" t="str">
        <f t="shared" si="372"/>
        <v>2</v>
      </c>
      <c r="AC323" t="str">
        <f t="shared" si="373"/>
        <v>2</v>
      </c>
      <c r="AD323" t="str">
        <f t="shared" si="377"/>
        <v>2</v>
      </c>
      <c r="AE323" t="str">
        <f t="shared" si="377"/>
        <v>2</v>
      </c>
      <c r="AF323" t="str">
        <f t="shared" si="377"/>
        <v>2</v>
      </c>
      <c r="AG323" t="str">
        <f t="shared" si="377"/>
        <v>2</v>
      </c>
      <c r="AH323" t="str">
        <f t="shared" si="358"/>
        <v>1</v>
      </c>
      <c r="AI323" t="str">
        <f t="shared" si="369"/>
        <v xml:space="preserve">1         </v>
      </c>
      <c r="AJ323" t="str">
        <f t="shared" si="360"/>
        <v>170</v>
      </c>
      <c r="AK323" t="str">
        <f>"54"</f>
        <v>54</v>
      </c>
      <c r="AL323" t="str">
        <f>"001"</f>
        <v>001</v>
      </c>
      <c r="AM323" t="str">
        <f>"54"</f>
        <v>54</v>
      </c>
      <c r="AN323" t="str">
        <f>"54001"</f>
        <v>54001</v>
      </c>
      <c r="AO323" t="str">
        <f>"15/12/2020 12:00:00 a. m."</f>
        <v>15/12/2020 12:00:00 a. m.</v>
      </c>
      <c r="AP323" t="str">
        <f>"7/12/2020 12:00:00 a. m."</f>
        <v>7/12/2020 12:00:00 a. m.</v>
      </c>
      <c r="AQ323" t="str">
        <f>"3"</f>
        <v>3</v>
      </c>
      <c r="AR323" t="str">
        <f t="shared" si="364"/>
        <v>1</v>
      </c>
      <c r="AS323" t="str">
        <f>"15/12/2020 12:00:00 a. m."</f>
        <v>15/12/2020 12:00:00 a. m.</v>
      </c>
      <c r="AT323" t="str">
        <f t="shared" si="375"/>
        <v>1</v>
      </c>
      <c r="AU323" t="str">
        <f>""</f>
        <v/>
      </c>
      <c r="AV323" t="str">
        <f>"0"</f>
        <v>0</v>
      </c>
      <c r="AW323" t="str">
        <f>"16/12/2006 12:00:00 a. m."</f>
        <v>16/12/2006 12:00:00 a. m.</v>
      </c>
      <c r="AX323" t="str">
        <f>""</f>
        <v/>
      </c>
      <c r="AY323" t="str">
        <f t="shared" si="381"/>
        <v>30/04/2021 12:00:00 a. m.</v>
      </c>
      <c r="AZ323" t="str">
        <f>"8/02/2021 12:00:00 a. m."</f>
        <v>8/02/2021 12:00:00 a. m.</v>
      </c>
      <c r="BA323" t="str">
        <f>""</f>
        <v/>
      </c>
      <c r="BB323" t="str">
        <f>""</f>
        <v/>
      </c>
      <c r="BC323" t="str">
        <f>""</f>
        <v/>
      </c>
      <c r="BD323" t="str">
        <f t="shared" si="382"/>
        <v>1</v>
      </c>
      <c r="BE323" t="str">
        <f t="shared" si="382"/>
        <v>1</v>
      </c>
      <c r="BF323" t="str">
        <f t="shared" si="383"/>
        <v xml:space="preserve">3         </v>
      </c>
      <c r="BG323" t="str">
        <f t="shared" si="384"/>
        <v>Confirmado por laboratorio</v>
      </c>
      <c r="BH323" t="str">
        <f>"CLINICA SAN JOSE DE CUCUTA SA"</f>
        <v>CLINICA SAN JOSE DE CUCUTA SA</v>
      </c>
      <c r="BI323" t="str">
        <f t="shared" si="362"/>
        <v>COLOMBIA</v>
      </c>
      <c r="BJ323" t="str">
        <f t="shared" si="385"/>
        <v>CANCER INFANTIL</v>
      </c>
      <c r="BK323" t="str">
        <f>"NORTE SANTANDER"</f>
        <v>NORTE SANTANDER</v>
      </c>
      <c r="BL323" t="str">
        <f>"CUCUTA"</f>
        <v>CUCUTA</v>
      </c>
      <c r="BM323" t="str">
        <f t="shared" si="363"/>
        <v>COLOMBIA</v>
      </c>
      <c r="BN323" t="str">
        <f>"NORTE SANTANDER"</f>
        <v>NORTE SANTANDER</v>
      </c>
      <c r="BO323" t="str">
        <f>"CUCUTA"</f>
        <v>CUCUTA</v>
      </c>
      <c r="BP323" t="str">
        <f>"NORTE SANTANDER"</f>
        <v>NORTE SANTANDER</v>
      </c>
      <c r="BQ323" t="str">
        <f>"CUCUTA"</f>
        <v>CUCUTA</v>
      </c>
    </row>
    <row r="324" spans="1:69" x14ac:dyDescent="0.25">
      <c r="A324" t="str">
        <f>"7278779"</f>
        <v>7278779</v>
      </c>
      <c r="B324" t="str">
        <f t="shared" si="378"/>
        <v>459</v>
      </c>
      <c r="C324" t="str">
        <f>"25/04/2020 12:00:00 a. m."</f>
        <v>25/04/2020 12:00:00 a. m.</v>
      </c>
      <c r="D324" t="str">
        <f>"13"</f>
        <v>13</v>
      </c>
      <c r="E324" t="str">
        <f t="shared" si="379"/>
        <v>2020</v>
      </c>
      <c r="F324" t="str">
        <f>"5400102349"</f>
        <v>5400102349</v>
      </c>
      <c r="G324" t="str">
        <f t="shared" si="370"/>
        <v>01</v>
      </c>
      <c r="H324" t="str">
        <f>"4"</f>
        <v>4</v>
      </c>
      <c r="I324" t="str">
        <f t="shared" si="386"/>
        <v>1</v>
      </c>
      <c r="J324" t="str">
        <f t="shared" ref="J324:J330" si="387">"M"</f>
        <v>M</v>
      </c>
      <c r="K324" t="str">
        <f t="shared" si="356"/>
        <v>170</v>
      </c>
      <c r="L324" t="str">
        <f>"54"</f>
        <v>54</v>
      </c>
      <c r="M324" t="str">
        <f>"001"</f>
        <v>001</v>
      </c>
      <c r="N324" t="str">
        <f t="shared" si="374"/>
        <v>1</v>
      </c>
      <c r="O324" t="str">
        <f>"9998"</f>
        <v>9998</v>
      </c>
      <c r="P324" t="str">
        <f>"S"</f>
        <v>S</v>
      </c>
      <c r="Q324" t="str">
        <f>"EPSS41"</f>
        <v>EPSS41</v>
      </c>
      <c r="R324" t="str">
        <f t="shared" si="371"/>
        <v>6</v>
      </c>
      <c r="S324" t="str">
        <f>""</f>
        <v/>
      </c>
      <c r="T324" t="str">
        <f t="shared" si="333"/>
        <v xml:space="preserve">                                                                                                    </v>
      </c>
      <c r="U324" t="str">
        <f>"2         "</f>
        <v xml:space="preserve">2         </v>
      </c>
      <c r="V324" t="str">
        <f t="shared" si="367"/>
        <v>2</v>
      </c>
      <c r="W324" t="str">
        <f t="shared" si="365"/>
        <v>2</v>
      </c>
      <c r="X324" t="str">
        <f t="shared" si="357"/>
        <v>2</v>
      </c>
      <c r="Y324" t="str">
        <f t="shared" si="376"/>
        <v>2</v>
      </c>
      <c r="Z324" t="str">
        <f t="shared" si="376"/>
        <v>2</v>
      </c>
      <c r="AA324" t="str">
        <f t="shared" si="380"/>
        <v xml:space="preserve">          </v>
      </c>
      <c r="AB324" t="str">
        <f t="shared" si="372"/>
        <v>2</v>
      </c>
      <c r="AC324" t="str">
        <f t="shared" si="373"/>
        <v>2</v>
      </c>
      <c r="AD324" t="str">
        <f t="shared" si="377"/>
        <v>2</v>
      </c>
      <c r="AE324" t="str">
        <f t="shared" si="377"/>
        <v>2</v>
      </c>
      <c r="AF324" t="str">
        <f t="shared" si="377"/>
        <v>2</v>
      </c>
      <c r="AG324" t="str">
        <f t="shared" si="377"/>
        <v>2</v>
      </c>
      <c r="AH324" t="str">
        <f t="shared" si="358"/>
        <v>1</v>
      </c>
      <c r="AI324" t="str">
        <f t="shared" si="369"/>
        <v xml:space="preserve">1         </v>
      </c>
      <c r="AJ324" t="str">
        <f t="shared" si="360"/>
        <v>170</v>
      </c>
      <c r="AK324" t="str">
        <f>"54"</f>
        <v>54</v>
      </c>
      <c r="AL324" t="str">
        <f>"001"</f>
        <v>001</v>
      </c>
      <c r="AM324" t="str">
        <f>"54"</f>
        <v>54</v>
      </c>
      <c r="AN324" t="str">
        <f>"54001"</f>
        <v>54001</v>
      </c>
      <c r="AO324" t="str">
        <f>"25/03/2020 12:00:00 a. m."</f>
        <v>25/03/2020 12:00:00 a. m.</v>
      </c>
      <c r="AP324" t="str">
        <f>"21/03/2020 12:00:00 a. m."</f>
        <v>21/03/2020 12:00:00 a. m.</v>
      </c>
      <c r="AQ324" t="str">
        <f>"3"</f>
        <v>3</v>
      </c>
      <c r="AR324" t="str">
        <f t="shared" si="364"/>
        <v>1</v>
      </c>
      <c r="AS324" t="str">
        <f>"25/03/2020 12:00:00 a. m."</f>
        <v>25/03/2020 12:00:00 a. m.</v>
      </c>
      <c r="AT324" t="str">
        <f t="shared" si="375"/>
        <v>1</v>
      </c>
      <c r="AU324" t="str">
        <f>""</f>
        <v/>
      </c>
      <c r="AV324" t="str">
        <f>"3"</f>
        <v>3</v>
      </c>
      <c r="AW324" t="str">
        <f>"21/08/2015 12:00:00 a. m."</f>
        <v>21/08/2015 12:00:00 a. m.</v>
      </c>
      <c r="AX324" t="str">
        <f>""</f>
        <v/>
      </c>
      <c r="AY324" t="str">
        <f t="shared" si="381"/>
        <v>30/04/2021 12:00:00 a. m.</v>
      </c>
      <c r="AZ324" t="str">
        <f>"22/07/2020 12:00:00 a. m."</f>
        <v>22/07/2020 12:00:00 a. m.</v>
      </c>
      <c r="BA324" t="str">
        <f>""</f>
        <v/>
      </c>
      <c r="BB324" t="str">
        <f>""</f>
        <v/>
      </c>
      <c r="BC324" t="str">
        <f>""</f>
        <v/>
      </c>
      <c r="BD324" t="str">
        <f t="shared" si="382"/>
        <v>1</v>
      </c>
      <c r="BE324" t="str">
        <f t="shared" si="382"/>
        <v>1</v>
      </c>
      <c r="BF324" t="str">
        <f t="shared" si="383"/>
        <v xml:space="preserve">3         </v>
      </c>
      <c r="BG324" t="str">
        <f t="shared" si="384"/>
        <v>Confirmado por laboratorio</v>
      </c>
      <c r="BH324" t="str">
        <f>"CLINICA MEDICAL DUARTE"</f>
        <v>CLINICA MEDICAL DUARTE</v>
      </c>
      <c r="BI324" t="str">
        <f t="shared" si="362"/>
        <v>COLOMBIA</v>
      </c>
      <c r="BJ324" t="str">
        <f t="shared" si="385"/>
        <v>CANCER INFANTIL</v>
      </c>
      <c r="BK324" t="str">
        <f>"NORTE SANTANDER"</f>
        <v>NORTE SANTANDER</v>
      </c>
      <c r="BL324" t="str">
        <f>"CUCUTA"</f>
        <v>CUCUTA</v>
      </c>
      <c r="BM324" t="str">
        <f t="shared" si="363"/>
        <v>COLOMBIA</v>
      </c>
      <c r="BN324" t="str">
        <f>"NORTE SANTANDER"</f>
        <v>NORTE SANTANDER</v>
      </c>
      <c r="BO324" t="str">
        <f>"CUCUTA"</f>
        <v>CUCUTA</v>
      </c>
      <c r="BP324" t="str">
        <f>"NORTE SANTANDER"</f>
        <v>NORTE SANTANDER</v>
      </c>
      <c r="BQ324" t="str">
        <f>"CUCUTA"</f>
        <v>CUCUTA</v>
      </c>
    </row>
    <row r="325" spans="1:69" x14ac:dyDescent="0.25">
      <c r="A325" t="str">
        <f>"7278780"</f>
        <v>7278780</v>
      </c>
      <c r="B325" t="str">
        <f t="shared" si="378"/>
        <v>459</v>
      </c>
      <c r="C325" t="str">
        <f>"3/02/2020 12:00:00 a. m."</f>
        <v>3/02/2020 12:00:00 a. m.</v>
      </c>
      <c r="D325" t="str">
        <f>"03"</f>
        <v>03</v>
      </c>
      <c r="E325" t="str">
        <f t="shared" si="379"/>
        <v>2020</v>
      </c>
      <c r="F325" t="str">
        <f>"5400102349"</f>
        <v>5400102349</v>
      </c>
      <c r="G325" t="str">
        <f t="shared" si="370"/>
        <v>01</v>
      </c>
      <c r="H325" t="str">
        <f>"15"</f>
        <v>15</v>
      </c>
      <c r="I325" t="str">
        <f t="shared" si="386"/>
        <v>1</v>
      </c>
      <c r="J325" t="str">
        <f t="shared" si="387"/>
        <v>M</v>
      </c>
      <c r="K325" t="str">
        <f t="shared" si="356"/>
        <v>170</v>
      </c>
      <c r="L325" t="str">
        <f>"54"</f>
        <v>54</v>
      </c>
      <c r="M325" t="str">
        <f>"001"</f>
        <v>001</v>
      </c>
      <c r="N325" t="str">
        <f t="shared" si="374"/>
        <v>1</v>
      </c>
      <c r="O325" t="str">
        <f>"9997"</f>
        <v>9997</v>
      </c>
      <c r="P325" t="str">
        <f>"S"</f>
        <v>S</v>
      </c>
      <c r="Q325" t="str">
        <f>"EPSS41"</f>
        <v>EPSS41</v>
      </c>
      <c r="R325" t="str">
        <f t="shared" si="371"/>
        <v>6</v>
      </c>
      <c r="S325" t="str">
        <f>""</f>
        <v/>
      </c>
      <c r="T325" t="str">
        <f t="shared" si="333"/>
        <v xml:space="preserve">                                                                                                    </v>
      </c>
      <c r="U325" t="str">
        <f>"2         "</f>
        <v xml:space="preserve">2         </v>
      </c>
      <c r="V325" t="str">
        <f t="shared" si="367"/>
        <v>2</v>
      </c>
      <c r="W325" t="str">
        <f t="shared" si="365"/>
        <v>2</v>
      </c>
      <c r="X325" t="str">
        <f t="shared" si="357"/>
        <v>2</v>
      </c>
      <c r="Y325" t="str">
        <f t="shared" si="376"/>
        <v>2</v>
      </c>
      <c r="Z325" t="str">
        <f t="shared" si="376"/>
        <v>2</v>
      </c>
      <c r="AA325" t="str">
        <f t="shared" si="380"/>
        <v xml:space="preserve">          </v>
      </c>
      <c r="AB325" t="str">
        <f t="shared" si="372"/>
        <v>2</v>
      </c>
      <c r="AC325" t="str">
        <f t="shared" si="373"/>
        <v>2</v>
      </c>
      <c r="AD325" t="str">
        <f t="shared" si="377"/>
        <v>2</v>
      </c>
      <c r="AE325" t="str">
        <f t="shared" si="377"/>
        <v>2</v>
      </c>
      <c r="AF325" t="str">
        <f t="shared" si="377"/>
        <v>2</v>
      </c>
      <c r="AG325" t="str">
        <f t="shared" si="377"/>
        <v>2</v>
      </c>
      <c r="AH325" t="str">
        <f t="shared" si="358"/>
        <v>1</v>
      </c>
      <c r="AI325" t="str">
        <f>"2         "</f>
        <v xml:space="preserve">2         </v>
      </c>
      <c r="AJ325" t="str">
        <f t="shared" si="360"/>
        <v>170</v>
      </c>
      <c r="AK325" t="str">
        <f>"54"</f>
        <v>54</v>
      </c>
      <c r="AL325" t="str">
        <f>"001"</f>
        <v>001</v>
      </c>
      <c r="AM325" t="str">
        <f>"54"</f>
        <v>54</v>
      </c>
      <c r="AN325" t="str">
        <f>"54001"</f>
        <v>54001</v>
      </c>
      <c r="AO325" t="str">
        <f>"18/01/2020 12:00:00 a. m."</f>
        <v>18/01/2020 12:00:00 a. m.</v>
      </c>
      <c r="AP325" t="str">
        <f>"29/12/2019 12:00:00 a. m."</f>
        <v>29/12/2019 12:00:00 a. m.</v>
      </c>
      <c r="AQ325" t="str">
        <f>"2"</f>
        <v>2</v>
      </c>
      <c r="AR325" t="str">
        <f t="shared" si="364"/>
        <v>1</v>
      </c>
      <c r="AS325" t="str">
        <f>"18/01/2020 12:00:00 a. m."</f>
        <v>18/01/2020 12:00:00 a. m.</v>
      </c>
      <c r="AT325" t="str">
        <f t="shared" si="375"/>
        <v>1</v>
      </c>
      <c r="AU325" t="str">
        <f>""</f>
        <v/>
      </c>
      <c r="AV325" t="str">
        <f>"3"</f>
        <v>3</v>
      </c>
      <c r="AW325" t="str">
        <f>"15/07/2004 12:00:00 a. m."</f>
        <v>15/07/2004 12:00:00 a. m.</v>
      </c>
      <c r="AX325" t="str">
        <f>""</f>
        <v/>
      </c>
      <c r="AY325" t="str">
        <f t="shared" si="381"/>
        <v>30/04/2021 12:00:00 a. m.</v>
      </c>
      <c r="AZ325" t="str">
        <f>"5/08/2020 12:00:00 a. m."</f>
        <v>5/08/2020 12:00:00 a. m.</v>
      </c>
      <c r="BA325" t="str">
        <f>""</f>
        <v/>
      </c>
      <c r="BB325" t="str">
        <f>""</f>
        <v/>
      </c>
      <c r="BC325" t="str">
        <f>""</f>
        <v/>
      </c>
      <c r="BD325" t="str">
        <f t="shared" si="382"/>
        <v>1</v>
      </c>
      <c r="BE325" t="str">
        <f t="shared" si="382"/>
        <v>1</v>
      </c>
      <c r="BF325" t="str">
        <f t="shared" si="383"/>
        <v xml:space="preserve">3         </v>
      </c>
      <c r="BG325" t="str">
        <f t="shared" si="384"/>
        <v>Confirmado por laboratorio</v>
      </c>
      <c r="BH325" t="str">
        <f>"CLINICA MEDICAL DUARTE"</f>
        <v>CLINICA MEDICAL DUARTE</v>
      </c>
      <c r="BI325" t="str">
        <f t="shared" si="362"/>
        <v>COLOMBIA</v>
      </c>
      <c r="BJ325" t="str">
        <f t="shared" si="385"/>
        <v>CANCER INFANTIL</v>
      </c>
      <c r="BK325" t="str">
        <f>"NORTE SANTANDER"</f>
        <v>NORTE SANTANDER</v>
      </c>
      <c r="BL325" t="str">
        <f>"CUCUTA"</f>
        <v>CUCUTA</v>
      </c>
      <c r="BM325" t="str">
        <f t="shared" si="363"/>
        <v>COLOMBIA</v>
      </c>
      <c r="BN325" t="str">
        <f>"NORTE SANTANDER"</f>
        <v>NORTE SANTANDER</v>
      </c>
      <c r="BO325" t="str">
        <f>"CUCUTA"</f>
        <v>CUCUTA</v>
      </c>
      <c r="BP325" t="str">
        <f>"NORTE SANTANDER"</f>
        <v>NORTE SANTANDER</v>
      </c>
      <c r="BQ325" t="str">
        <f>"CUCUTA"</f>
        <v>CUCUTA</v>
      </c>
    </row>
    <row r="326" spans="1:69" x14ac:dyDescent="0.25">
      <c r="A326" t="str">
        <f>"7278773"</f>
        <v>7278773</v>
      </c>
      <c r="B326" t="str">
        <f t="shared" si="378"/>
        <v>459</v>
      </c>
      <c r="C326" t="str">
        <f>"29/09/2020 12:00:00 a. m."</f>
        <v>29/09/2020 12:00:00 a. m.</v>
      </c>
      <c r="D326" t="str">
        <f>"40"</f>
        <v>40</v>
      </c>
      <c r="E326" t="str">
        <f t="shared" si="379"/>
        <v>2020</v>
      </c>
      <c r="F326" t="str">
        <f>"5200100283"</f>
        <v>5200100283</v>
      </c>
      <c r="G326" t="str">
        <f t="shared" si="370"/>
        <v>01</v>
      </c>
      <c r="H326" t="str">
        <f>"2"</f>
        <v>2</v>
      </c>
      <c r="I326" t="str">
        <f t="shared" si="386"/>
        <v>1</v>
      </c>
      <c r="J326" t="str">
        <f t="shared" si="387"/>
        <v>M</v>
      </c>
      <c r="K326" t="str">
        <f t="shared" si="356"/>
        <v>170</v>
      </c>
      <c r="L326" t="str">
        <f>"52"</f>
        <v>52</v>
      </c>
      <c r="M326" t="str">
        <f>"835"</f>
        <v>835</v>
      </c>
      <c r="N326" t="str">
        <f t="shared" si="374"/>
        <v>1</v>
      </c>
      <c r="O326" t="str">
        <f>"9999"</f>
        <v>9999</v>
      </c>
      <c r="P326" t="str">
        <f>"C"</f>
        <v>C</v>
      </c>
      <c r="Q326" t="str">
        <f>"ESSC18"</f>
        <v>ESSC18</v>
      </c>
      <c r="R326" t="str">
        <f>"5"</f>
        <v>5</v>
      </c>
      <c r="S326" t="str">
        <f>""</f>
        <v/>
      </c>
      <c r="T326" t="str">
        <f t="shared" si="333"/>
        <v xml:space="preserve">                                                                                                    </v>
      </c>
      <c r="U326" t="str">
        <f>"2         "</f>
        <v xml:space="preserve">2         </v>
      </c>
      <c r="V326" t="str">
        <f t="shared" si="367"/>
        <v>2</v>
      </c>
      <c r="W326" t="str">
        <f t="shared" si="365"/>
        <v>2</v>
      </c>
      <c r="X326" t="str">
        <f t="shared" si="357"/>
        <v>2</v>
      </c>
      <c r="Y326" t="str">
        <f t="shared" si="376"/>
        <v>2</v>
      </c>
      <c r="Z326" t="str">
        <f t="shared" si="376"/>
        <v>2</v>
      </c>
      <c r="AA326" t="str">
        <f t="shared" si="380"/>
        <v xml:space="preserve">          </v>
      </c>
      <c r="AB326" t="str">
        <f t="shared" si="372"/>
        <v>2</v>
      </c>
      <c r="AC326" t="str">
        <f t="shared" si="373"/>
        <v>2</v>
      </c>
      <c r="AD326" t="str">
        <f t="shared" si="377"/>
        <v>2</v>
      </c>
      <c r="AE326" t="str">
        <f t="shared" si="377"/>
        <v>2</v>
      </c>
      <c r="AF326" t="str">
        <f t="shared" si="377"/>
        <v>2</v>
      </c>
      <c r="AG326" t="str">
        <f t="shared" si="377"/>
        <v>2</v>
      </c>
      <c r="AH326" t="str">
        <f t="shared" si="358"/>
        <v>1</v>
      </c>
      <c r="AI326" t="str">
        <f>"1         "</f>
        <v xml:space="preserve">1         </v>
      </c>
      <c r="AJ326" t="str">
        <f t="shared" si="360"/>
        <v>170</v>
      </c>
      <c r="AK326" t="str">
        <f>"52"</f>
        <v>52</v>
      </c>
      <c r="AL326" t="str">
        <f>"835"</f>
        <v>835</v>
      </c>
      <c r="AM326" t="str">
        <f>"52"</f>
        <v>52</v>
      </c>
      <c r="AN326" t="str">
        <f>"52001"</f>
        <v>52001</v>
      </c>
      <c r="AO326" t="str">
        <f>"28/09/2020 12:00:00 a. m."</f>
        <v>28/09/2020 12:00:00 a. m.</v>
      </c>
      <c r="AP326" t="str">
        <f>"28/03/2020 12:00:00 a. m."</f>
        <v>28/03/2020 12:00:00 a. m.</v>
      </c>
      <c r="AQ326" t="str">
        <f>"2"</f>
        <v>2</v>
      </c>
      <c r="AR326" t="str">
        <f t="shared" si="364"/>
        <v>1</v>
      </c>
      <c r="AS326" t="str">
        <f>"28/09/2020 12:00:00 a. m."</f>
        <v>28/09/2020 12:00:00 a. m.</v>
      </c>
      <c r="AT326" t="str">
        <f t="shared" si="375"/>
        <v>1</v>
      </c>
      <c r="AU326" t="str">
        <f>""</f>
        <v/>
      </c>
      <c r="AV326" t="str">
        <f>"3"</f>
        <v>3</v>
      </c>
      <c r="AW326" t="str">
        <f>"18/07/2018 12:00:00 a. m."</f>
        <v>18/07/2018 12:00:00 a. m.</v>
      </c>
      <c r="AX326" t="str">
        <f>""</f>
        <v/>
      </c>
      <c r="AY326" t="str">
        <f t="shared" si="381"/>
        <v>30/04/2021 12:00:00 a. m.</v>
      </c>
      <c r="AZ326" t="str">
        <f>"5/04/2021 12:00:00 a. m."</f>
        <v>5/04/2021 12:00:00 a. m.</v>
      </c>
      <c r="BA326" t="str">
        <f>""</f>
        <v/>
      </c>
      <c r="BB326" t="str">
        <f>""</f>
        <v/>
      </c>
      <c r="BC326" t="str">
        <f>""</f>
        <v/>
      </c>
      <c r="BD326" t="str">
        <f t="shared" si="382"/>
        <v>1</v>
      </c>
      <c r="BE326" t="str">
        <f t="shared" si="382"/>
        <v>1</v>
      </c>
      <c r="BF326" t="str">
        <f t="shared" si="383"/>
        <v xml:space="preserve">3         </v>
      </c>
      <c r="BG326" t="str">
        <f t="shared" si="384"/>
        <v>Confirmado por laboratorio</v>
      </c>
      <c r="BH326" t="str">
        <f>"HOSPITAL INFANTIL LOS ANGELES"</f>
        <v>HOSPITAL INFANTIL LOS ANGELES</v>
      </c>
      <c r="BI326" t="str">
        <f t="shared" si="362"/>
        <v>COLOMBIA</v>
      </c>
      <c r="BJ326" t="str">
        <f t="shared" si="385"/>
        <v>CANCER INFANTIL</v>
      </c>
      <c r="BK326" t="str">
        <f>"NARIÑO"</f>
        <v>NARIÑO</v>
      </c>
      <c r="BL326" t="str">
        <f>"TUMACO"</f>
        <v>TUMACO</v>
      </c>
      <c r="BM326" t="str">
        <f t="shared" si="363"/>
        <v>COLOMBIA</v>
      </c>
      <c r="BN326" t="str">
        <f>"NARIÑO"</f>
        <v>NARIÑO</v>
      </c>
      <c r="BO326" t="str">
        <f>"TUMACO"</f>
        <v>TUMACO</v>
      </c>
      <c r="BP326" t="str">
        <f>"NARIÑO"</f>
        <v>NARIÑO</v>
      </c>
      <c r="BQ326" t="str">
        <f>"PASTO"</f>
        <v>PASTO</v>
      </c>
    </row>
    <row r="327" spans="1:69" x14ac:dyDescent="0.25">
      <c r="A327" t="str">
        <f>"7278712"</f>
        <v>7278712</v>
      </c>
      <c r="B327" t="str">
        <f t="shared" si="378"/>
        <v>459</v>
      </c>
      <c r="C327" t="str">
        <f>"4/05/2020 12:00:00 a. m."</f>
        <v>4/05/2020 12:00:00 a. m.</v>
      </c>
      <c r="D327" t="str">
        <f>"16"</f>
        <v>16</v>
      </c>
      <c r="E327" t="str">
        <f t="shared" si="379"/>
        <v>2020</v>
      </c>
      <c r="F327" t="str">
        <f>"6800100431"</f>
        <v>6800100431</v>
      </c>
      <c r="G327" t="str">
        <f t="shared" si="370"/>
        <v>01</v>
      </c>
      <c r="H327" t="str">
        <f>"16"</f>
        <v>16</v>
      </c>
      <c r="I327" t="str">
        <f t="shared" si="386"/>
        <v>1</v>
      </c>
      <c r="J327" t="str">
        <f t="shared" si="387"/>
        <v>M</v>
      </c>
      <c r="K327" t="str">
        <f t="shared" si="356"/>
        <v>170</v>
      </c>
      <c r="L327" t="str">
        <f>"50"</f>
        <v>50</v>
      </c>
      <c r="M327" t="str">
        <f>"006"</f>
        <v>006</v>
      </c>
      <c r="N327" t="str">
        <f t="shared" si="374"/>
        <v>1</v>
      </c>
      <c r="O327" t="str">
        <f>"9999"</f>
        <v>9999</v>
      </c>
      <c r="P327" t="str">
        <f>"S"</f>
        <v>S</v>
      </c>
      <c r="Q327" t="str">
        <f>"ESS133"</f>
        <v>ESS133</v>
      </c>
      <c r="R327" t="str">
        <f t="shared" ref="R327:R333" si="388">"6"</f>
        <v>6</v>
      </c>
      <c r="S327" t="str">
        <f>""</f>
        <v/>
      </c>
      <c r="T327" t="str">
        <f t="shared" si="333"/>
        <v xml:space="preserve">                                                                                                    </v>
      </c>
      <c r="U327" t="str">
        <f>"          "</f>
        <v xml:space="preserve">          </v>
      </c>
      <c r="V327" t="str">
        <f t="shared" si="367"/>
        <v>2</v>
      </c>
      <c r="W327" t="str">
        <f t="shared" si="365"/>
        <v>2</v>
      </c>
      <c r="X327" t="str">
        <f t="shared" si="357"/>
        <v>2</v>
      </c>
      <c r="Y327" t="str">
        <f t="shared" si="376"/>
        <v>2</v>
      </c>
      <c r="Z327" t="str">
        <f t="shared" si="376"/>
        <v>2</v>
      </c>
      <c r="AA327" t="str">
        <f t="shared" si="380"/>
        <v xml:space="preserve">          </v>
      </c>
      <c r="AB327" t="str">
        <f t="shared" si="372"/>
        <v>2</v>
      </c>
      <c r="AC327" t="str">
        <f t="shared" si="373"/>
        <v>2</v>
      </c>
      <c r="AD327" t="str">
        <f t="shared" si="377"/>
        <v>2</v>
      </c>
      <c r="AE327" t="str">
        <f t="shared" si="377"/>
        <v>2</v>
      </c>
      <c r="AF327" t="str">
        <f t="shared" si="377"/>
        <v>2</v>
      </c>
      <c r="AG327" t="str">
        <f t="shared" si="377"/>
        <v>2</v>
      </c>
      <c r="AH327" t="str">
        <f t="shared" si="358"/>
        <v>1</v>
      </c>
      <c r="AI327" t="str">
        <f>"1         "</f>
        <v xml:space="preserve">1         </v>
      </c>
      <c r="AJ327" t="str">
        <f t="shared" si="360"/>
        <v>170</v>
      </c>
      <c r="AK327" t="str">
        <f>"50"</f>
        <v>50</v>
      </c>
      <c r="AL327" t="str">
        <f>"006"</f>
        <v>006</v>
      </c>
      <c r="AM327" t="str">
        <f>"68"</f>
        <v>68</v>
      </c>
      <c r="AN327" t="str">
        <f>"68001"</f>
        <v>68001</v>
      </c>
      <c r="AO327" t="str">
        <f>"13/04/2020 12:00:00 a. m."</f>
        <v>13/04/2020 12:00:00 a. m.</v>
      </c>
      <c r="AP327" t="str">
        <f>"15/02/2020 12:00:00 a. m."</f>
        <v>15/02/2020 12:00:00 a. m.</v>
      </c>
      <c r="AQ327" t="str">
        <f>"3"</f>
        <v>3</v>
      </c>
      <c r="AR327" t="str">
        <f t="shared" si="364"/>
        <v>1</v>
      </c>
      <c r="AS327" t="str">
        <f>"13/04/2020 12:00:00 a. m."</f>
        <v>13/04/2020 12:00:00 a. m.</v>
      </c>
      <c r="AT327" t="str">
        <f t="shared" si="375"/>
        <v>1</v>
      </c>
      <c r="AU327" t="str">
        <f>""</f>
        <v/>
      </c>
      <c r="AV327" t="str">
        <f>"0"</f>
        <v>0</v>
      </c>
      <c r="AW327" t="str">
        <f>"11/07/2004 12:00:00 a. m."</f>
        <v>11/07/2004 12:00:00 a. m.</v>
      </c>
      <c r="AX327" t="str">
        <f>""</f>
        <v/>
      </c>
      <c r="AY327" t="str">
        <f t="shared" si="381"/>
        <v>30/04/2021 12:00:00 a. m.</v>
      </c>
      <c r="AZ327" t="str">
        <f>"10/10/2020 12:00:00 a. m."</f>
        <v>10/10/2020 12:00:00 a. m.</v>
      </c>
      <c r="BA327" t="str">
        <f>""</f>
        <v/>
      </c>
      <c r="BB327" t="str">
        <f>""</f>
        <v/>
      </c>
      <c r="BC327" t="str">
        <f>""</f>
        <v/>
      </c>
      <c r="BD327" t="str">
        <f t="shared" si="382"/>
        <v>1</v>
      </c>
      <c r="BE327" t="str">
        <f t="shared" si="382"/>
        <v>1</v>
      </c>
      <c r="BF327" t="str">
        <f t="shared" si="383"/>
        <v xml:space="preserve">3         </v>
      </c>
      <c r="BG327" t="str">
        <f t="shared" si="384"/>
        <v>Confirmado por laboratorio</v>
      </c>
      <c r="BH327" t="str">
        <f>"CLINICA MATERNO INFANTEL SAN LUIS SA"</f>
        <v>CLINICA MATERNO INFANTEL SAN LUIS SA</v>
      </c>
      <c r="BI327" t="str">
        <f t="shared" si="362"/>
        <v>COLOMBIA</v>
      </c>
      <c r="BJ327" t="str">
        <f t="shared" si="385"/>
        <v>CANCER INFANTIL</v>
      </c>
      <c r="BK327" t="str">
        <f>"META"</f>
        <v>META</v>
      </c>
      <c r="BL327" t="str">
        <f>"ACACIAS"</f>
        <v>ACACIAS</v>
      </c>
      <c r="BM327" t="str">
        <f t="shared" si="363"/>
        <v>COLOMBIA</v>
      </c>
      <c r="BN327" t="str">
        <f>"META"</f>
        <v>META</v>
      </c>
      <c r="BO327" t="str">
        <f>"ACACIAS"</f>
        <v>ACACIAS</v>
      </c>
      <c r="BP327" t="str">
        <f>"SANTANDER"</f>
        <v>SANTANDER</v>
      </c>
      <c r="BQ327" t="str">
        <f>"BUCARAMANGA"</f>
        <v>BUCARAMANGA</v>
      </c>
    </row>
    <row r="328" spans="1:69" x14ac:dyDescent="0.25">
      <c r="A328" t="str">
        <f>"7291533"</f>
        <v>7291533</v>
      </c>
      <c r="B328" t="str">
        <f t="shared" si="378"/>
        <v>459</v>
      </c>
      <c r="C328" t="str">
        <f>"21/09/2020 12:00:00 a. m."</f>
        <v>21/09/2020 12:00:00 a. m.</v>
      </c>
      <c r="D328" t="str">
        <f>"37"</f>
        <v>37</v>
      </c>
      <c r="E328" t="str">
        <f t="shared" si="379"/>
        <v>2020</v>
      </c>
      <c r="F328" t="str">
        <f>"0500102175"</f>
        <v>0500102175</v>
      </c>
      <c r="G328" t="str">
        <f t="shared" si="370"/>
        <v>01</v>
      </c>
      <c r="H328" t="str">
        <f>"13"</f>
        <v>13</v>
      </c>
      <c r="I328" t="str">
        <f t="shared" si="386"/>
        <v>1</v>
      </c>
      <c r="J328" t="str">
        <f t="shared" si="387"/>
        <v>M</v>
      </c>
      <c r="K328" t="str">
        <f t="shared" si="356"/>
        <v>170</v>
      </c>
      <c r="L328" t="str">
        <f>"05"</f>
        <v>05</v>
      </c>
      <c r="M328" t="str">
        <f>"088"</f>
        <v>088</v>
      </c>
      <c r="N328" t="str">
        <f t="shared" si="374"/>
        <v>1</v>
      </c>
      <c r="O328" t="str">
        <f>"9999"</f>
        <v>9999</v>
      </c>
      <c r="P328" t="str">
        <f>"C"</f>
        <v>C</v>
      </c>
      <c r="Q328" t="str">
        <f>"EPS037"</f>
        <v>EPS037</v>
      </c>
      <c r="R328" t="str">
        <f t="shared" si="388"/>
        <v>6</v>
      </c>
      <c r="S328" t="str">
        <f>""</f>
        <v/>
      </c>
      <c r="T328" t="str">
        <f t="shared" si="333"/>
        <v xml:space="preserve">                                                                                                    </v>
      </c>
      <c r="U328" t="str">
        <f>"2         "</f>
        <v xml:space="preserve">2         </v>
      </c>
      <c r="V328" t="str">
        <f t="shared" si="367"/>
        <v>2</v>
      </c>
      <c r="W328" t="str">
        <f t="shared" si="365"/>
        <v>2</v>
      </c>
      <c r="X328" t="str">
        <f t="shared" si="357"/>
        <v>2</v>
      </c>
      <c r="Y328" t="str">
        <f t="shared" si="376"/>
        <v>2</v>
      </c>
      <c r="Z328" t="str">
        <f t="shared" si="376"/>
        <v>2</v>
      </c>
      <c r="AA328" t="str">
        <f t="shared" si="380"/>
        <v xml:space="preserve">          </v>
      </c>
      <c r="AB328" t="str">
        <f t="shared" si="372"/>
        <v>2</v>
      </c>
      <c r="AC328" t="str">
        <f t="shared" si="373"/>
        <v>2</v>
      </c>
      <c r="AD328" t="str">
        <f t="shared" si="377"/>
        <v>2</v>
      </c>
      <c r="AE328" t="str">
        <f t="shared" si="377"/>
        <v>2</v>
      </c>
      <c r="AF328" t="str">
        <f t="shared" si="377"/>
        <v>2</v>
      </c>
      <c r="AG328" t="str">
        <f t="shared" si="377"/>
        <v>2</v>
      </c>
      <c r="AH328" t="str">
        <f t="shared" si="358"/>
        <v>1</v>
      </c>
      <c r="AI328" t="str">
        <f>"1         "</f>
        <v xml:space="preserve">1         </v>
      </c>
      <c r="AJ328" t="str">
        <f t="shared" si="360"/>
        <v>170</v>
      </c>
      <c r="AK328" t="str">
        <f>"05"</f>
        <v>05</v>
      </c>
      <c r="AL328" t="str">
        <f>"088"</f>
        <v>088</v>
      </c>
      <c r="AM328" t="str">
        <f>"05"</f>
        <v>05</v>
      </c>
      <c r="AN328" t="str">
        <f>"05001"</f>
        <v>05001</v>
      </c>
      <c r="AO328" t="str">
        <f>"10/09/2020 12:00:00 a. m."</f>
        <v>10/09/2020 12:00:00 a. m.</v>
      </c>
      <c r="AP328" t="str">
        <f>"20/08/2020 12:00:00 a. m."</f>
        <v>20/08/2020 12:00:00 a. m.</v>
      </c>
      <c r="AQ328" t="str">
        <f>"3"</f>
        <v>3</v>
      </c>
      <c r="AR328" t="str">
        <f t="shared" si="364"/>
        <v>1</v>
      </c>
      <c r="AS328" t="str">
        <f>"10/09/2020 12:00:00 a. m."</f>
        <v>10/09/2020 12:00:00 a. m.</v>
      </c>
      <c r="AT328" t="str">
        <f t="shared" si="375"/>
        <v>1</v>
      </c>
      <c r="AU328" t="str">
        <f>""</f>
        <v/>
      </c>
      <c r="AV328" t="str">
        <f>"0"</f>
        <v>0</v>
      </c>
      <c r="AW328" t="str">
        <f>"10/06/2007 12:00:00 a. m."</f>
        <v>10/06/2007 12:00:00 a. m.</v>
      </c>
      <c r="AX328" t="str">
        <f>""</f>
        <v/>
      </c>
      <c r="AY328" t="str">
        <f t="shared" si="381"/>
        <v>30/04/2021 12:00:00 a. m.</v>
      </c>
      <c r="AZ328" t="str">
        <f>"21/09/2020 12:00:00 a. m."</f>
        <v>21/09/2020 12:00:00 a. m.</v>
      </c>
      <c r="BA328" t="str">
        <f>""</f>
        <v/>
      </c>
      <c r="BB328" t="str">
        <f>""</f>
        <v/>
      </c>
      <c r="BC328" t="str">
        <f>""</f>
        <v/>
      </c>
      <c r="BD328" t="str">
        <f t="shared" si="382"/>
        <v>1</v>
      </c>
      <c r="BE328" t="str">
        <f t="shared" si="382"/>
        <v>1</v>
      </c>
      <c r="BF328" t="str">
        <f t="shared" si="383"/>
        <v xml:space="preserve">3         </v>
      </c>
      <c r="BG328" t="str">
        <f t="shared" si="384"/>
        <v>Confirmado por laboratorio</v>
      </c>
      <c r="BH328" t="str">
        <f>"FUNDACION HOSPITALARIA SAN VICENTE DE PAUL"</f>
        <v>FUNDACION HOSPITALARIA SAN VICENTE DE PAUL</v>
      </c>
      <c r="BI328" t="str">
        <f t="shared" si="362"/>
        <v>COLOMBIA</v>
      </c>
      <c r="BJ328" t="str">
        <f t="shared" si="385"/>
        <v>CANCER INFANTIL</v>
      </c>
      <c r="BK328" t="str">
        <f>"ANTIOQUIA"</f>
        <v>ANTIOQUIA</v>
      </c>
      <c r="BL328" t="str">
        <f>"BELLO"</f>
        <v>BELLO</v>
      </c>
      <c r="BM328" t="str">
        <f t="shared" si="363"/>
        <v>COLOMBIA</v>
      </c>
      <c r="BN328" t="str">
        <f>"ANTIOQUIA"</f>
        <v>ANTIOQUIA</v>
      </c>
      <c r="BO328" t="str">
        <f>"BELLO"</f>
        <v>BELLO</v>
      </c>
      <c r="BP328" t="str">
        <f>"ANTIOQUIA"</f>
        <v>ANTIOQUIA</v>
      </c>
      <c r="BQ328" t="str">
        <f>"MEDELLIN"</f>
        <v>MEDELLIN</v>
      </c>
    </row>
    <row r="329" spans="1:69" x14ac:dyDescent="0.25">
      <c r="A329" t="str">
        <f>"7285793"</f>
        <v>7285793</v>
      </c>
      <c r="B329" t="str">
        <f t="shared" si="378"/>
        <v>459</v>
      </c>
      <c r="C329" t="str">
        <f>"12/02/2021 12:00:00 a. m."</f>
        <v>12/02/2021 12:00:00 a. m.</v>
      </c>
      <c r="D329" t="str">
        <f>"51"</f>
        <v>51</v>
      </c>
      <c r="E329" t="str">
        <f t="shared" si="379"/>
        <v>2020</v>
      </c>
      <c r="F329" t="str">
        <f>"5400100371"</f>
        <v>5400100371</v>
      </c>
      <c r="G329" t="str">
        <f t="shared" si="370"/>
        <v>01</v>
      </c>
      <c r="H329" t="str">
        <f>"4"</f>
        <v>4</v>
      </c>
      <c r="I329" t="str">
        <f t="shared" si="386"/>
        <v>1</v>
      </c>
      <c r="J329" t="str">
        <f t="shared" si="387"/>
        <v>M</v>
      </c>
      <c r="K329" t="str">
        <f>"862"</f>
        <v>862</v>
      </c>
      <c r="L329" t="str">
        <f>"01"</f>
        <v>01</v>
      </c>
      <c r="M329" t="str">
        <f>"862"</f>
        <v>862</v>
      </c>
      <c r="N329" t="str">
        <f t="shared" si="374"/>
        <v>1</v>
      </c>
      <c r="O329" t="str">
        <f>"9999"</f>
        <v>9999</v>
      </c>
      <c r="P329" t="str">
        <f>"N"</f>
        <v>N</v>
      </c>
      <c r="Q329" t="str">
        <f>""</f>
        <v/>
      </c>
      <c r="R329" t="str">
        <f t="shared" si="388"/>
        <v>6</v>
      </c>
      <c r="S329" t="str">
        <f>""</f>
        <v/>
      </c>
      <c r="T329" t="str">
        <f t="shared" si="333"/>
        <v xml:space="preserve">                                                                                                    </v>
      </c>
      <c r="U329" t="str">
        <f>"2         "</f>
        <v xml:space="preserve">2         </v>
      </c>
      <c r="V329" t="str">
        <f t="shared" si="367"/>
        <v>2</v>
      </c>
      <c r="W329" t="str">
        <f t="shared" si="365"/>
        <v>2</v>
      </c>
      <c r="X329" t="str">
        <f>"1"</f>
        <v>1</v>
      </c>
      <c r="Y329" t="str">
        <f t="shared" si="376"/>
        <v>2</v>
      </c>
      <c r="Z329" t="str">
        <f t="shared" si="376"/>
        <v>2</v>
      </c>
      <c r="AA329" t="str">
        <f t="shared" si="380"/>
        <v xml:space="preserve">          </v>
      </c>
      <c r="AB329" t="str">
        <f t="shared" si="372"/>
        <v>2</v>
      </c>
      <c r="AC329" t="str">
        <f t="shared" si="373"/>
        <v>2</v>
      </c>
      <c r="AD329" t="str">
        <f t="shared" si="377"/>
        <v>2</v>
      </c>
      <c r="AE329" t="str">
        <f t="shared" si="377"/>
        <v>2</v>
      </c>
      <c r="AF329" t="str">
        <f t="shared" si="377"/>
        <v>2</v>
      </c>
      <c r="AG329" t="str">
        <f t="shared" si="377"/>
        <v>2</v>
      </c>
      <c r="AH329" t="str">
        <f>"2"</f>
        <v>2</v>
      </c>
      <c r="AI329" t="str">
        <f>"2         "</f>
        <v xml:space="preserve">2         </v>
      </c>
      <c r="AJ329" t="str">
        <f>"862"</f>
        <v>862</v>
      </c>
      <c r="AK329" t="str">
        <f>"01"</f>
        <v>01</v>
      </c>
      <c r="AL329" t="str">
        <f>"862"</f>
        <v>862</v>
      </c>
      <c r="AM329" t="str">
        <f>"54"</f>
        <v>54</v>
      </c>
      <c r="AN329" t="str">
        <f>"54001"</f>
        <v>54001</v>
      </c>
      <c r="AO329" t="str">
        <f>"15/12/2020 12:00:00 a. m."</f>
        <v>15/12/2020 12:00:00 a. m.</v>
      </c>
      <c r="AP329" t="str">
        <f>"23/11/2020 12:00:00 a. m."</f>
        <v>23/11/2020 12:00:00 a. m.</v>
      </c>
      <c r="AQ329" t="str">
        <f>"3"</f>
        <v>3</v>
      </c>
      <c r="AR329" t="str">
        <f t="shared" si="364"/>
        <v>1</v>
      </c>
      <c r="AS329" t="str">
        <f>"15/12/2020 12:00:00 a. m."</f>
        <v>15/12/2020 12:00:00 a. m.</v>
      </c>
      <c r="AT329" t="str">
        <f t="shared" si="375"/>
        <v>1</v>
      </c>
      <c r="AU329" t="str">
        <f>""</f>
        <v/>
      </c>
      <c r="AV329" t="str">
        <f>"0"</f>
        <v>0</v>
      </c>
      <c r="AW329" t="str">
        <f>"3/07/2016 12:00:00 a. m."</f>
        <v>3/07/2016 12:00:00 a. m.</v>
      </c>
      <c r="AX329" t="str">
        <f>""</f>
        <v/>
      </c>
      <c r="AY329" t="str">
        <f t="shared" si="381"/>
        <v>30/04/2021 12:00:00 a. m.</v>
      </c>
      <c r="AZ329" t="str">
        <f>"14/02/2021 12:00:00 a. m."</f>
        <v>14/02/2021 12:00:00 a. m.</v>
      </c>
      <c r="BA329" t="str">
        <f>""</f>
        <v/>
      </c>
      <c r="BB329" t="str">
        <f>""</f>
        <v/>
      </c>
      <c r="BC329" t="str">
        <f>""</f>
        <v/>
      </c>
      <c r="BD329" t="str">
        <f t="shared" si="382"/>
        <v>1</v>
      </c>
      <c r="BE329" t="str">
        <f t="shared" si="382"/>
        <v>1</v>
      </c>
      <c r="BF329" t="str">
        <f t="shared" si="383"/>
        <v xml:space="preserve">3         </v>
      </c>
      <c r="BG329" t="str">
        <f t="shared" si="384"/>
        <v>Confirmado por laboratorio</v>
      </c>
      <c r="BH329" t="str">
        <f>"EMPRESA SOCIAL DEL ESTADO HOSPITAL UNIVERSITARIO E"</f>
        <v>EMPRESA SOCIAL DEL ESTADO HOSPITAL UNIVERSITARIO E</v>
      </c>
      <c r="BI329" t="str">
        <f>"VENEZUELA"</f>
        <v>VENEZUELA</v>
      </c>
      <c r="BJ329" t="str">
        <f t="shared" si="385"/>
        <v>CANCER INFANTIL</v>
      </c>
      <c r="BK329" t="str">
        <f>"EXTERIOR"</f>
        <v>EXTERIOR</v>
      </c>
      <c r="BL329" t="str">
        <f>"EXTERIOR_VENEZUELA"</f>
        <v>EXTERIOR_VENEZUELA</v>
      </c>
      <c r="BM329" t="str">
        <f>"VENEZUELA"</f>
        <v>VENEZUELA</v>
      </c>
      <c r="BN329" t="str">
        <f>"EXTERIOR"</f>
        <v>EXTERIOR</v>
      </c>
      <c r="BO329" t="str">
        <f>"EXTERIOR_VENEZUELA"</f>
        <v>EXTERIOR_VENEZUELA</v>
      </c>
      <c r="BP329" t="str">
        <f>"NORTE SANTANDER"</f>
        <v>NORTE SANTANDER</v>
      </c>
      <c r="BQ329" t="str">
        <f>"CUCUTA"</f>
        <v>CUCUTA</v>
      </c>
    </row>
    <row r="330" spans="1:69" x14ac:dyDescent="0.25">
      <c r="A330" t="str">
        <f>"7291402"</f>
        <v>7291402</v>
      </c>
      <c r="B330" t="str">
        <f t="shared" si="378"/>
        <v>459</v>
      </c>
      <c r="C330" t="str">
        <f>"26/09/2020 12:00:00 a. m."</f>
        <v>26/09/2020 12:00:00 a. m.</v>
      </c>
      <c r="D330" t="str">
        <f>"33"</f>
        <v>33</v>
      </c>
      <c r="E330" t="str">
        <f t="shared" si="379"/>
        <v>2020</v>
      </c>
      <c r="F330" t="str">
        <f>"7300101047"</f>
        <v>7300101047</v>
      </c>
      <c r="G330" t="str">
        <f t="shared" si="370"/>
        <v>01</v>
      </c>
      <c r="H330" t="str">
        <f>"14"</f>
        <v>14</v>
      </c>
      <c r="I330" t="str">
        <f t="shared" si="386"/>
        <v>1</v>
      </c>
      <c r="J330" t="str">
        <f t="shared" si="387"/>
        <v>M</v>
      </c>
      <c r="K330" t="str">
        <f t="shared" ref="K330:K393" si="389">"170"</f>
        <v>170</v>
      </c>
      <c r="L330" t="str">
        <f>"73"</f>
        <v>73</v>
      </c>
      <c r="M330" t="str">
        <f>"443"</f>
        <v>443</v>
      </c>
      <c r="N330" t="str">
        <f>"3"</f>
        <v>3</v>
      </c>
      <c r="O330" t="str">
        <f>"9997"</f>
        <v>9997</v>
      </c>
      <c r="P330" t="str">
        <f>"S"</f>
        <v>S</v>
      </c>
      <c r="Q330" t="str">
        <f>"EPSS41"</f>
        <v>EPSS41</v>
      </c>
      <c r="R330" t="str">
        <f t="shared" si="388"/>
        <v>6</v>
      </c>
      <c r="S330" t="str">
        <f>""</f>
        <v/>
      </c>
      <c r="T330" t="str">
        <f t="shared" si="333"/>
        <v xml:space="preserve">                                                                                                    </v>
      </c>
      <c r="U330" t="str">
        <f>"1         "</f>
        <v xml:space="preserve">1         </v>
      </c>
      <c r="V330" t="str">
        <f t="shared" si="367"/>
        <v>2</v>
      </c>
      <c r="W330" t="str">
        <f t="shared" si="365"/>
        <v>2</v>
      </c>
      <c r="X330" t="str">
        <f t="shared" ref="X330:X344" si="390">"2"</f>
        <v>2</v>
      </c>
      <c r="Y330" t="str">
        <f t="shared" si="376"/>
        <v>2</v>
      </c>
      <c r="Z330" t="str">
        <f t="shared" si="376"/>
        <v>2</v>
      </c>
      <c r="AA330" t="str">
        <f t="shared" si="380"/>
        <v xml:space="preserve">          </v>
      </c>
      <c r="AB330" t="str">
        <f t="shared" si="372"/>
        <v>2</v>
      </c>
      <c r="AC330" t="str">
        <f t="shared" si="373"/>
        <v>2</v>
      </c>
      <c r="AD330" t="str">
        <f t="shared" si="377"/>
        <v>2</v>
      </c>
      <c r="AE330" t="str">
        <f t="shared" si="377"/>
        <v>2</v>
      </c>
      <c r="AF330" t="str">
        <f t="shared" si="377"/>
        <v>2</v>
      </c>
      <c r="AG330" t="str">
        <f t="shared" si="377"/>
        <v>2</v>
      </c>
      <c r="AH330" t="str">
        <f t="shared" ref="AH330:AH344" si="391">"1"</f>
        <v>1</v>
      </c>
      <c r="AI330" t="str">
        <f>"1         "</f>
        <v xml:space="preserve">1         </v>
      </c>
      <c r="AJ330" t="str">
        <f t="shared" ref="AJ330:AJ393" si="392">"170"</f>
        <v>170</v>
      </c>
      <c r="AK330" t="str">
        <f>"73"</f>
        <v>73</v>
      </c>
      <c r="AL330" t="str">
        <f>"443"</f>
        <v>443</v>
      </c>
      <c r="AM330" t="str">
        <f>"73"</f>
        <v>73</v>
      </c>
      <c r="AN330" t="str">
        <f>"73001"</f>
        <v>73001</v>
      </c>
      <c r="AO330" t="str">
        <f>"11/08/2020 12:00:00 a. m."</f>
        <v>11/08/2020 12:00:00 a. m.</v>
      </c>
      <c r="AP330" t="str">
        <f>"11/06/2020 12:00:00 a. m."</f>
        <v>11/06/2020 12:00:00 a. m.</v>
      </c>
      <c r="AQ330" t="str">
        <f>"3"</f>
        <v>3</v>
      </c>
      <c r="AR330" t="str">
        <f t="shared" si="364"/>
        <v>1</v>
      </c>
      <c r="AS330" t="str">
        <f>"11/08/2020 12:00:00 a. m."</f>
        <v>11/08/2020 12:00:00 a. m.</v>
      </c>
      <c r="AT330" t="str">
        <f t="shared" si="375"/>
        <v>1</v>
      </c>
      <c r="AU330" t="str">
        <f>""</f>
        <v/>
      </c>
      <c r="AV330" t="str">
        <f>"0"</f>
        <v>0</v>
      </c>
      <c r="AW330" t="str">
        <f>"18/04/2006 12:00:00 a. m."</f>
        <v>18/04/2006 12:00:00 a. m.</v>
      </c>
      <c r="AX330" t="str">
        <f>""</f>
        <v/>
      </c>
      <c r="AY330" t="str">
        <f t="shared" si="381"/>
        <v>30/04/2021 12:00:00 a. m.</v>
      </c>
      <c r="AZ330" t="str">
        <f>"27/09/2020 12:00:00 a. m."</f>
        <v>27/09/2020 12:00:00 a. m.</v>
      </c>
      <c r="BA330" t="str">
        <f>""</f>
        <v/>
      </c>
      <c r="BB330" t="str">
        <f>""</f>
        <v/>
      </c>
      <c r="BC330" t="str">
        <f>""</f>
        <v/>
      </c>
      <c r="BD330" t="str">
        <f t="shared" si="382"/>
        <v>1</v>
      </c>
      <c r="BE330" t="str">
        <f t="shared" si="382"/>
        <v>1</v>
      </c>
      <c r="BF330" t="str">
        <f t="shared" si="383"/>
        <v xml:space="preserve">3         </v>
      </c>
      <c r="BG330" t="str">
        <f t="shared" si="384"/>
        <v>Confirmado por laboratorio</v>
      </c>
      <c r="BH330" t="str">
        <f>"HOSPITAL FEDERICO LLERAS ACOSTA ESE SEDE LA FRANC"</f>
        <v>HOSPITAL FEDERICO LLERAS ACOSTA ESE SEDE LA FRANC</v>
      </c>
      <c r="BI330" t="str">
        <f t="shared" ref="BI330:BI393" si="393">"COLOMBIA"</f>
        <v>COLOMBIA</v>
      </c>
      <c r="BJ330" t="str">
        <f t="shared" si="385"/>
        <v>CANCER INFANTIL</v>
      </c>
      <c r="BK330" t="str">
        <f>"TOLIMA"</f>
        <v>TOLIMA</v>
      </c>
      <c r="BL330" t="str">
        <f>"MARIQUITA"</f>
        <v>MARIQUITA</v>
      </c>
      <c r="BM330" t="str">
        <f t="shared" ref="BM330:BM393" si="394">"COLOMBIA"</f>
        <v>COLOMBIA</v>
      </c>
      <c r="BN330" t="str">
        <f>"TOLIMA"</f>
        <v>TOLIMA</v>
      </c>
      <c r="BO330" t="str">
        <f>"MARIQUITA"</f>
        <v>MARIQUITA</v>
      </c>
      <c r="BP330" t="str">
        <f>"TOLIMA"</f>
        <v>TOLIMA</v>
      </c>
      <c r="BQ330" t="str">
        <f>"IBAGUE"</f>
        <v>IBAGUE</v>
      </c>
    </row>
    <row r="331" spans="1:69" x14ac:dyDescent="0.25">
      <c r="A331" t="str">
        <f>"7291420"</f>
        <v>7291420</v>
      </c>
      <c r="B331" t="str">
        <f t="shared" si="378"/>
        <v>459</v>
      </c>
      <c r="C331" t="str">
        <f>"9/03/2020 12:00:00 a. m."</f>
        <v>9/03/2020 12:00:00 a. m.</v>
      </c>
      <c r="D331" t="str">
        <f>"11"</f>
        <v>11</v>
      </c>
      <c r="E331" t="str">
        <f t="shared" si="379"/>
        <v>2020</v>
      </c>
      <c r="F331" t="str">
        <f>"7600103799"</f>
        <v>7600103799</v>
      </c>
      <c r="G331" t="str">
        <f t="shared" si="370"/>
        <v>01</v>
      </c>
      <c r="H331" t="str">
        <f>"5"</f>
        <v>5</v>
      </c>
      <c r="I331" t="str">
        <f t="shared" si="386"/>
        <v>1</v>
      </c>
      <c r="J331" t="str">
        <f>"F"</f>
        <v>F</v>
      </c>
      <c r="K331" t="str">
        <f t="shared" si="389"/>
        <v>170</v>
      </c>
      <c r="L331" t="str">
        <f>"76"</f>
        <v>76</v>
      </c>
      <c r="M331" t="str">
        <f>"622"</f>
        <v>622</v>
      </c>
      <c r="N331" t="str">
        <f>"1"</f>
        <v>1</v>
      </c>
      <c r="O331" t="str">
        <f>"9999"</f>
        <v>9999</v>
      </c>
      <c r="P331" t="str">
        <f>"S"</f>
        <v>S</v>
      </c>
      <c r="Q331" t="str">
        <f>"EPSS45"</f>
        <v>EPSS45</v>
      </c>
      <c r="R331" t="str">
        <f t="shared" si="388"/>
        <v>6</v>
      </c>
      <c r="S331" t="str">
        <f>""</f>
        <v/>
      </c>
      <c r="T331" t="str">
        <f t="shared" si="333"/>
        <v xml:space="preserve">                                                                                                    </v>
      </c>
      <c r="U331" t="str">
        <f>"          "</f>
        <v xml:space="preserve">          </v>
      </c>
      <c r="V331" t="str">
        <f t="shared" si="367"/>
        <v>2</v>
      </c>
      <c r="W331" t="str">
        <f t="shared" si="365"/>
        <v>2</v>
      </c>
      <c r="X331" t="str">
        <f t="shared" si="390"/>
        <v>2</v>
      </c>
      <c r="Y331" t="str">
        <f t="shared" si="376"/>
        <v>2</v>
      </c>
      <c r="Z331" t="str">
        <f t="shared" si="376"/>
        <v>2</v>
      </c>
      <c r="AA331" t="str">
        <f t="shared" si="380"/>
        <v xml:space="preserve">          </v>
      </c>
      <c r="AB331" t="str">
        <f t="shared" si="372"/>
        <v>2</v>
      </c>
      <c r="AC331" t="str">
        <f t="shared" si="373"/>
        <v>2</v>
      </c>
      <c r="AD331" t="str">
        <f t="shared" si="377"/>
        <v>2</v>
      </c>
      <c r="AE331" t="str">
        <f t="shared" si="377"/>
        <v>2</v>
      </c>
      <c r="AF331" t="str">
        <f t="shared" si="377"/>
        <v>2</v>
      </c>
      <c r="AG331" t="str">
        <f t="shared" si="377"/>
        <v>2</v>
      </c>
      <c r="AH331" t="str">
        <f t="shared" si="391"/>
        <v>1</v>
      </c>
      <c r="AI331" t="str">
        <f>"1         "</f>
        <v xml:space="preserve">1         </v>
      </c>
      <c r="AJ331" t="str">
        <f t="shared" si="392"/>
        <v>170</v>
      </c>
      <c r="AK331" t="str">
        <f>"76"</f>
        <v>76</v>
      </c>
      <c r="AL331" t="str">
        <f>"622"</f>
        <v>622</v>
      </c>
      <c r="AM331" t="str">
        <f>"76"</f>
        <v>76</v>
      </c>
      <c r="AN331" t="str">
        <f>"76001"</f>
        <v>76001</v>
      </c>
      <c r="AO331" t="str">
        <f>"9/03/2020 12:00:00 a. m."</f>
        <v>9/03/2020 12:00:00 a. m.</v>
      </c>
      <c r="AP331" t="str">
        <f>"23/02/2020 12:00:00 a. m."</f>
        <v>23/02/2020 12:00:00 a. m.</v>
      </c>
      <c r="AQ331" t="str">
        <f>"2"</f>
        <v>2</v>
      </c>
      <c r="AR331" t="str">
        <f t="shared" si="364"/>
        <v>1</v>
      </c>
      <c r="AS331" t="str">
        <f>"9/03/2020 12:00:00 a. m."</f>
        <v>9/03/2020 12:00:00 a. m.</v>
      </c>
      <c r="AT331" t="str">
        <f t="shared" si="375"/>
        <v>1</v>
      </c>
      <c r="AU331" t="str">
        <f>""</f>
        <v/>
      </c>
      <c r="AV331" t="str">
        <f>"3"</f>
        <v>3</v>
      </c>
      <c r="AW331" t="str">
        <f>"27/08/2014 12:00:00 a. m."</f>
        <v>27/08/2014 12:00:00 a. m.</v>
      </c>
      <c r="AX331" t="str">
        <f>""</f>
        <v/>
      </c>
      <c r="AY331" t="str">
        <f t="shared" si="381"/>
        <v>30/04/2021 12:00:00 a. m.</v>
      </c>
      <c r="AZ331" t="str">
        <f>"11/05/2020 12:00:00 a. m."</f>
        <v>11/05/2020 12:00:00 a. m.</v>
      </c>
      <c r="BA331" t="str">
        <f>""</f>
        <v/>
      </c>
      <c r="BB331" t="str">
        <f>""</f>
        <v/>
      </c>
      <c r="BC331" t="str">
        <f>""</f>
        <v/>
      </c>
      <c r="BD331" t="str">
        <f t="shared" si="382"/>
        <v>1</v>
      </c>
      <c r="BE331" t="str">
        <f t="shared" si="382"/>
        <v>1</v>
      </c>
      <c r="BF331" t="str">
        <f t="shared" si="383"/>
        <v xml:space="preserve">3         </v>
      </c>
      <c r="BG331" t="str">
        <f t="shared" si="384"/>
        <v>Confirmado por laboratorio</v>
      </c>
      <c r="BH331" t="str">
        <f>"HOSPITAL UNIVERSITARIO DEL VALLE EVARISTO GARCIA"</f>
        <v>HOSPITAL UNIVERSITARIO DEL VALLE EVARISTO GARCIA</v>
      </c>
      <c r="BI331" t="str">
        <f t="shared" si="393"/>
        <v>COLOMBIA</v>
      </c>
      <c r="BJ331" t="str">
        <f t="shared" si="385"/>
        <v>CANCER INFANTIL</v>
      </c>
      <c r="BK331" t="str">
        <f>"VALLE"</f>
        <v>VALLE</v>
      </c>
      <c r="BL331" t="str">
        <f>"ROLDANILLO"</f>
        <v>ROLDANILLO</v>
      </c>
      <c r="BM331" t="str">
        <f t="shared" si="394"/>
        <v>COLOMBIA</v>
      </c>
      <c r="BN331" t="str">
        <f>"VALLE"</f>
        <v>VALLE</v>
      </c>
      <c r="BO331" t="str">
        <f>"ROLDANILLO"</f>
        <v>ROLDANILLO</v>
      </c>
      <c r="BP331" t="str">
        <f>"VALLE"</f>
        <v>VALLE</v>
      </c>
      <c r="BQ331" t="str">
        <f>"CALI"</f>
        <v>CALI</v>
      </c>
    </row>
    <row r="332" spans="1:69" x14ac:dyDescent="0.25">
      <c r="A332" t="str">
        <f>"7278776"</f>
        <v>7278776</v>
      </c>
      <c r="B332" t="str">
        <f t="shared" si="378"/>
        <v>459</v>
      </c>
      <c r="C332" t="str">
        <f>"10/07/2020 12:00:00 a. m."</f>
        <v>10/07/2020 12:00:00 a. m.</v>
      </c>
      <c r="D332" t="str">
        <f>"18"</f>
        <v>18</v>
      </c>
      <c r="E332" t="str">
        <f t="shared" si="379"/>
        <v>2020</v>
      </c>
      <c r="F332" t="str">
        <f>"5400100011"</f>
        <v>5400100011</v>
      </c>
      <c r="G332" t="str">
        <f t="shared" si="370"/>
        <v>01</v>
      </c>
      <c r="H332" t="str">
        <f>"8"</f>
        <v>8</v>
      </c>
      <c r="I332" t="str">
        <f>"2"</f>
        <v>2</v>
      </c>
      <c r="J332" t="str">
        <f>"F"</f>
        <v>F</v>
      </c>
      <c r="K332" t="str">
        <f t="shared" si="389"/>
        <v>170</v>
      </c>
      <c r="L332" t="str">
        <f>"54"</f>
        <v>54</v>
      </c>
      <c r="M332" t="str">
        <f>"001"</f>
        <v>001</v>
      </c>
      <c r="N332" t="str">
        <f>"1"</f>
        <v>1</v>
      </c>
      <c r="O332" t="str">
        <f>"9999"</f>
        <v>9999</v>
      </c>
      <c r="P332" t="str">
        <f>"C"</f>
        <v>C</v>
      </c>
      <c r="Q332" t="str">
        <f>"EPS041"</f>
        <v>EPS041</v>
      </c>
      <c r="R332" t="str">
        <f t="shared" si="388"/>
        <v>6</v>
      </c>
      <c r="S332" t="str">
        <f>""</f>
        <v/>
      </c>
      <c r="T332" t="str">
        <f t="shared" si="333"/>
        <v xml:space="preserve">                                                                                                    </v>
      </c>
      <c r="U332" t="str">
        <f>"1         "</f>
        <v xml:space="preserve">1         </v>
      </c>
      <c r="V332" t="str">
        <f t="shared" si="367"/>
        <v>2</v>
      </c>
      <c r="W332" t="str">
        <f t="shared" si="365"/>
        <v>2</v>
      </c>
      <c r="X332" t="str">
        <f t="shared" si="390"/>
        <v>2</v>
      </c>
      <c r="Y332" t="str">
        <f t="shared" si="376"/>
        <v>2</v>
      </c>
      <c r="Z332" t="str">
        <f t="shared" si="376"/>
        <v>2</v>
      </c>
      <c r="AA332" t="str">
        <f t="shared" si="380"/>
        <v xml:space="preserve">          </v>
      </c>
      <c r="AB332" t="str">
        <f t="shared" si="372"/>
        <v>2</v>
      </c>
      <c r="AC332" t="str">
        <f t="shared" si="373"/>
        <v>2</v>
      </c>
      <c r="AD332" t="str">
        <f t="shared" si="377"/>
        <v>2</v>
      </c>
      <c r="AE332" t="str">
        <f t="shared" si="377"/>
        <v>2</v>
      </c>
      <c r="AF332" t="str">
        <f t="shared" si="377"/>
        <v>2</v>
      </c>
      <c r="AG332" t="str">
        <f t="shared" si="377"/>
        <v>2</v>
      </c>
      <c r="AH332" t="str">
        <f t="shared" si="391"/>
        <v>1</v>
      </c>
      <c r="AI332" t="str">
        <f>"2         "</f>
        <v xml:space="preserve">2         </v>
      </c>
      <c r="AJ332" t="str">
        <f t="shared" si="392"/>
        <v>170</v>
      </c>
      <c r="AK332" t="str">
        <f>"54"</f>
        <v>54</v>
      </c>
      <c r="AL332" t="str">
        <f>"001"</f>
        <v>001</v>
      </c>
      <c r="AM332" t="str">
        <f>"54"</f>
        <v>54</v>
      </c>
      <c r="AN332" t="str">
        <f>"54001"</f>
        <v>54001</v>
      </c>
      <c r="AO332" t="str">
        <f>"29/04/2020 12:00:00 a. m."</f>
        <v>29/04/2020 12:00:00 a. m.</v>
      </c>
      <c r="AP332" t="str">
        <f>"27/04/2020 12:00:00 a. m."</f>
        <v>27/04/2020 12:00:00 a. m.</v>
      </c>
      <c r="AQ332" t="str">
        <f>"3"</f>
        <v>3</v>
      </c>
      <c r="AR332" t="str">
        <f>"2"</f>
        <v>2</v>
      </c>
      <c r="AS332" t="str">
        <f>""</f>
        <v/>
      </c>
      <c r="AT332" t="str">
        <f t="shared" si="375"/>
        <v>1</v>
      </c>
      <c r="AU332" t="str">
        <f>""</f>
        <v/>
      </c>
      <c r="AV332" t="str">
        <f>"7"</f>
        <v>7</v>
      </c>
      <c r="AW332" t="str">
        <f>"25/12/2019 12:00:00 a. m."</f>
        <v>25/12/2019 12:00:00 a. m.</v>
      </c>
      <c r="AX332" t="str">
        <f>""</f>
        <v/>
      </c>
      <c r="AY332" t="str">
        <f t="shared" si="381"/>
        <v>30/04/2021 12:00:00 a. m.</v>
      </c>
      <c r="AZ332" t="str">
        <f>"7/10/2020 12:00:00 a. m."</f>
        <v>7/10/2020 12:00:00 a. m.</v>
      </c>
      <c r="BA332" t="str">
        <f>""</f>
        <v/>
      </c>
      <c r="BB332" t="str">
        <f>""</f>
        <v/>
      </c>
      <c r="BC332" t="str">
        <f>""</f>
        <v/>
      </c>
      <c r="BD332" t="str">
        <f t="shared" si="382"/>
        <v>1</v>
      </c>
      <c r="BE332" t="str">
        <f t="shared" si="382"/>
        <v>1</v>
      </c>
      <c r="BF332" t="str">
        <f t="shared" si="383"/>
        <v xml:space="preserve">3         </v>
      </c>
      <c r="BG332" t="str">
        <f t="shared" si="384"/>
        <v>Confirmado por laboratorio</v>
      </c>
      <c r="BH332" t="str">
        <f>"CLINICA DE CANCEROLOGIA DEL NORTE DE SANTANDER LTD"</f>
        <v>CLINICA DE CANCEROLOGIA DEL NORTE DE SANTANDER LTD</v>
      </c>
      <c r="BI332" t="str">
        <f t="shared" si="393"/>
        <v>COLOMBIA</v>
      </c>
      <c r="BJ332" t="str">
        <f t="shared" si="385"/>
        <v>CANCER INFANTIL</v>
      </c>
      <c r="BK332" t="str">
        <f>"NORTE SANTANDER"</f>
        <v>NORTE SANTANDER</v>
      </c>
      <c r="BL332" t="str">
        <f>"CUCUTA"</f>
        <v>CUCUTA</v>
      </c>
      <c r="BM332" t="str">
        <f t="shared" si="394"/>
        <v>COLOMBIA</v>
      </c>
      <c r="BN332" t="str">
        <f>"NORTE SANTANDER"</f>
        <v>NORTE SANTANDER</v>
      </c>
      <c r="BO332" t="str">
        <f>"CUCUTA"</f>
        <v>CUCUTA</v>
      </c>
      <c r="BP332" t="str">
        <f>"NORTE SANTANDER"</f>
        <v>NORTE SANTANDER</v>
      </c>
      <c r="BQ332" t="str">
        <f>"CUCUTA"</f>
        <v>CUCUTA</v>
      </c>
    </row>
    <row r="333" spans="1:69" x14ac:dyDescent="0.25">
      <c r="A333" t="str">
        <f>"7278841"</f>
        <v>7278841</v>
      </c>
      <c r="B333" t="str">
        <f t="shared" si="378"/>
        <v>459</v>
      </c>
      <c r="C333" t="str">
        <f>"26/10/2020 12:00:00 a. m."</f>
        <v>26/10/2020 12:00:00 a. m.</v>
      </c>
      <c r="D333" t="str">
        <f>"27"</f>
        <v>27</v>
      </c>
      <c r="E333" t="str">
        <f t="shared" si="379"/>
        <v>2020</v>
      </c>
      <c r="F333" t="str">
        <f>"0500102175"</f>
        <v>0500102175</v>
      </c>
      <c r="G333" t="str">
        <f t="shared" si="370"/>
        <v>01</v>
      </c>
      <c r="H333" t="str">
        <f>"4"</f>
        <v>4</v>
      </c>
      <c r="I333" t="str">
        <f>"2"</f>
        <v>2</v>
      </c>
      <c r="J333" t="str">
        <f>"F"</f>
        <v>F</v>
      </c>
      <c r="K333" t="str">
        <f t="shared" si="389"/>
        <v>170</v>
      </c>
      <c r="L333" t="str">
        <f>"05"</f>
        <v>05</v>
      </c>
      <c r="M333" t="str">
        <f>"055"</f>
        <v>055</v>
      </c>
      <c r="N333" t="str">
        <f>"1"</f>
        <v>1</v>
      </c>
      <c r="O333" t="str">
        <f>"9999"</f>
        <v>9999</v>
      </c>
      <c r="P333" t="str">
        <f>"S"</f>
        <v>S</v>
      </c>
      <c r="Q333" t="str">
        <f>"EPSS40"</f>
        <v>EPSS40</v>
      </c>
      <c r="R333" t="str">
        <f t="shared" si="388"/>
        <v>6</v>
      </c>
      <c r="S333" t="str">
        <f>""</f>
        <v/>
      </c>
      <c r="T333" t="str">
        <f t="shared" si="333"/>
        <v xml:space="preserve">                                                                                                    </v>
      </c>
      <c r="U333" t="str">
        <f>"2         "</f>
        <v xml:space="preserve">2         </v>
      </c>
      <c r="V333" t="str">
        <f t="shared" si="367"/>
        <v>2</v>
      </c>
      <c r="W333" t="str">
        <f t="shared" si="365"/>
        <v>2</v>
      </c>
      <c r="X333" t="str">
        <f t="shared" si="390"/>
        <v>2</v>
      </c>
      <c r="Y333" t="str">
        <f t="shared" si="376"/>
        <v>2</v>
      </c>
      <c r="Z333" t="str">
        <f t="shared" si="376"/>
        <v>2</v>
      </c>
      <c r="AA333" t="str">
        <f t="shared" si="380"/>
        <v xml:space="preserve">          </v>
      </c>
      <c r="AB333" t="str">
        <f t="shared" si="372"/>
        <v>2</v>
      </c>
      <c r="AC333" t="str">
        <f t="shared" si="373"/>
        <v>2</v>
      </c>
      <c r="AD333" t="str">
        <f t="shared" si="377"/>
        <v>2</v>
      </c>
      <c r="AE333" t="str">
        <f t="shared" si="377"/>
        <v>2</v>
      </c>
      <c r="AF333" t="str">
        <f t="shared" si="377"/>
        <v>2</v>
      </c>
      <c r="AG333" t="str">
        <f t="shared" si="377"/>
        <v>2</v>
      </c>
      <c r="AH333" t="str">
        <f t="shared" si="391"/>
        <v>1</v>
      </c>
      <c r="AI333" t="str">
        <f t="shared" ref="AI333:AI339" si="395">"1         "</f>
        <v xml:space="preserve">1         </v>
      </c>
      <c r="AJ333" t="str">
        <f t="shared" si="392"/>
        <v>170</v>
      </c>
      <c r="AK333" t="str">
        <f>"05"</f>
        <v>05</v>
      </c>
      <c r="AL333" t="str">
        <f>"055"</f>
        <v>055</v>
      </c>
      <c r="AM333" t="str">
        <f>"05"</f>
        <v>05</v>
      </c>
      <c r="AN333" t="str">
        <f>"05001"</f>
        <v>05001</v>
      </c>
      <c r="AO333" t="str">
        <f>"3/07/2020 12:00:00 a. m."</f>
        <v>3/07/2020 12:00:00 a. m.</v>
      </c>
      <c r="AP333" t="str">
        <f>"17/06/2020 12:00:00 a. m."</f>
        <v>17/06/2020 12:00:00 a. m.</v>
      </c>
      <c r="AQ333" t="str">
        <f>"3"</f>
        <v>3</v>
      </c>
      <c r="AR333" t="str">
        <f>"1"</f>
        <v>1</v>
      </c>
      <c r="AS333" t="str">
        <f>"3/07/2020 12:00:00 a. m."</f>
        <v>3/07/2020 12:00:00 a. m.</v>
      </c>
      <c r="AT333" t="str">
        <f t="shared" si="375"/>
        <v>1</v>
      </c>
      <c r="AU333" t="str">
        <f>""</f>
        <v/>
      </c>
      <c r="AV333" t="str">
        <f>"0"</f>
        <v>0</v>
      </c>
      <c r="AW333" t="str">
        <f>"17/06/2020 12:00:00 a. m."</f>
        <v>17/06/2020 12:00:00 a. m.</v>
      </c>
      <c r="AX333" t="str">
        <f>""</f>
        <v/>
      </c>
      <c r="AY333" t="str">
        <f t="shared" si="381"/>
        <v>30/04/2021 12:00:00 a. m.</v>
      </c>
      <c r="AZ333" t="str">
        <f>"26/10/2020 12:00:00 a. m."</f>
        <v>26/10/2020 12:00:00 a. m.</v>
      </c>
      <c r="BA333" t="str">
        <f>""</f>
        <v/>
      </c>
      <c r="BB333" t="str">
        <f>""</f>
        <v/>
      </c>
      <c r="BC333" t="str">
        <f>""</f>
        <v/>
      </c>
      <c r="BD333" t="str">
        <f t="shared" si="382"/>
        <v>1</v>
      </c>
      <c r="BE333" t="str">
        <f t="shared" si="382"/>
        <v>1</v>
      </c>
      <c r="BF333" t="str">
        <f t="shared" si="383"/>
        <v xml:space="preserve">3         </v>
      </c>
      <c r="BG333" t="str">
        <f t="shared" si="384"/>
        <v>Confirmado por laboratorio</v>
      </c>
      <c r="BH333" t="str">
        <f>"FUNDACION HOSPITALARIA SAN VICENTE DE PAUL"</f>
        <v>FUNDACION HOSPITALARIA SAN VICENTE DE PAUL</v>
      </c>
      <c r="BI333" t="str">
        <f t="shared" si="393"/>
        <v>COLOMBIA</v>
      </c>
      <c r="BJ333" t="str">
        <f t="shared" si="385"/>
        <v>CANCER INFANTIL</v>
      </c>
      <c r="BK333" t="str">
        <f>"ANTIOQUIA"</f>
        <v>ANTIOQUIA</v>
      </c>
      <c r="BL333" t="str">
        <f>"ARGELIA"</f>
        <v>ARGELIA</v>
      </c>
      <c r="BM333" t="str">
        <f t="shared" si="394"/>
        <v>COLOMBIA</v>
      </c>
      <c r="BN333" t="str">
        <f>"ANTIOQUIA"</f>
        <v>ANTIOQUIA</v>
      </c>
      <c r="BO333" t="str">
        <f>"ARGELIA"</f>
        <v>ARGELIA</v>
      </c>
      <c r="BP333" t="str">
        <f>"ANTIOQUIA"</f>
        <v>ANTIOQUIA</v>
      </c>
      <c r="BQ333" t="str">
        <f>"MEDELLIN"</f>
        <v>MEDELLIN</v>
      </c>
    </row>
    <row r="334" spans="1:69" x14ac:dyDescent="0.25">
      <c r="A334" t="str">
        <f>"7278992"</f>
        <v>7278992</v>
      </c>
      <c r="B334" t="str">
        <f t="shared" si="378"/>
        <v>459</v>
      </c>
      <c r="C334" t="str">
        <f>"2/09/2020 12:00:00 a. m."</f>
        <v>2/09/2020 12:00:00 a. m.</v>
      </c>
      <c r="D334" t="str">
        <f>"35"</f>
        <v>35</v>
      </c>
      <c r="E334" t="str">
        <f t="shared" si="379"/>
        <v>2020</v>
      </c>
      <c r="F334" t="str">
        <f>"5200100283"</f>
        <v>5200100283</v>
      </c>
      <c r="G334" t="str">
        <f t="shared" si="370"/>
        <v>01</v>
      </c>
      <c r="H334" t="str">
        <f>"14"</f>
        <v>14</v>
      </c>
      <c r="I334" t="str">
        <f t="shared" ref="I334:I365" si="396">"1"</f>
        <v>1</v>
      </c>
      <c r="J334" t="str">
        <f>"M"</f>
        <v>M</v>
      </c>
      <c r="K334" t="str">
        <f t="shared" si="389"/>
        <v>170</v>
      </c>
      <c r="L334" t="str">
        <f>"52"</f>
        <v>52</v>
      </c>
      <c r="M334" t="str">
        <f>"079"</f>
        <v>079</v>
      </c>
      <c r="N334" t="str">
        <f>"3"</f>
        <v>3</v>
      </c>
      <c r="O334" t="str">
        <f>"9997"</f>
        <v>9997</v>
      </c>
      <c r="P334" t="str">
        <f>"S"</f>
        <v>S</v>
      </c>
      <c r="Q334" t="str">
        <f>"ESS118"</f>
        <v>ESS118</v>
      </c>
      <c r="R334" t="str">
        <f>"5"</f>
        <v>5</v>
      </c>
      <c r="S334" t="str">
        <f>""</f>
        <v/>
      </c>
      <c r="T334" t="str">
        <f t="shared" si="333"/>
        <v xml:space="preserve">                                                                                                    </v>
      </c>
      <c r="U334" t="str">
        <f>"1         "</f>
        <v xml:space="preserve">1         </v>
      </c>
      <c r="V334" t="str">
        <f t="shared" si="367"/>
        <v>2</v>
      </c>
      <c r="W334" t="str">
        <f t="shared" si="365"/>
        <v>2</v>
      </c>
      <c r="X334" t="str">
        <f t="shared" si="390"/>
        <v>2</v>
      </c>
      <c r="Y334" t="str">
        <f t="shared" si="376"/>
        <v>2</v>
      </c>
      <c r="Z334" t="str">
        <f t="shared" si="376"/>
        <v>2</v>
      </c>
      <c r="AA334" t="str">
        <f t="shared" si="380"/>
        <v xml:space="preserve">          </v>
      </c>
      <c r="AB334" t="str">
        <f t="shared" si="372"/>
        <v>2</v>
      </c>
      <c r="AC334" t="str">
        <f t="shared" si="373"/>
        <v>2</v>
      </c>
      <c r="AD334" t="str">
        <f t="shared" si="377"/>
        <v>2</v>
      </c>
      <c r="AE334" t="str">
        <f t="shared" si="377"/>
        <v>2</v>
      </c>
      <c r="AF334" t="str">
        <f t="shared" si="377"/>
        <v>2</v>
      </c>
      <c r="AG334" t="str">
        <f t="shared" si="377"/>
        <v>2</v>
      </c>
      <c r="AH334" t="str">
        <f t="shared" si="391"/>
        <v>1</v>
      </c>
      <c r="AI334" t="str">
        <f t="shared" si="395"/>
        <v xml:space="preserve">1         </v>
      </c>
      <c r="AJ334" t="str">
        <f t="shared" si="392"/>
        <v>170</v>
      </c>
      <c r="AK334" t="str">
        <f>"52"</f>
        <v>52</v>
      </c>
      <c r="AL334" t="str">
        <f>"079"</f>
        <v>079</v>
      </c>
      <c r="AM334" t="str">
        <f>"52"</f>
        <v>52</v>
      </c>
      <c r="AN334" t="str">
        <f>"52001"</f>
        <v>52001</v>
      </c>
      <c r="AO334" t="str">
        <f>"23/08/2020 12:00:00 a. m."</f>
        <v>23/08/2020 12:00:00 a. m.</v>
      </c>
      <c r="AP334" t="str">
        <f>"1/12/2019 12:00:00 a. m."</f>
        <v>1/12/2019 12:00:00 a. m.</v>
      </c>
      <c r="AQ334" t="str">
        <f>"2"</f>
        <v>2</v>
      </c>
      <c r="AR334" t="str">
        <f>"1"</f>
        <v>1</v>
      </c>
      <c r="AS334" t="str">
        <f>"23/08/2020 12:00:00 a. m."</f>
        <v>23/08/2020 12:00:00 a. m.</v>
      </c>
      <c r="AT334" t="str">
        <f t="shared" si="375"/>
        <v>1</v>
      </c>
      <c r="AU334" t="str">
        <f>""</f>
        <v/>
      </c>
      <c r="AV334" t="str">
        <f>"3"</f>
        <v>3</v>
      </c>
      <c r="AW334" t="str">
        <f>"16/04/2006 12:00:00 a. m."</f>
        <v>16/04/2006 12:00:00 a. m.</v>
      </c>
      <c r="AX334" t="str">
        <f>""</f>
        <v/>
      </c>
      <c r="AY334" t="str">
        <f t="shared" si="381"/>
        <v>30/04/2021 12:00:00 a. m.</v>
      </c>
      <c r="AZ334" t="str">
        <f>"9/09/2020 12:00:00 a. m."</f>
        <v>9/09/2020 12:00:00 a. m.</v>
      </c>
      <c r="BA334" t="str">
        <f>""</f>
        <v/>
      </c>
      <c r="BB334" t="str">
        <f>""</f>
        <v/>
      </c>
      <c r="BC334" t="str">
        <f>""</f>
        <v/>
      </c>
      <c r="BD334" t="str">
        <f t="shared" si="382"/>
        <v>1</v>
      </c>
      <c r="BE334" t="str">
        <f t="shared" si="382"/>
        <v>1</v>
      </c>
      <c r="BF334" t="str">
        <f t="shared" si="383"/>
        <v xml:space="preserve">3         </v>
      </c>
      <c r="BG334" t="str">
        <f t="shared" si="384"/>
        <v>Confirmado por laboratorio</v>
      </c>
      <c r="BH334" t="str">
        <f>"HOSPITAL INFANTIL LOS ANGELES"</f>
        <v>HOSPITAL INFANTIL LOS ANGELES</v>
      </c>
      <c r="BI334" t="str">
        <f t="shared" si="393"/>
        <v>COLOMBIA</v>
      </c>
      <c r="BJ334" t="str">
        <f t="shared" si="385"/>
        <v>CANCER INFANTIL</v>
      </c>
      <c r="BK334" t="str">
        <f>"NARIÑO"</f>
        <v>NARIÑO</v>
      </c>
      <c r="BL334" t="str">
        <f>"BARBACOAS"</f>
        <v>BARBACOAS</v>
      </c>
      <c r="BM334" t="str">
        <f t="shared" si="394"/>
        <v>COLOMBIA</v>
      </c>
      <c r="BN334" t="str">
        <f>"NARIÑO"</f>
        <v>NARIÑO</v>
      </c>
      <c r="BO334" t="str">
        <f>"BARBACOAS"</f>
        <v>BARBACOAS</v>
      </c>
      <c r="BP334" t="str">
        <f>"NARIÑO"</f>
        <v>NARIÑO</v>
      </c>
      <c r="BQ334" t="str">
        <f>"PASTO"</f>
        <v>PASTO</v>
      </c>
    </row>
    <row r="335" spans="1:69" x14ac:dyDescent="0.25">
      <c r="A335" t="str">
        <f>"7291511"</f>
        <v>7291511</v>
      </c>
      <c r="B335" t="str">
        <f t="shared" si="378"/>
        <v>459</v>
      </c>
      <c r="C335" t="str">
        <f>"11/03/2020 12:00:00 a. m."</f>
        <v>11/03/2020 12:00:00 a. m.</v>
      </c>
      <c r="D335" t="str">
        <f>"11"</f>
        <v>11</v>
      </c>
      <c r="E335" t="str">
        <f t="shared" si="379"/>
        <v>2020</v>
      </c>
      <c r="F335" t="str">
        <f>"0500101150"</f>
        <v>0500101150</v>
      </c>
      <c r="G335" t="str">
        <f t="shared" si="370"/>
        <v>01</v>
      </c>
      <c r="H335" t="str">
        <f>"15"</f>
        <v>15</v>
      </c>
      <c r="I335" t="str">
        <f t="shared" si="396"/>
        <v>1</v>
      </c>
      <c r="J335" t="str">
        <f>"F"</f>
        <v>F</v>
      </c>
      <c r="K335" t="str">
        <f t="shared" si="389"/>
        <v>170</v>
      </c>
      <c r="L335" t="str">
        <f>"05"</f>
        <v>05</v>
      </c>
      <c r="M335" t="str">
        <f>"088"</f>
        <v>088</v>
      </c>
      <c r="N335" t="str">
        <f>"1"</f>
        <v>1</v>
      </c>
      <c r="O335" t="str">
        <f>"9997"</f>
        <v>9997</v>
      </c>
      <c r="P335" t="str">
        <f>"C"</f>
        <v>C</v>
      </c>
      <c r="Q335" t="str">
        <f>"EPS010"</f>
        <v>EPS010</v>
      </c>
      <c r="R335" t="str">
        <f t="shared" ref="R335:R366" si="397">"6"</f>
        <v>6</v>
      </c>
      <c r="S335" t="str">
        <f>""</f>
        <v/>
      </c>
      <c r="T335" t="str">
        <f t="shared" si="333"/>
        <v xml:space="preserve">                                                                                                    </v>
      </c>
      <c r="U335" t="str">
        <f>"4         "</f>
        <v xml:space="preserve">4         </v>
      </c>
      <c r="V335" t="str">
        <f t="shared" si="367"/>
        <v>2</v>
      </c>
      <c r="W335" t="str">
        <f t="shared" si="365"/>
        <v>2</v>
      </c>
      <c r="X335" t="str">
        <f t="shared" si="390"/>
        <v>2</v>
      </c>
      <c r="Y335" t="str">
        <f t="shared" si="376"/>
        <v>2</v>
      </c>
      <c r="Z335" t="str">
        <f t="shared" si="376"/>
        <v>2</v>
      </c>
      <c r="AA335" t="str">
        <f t="shared" si="380"/>
        <v xml:space="preserve">          </v>
      </c>
      <c r="AB335" t="str">
        <f t="shared" si="372"/>
        <v>2</v>
      </c>
      <c r="AC335" t="str">
        <f t="shared" si="373"/>
        <v>2</v>
      </c>
      <c r="AD335" t="str">
        <f t="shared" si="377"/>
        <v>2</v>
      </c>
      <c r="AE335" t="str">
        <f t="shared" si="377"/>
        <v>2</v>
      </c>
      <c r="AF335" t="str">
        <f t="shared" si="377"/>
        <v>2</v>
      </c>
      <c r="AG335" t="str">
        <f t="shared" si="377"/>
        <v>2</v>
      </c>
      <c r="AH335" t="str">
        <f t="shared" si="391"/>
        <v>1</v>
      </c>
      <c r="AI335" t="str">
        <f t="shared" si="395"/>
        <v xml:space="preserve">1         </v>
      </c>
      <c r="AJ335" t="str">
        <f t="shared" si="392"/>
        <v>170</v>
      </c>
      <c r="AK335" t="str">
        <f>"05"</f>
        <v>05</v>
      </c>
      <c r="AL335" t="str">
        <f>"088"</f>
        <v>088</v>
      </c>
      <c r="AM335" t="str">
        <f>"05"</f>
        <v>05</v>
      </c>
      <c r="AN335" t="str">
        <f>"05001"</f>
        <v>05001</v>
      </c>
      <c r="AO335" t="str">
        <f>"11/03/2020 12:00:00 a. m."</f>
        <v>11/03/2020 12:00:00 a. m.</v>
      </c>
      <c r="AP335" t="str">
        <f>"27/02/2020 12:00:00 a. m."</f>
        <v>27/02/2020 12:00:00 a. m.</v>
      </c>
      <c r="AQ335" t="str">
        <f t="shared" ref="AQ335:AQ341" si="398">"3"</f>
        <v>3</v>
      </c>
      <c r="AR335" t="str">
        <f>"1"</f>
        <v>1</v>
      </c>
      <c r="AS335" t="str">
        <f>"11/03/2020 12:00:00 a. m."</f>
        <v>11/03/2020 12:00:00 a. m.</v>
      </c>
      <c r="AT335" t="str">
        <f t="shared" si="375"/>
        <v>1</v>
      </c>
      <c r="AU335" t="str">
        <f>""</f>
        <v/>
      </c>
      <c r="AV335" t="str">
        <f>"7"</f>
        <v>7</v>
      </c>
      <c r="AW335" t="str">
        <f>"22/12/2004 12:00:00 a. m."</f>
        <v>22/12/2004 12:00:00 a. m.</v>
      </c>
      <c r="AX335" t="str">
        <f>""</f>
        <v/>
      </c>
      <c r="AY335" t="str">
        <f t="shared" si="381"/>
        <v>30/04/2021 12:00:00 a. m.</v>
      </c>
      <c r="AZ335" t="str">
        <f>"23/02/2021 12:00:00 a. m."</f>
        <v>23/02/2021 12:00:00 a. m.</v>
      </c>
      <c r="BA335" t="str">
        <f>""</f>
        <v/>
      </c>
      <c r="BB335" t="str">
        <f>""</f>
        <v/>
      </c>
      <c r="BC335" t="str">
        <f>""</f>
        <v/>
      </c>
      <c r="BD335" t="str">
        <f t="shared" si="382"/>
        <v>1</v>
      </c>
      <c r="BE335" t="str">
        <f t="shared" si="382"/>
        <v>1</v>
      </c>
      <c r="BF335" t="str">
        <f t="shared" si="383"/>
        <v xml:space="preserve">3         </v>
      </c>
      <c r="BG335" t="str">
        <f t="shared" si="384"/>
        <v>Confirmado por laboratorio</v>
      </c>
      <c r="BH335" t="str">
        <f>"FUNDACIÓN INSTITUTO NEUROLOGICO DE ANTIOQUIA"</f>
        <v>FUNDACIÓN INSTITUTO NEUROLOGICO DE ANTIOQUIA</v>
      </c>
      <c r="BI335" t="str">
        <f t="shared" si="393"/>
        <v>COLOMBIA</v>
      </c>
      <c r="BJ335" t="str">
        <f t="shared" si="385"/>
        <v>CANCER INFANTIL</v>
      </c>
      <c r="BK335" t="str">
        <f>"ANTIOQUIA"</f>
        <v>ANTIOQUIA</v>
      </c>
      <c r="BL335" t="str">
        <f>"BELLO"</f>
        <v>BELLO</v>
      </c>
      <c r="BM335" t="str">
        <f t="shared" si="394"/>
        <v>COLOMBIA</v>
      </c>
      <c r="BN335" t="str">
        <f>"ANTIOQUIA"</f>
        <v>ANTIOQUIA</v>
      </c>
      <c r="BO335" t="str">
        <f>"BELLO"</f>
        <v>BELLO</v>
      </c>
      <c r="BP335" t="str">
        <f>"ANTIOQUIA"</f>
        <v>ANTIOQUIA</v>
      </c>
      <c r="BQ335" t="str">
        <f>"MEDELLIN"</f>
        <v>MEDELLIN</v>
      </c>
    </row>
    <row r="336" spans="1:69" x14ac:dyDescent="0.25">
      <c r="A336" t="str">
        <f>"7291516"</f>
        <v>7291516</v>
      </c>
      <c r="B336" t="str">
        <f t="shared" si="378"/>
        <v>459</v>
      </c>
      <c r="C336" t="str">
        <f>"19/05/2020 12:00:00 a. m."</f>
        <v>19/05/2020 12:00:00 a. m.</v>
      </c>
      <c r="D336" t="str">
        <f>"21"</f>
        <v>21</v>
      </c>
      <c r="E336" t="str">
        <f t="shared" si="379"/>
        <v>2020</v>
      </c>
      <c r="F336" t="str">
        <f>"0500102104"</f>
        <v>0500102104</v>
      </c>
      <c r="G336" t="str">
        <f t="shared" si="370"/>
        <v>01</v>
      </c>
      <c r="H336" t="str">
        <f>"12"</f>
        <v>12</v>
      </c>
      <c r="I336" t="str">
        <f t="shared" si="396"/>
        <v>1</v>
      </c>
      <c r="J336" t="str">
        <f>"F"</f>
        <v>F</v>
      </c>
      <c r="K336" t="str">
        <f t="shared" si="389"/>
        <v>170</v>
      </c>
      <c r="L336" t="str">
        <f>"05"</f>
        <v>05</v>
      </c>
      <c r="M336" t="str">
        <f>"088"</f>
        <v>088</v>
      </c>
      <c r="N336" t="str">
        <f>"1"</f>
        <v>1</v>
      </c>
      <c r="O336" t="str">
        <f>"9999"</f>
        <v>9999</v>
      </c>
      <c r="P336" t="str">
        <f>"C"</f>
        <v>C</v>
      </c>
      <c r="Q336" t="str">
        <f>"EPS010"</f>
        <v>EPS010</v>
      </c>
      <c r="R336" t="str">
        <f t="shared" si="397"/>
        <v>6</v>
      </c>
      <c r="S336" t="str">
        <f>""</f>
        <v/>
      </c>
      <c r="T336" t="str">
        <f t="shared" si="333"/>
        <v xml:space="preserve">                                                                                                    </v>
      </c>
      <c r="U336" t="str">
        <f>"2         "</f>
        <v xml:space="preserve">2         </v>
      </c>
      <c r="V336" t="str">
        <f t="shared" si="367"/>
        <v>2</v>
      </c>
      <c r="W336" t="str">
        <f t="shared" si="365"/>
        <v>2</v>
      </c>
      <c r="X336" t="str">
        <f t="shared" si="390"/>
        <v>2</v>
      </c>
      <c r="Y336" t="str">
        <f t="shared" si="376"/>
        <v>2</v>
      </c>
      <c r="Z336" t="str">
        <f t="shared" si="376"/>
        <v>2</v>
      </c>
      <c r="AA336" t="str">
        <f t="shared" si="380"/>
        <v xml:space="preserve">          </v>
      </c>
      <c r="AB336" t="str">
        <f t="shared" si="372"/>
        <v>2</v>
      </c>
      <c r="AC336" t="str">
        <f t="shared" si="373"/>
        <v>2</v>
      </c>
      <c r="AD336" t="str">
        <f t="shared" si="377"/>
        <v>2</v>
      </c>
      <c r="AE336" t="str">
        <f t="shared" si="377"/>
        <v>2</v>
      </c>
      <c r="AF336" t="str">
        <f t="shared" si="377"/>
        <v>2</v>
      </c>
      <c r="AG336" t="str">
        <f t="shared" si="377"/>
        <v>2</v>
      </c>
      <c r="AH336" t="str">
        <f t="shared" si="391"/>
        <v>1</v>
      </c>
      <c r="AI336" t="str">
        <f t="shared" si="395"/>
        <v xml:space="preserve">1         </v>
      </c>
      <c r="AJ336" t="str">
        <f t="shared" si="392"/>
        <v>170</v>
      </c>
      <c r="AK336" t="str">
        <f>"05"</f>
        <v>05</v>
      </c>
      <c r="AL336" t="str">
        <f>"088"</f>
        <v>088</v>
      </c>
      <c r="AM336" t="str">
        <f>"05"</f>
        <v>05</v>
      </c>
      <c r="AN336" t="str">
        <f>"05001"</f>
        <v>05001</v>
      </c>
      <c r="AO336" t="str">
        <f>"19/05/2020 12:00:00 a. m."</f>
        <v>19/05/2020 12:00:00 a. m.</v>
      </c>
      <c r="AP336" t="str">
        <f>"19/05/2019 12:00:00 a. m."</f>
        <v>19/05/2019 12:00:00 a. m.</v>
      </c>
      <c r="AQ336" t="str">
        <f t="shared" si="398"/>
        <v>3</v>
      </c>
      <c r="AR336" t="str">
        <f>"2"</f>
        <v>2</v>
      </c>
      <c r="AS336" t="str">
        <f>""</f>
        <v/>
      </c>
      <c r="AT336" t="str">
        <f t="shared" si="375"/>
        <v>1</v>
      </c>
      <c r="AU336" t="str">
        <f>""</f>
        <v/>
      </c>
      <c r="AV336" t="str">
        <f>"0"</f>
        <v>0</v>
      </c>
      <c r="AW336" t="str">
        <f>"14/01/2008 12:00:00 a. m."</f>
        <v>14/01/2008 12:00:00 a. m.</v>
      </c>
      <c r="AX336" t="str">
        <f>""</f>
        <v/>
      </c>
      <c r="AY336" t="str">
        <f t="shared" si="381"/>
        <v>30/04/2021 12:00:00 a. m.</v>
      </c>
      <c r="AZ336" t="str">
        <f>"9/06/2020 12:00:00 a. m."</f>
        <v>9/06/2020 12:00:00 a. m.</v>
      </c>
      <c r="BA336" t="str">
        <f>""</f>
        <v/>
      </c>
      <c r="BB336" t="str">
        <f>""</f>
        <v/>
      </c>
      <c r="BC336" t="str">
        <f>""</f>
        <v/>
      </c>
      <c r="BD336" t="str">
        <f t="shared" si="382"/>
        <v>1</v>
      </c>
      <c r="BE336" t="str">
        <f t="shared" si="382"/>
        <v>1</v>
      </c>
      <c r="BF336" t="str">
        <f t="shared" si="383"/>
        <v xml:space="preserve">3         </v>
      </c>
      <c r="BG336" t="str">
        <f t="shared" si="384"/>
        <v>Confirmado por laboratorio</v>
      </c>
      <c r="BH336" t="str">
        <f>"HOSPITAL PABLO TOBON URIBE"</f>
        <v>HOSPITAL PABLO TOBON URIBE</v>
      </c>
      <c r="BI336" t="str">
        <f t="shared" si="393"/>
        <v>COLOMBIA</v>
      </c>
      <c r="BJ336" t="str">
        <f t="shared" si="385"/>
        <v>CANCER INFANTIL</v>
      </c>
      <c r="BK336" t="str">
        <f>"ANTIOQUIA"</f>
        <v>ANTIOQUIA</v>
      </c>
      <c r="BL336" t="str">
        <f>"BELLO"</f>
        <v>BELLO</v>
      </c>
      <c r="BM336" t="str">
        <f t="shared" si="394"/>
        <v>COLOMBIA</v>
      </c>
      <c r="BN336" t="str">
        <f>"ANTIOQUIA"</f>
        <v>ANTIOQUIA</v>
      </c>
      <c r="BO336" t="str">
        <f>"BELLO"</f>
        <v>BELLO</v>
      </c>
      <c r="BP336" t="str">
        <f>"ANTIOQUIA"</f>
        <v>ANTIOQUIA</v>
      </c>
      <c r="BQ336" t="str">
        <f>"MEDELLIN"</f>
        <v>MEDELLIN</v>
      </c>
    </row>
    <row r="337" spans="1:69" x14ac:dyDescent="0.25">
      <c r="A337" t="str">
        <f>"7291619"</f>
        <v>7291619</v>
      </c>
      <c r="B337" t="str">
        <f t="shared" si="378"/>
        <v>459</v>
      </c>
      <c r="C337" t="str">
        <f>"15/10/2020 12:00:00 a. m."</f>
        <v>15/10/2020 12:00:00 a. m.</v>
      </c>
      <c r="D337" t="str">
        <f>"39"</f>
        <v>39</v>
      </c>
      <c r="E337" t="str">
        <f t="shared" si="379"/>
        <v>2020</v>
      </c>
      <c r="F337" t="str">
        <f>"0500102175"</f>
        <v>0500102175</v>
      </c>
      <c r="G337" t="str">
        <f t="shared" si="370"/>
        <v>01</v>
      </c>
      <c r="H337" t="str">
        <f>"2"</f>
        <v>2</v>
      </c>
      <c r="I337" t="str">
        <f t="shared" si="396"/>
        <v>1</v>
      </c>
      <c r="J337" t="str">
        <f>"M"</f>
        <v>M</v>
      </c>
      <c r="K337" t="str">
        <f t="shared" si="389"/>
        <v>170</v>
      </c>
      <c r="L337" t="str">
        <f>"44"</f>
        <v>44</v>
      </c>
      <c r="M337" t="str">
        <f>"650"</f>
        <v>650</v>
      </c>
      <c r="N337" t="str">
        <f>"3"</f>
        <v>3</v>
      </c>
      <c r="O337" t="str">
        <f>"9999"</f>
        <v>9999</v>
      </c>
      <c r="P337" t="str">
        <f>"S"</f>
        <v>S</v>
      </c>
      <c r="Q337" t="str">
        <f>"EPSS41"</f>
        <v>EPSS41</v>
      </c>
      <c r="R337" t="str">
        <f t="shared" si="397"/>
        <v>6</v>
      </c>
      <c r="S337" t="str">
        <f>""</f>
        <v/>
      </c>
      <c r="T337" t="str">
        <f t="shared" si="333"/>
        <v xml:space="preserve">                                                                                                    </v>
      </c>
      <c r="U337" t="str">
        <f>"2         "</f>
        <v xml:space="preserve">2         </v>
      </c>
      <c r="V337" t="str">
        <f t="shared" si="367"/>
        <v>2</v>
      </c>
      <c r="W337" t="str">
        <f t="shared" si="365"/>
        <v>2</v>
      </c>
      <c r="X337" t="str">
        <f t="shared" si="390"/>
        <v>2</v>
      </c>
      <c r="Y337" t="str">
        <f t="shared" si="376"/>
        <v>2</v>
      </c>
      <c r="Z337" t="str">
        <f t="shared" si="376"/>
        <v>2</v>
      </c>
      <c r="AA337" t="str">
        <f t="shared" si="380"/>
        <v xml:space="preserve">          </v>
      </c>
      <c r="AB337" t="str">
        <f t="shared" si="372"/>
        <v>2</v>
      </c>
      <c r="AC337" t="str">
        <f t="shared" si="373"/>
        <v>2</v>
      </c>
      <c r="AD337" t="str">
        <f t="shared" si="377"/>
        <v>2</v>
      </c>
      <c r="AE337" t="str">
        <f t="shared" si="377"/>
        <v>2</v>
      </c>
      <c r="AF337" t="str">
        <f t="shared" si="377"/>
        <v>2</v>
      </c>
      <c r="AG337" t="str">
        <f t="shared" si="377"/>
        <v>2</v>
      </c>
      <c r="AH337" t="str">
        <f t="shared" si="391"/>
        <v>1</v>
      </c>
      <c r="AI337" t="str">
        <f t="shared" si="395"/>
        <v xml:space="preserve">1         </v>
      </c>
      <c r="AJ337" t="str">
        <f t="shared" si="392"/>
        <v>170</v>
      </c>
      <c r="AK337" t="str">
        <f>"44"</f>
        <v>44</v>
      </c>
      <c r="AL337" t="str">
        <f>"650"</f>
        <v>650</v>
      </c>
      <c r="AM337" t="str">
        <f>"05"</f>
        <v>05</v>
      </c>
      <c r="AN337" t="str">
        <f>"05001"</f>
        <v>05001</v>
      </c>
      <c r="AO337" t="str">
        <f>"22/09/2020 12:00:00 a. m."</f>
        <v>22/09/2020 12:00:00 a. m.</v>
      </c>
      <c r="AP337" t="str">
        <f>"16/09/2020 12:00:00 a. m."</f>
        <v>16/09/2020 12:00:00 a. m.</v>
      </c>
      <c r="AQ337" t="str">
        <f t="shared" si="398"/>
        <v>3</v>
      </c>
      <c r="AR337" t="str">
        <f>"1"</f>
        <v>1</v>
      </c>
      <c r="AS337" t="str">
        <f>"7/10/2020 12:00:00 a. m."</f>
        <v>7/10/2020 12:00:00 a. m.</v>
      </c>
      <c r="AT337" t="str">
        <f t="shared" si="375"/>
        <v>1</v>
      </c>
      <c r="AU337" t="str">
        <f>""</f>
        <v/>
      </c>
      <c r="AV337" t="str">
        <f>"0"</f>
        <v>0</v>
      </c>
      <c r="AW337" t="str">
        <f>"23/01/2018 12:00:00 a. m."</f>
        <v>23/01/2018 12:00:00 a. m.</v>
      </c>
      <c r="AX337" t="str">
        <f>""</f>
        <v/>
      </c>
      <c r="AY337" t="str">
        <f t="shared" si="381"/>
        <v>30/04/2021 12:00:00 a. m.</v>
      </c>
      <c r="AZ337" t="str">
        <f>"15/10/2020 12:00:00 a. m."</f>
        <v>15/10/2020 12:00:00 a. m.</v>
      </c>
      <c r="BA337" t="str">
        <f>""</f>
        <v/>
      </c>
      <c r="BB337" t="str">
        <f>""</f>
        <v/>
      </c>
      <c r="BC337" t="str">
        <f>""</f>
        <v/>
      </c>
      <c r="BD337" t="str">
        <f t="shared" si="382"/>
        <v>1</v>
      </c>
      <c r="BE337" t="str">
        <f t="shared" si="382"/>
        <v>1</v>
      </c>
      <c r="BF337" t="str">
        <f t="shared" si="383"/>
        <v xml:space="preserve">3         </v>
      </c>
      <c r="BG337" t="str">
        <f t="shared" si="384"/>
        <v>Confirmado por laboratorio</v>
      </c>
      <c r="BH337" t="str">
        <f>"FUNDACION HOSPITALARIA SAN VICENTE DE PAUL"</f>
        <v>FUNDACION HOSPITALARIA SAN VICENTE DE PAUL</v>
      </c>
      <c r="BI337" t="str">
        <f t="shared" si="393"/>
        <v>COLOMBIA</v>
      </c>
      <c r="BJ337" t="str">
        <f t="shared" si="385"/>
        <v>CANCER INFANTIL</v>
      </c>
      <c r="BK337" t="str">
        <f>"GUAJIRA"</f>
        <v>GUAJIRA</v>
      </c>
      <c r="BL337" t="str">
        <f>"SAN JUAN DEL CESAR"</f>
        <v>SAN JUAN DEL CESAR</v>
      </c>
      <c r="BM337" t="str">
        <f t="shared" si="394"/>
        <v>COLOMBIA</v>
      </c>
      <c r="BN337" t="str">
        <f>"GUAJIRA"</f>
        <v>GUAJIRA</v>
      </c>
      <c r="BO337" t="str">
        <f>"SAN JUAN DEL CESAR"</f>
        <v>SAN JUAN DEL CESAR</v>
      </c>
      <c r="BP337" t="str">
        <f>"ANTIOQUIA"</f>
        <v>ANTIOQUIA</v>
      </c>
      <c r="BQ337" t="str">
        <f>"MEDELLIN"</f>
        <v>MEDELLIN</v>
      </c>
    </row>
    <row r="338" spans="1:69" x14ac:dyDescent="0.25">
      <c r="A338" t="str">
        <f>"7291615"</f>
        <v>7291615</v>
      </c>
      <c r="B338" t="str">
        <f t="shared" si="378"/>
        <v>459</v>
      </c>
      <c r="C338" t="str">
        <f>"18/01/2020 12:00:00 a. m."</f>
        <v>18/01/2020 12:00:00 a. m.</v>
      </c>
      <c r="D338" t="str">
        <f>"01"</f>
        <v>01</v>
      </c>
      <c r="E338" t="str">
        <f t="shared" si="379"/>
        <v>2020</v>
      </c>
      <c r="F338" t="str">
        <f>"2001100572"</f>
        <v>2001100572</v>
      </c>
      <c r="G338" t="str">
        <f t="shared" si="370"/>
        <v>01</v>
      </c>
      <c r="H338" t="str">
        <f>"16"</f>
        <v>16</v>
      </c>
      <c r="I338" t="str">
        <f t="shared" si="396"/>
        <v>1</v>
      </c>
      <c r="J338" t="str">
        <f>"F"</f>
        <v>F</v>
      </c>
      <c r="K338" t="str">
        <f t="shared" si="389"/>
        <v>170</v>
      </c>
      <c r="L338" t="str">
        <f>"20"</f>
        <v>20</v>
      </c>
      <c r="M338" t="str">
        <f>"011"</f>
        <v>011</v>
      </c>
      <c r="N338" t="str">
        <f>"1"</f>
        <v>1</v>
      </c>
      <c r="O338" t="str">
        <f>"9999"</f>
        <v>9999</v>
      </c>
      <c r="P338" t="str">
        <f>"S"</f>
        <v>S</v>
      </c>
      <c r="Q338" t="str">
        <f>"ESS133"</f>
        <v>ESS133</v>
      </c>
      <c r="R338" t="str">
        <f t="shared" si="397"/>
        <v>6</v>
      </c>
      <c r="S338" t="str">
        <f>""</f>
        <v/>
      </c>
      <c r="T338" t="str">
        <f t="shared" si="333"/>
        <v xml:space="preserve">                                                                                                    </v>
      </c>
      <c r="U338" t="str">
        <f>"2         "</f>
        <v xml:space="preserve">2         </v>
      </c>
      <c r="V338" t="str">
        <f t="shared" si="367"/>
        <v>2</v>
      </c>
      <c r="W338" t="str">
        <f t="shared" si="365"/>
        <v>2</v>
      </c>
      <c r="X338" t="str">
        <f t="shared" si="390"/>
        <v>2</v>
      </c>
      <c r="Y338" t="str">
        <f t="shared" si="376"/>
        <v>2</v>
      </c>
      <c r="Z338" t="str">
        <f t="shared" si="376"/>
        <v>2</v>
      </c>
      <c r="AA338" t="str">
        <f t="shared" si="380"/>
        <v xml:space="preserve">          </v>
      </c>
      <c r="AB338" t="str">
        <f t="shared" si="372"/>
        <v>2</v>
      </c>
      <c r="AC338" t="str">
        <f t="shared" si="373"/>
        <v>2</v>
      </c>
      <c r="AD338" t="str">
        <f t="shared" si="377"/>
        <v>2</v>
      </c>
      <c r="AE338" t="str">
        <f t="shared" si="377"/>
        <v>2</v>
      </c>
      <c r="AF338" t="str">
        <f t="shared" si="377"/>
        <v>2</v>
      </c>
      <c r="AG338" t="str">
        <f t="shared" si="377"/>
        <v>2</v>
      </c>
      <c r="AH338" t="str">
        <f t="shared" si="391"/>
        <v>1</v>
      </c>
      <c r="AI338" t="str">
        <f t="shared" si="395"/>
        <v xml:space="preserve">1         </v>
      </c>
      <c r="AJ338" t="str">
        <f t="shared" si="392"/>
        <v>170</v>
      </c>
      <c r="AK338" t="str">
        <f>"20"</f>
        <v>20</v>
      </c>
      <c r="AL338" t="str">
        <f>"011"</f>
        <v>011</v>
      </c>
      <c r="AM338" t="str">
        <f>"20"</f>
        <v>20</v>
      </c>
      <c r="AN338" t="str">
        <f>"20011"</f>
        <v>20011</v>
      </c>
      <c r="AO338" t="str">
        <f>"2/01/2020 12:00:00 a. m."</f>
        <v>2/01/2020 12:00:00 a. m.</v>
      </c>
      <c r="AP338" t="str">
        <f>"8/08/2019 12:00:00 a. m."</f>
        <v>8/08/2019 12:00:00 a. m.</v>
      </c>
      <c r="AQ338" t="str">
        <f t="shared" si="398"/>
        <v>3</v>
      </c>
      <c r="AR338" t="str">
        <f>"2"</f>
        <v>2</v>
      </c>
      <c r="AS338" t="str">
        <f>""</f>
        <v/>
      </c>
      <c r="AT338" t="str">
        <f t="shared" si="375"/>
        <v>1</v>
      </c>
      <c r="AU338" t="str">
        <f>""</f>
        <v/>
      </c>
      <c r="AV338" t="str">
        <f>"0"</f>
        <v>0</v>
      </c>
      <c r="AW338" t="str">
        <f>"30/01/2004 12:00:00 a. m."</f>
        <v>30/01/2004 12:00:00 a. m.</v>
      </c>
      <c r="AX338" t="str">
        <f>""</f>
        <v/>
      </c>
      <c r="AY338" t="str">
        <f t="shared" si="381"/>
        <v>30/04/2021 12:00:00 a. m.</v>
      </c>
      <c r="AZ338" t="str">
        <f>"1/02/2020 12:00:00 a. m."</f>
        <v>1/02/2020 12:00:00 a. m.</v>
      </c>
      <c r="BA338" t="str">
        <f>""</f>
        <v/>
      </c>
      <c r="BB338" t="str">
        <f>""</f>
        <v/>
      </c>
      <c r="BC338" t="str">
        <f>""</f>
        <v/>
      </c>
      <c r="BD338" t="str">
        <f t="shared" si="382"/>
        <v>1</v>
      </c>
      <c r="BE338" t="str">
        <f t="shared" si="382"/>
        <v>1</v>
      </c>
      <c r="BF338" t="str">
        <f t="shared" si="383"/>
        <v xml:space="preserve">3         </v>
      </c>
      <c r="BG338" t="str">
        <f t="shared" si="384"/>
        <v>Confirmado por laboratorio</v>
      </c>
      <c r="BH338" t="str">
        <f>"HOSPITAL JOSE DAVID PADILLA VILLAFAÑE ESE"</f>
        <v>HOSPITAL JOSE DAVID PADILLA VILLAFAÑE ESE</v>
      </c>
      <c r="BI338" t="str">
        <f t="shared" si="393"/>
        <v>COLOMBIA</v>
      </c>
      <c r="BJ338" t="str">
        <f t="shared" si="385"/>
        <v>CANCER INFANTIL</v>
      </c>
      <c r="BK338" t="str">
        <f>"CESAR"</f>
        <v>CESAR</v>
      </c>
      <c r="BL338" t="str">
        <f>"AGUACHICA"</f>
        <v>AGUACHICA</v>
      </c>
      <c r="BM338" t="str">
        <f t="shared" si="394"/>
        <v>COLOMBIA</v>
      </c>
      <c r="BN338" t="str">
        <f>"CESAR"</f>
        <v>CESAR</v>
      </c>
      <c r="BO338" t="str">
        <f>"AGUACHICA"</f>
        <v>AGUACHICA</v>
      </c>
      <c r="BP338" t="str">
        <f>"CESAR"</f>
        <v>CESAR</v>
      </c>
      <c r="BQ338" t="str">
        <f>"AGUACHICA"</f>
        <v>AGUACHICA</v>
      </c>
    </row>
    <row r="339" spans="1:69" x14ac:dyDescent="0.25">
      <c r="A339" t="str">
        <f>"7291603"</f>
        <v>7291603</v>
      </c>
      <c r="B339" t="str">
        <f t="shared" si="378"/>
        <v>459</v>
      </c>
      <c r="C339" t="str">
        <f>"14/09/2020 12:00:00 a. m."</f>
        <v>14/09/2020 12:00:00 a. m.</v>
      </c>
      <c r="D339" t="str">
        <f>"35"</f>
        <v>35</v>
      </c>
      <c r="E339" t="str">
        <f t="shared" si="379"/>
        <v>2020</v>
      </c>
      <c r="F339" t="str">
        <f>"6854704947"</f>
        <v>6854704947</v>
      </c>
      <c r="G339" t="str">
        <f t="shared" si="370"/>
        <v>01</v>
      </c>
      <c r="H339" t="str">
        <f>"5"</f>
        <v>5</v>
      </c>
      <c r="I339" t="str">
        <f t="shared" si="396"/>
        <v>1</v>
      </c>
      <c r="J339" t="str">
        <f>"F"</f>
        <v>F</v>
      </c>
      <c r="K339" t="str">
        <f t="shared" si="389"/>
        <v>170</v>
      </c>
      <c r="L339" t="str">
        <f>"20"</f>
        <v>20</v>
      </c>
      <c r="M339" t="str">
        <f>"001"</f>
        <v>001</v>
      </c>
      <c r="N339" t="str">
        <f>"1"</f>
        <v>1</v>
      </c>
      <c r="O339" t="str">
        <f>"9997"</f>
        <v>9997</v>
      </c>
      <c r="P339" t="str">
        <f>"S"</f>
        <v>S</v>
      </c>
      <c r="Q339" t="str">
        <f>"ESS062"</f>
        <v>ESS062</v>
      </c>
      <c r="R339" t="str">
        <f t="shared" si="397"/>
        <v>6</v>
      </c>
      <c r="S339" t="str">
        <f>""</f>
        <v/>
      </c>
      <c r="T339" t="str">
        <f t="shared" ref="T339:T402" si="399">"                                                                                                    "</f>
        <v xml:space="preserve">                                                                                                    </v>
      </c>
      <c r="U339" t="str">
        <f>"2         "</f>
        <v xml:space="preserve">2         </v>
      </c>
      <c r="V339" t="str">
        <f t="shared" si="367"/>
        <v>2</v>
      </c>
      <c r="W339" t="str">
        <f t="shared" si="365"/>
        <v>2</v>
      </c>
      <c r="X339" t="str">
        <f t="shared" si="390"/>
        <v>2</v>
      </c>
      <c r="Y339" t="str">
        <f t="shared" ref="Y339:Z358" si="400">"2"</f>
        <v>2</v>
      </c>
      <c r="Z339" t="str">
        <f t="shared" si="400"/>
        <v>2</v>
      </c>
      <c r="AA339" t="str">
        <f t="shared" si="380"/>
        <v xml:space="preserve">          </v>
      </c>
      <c r="AB339" t="str">
        <f t="shared" si="372"/>
        <v>2</v>
      </c>
      <c r="AC339" t="str">
        <f t="shared" si="373"/>
        <v>2</v>
      </c>
      <c r="AD339" t="str">
        <f t="shared" si="377"/>
        <v>2</v>
      </c>
      <c r="AE339" t="str">
        <f t="shared" si="377"/>
        <v>2</v>
      </c>
      <c r="AF339" t="str">
        <f t="shared" si="377"/>
        <v>2</v>
      </c>
      <c r="AG339" t="str">
        <f t="shared" si="377"/>
        <v>2</v>
      </c>
      <c r="AH339" t="str">
        <f t="shared" si="391"/>
        <v>1</v>
      </c>
      <c r="AI339" t="str">
        <f t="shared" si="395"/>
        <v xml:space="preserve">1         </v>
      </c>
      <c r="AJ339" t="str">
        <f t="shared" si="392"/>
        <v>170</v>
      </c>
      <c r="AK339" t="str">
        <f>"20"</f>
        <v>20</v>
      </c>
      <c r="AL339" t="str">
        <f>"001"</f>
        <v>001</v>
      </c>
      <c r="AM339" t="str">
        <f>"68"</f>
        <v>68</v>
      </c>
      <c r="AN339" t="str">
        <f>"68547"</f>
        <v>68547</v>
      </c>
      <c r="AO339" t="str">
        <f>"24/08/2020 12:00:00 a. m."</f>
        <v>24/08/2020 12:00:00 a. m.</v>
      </c>
      <c r="AP339" t="str">
        <f>"20/04/2020 12:00:00 a. m."</f>
        <v>20/04/2020 12:00:00 a. m.</v>
      </c>
      <c r="AQ339" t="str">
        <f t="shared" si="398"/>
        <v>3</v>
      </c>
      <c r="AR339" t="str">
        <f t="shared" ref="AR339:AR348" si="401">"1"</f>
        <v>1</v>
      </c>
      <c r="AS339" t="str">
        <f>"24/08/2020 12:00:00 a. m."</f>
        <v>24/08/2020 12:00:00 a. m.</v>
      </c>
      <c r="AT339" t="str">
        <f t="shared" si="375"/>
        <v>1</v>
      </c>
      <c r="AU339" t="str">
        <f>""</f>
        <v/>
      </c>
      <c r="AV339" t="str">
        <f>"0"</f>
        <v>0</v>
      </c>
      <c r="AW339" t="str">
        <f>"2/06/2015 12:00:00 a. m."</f>
        <v>2/06/2015 12:00:00 a. m.</v>
      </c>
      <c r="AX339" t="str">
        <f>""</f>
        <v/>
      </c>
      <c r="AY339" t="str">
        <f t="shared" si="381"/>
        <v>30/04/2021 12:00:00 a. m.</v>
      </c>
      <c r="AZ339" t="str">
        <f>"14/09/2020 12:00:00 a. m."</f>
        <v>14/09/2020 12:00:00 a. m.</v>
      </c>
      <c r="BA339" t="str">
        <f>""</f>
        <v/>
      </c>
      <c r="BB339" t="str">
        <f>""</f>
        <v/>
      </c>
      <c r="BC339" t="str">
        <f>""</f>
        <v/>
      </c>
      <c r="BD339" t="str">
        <f t="shared" si="382"/>
        <v>1</v>
      </c>
      <c r="BE339" t="str">
        <f t="shared" si="382"/>
        <v>1</v>
      </c>
      <c r="BF339" t="str">
        <f t="shared" si="383"/>
        <v xml:space="preserve">3         </v>
      </c>
      <c r="BG339" t="str">
        <f t="shared" si="384"/>
        <v>Confirmado por laboratorio</v>
      </c>
      <c r="BH339" t="str">
        <f>"HOSPITAL INTERNACIONAL DE COLOMBIA"</f>
        <v>HOSPITAL INTERNACIONAL DE COLOMBIA</v>
      </c>
      <c r="BI339" t="str">
        <f t="shared" si="393"/>
        <v>COLOMBIA</v>
      </c>
      <c r="BJ339" t="str">
        <f t="shared" si="385"/>
        <v>CANCER INFANTIL</v>
      </c>
      <c r="BK339" t="str">
        <f>"CESAR"</f>
        <v>CESAR</v>
      </c>
      <c r="BL339" t="str">
        <f>"VALLEDUPAR"</f>
        <v>VALLEDUPAR</v>
      </c>
      <c r="BM339" t="str">
        <f t="shared" si="394"/>
        <v>COLOMBIA</v>
      </c>
      <c r="BN339" t="str">
        <f>"CESAR"</f>
        <v>CESAR</v>
      </c>
      <c r="BO339" t="str">
        <f>"VALLEDUPAR"</f>
        <v>VALLEDUPAR</v>
      </c>
      <c r="BP339" t="str">
        <f>"SANTANDER"</f>
        <v>SANTANDER</v>
      </c>
      <c r="BQ339" t="str">
        <f>"PIEDECUESTA"</f>
        <v>PIEDECUESTA</v>
      </c>
    </row>
    <row r="340" spans="1:69" x14ac:dyDescent="0.25">
      <c r="A340" t="str">
        <f>"7291608"</f>
        <v>7291608</v>
      </c>
      <c r="B340" t="str">
        <f t="shared" si="378"/>
        <v>459</v>
      </c>
      <c r="C340" t="str">
        <f>"27/08/2020 12:00:00 a. m."</f>
        <v>27/08/2020 12:00:00 a. m.</v>
      </c>
      <c r="D340" t="str">
        <f>"24"</f>
        <v>24</v>
      </c>
      <c r="E340" t="str">
        <f t="shared" si="379"/>
        <v>2020</v>
      </c>
      <c r="F340" t="str">
        <f>"2300100949"</f>
        <v>2300100949</v>
      </c>
      <c r="G340" t="str">
        <f t="shared" si="370"/>
        <v>01</v>
      </c>
      <c r="H340" t="str">
        <f>"16"</f>
        <v>16</v>
      </c>
      <c r="I340" t="str">
        <f t="shared" si="396"/>
        <v>1</v>
      </c>
      <c r="J340" t="str">
        <f>"F"</f>
        <v>F</v>
      </c>
      <c r="K340" t="str">
        <f t="shared" si="389"/>
        <v>170</v>
      </c>
      <c r="L340" t="str">
        <f>"23"</f>
        <v>23</v>
      </c>
      <c r="M340" t="str">
        <f>"068"</f>
        <v>068</v>
      </c>
      <c r="N340" t="str">
        <f>"3"</f>
        <v>3</v>
      </c>
      <c r="O340" t="str">
        <f>"9997"</f>
        <v>9997</v>
      </c>
      <c r="P340" t="str">
        <f>"S"</f>
        <v>S</v>
      </c>
      <c r="Q340" t="str">
        <f>"EPSS41"</f>
        <v>EPSS41</v>
      </c>
      <c r="R340" t="str">
        <f t="shared" si="397"/>
        <v>6</v>
      </c>
      <c r="S340" t="str">
        <f>""</f>
        <v/>
      </c>
      <c r="T340" t="str">
        <f t="shared" si="399"/>
        <v xml:space="preserve">                                                                                                    </v>
      </c>
      <c r="U340" t="str">
        <f>"1         "</f>
        <v xml:space="preserve">1         </v>
      </c>
      <c r="V340" t="str">
        <f t="shared" si="367"/>
        <v>2</v>
      </c>
      <c r="W340" t="str">
        <f t="shared" si="365"/>
        <v>2</v>
      </c>
      <c r="X340" t="str">
        <f t="shared" si="390"/>
        <v>2</v>
      </c>
      <c r="Y340" t="str">
        <f t="shared" si="400"/>
        <v>2</v>
      </c>
      <c r="Z340" t="str">
        <f t="shared" si="400"/>
        <v>2</v>
      </c>
      <c r="AA340" t="str">
        <f t="shared" si="380"/>
        <v xml:space="preserve">          </v>
      </c>
      <c r="AB340" t="str">
        <f t="shared" si="372"/>
        <v>2</v>
      </c>
      <c r="AC340" t="str">
        <f t="shared" si="373"/>
        <v>2</v>
      </c>
      <c r="AD340" t="str">
        <f t="shared" ref="AD340:AG359" si="402">"2"</f>
        <v>2</v>
      </c>
      <c r="AE340" t="str">
        <f t="shared" si="402"/>
        <v>2</v>
      </c>
      <c r="AF340" t="str">
        <f t="shared" si="402"/>
        <v>2</v>
      </c>
      <c r="AG340" t="str">
        <f t="shared" si="402"/>
        <v>2</v>
      </c>
      <c r="AH340" t="str">
        <f t="shared" si="391"/>
        <v>1</v>
      </c>
      <c r="AI340" t="str">
        <f>"2         "</f>
        <v xml:space="preserve">2         </v>
      </c>
      <c r="AJ340" t="str">
        <f t="shared" si="392"/>
        <v>170</v>
      </c>
      <c r="AK340" t="str">
        <f>"23"</f>
        <v>23</v>
      </c>
      <c r="AL340" t="str">
        <f>"068"</f>
        <v>068</v>
      </c>
      <c r="AM340" t="str">
        <f>"23"</f>
        <v>23</v>
      </c>
      <c r="AN340" t="str">
        <f>"23001"</f>
        <v>23001</v>
      </c>
      <c r="AO340" t="str">
        <f>"9/06/2020 12:00:00 a. m."</f>
        <v>9/06/2020 12:00:00 a. m.</v>
      </c>
      <c r="AP340" t="str">
        <f>"26/05/2020 12:00:00 a. m."</f>
        <v>26/05/2020 12:00:00 a. m.</v>
      </c>
      <c r="AQ340" t="str">
        <f t="shared" si="398"/>
        <v>3</v>
      </c>
      <c r="AR340" t="str">
        <f t="shared" si="401"/>
        <v>1</v>
      </c>
      <c r="AS340" t="str">
        <f>"5/07/2020 12:00:00 a. m."</f>
        <v>5/07/2020 12:00:00 a. m.</v>
      </c>
      <c r="AT340" t="str">
        <f t="shared" si="375"/>
        <v>1</v>
      </c>
      <c r="AU340" t="str">
        <f>""</f>
        <v/>
      </c>
      <c r="AV340" t="str">
        <f>"7"</f>
        <v>7</v>
      </c>
      <c r="AW340" t="str">
        <f>"1/09/2003 12:00:00 a. m."</f>
        <v>1/09/2003 12:00:00 a. m.</v>
      </c>
      <c r="AX340" t="str">
        <f>""</f>
        <v/>
      </c>
      <c r="AY340" t="str">
        <f t="shared" si="381"/>
        <v>30/04/2021 12:00:00 a. m.</v>
      </c>
      <c r="AZ340" t="str">
        <f>"4/12/2020 12:00:00 a. m."</f>
        <v>4/12/2020 12:00:00 a. m.</v>
      </c>
      <c r="BA340" t="str">
        <f>""</f>
        <v/>
      </c>
      <c r="BB340" t="str">
        <f>""</f>
        <v/>
      </c>
      <c r="BC340" t="str">
        <f>""</f>
        <v/>
      </c>
      <c r="BD340" t="str">
        <f t="shared" si="382"/>
        <v>1</v>
      </c>
      <c r="BE340" t="str">
        <f t="shared" si="382"/>
        <v>1</v>
      </c>
      <c r="BF340" t="str">
        <f t="shared" si="383"/>
        <v xml:space="preserve">3         </v>
      </c>
      <c r="BG340" t="str">
        <f t="shared" si="384"/>
        <v>Confirmado por laboratorio</v>
      </c>
      <c r="BH340" t="str">
        <f>"ONCOMEDICA S A"</f>
        <v>ONCOMEDICA S A</v>
      </c>
      <c r="BI340" t="str">
        <f t="shared" si="393"/>
        <v>COLOMBIA</v>
      </c>
      <c r="BJ340" t="str">
        <f t="shared" si="385"/>
        <v>CANCER INFANTIL</v>
      </c>
      <c r="BK340" t="str">
        <f>"CORDOBA"</f>
        <v>CORDOBA</v>
      </c>
      <c r="BL340" t="str">
        <f>"AYAPEL"</f>
        <v>AYAPEL</v>
      </c>
      <c r="BM340" t="str">
        <f t="shared" si="394"/>
        <v>COLOMBIA</v>
      </c>
      <c r="BN340" t="str">
        <f>"CORDOBA"</f>
        <v>CORDOBA</v>
      </c>
      <c r="BO340" t="str">
        <f>"AYAPEL"</f>
        <v>AYAPEL</v>
      </c>
      <c r="BP340" t="str">
        <f>"CORDOBA"</f>
        <v>CORDOBA</v>
      </c>
      <c r="BQ340" t="str">
        <f>"MONTERIA"</f>
        <v>MONTERIA</v>
      </c>
    </row>
    <row r="341" spans="1:69" x14ac:dyDescent="0.25">
      <c r="A341" t="str">
        <f>"7285710"</f>
        <v>7285710</v>
      </c>
      <c r="B341" t="str">
        <f t="shared" si="378"/>
        <v>459</v>
      </c>
      <c r="C341" t="str">
        <f>"5/06/2020 12:00:00 a. m."</f>
        <v>5/06/2020 12:00:00 a. m.</v>
      </c>
      <c r="D341" t="str">
        <f>"18"</f>
        <v>18</v>
      </c>
      <c r="E341" t="str">
        <f t="shared" si="379"/>
        <v>2020</v>
      </c>
      <c r="F341" t="str">
        <f>"1100105681"</f>
        <v>1100105681</v>
      </c>
      <c r="G341" t="str">
        <f t="shared" si="370"/>
        <v>01</v>
      </c>
      <c r="H341" t="str">
        <f>"4"</f>
        <v>4</v>
      </c>
      <c r="I341" t="str">
        <f t="shared" si="396"/>
        <v>1</v>
      </c>
      <c r="J341" t="str">
        <f>"F"</f>
        <v>F</v>
      </c>
      <c r="K341" t="str">
        <f t="shared" si="389"/>
        <v>170</v>
      </c>
      <c r="L341" t="str">
        <f>"50"</f>
        <v>50</v>
      </c>
      <c r="M341" t="str">
        <f>"001"</f>
        <v>001</v>
      </c>
      <c r="N341" t="str">
        <f>"1"</f>
        <v>1</v>
      </c>
      <c r="O341" t="str">
        <f>"9999"</f>
        <v>9999</v>
      </c>
      <c r="P341" t="str">
        <f>"C"</f>
        <v>C</v>
      </c>
      <c r="Q341" t="str">
        <f>"EPS005"</f>
        <v>EPS005</v>
      </c>
      <c r="R341" t="str">
        <f t="shared" si="397"/>
        <v>6</v>
      </c>
      <c r="S341" t="str">
        <f>""</f>
        <v/>
      </c>
      <c r="T341" t="str">
        <f t="shared" si="399"/>
        <v xml:space="preserve">                                                                                                    </v>
      </c>
      <c r="U341" t="str">
        <f>"2         "</f>
        <v xml:space="preserve">2         </v>
      </c>
      <c r="V341" t="str">
        <f t="shared" ref="V341:V372" si="403">"2"</f>
        <v>2</v>
      </c>
      <c r="W341" t="str">
        <f t="shared" si="365"/>
        <v>2</v>
      </c>
      <c r="X341" t="str">
        <f t="shared" si="390"/>
        <v>2</v>
      </c>
      <c r="Y341" t="str">
        <f t="shared" si="400"/>
        <v>2</v>
      </c>
      <c r="Z341" t="str">
        <f t="shared" si="400"/>
        <v>2</v>
      </c>
      <c r="AA341" t="str">
        <f t="shared" si="380"/>
        <v xml:space="preserve">          </v>
      </c>
      <c r="AB341" t="str">
        <f t="shared" si="372"/>
        <v>2</v>
      </c>
      <c r="AC341" t="str">
        <f t="shared" si="373"/>
        <v>2</v>
      </c>
      <c r="AD341" t="str">
        <f t="shared" si="402"/>
        <v>2</v>
      </c>
      <c r="AE341" t="str">
        <f t="shared" si="402"/>
        <v>2</v>
      </c>
      <c r="AF341" t="str">
        <f t="shared" si="402"/>
        <v>2</v>
      </c>
      <c r="AG341" t="str">
        <f t="shared" si="402"/>
        <v>2</v>
      </c>
      <c r="AH341" t="str">
        <f t="shared" si="391"/>
        <v>1</v>
      </c>
      <c r="AI341" t="str">
        <f>"1         "</f>
        <v xml:space="preserve">1         </v>
      </c>
      <c r="AJ341" t="str">
        <f t="shared" si="392"/>
        <v>170</v>
      </c>
      <c r="AK341" t="str">
        <f>"50"</f>
        <v>50</v>
      </c>
      <c r="AL341" t="str">
        <f>"001"</f>
        <v>001</v>
      </c>
      <c r="AM341" t="str">
        <f>"11"</f>
        <v>11</v>
      </c>
      <c r="AN341" t="str">
        <f>"11001"</f>
        <v>11001</v>
      </c>
      <c r="AO341" t="str">
        <f>"28/04/2020 12:00:00 a. m."</f>
        <v>28/04/2020 12:00:00 a. m.</v>
      </c>
      <c r="AP341" t="str">
        <f>""</f>
        <v/>
      </c>
      <c r="AQ341" t="str">
        <f t="shared" si="398"/>
        <v>3</v>
      </c>
      <c r="AR341" t="str">
        <f t="shared" si="401"/>
        <v>1</v>
      </c>
      <c r="AS341" t="str">
        <f>"28/04/2020 12:00:00 a. m."</f>
        <v>28/04/2020 12:00:00 a. m.</v>
      </c>
      <c r="AT341" t="str">
        <f t="shared" si="375"/>
        <v>1</v>
      </c>
      <c r="AU341" t="str">
        <f>""</f>
        <v/>
      </c>
      <c r="AV341" t="str">
        <f>"0"</f>
        <v>0</v>
      </c>
      <c r="AW341" t="str">
        <f>"14/01/2016 12:00:00 a. m."</f>
        <v>14/01/2016 12:00:00 a. m.</v>
      </c>
      <c r="AX341" t="str">
        <f>""</f>
        <v/>
      </c>
      <c r="AY341" t="str">
        <f t="shared" si="381"/>
        <v>30/04/2021 12:00:00 a. m.</v>
      </c>
      <c r="AZ341" t="str">
        <f>"7/09/2020 12:00:00 a. m."</f>
        <v>7/09/2020 12:00:00 a. m.</v>
      </c>
      <c r="BA341" t="str">
        <f>""</f>
        <v/>
      </c>
      <c r="BB341" t="str">
        <f>""</f>
        <v/>
      </c>
      <c r="BC341" t="str">
        <f>""</f>
        <v/>
      </c>
      <c r="BD341" t="str">
        <f t="shared" si="382"/>
        <v>1</v>
      </c>
      <c r="BE341" t="str">
        <f t="shared" si="382"/>
        <v>1</v>
      </c>
      <c r="BF341" t="str">
        <f t="shared" si="383"/>
        <v xml:space="preserve">3         </v>
      </c>
      <c r="BG341" t="str">
        <f t="shared" si="384"/>
        <v>Confirmado por laboratorio</v>
      </c>
      <c r="BH341" t="str">
        <f>"FUNDACION HOSPITAL DE LA MISERICORDIA"</f>
        <v>FUNDACION HOSPITAL DE LA MISERICORDIA</v>
      </c>
      <c r="BI341" t="str">
        <f t="shared" si="393"/>
        <v>COLOMBIA</v>
      </c>
      <c r="BJ341" t="str">
        <f t="shared" si="385"/>
        <v>CANCER INFANTIL</v>
      </c>
      <c r="BK341" t="str">
        <f>"META"</f>
        <v>META</v>
      </c>
      <c r="BL341" t="str">
        <f>"VILLAVICENCIO"</f>
        <v>VILLAVICENCIO</v>
      </c>
      <c r="BM341" t="str">
        <f t="shared" si="394"/>
        <v>COLOMBIA</v>
      </c>
      <c r="BN341" t="str">
        <f>"META"</f>
        <v>META</v>
      </c>
      <c r="BO341" t="str">
        <f>"VILLAVICENCIO"</f>
        <v>VILLAVICENCIO</v>
      </c>
      <c r="BP341" t="str">
        <f>"BOGOTA"</f>
        <v>BOGOTA</v>
      </c>
      <c r="BQ341" t="str">
        <f>"BOGOTA"</f>
        <v>BOGOTA</v>
      </c>
    </row>
    <row r="342" spans="1:69" x14ac:dyDescent="0.25">
      <c r="A342" t="str">
        <f>"7285825"</f>
        <v>7285825</v>
      </c>
      <c r="B342" t="str">
        <f t="shared" si="378"/>
        <v>459</v>
      </c>
      <c r="C342" t="str">
        <f>"9/01/2020 12:00:00 a. m."</f>
        <v>9/01/2020 12:00:00 a. m.</v>
      </c>
      <c r="D342" t="str">
        <f>"02"</f>
        <v>02</v>
      </c>
      <c r="E342" t="str">
        <f t="shared" si="379"/>
        <v>2020</v>
      </c>
      <c r="F342" t="str">
        <f>"2300100949"</f>
        <v>2300100949</v>
      </c>
      <c r="G342" t="str">
        <f t="shared" si="370"/>
        <v>01</v>
      </c>
      <c r="H342" t="str">
        <f>"16"</f>
        <v>16</v>
      </c>
      <c r="I342" t="str">
        <f t="shared" si="396"/>
        <v>1</v>
      </c>
      <c r="J342" t="str">
        <f>"F"</f>
        <v>F</v>
      </c>
      <c r="K342" t="str">
        <f t="shared" si="389"/>
        <v>170</v>
      </c>
      <c r="L342" t="str">
        <f>"23"</f>
        <v>23</v>
      </c>
      <c r="M342" t="str">
        <f>"555"</f>
        <v>555</v>
      </c>
      <c r="N342" t="str">
        <f>"1"</f>
        <v>1</v>
      </c>
      <c r="O342" t="str">
        <f>"9997"</f>
        <v>9997</v>
      </c>
      <c r="P342" t="str">
        <f>"N"</f>
        <v>N</v>
      </c>
      <c r="Q342" t="str">
        <f>""</f>
        <v/>
      </c>
      <c r="R342" t="str">
        <f t="shared" si="397"/>
        <v>6</v>
      </c>
      <c r="S342" t="str">
        <f>""</f>
        <v/>
      </c>
      <c r="T342" t="str">
        <f t="shared" si="399"/>
        <v xml:space="preserve">                                                                                                    </v>
      </c>
      <c r="U342" t="str">
        <f>"1         "</f>
        <v xml:space="preserve">1         </v>
      </c>
      <c r="V342" t="str">
        <f t="shared" si="403"/>
        <v>2</v>
      </c>
      <c r="W342" t="str">
        <f t="shared" si="365"/>
        <v>2</v>
      </c>
      <c r="X342" t="str">
        <f t="shared" si="390"/>
        <v>2</v>
      </c>
      <c r="Y342" t="str">
        <f t="shared" si="400"/>
        <v>2</v>
      </c>
      <c r="Z342" t="str">
        <f t="shared" si="400"/>
        <v>2</v>
      </c>
      <c r="AA342" t="str">
        <f t="shared" si="380"/>
        <v xml:space="preserve">          </v>
      </c>
      <c r="AB342" t="str">
        <f t="shared" si="372"/>
        <v>2</v>
      </c>
      <c r="AC342" t="str">
        <f t="shared" si="373"/>
        <v>2</v>
      </c>
      <c r="AD342" t="str">
        <f t="shared" si="402"/>
        <v>2</v>
      </c>
      <c r="AE342" t="str">
        <f t="shared" si="402"/>
        <v>2</v>
      </c>
      <c r="AF342" t="str">
        <f t="shared" si="402"/>
        <v>2</v>
      </c>
      <c r="AG342" t="str">
        <f t="shared" si="402"/>
        <v>2</v>
      </c>
      <c r="AH342" t="str">
        <f t="shared" si="391"/>
        <v>1</v>
      </c>
      <c r="AI342" t="str">
        <f>"1         "</f>
        <v xml:space="preserve">1         </v>
      </c>
      <c r="AJ342" t="str">
        <f t="shared" si="392"/>
        <v>170</v>
      </c>
      <c r="AK342" t="str">
        <f>"23"</f>
        <v>23</v>
      </c>
      <c r="AL342" t="str">
        <f>"555"</f>
        <v>555</v>
      </c>
      <c r="AM342" t="str">
        <f>"23"</f>
        <v>23</v>
      </c>
      <c r="AN342" t="str">
        <f>"23001"</f>
        <v>23001</v>
      </c>
      <c r="AO342" t="str">
        <f>"9/01/2020 12:00:00 a. m."</f>
        <v>9/01/2020 12:00:00 a. m.</v>
      </c>
      <c r="AP342" t="str">
        <f>"1/08/2019 12:00:00 a. m."</f>
        <v>1/08/2019 12:00:00 a. m.</v>
      </c>
      <c r="AQ342" t="str">
        <f>"2"</f>
        <v>2</v>
      </c>
      <c r="AR342" t="str">
        <f t="shared" si="401"/>
        <v>1</v>
      </c>
      <c r="AS342" t="str">
        <f>"9/01/2020 12:00:00 a. m."</f>
        <v>9/01/2020 12:00:00 a. m.</v>
      </c>
      <c r="AT342" t="str">
        <f t="shared" si="375"/>
        <v>1</v>
      </c>
      <c r="AU342" t="str">
        <f>""</f>
        <v/>
      </c>
      <c r="AV342" t="str">
        <f>"3"</f>
        <v>3</v>
      </c>
      <c r="AW342" t="str">
        <f>"14/10/2003 12:00:00 a. m."</f>
        <v>14/10/2003 12:00:00 a. m.</v>
      </c>
      <c r="AX342" t="str">
        <f>""</f>
        <v/>
      </c>
      <c r="AY342" t="str">
        <f t="shared" si="381"/>
        <v>30/04/2021 12:00:00 a. m.</v>
      </c>
      <c r="AZ342" t="str">
        <f>"23/01/2020 12:00:00 a. m."</f>
        <v>23/01/2020 12:00:00 a. m.</v>
      </c>
      <c r="BA342" t="str">
        <f>""</f>
        <v/>
      </c>
      <c r="BB342" t="str">
        <f>""</f>
        <v/>
      </c>
      <c r="BC342" t="str">
        <f>""</f>
        <v/>
      </c>
      <c r="BD342" t="str">
        <f t="shared" ref="BD342:BE361" si="404">"1"</f>
        <v>1</v>
      </c>
      <c r="BE342" t="str">
        <f t="shared" si="404"/>
        <v>1</v>
      </c>
      <c r="BF342" t="str">
        <f t="shared" si="383"/>
        <v xml:space="preserve">3         </v>
      </c>
      <c r="BG342" t="str">
        <f t="shared" si="384"/>
        <v>Confirmado por laboratorio</v>
      </c>
      <c r="BH342" t="str">
        <f>"ONCOMEDICA S A"</f>
        <v>ONCOMEDICA S A</v>
      </c>
      <c r="BI342" t="str">
        <f t="shared" si="393"/>
        <v>COLOMBIA</v>
      </c>
      <c r="BJ342" t="str">
        <f t="shared" si="385"/>
        <v>CANCER INFANTIL</v>
      </c>
      <c r="BK342" t="str">
        <f>"CORDOBA"</f>
        <v>CORDOBA</v>
      </c>
      <c r="BL342" t="str">
        <f>"PLANETA RICA"</f>
        <v>PLANETA RICA</v>
      </c>
      <c r="BM342" t="str">
        <f t="shared" si="394"/>
        <v>COLOMBIA</v>
      </c>
      <c r="BN342" t="str">
        <f>"CORDOBA"</f>
        <v>CORDOBA</v>
      </c>
      <c r="BO342" t="str">
        <f>"PLANETA RICA"</f>
        <v>PLANETA RICA</v>
      </c>
      <c r="BP342" t="str">
        <f>"CORDOBA"</f>
        <v>CORDOBA</v>
      </c>
      <c r="BQ342" t="str">
        <f>"MONTERIA"</f>
        <v>MONTERIA</v>
      </c>
    </row>
    <row r="343" spans="1:69" x14ac:dyDescent="0.25">
      <c r="A343" t="str">
        <f>"7285717"</f>
        <v>7285717</v>
      </c>
      <c r="B343" t="str">
        <f t="shared" si="378"/>
        <v>459</v>
      </c>
      <c r="C343" t="str">
        <f>"15/08/2020 12:00:00 a. m."</f>
        <v>15/08/2020 12:00:00 a. m.</v>
      </c>
      <c r="D343" t="str">
        <f>"31"</f>
        <v>31</v>
      </c>
      <c r="E343" t="str">
        <f t="shared" si="379"/>
        <v>2020</v>
      </c>
      <c r="F343" t="str">
        <f>"1100105681"</f>
        <v>1100105681</v>
      </c>
      <c r="G343" t="str">
        <f t="shared" si="370"/>
        <v>01</v>
      </c>
      <c r="H343" t="str">
        <f>"4"</f>
        <v>4</v>
      </c>
      <c r="I343" t="str">
        <f t="shared" si="396"/>
        <v>1</v>
      </c>
      <c r="J343" t="str">
        <f>"M"</f>
        <v>M</v>
      </c>
      <c r="K343" t="str">
        <f t="shared" si="389"/>
        <v>170</v>
      </c>
      <c r="L343" t="str">
        <f>"50"</f>
        <v>50</v>
      </c>
      <c r="M343" t="str">
        <f>"001"</f>
        <v>001</v>
      </c>
      <c r="N343" t="str">
        <f>"1"</f>
        <v>1</v>
      </c>
      <c r="O343" t="str">
        <f>"9999"</f>
        <v>9999</v>
      </c>
      <c r="P343" t="str">
        <f>"C"</f>
        <v>C</v>
      </c>
      <c r="Q343" t="str">
        <f>"EPS044"</f>
        <v>EPS044</v>
      </c>
      <c r="R343" t="str">
        <f t="shared" si="397"/>
        <v>6</v>
      </c>
      <c r="S343" t="str">
        <f>""</f>
        <v/>
      </c>
      <c r="T343" t="str">
        <f t="shared" si="399"/>
        <v xml:space="preserve">                                                                                                    </v>
      </c>
      <c r="U343" t="str">
        <f>"2         "</f>
        <v xml:space="preserve">2         </v>
      </c>
      <c r="V343" t="str">
        <f t="shared" si="403"/>
        <v>2</v>
      </c>
      <c r="W343" t="str">
        <f t="shared" si="365"/>
        <v>2</v>
      </c>
      <c r="X343" t="str">
        <f t="shared" si="390"/>
        <v>2</v>
      </c>
      <c r="Y343" t="str">
        <f t="shared" si="400"/>
        <v>2</v>
      </c>
      <c r="Z343" t="str">
        <f t="shared" si="400"/>
        <v>2</v>
      </c>
      <c r="AA343" t="str">
        <f t="shared" si="380"/>
        <v xml:space="preserve">          </v>
      </c>
      <c r="AB343" t="str">
        <f t="shared" si="372"/>
        <v>2</v>
      </c>
      <c r="AC343" t="str">
        <f t="shared" si="373"/>
        <v>2</v>
      </c>
      <c r="AD343" t="str">
        <f t="shared" si="402"/>
        <v>2</v>
      </c>
      <c r="AE343" t="str">
        <f t="shared" si="402"/>
        <v>2</v>
      </c>
      <c r="AF343" t="str">
        <f t="shared" si="402"/>
        <v>2</v>
      </c>
      <c r="AG343" t="str">
        <f t="shared" si="402"/>
        <v>2</v>
      </c>
      <c r="AH343" t="str">
        <f t="shared" si="391"/>
        <v>1</v>
      </c>
      <c r="AI343" t="str">
        <f>"1         "</f>
        <v xml:space="preserve">1         </v>
      </c>
      <c r="AJ343" t="str">
        <f t="shared" si="392"/>
        <v>170</v>
      </c>
      <c r="AK343" t="str">
        <f>"50"</f>
        <v>50</v>
      </c>
      <c r="AL343" t="str">
        <f>"001"</f>
        <v>001</v>
      </c>
      <c r="AM343" t="str">
        <f>"11"</f>
        <v>11</v>
      </c>
      <c r="AN343" t="str">
        <f>"11001"</f>
        <v>11001</v>
      </c>
      <c r="AO343" t="str">
        <f>"30/07/2020 12:00:00 a. m."</f>
        <v>30/07/2020 12:00:00 a. m.</v>
      </c>
      <c r="AP343" t="str">
        <f>"27/07/2020 12:00:00 a. m."</f>
        <v>27/07/2020 12:00:00 a. m.</v>
      </c>
      <c r="AQ343" t="str">
        <f>"3"</f>
        <v>3</v>
      </c>
      <c r="AR343" t="str">
        <f t="shared" si="401"/>
        <v>1</v>
      </c>
      <c r="AS343" t="str">
        <f>"30/07/2020 12:00:00 a. m."</f>
        <v>30/07/2020 12:00:00 a. m.</v>
      </c>
      <c r="AT343" t="str">
        <f t="shared" si="375"/>
        <v>1</v>
      </c>
      <c r="AU343" t="str">
        <f>""</f>
        <v/>
      </c>
      <c r="AV343" t="str">
        <f>"7"</f>
        <v>7</v>
      </c>
      <c r="AW343" t="str">
        <f>"19/10/2015 12:00:00 a. m."</f>
        <v>19/10/2015 12:00:00 a. m.</v>
      </c>
      <c r="AX343" t="str">
        <f>""</f>
        <v/>
      </c>
      <c r="AY343" t="str">
        <f t="shared" si="381"/>
        <v>30/04/2021 12:00:00 a. m.</v>
      </c>
      <c r="AZ343" t="str">
        <f>"19/02/2021 12:00:00 a. m."</f>
        <v>19/02/2021 12:00:00 a. m.</v>
      </c>
      <c r="BA343" t="str">
        <f>""</f>
        <v/>
      </c>
      <c r="BB343" t="str">
        <f>""</f>
        <v/>
      </c>
      <c r="BC343" t="str">
        <f>""</f>
        <v/>
      </c>
      <c r="BD343" t="str">
        <f t="shared" si="404"/>
        <v>1</v>
      </c>
      <c r="BE343" t="str">
        <f t="shared" si="404"/>
        <v>1</v>
      </c>
      <c r="BF343" t="str">
        <f t="shared" si="383"/>
        <v xml:space="preserve">3         </v>
      </c>
      <c r="BG343" t="str">
        <f t="shared" si="384"/>
        <v>Confirmado por laboratorio</v>
      </c>
      <c r="BH343" t="str">
        <f>"FUNDACION HOSPITAL DE LA MISERICORDIA"</f>
        <v>FUNDACION HOSPITAL DE LA MISERICORDIA</v>
      </c>
      <c r="BI343" t="str">
        <f t="shared" si="393"/>
        <v>COLOMBIA</v>
      </c>
      <c r="BJ343" t="str">
        <f t="shared" si="385"/>
        <v>CANCER INFANTIL</v>
      </c>
      <c r="BK343" t="str">
        <f>"META"</f>
        <v>META</v>
      </c>
      <c r="BL343" t="str">
        <f>"VILLAVICENCIO"</f>
        <v>VILLAVICENCIO</v>
      </c>
      <c r="BM343" t="str">
        <f t="shared" si="394"/>
        <v>COLOMBIA</v>
      </c>
      <c r="BN343" t="str">
        <f>"META"</f>
        <v>META</v>
      </c>
      <c r="BO343" t="str">
        <f>"VILLAVICENCIO"</f>
        <v>VILLAVICENCIO</v>
      </c>
      <c r="BP343" t="str">
        <f>"BOGOTA"</f>
        <v>BOGOTA</v>
      </c>
      <c r="BQ343" t="str">
        <f>"BOGOTA"</f>
        <v>BOGOTA</v>
      </c>
    </row>
    <row r="344" spans="1:69" x14ac:dyDescent="0.25">
      <c r="A344" t="str">
        <f>"7285718"</f>
        <v>7285718</v>
      </c>
      <c r="B344" t="str">
        <f t="shared" si="378"/>
        <v>459</v>
      </c>
      <c r="C344" t="str">
        <f>"31/08/2020 12:00:00 a. m."</f>
        <v>31/08/2020 12:00:00 a. m.</v>
      </c>
      <c r="D344" t="str">
        <f>"34"</f>
        <v>34</v>
      </c>
      <c r="E344" t="str">
        <f t="shared" si="379"/>
        <v>2020</v>
      </c>
      <c r="F344" t="str">
        <f>"1100105681"</f>
        <v>1100105681</v>
      </c>
      <c r="G344" t="str">
        <f t="shared" si="370"/>
        <v>01</v>
      </c>
      <c r="H344" t="str">
        <f>"4"</f>
        <v>4</v>
      </c>
      <c r="I344" t="str">
        <f t="shared" si="396"/>
        <v>1</v>
      </c>
      <c r="J344" t="str">
        <f>"M"</f>
        <v>M</v>
      </c>
      <c r="K344" t="str">
        <f t="shared" si="389"/>
        <v>170</v>
      </c>
      <c r="L344" t="str">
        <f>"50"</f>
        <v>50</v>
      </c>
      <c r="M344" t="str">
        <f>"001"</f>
        <v>001</v>
      </c>
      <c r="N344" t="str">
        <f>"1"</f>
        <v>1</v>
      </c>
      <c r="O344" t="str">
        <f>"9999"</f>
        <v>9999</v>
      </c>
      <c r="P344" t="str">
        <f>"C"</f>
        <v>C</v>
      </c>
      <c r="Q344" t="str">
        <f>"EPS005"</f>
        <v>EPS005</v>
      </c>
      <c r="R344" t="str">
        <f t="shared" si="397"/>
        <v>6</v>
      </c>
      <c r="S344" t="str">
        <f>""</f>
        <v/>
      </c>
      <c r="T344" t="str">
        <f t="shared" si="399"/>
        <v xml:space="preserve">                                                                                                    </v>
      </c>
      <c r="U344" t="str">
        <f>"2         "</f>
        <v xml:space="preserve">2         </v>
      </c>
      <c r="V344" t="str">
        <f t="shared" si="403"/>
        <v>2</v>
      </c>
      <c r="W344" t="str">
        <f t="shared" si="365"/>
        <v>2</v>
      </c>
      <c r="X344" t="str">
        <f t="shared" si="390"/>
        <v>2</v>
      </c>
      <c r="Y344" t="str">
        <f t="shared" si="400"/>
        <v>2</v>
      </c>
      <c r="Z344" t="str">
        <f t="shared" si="400"/>
        <v>2</v>
      </c>
      <c r="AA344" t="str">
        <f t="shared" si="380"/>
        <v xml:space="preserve">          </v>
      </c>
      <c r="AB344" t="str">
        <f t="shared" si="372"/>
        <v>2</v>
      </c>
      <c r="AC344" t="str">
        <f t="shared" si="373"/>
        <v>2</v>
      </c>
      <c r="AD344" t="str">
        <f t="shared" si="402"/>
        <v>2</v>
      </c>
      <c r="AE344" t="str">
        <f t="shared" si="402"/>
        <v>2</v>
      </c>
      <c r="AF344" t="str">
        <f t="shared" si="402"/>
        <v>2</v>
      </c>
      <c r="AG344" t="str">
        <f t="shared" si="402"/>
        <v>2</v>
      </c>
      <c r="AH344" t="str">
        <f t="shared" si="391"/>
        <v>1</v>
      </c>
      <c r="AI344" t="str">
        <f>"2         "</f>
        <v xml:space="preserve">2         </v>
      </c>
      <c r="AJ344" t="str">
        <f t="shared" si="392"/>
        <v>170</v>
      </c>
      <c r="AK344" t="str">
        <f>"50"</f>
        <v>50</v>
      </c>
      <c r="AL344" t="str">
        <f>"001"</f>
        <v>001</v>
      </c>
      <c r="AM344" t="str">
        <f>"11"</f>
        <v>11</v>
      </c>
      <c r="AN344" t="str">
        <f>"11001"</f>
        <v>11001</v>
      </c>
      <c r="AO344" t="str">
        <f>"17/08/2020 12:00:00 a. m."</f>
        <v>17/08/2020 12:00:00 a. m.</v>
      </c>
      <c r="AP344" t="str">
        <f>"1/06/2020 12:00:00 a. m."</f>
        <v>1/06/2020 12:00:00 a. m.</v>
      </c>
      <c r="AQ344" t="str">
        <f>"3"</f>
        <v>3</v>
      </c>
      <c r="AR344" t="str">
        <f t="shared" si="401"/>
        <v>1</v>
      </c>
      <c r="AS344" t="str">
        <f>"17/08/2020 12:00:00 a. m."</f>
        <v>17/08/2020 12:00:00 a. m.</v>
      </c>
      <c r="AT344" t="str">
        <f t="shared" si="375"/>
        <v>1</v>
      </c>
      <c r="AU344" t="str">
        <f>""</f>
        <v/>
      </c>
      <c r="AV344" t="str">
        <f>"0"</f>
        <v>0</v>
      </c>
      <c r="AW344" t="str">
        <f>"19/06/2016 12:00:00 a. m."</f>
        <v>19/06/2016 12:00:00 a. m.</v>
      </c>
      <c r="AX344" t="str">
        <f>""</f>
        <v/>
      </c>
      <c r="AY344" t="str">
        <f t="shared" si="381"/>
        <v>30/04/2021 12:00:00 a. m.</v>
      </c>
      <c r="AZ344" t="str">
        <f>"2/12/2020 12:00:00 a. m."</f>
        <v>2/12/2020 12:00:00 a. m.</v>
      </c>
      <c r="BA344" t="str">
        <f>""</f>
        <v/>
      </c>
      <c r="BB344" t="str">
        <f>""</f>
        <v/>
      </c>
      <c r="BC344" t="str">
        <f>""</f>
        <v/>
      </c>
      <c r="BD344" t="str">
        <f t="shared" si="404"/>
        <v>1</v>
      </c>
      <c r="BE344" t="str">
        <f t="shared" si="404"/>
        <v>1</v>
      </c>
      <c r="BF344" t="str">
        <f t="shared" si="383"/>
        <v xml:space="preserve">3         </v>
      </c>
      <c r="BG344" t="str">
        <f t="shared" si="384"/>
        <v>Confirmado por laboratorio</v>
      </c>
      <c r="BH344" t="str">
        <f>"FUNDACION HOSPITAL DE LA MISERICORDIA"</f>
        <v>FUNDACION HOSPITAL DE LA MISERICORDIA</v>
      </c>
      <c r="BI344" t="str">
        <f t="shared" si="393"/>
        <v>COLOMBIA</v>
      </c>
      <c r="BJ344" t="str">
        <f t="shared" si="385"/>
        <v>CANCER INFANTIL</v>
      </c>
      <c r="BK344" t="str">
        <f>"META"</f>
        <v>META</v>
      </c>
      <c r="BL344" t="str">
        <f>"VILLAVICENCIO"</f>
        <v>VILLAVICENCIO</v>
      </c>
      <c r="BM344" t="str">
        <f t="shared" si="394"/>
        <v>COLOMBIA</v>
      </c>
      <c r="BN344" t="str">
        <f>"META"</f>
        <v>META</v>
      </c>
      <c r="BO344" t="str">
        <f>"VILLAVICENCIO"</f>
        <v>VILLAVICENCIO</v>
      </c>
      <c r="BP344" t="str">
        <f>"BOGOTA"</f>
        <v>BOGOTA</v>
      </c>
      <c r="BQ344" t="str">
        <f>"BOGOTA"</f>
        <v>BOGOTA</v>
      </c>
    </row>
    <row r="345" spans="1:69" x14ac:dyDescent="0.25">
      <c r="A345" t="str">
        <f>"7285761"</f>
        <v>7285761</v>
      </c>
      <c r="B345" t="str">
        <f t="shared" si="378"/>
        <v>459</v>
      </c>
      <c r="C345" t="str">
        <f>"4/01/2020 12:00:00 a. m."</f>
        <v>4/01/2020 12:00:00 a. m.</v>
      </c>
      <c r="D345" t="str">
        <f>"01"</f>
        <v>01</v>
      </c>
      <c r="E345" t="str">
        <f t="shared" si="379"/>
        <v>2020</v>
      </c>
      <c r="F345" t="str">
        <f>"5000100529"</f>
        <v>5000100529</v>
      </c>
      <c r="G345" t="str">
        <f t="shared" si="370"/>
        <v>01</v>
      </c>
      <c r="H345" t="str">
        <f>"2"</f>
        <v>2</v>
      </c>
      <c r="I345" t="str">
        <f t="shared" si="396"/>
        <v>1</v>
      </c>
      <c r="J345" t="str">
        <f>"F"</f>
        <v>F</v>
      </c>
      <c r="K345" t="str">
        <f t="shared" si="389"/>
        <v>170</v>
      </c>
      <c r="L345" t="str">
        <f>"50"</f>
        <v>50</v>
      </c>
      <c r="M345" t="str">
        <f>"001"</f>
        <v>001</v>
      </c>
      <c r="N345" t="str">
        <f>"1"</f>
        <v>1</v>
      </c>
      <c r="O345" t="str">
        <f>"9999"</f>
        <v>9999</v>
      </c>
      <c r="P345" t="str">
        <f>"N"</f>
        <v>N</v>
      </c>
      <c r="Q345" t="str">
        <f>""</f>
        <v/>
      </c>
      <c r="R345" t="str">
        <f t="shared" si="397"/>
        <v>6</v>
      </c>
      <c r="S345" t="str">
        <f>""</f>
        <v/>
      </c>
      <c r="T345" t="str">
        <f t="shared" si="399"/>
        <v xml:space="preserve">                                                                                                    </v>
      </c>
      <c r="U345" t="str">
        <f>"1         "</f>
        <v xml:space="preserve">1         </v>
      </c>
      <c r="V345" t="str">
        <f t="shared" si="403"/>
        <v>2</v>
      </c>
      <c r="W345" t="str">
        <f t="shared" si="365"/>
        <v>2</v>
      </c>
      <c r="X345" t="str">
        <f>"1"</f>
        <v>1</v>
      </c>
      <c r="Y345" t="str">
        <f t="shared" si="400"/>
        <v>2</v>
      </c>
      <c r="Z345" t="str">
        <f t="shared" si="400"/>
        <v>2</v>
      </c>
      <c r="AA345" t="str">
        <f t="shared" si="380"/>
        <v xml:space="preserve">          </v>
      </c>
      <c r="AB345" t="str">
        <f t="shared" si="372"/>
        <v>2</v>
      </c>
      <c r="AC345" t="str">
        <f t="shared" si="373"/>
        <v>2</v>
      </c>
      <c r="AD345" t="str">
        <f t="shared" si="402"/>
        <v>2</v>
      </c>
      <c r="AE345" t="str">
        <f t="shared" si="402"/>
        <v>2</v>
      </c>
      <c r="AF345" t="str">
        <f t="shared" si="402"/>
        <v>2</v>
      </c>
      <c r="AG345" t="str">
        <f t="shared" si="402"/>
        <v>2</v>
      </c>
      <c r="AH345" t="str">
        <f>"2"</f>
        <v>2</v>
      </c>
      <c r="AI345" t="str">
        <f t="shared" ref="AI345:AI361" si="405">"1         "</f>
        <v xml:space="preserve">1         </v>
      </c>
      <c r="AJ345" t="str">
        <f t="shared" si="392"/>
        <v>170</v>
      </c>
      <c r="AK345" t="str">
        <f>"50"</f>
        <v>50</v>
      </c>
      <c r="AL345" t="str">
        <f>"001"</f>
        <v>001</v>
      </c>
      <c r="AM345" t="str">
        <f>"50"</f>
        <v>50</v>
      </c>
      <c r="AN345" t="str">
        <f>"50001"</f>
        <v>50001</v>
      </c>
      <c r="AO345" t="str">
        <f>"2/01/2020 12:00:00 a. m."</f>
        <v>2/01/2020 12:00:00 a. m.</v>
      </c>
      <c r="AP345" t="str">
        <f>"20/12/2019 12:00:00 a. m."</f>
        <v>20/12/2019 12:00:00 a. m.</v>
      </c>
      <c r="AQ345" t="str">
        <f>"2"</f>
        <v>2</v>
      </c>
      <c r="AR345" t="str">
        <f t="shared" si="401"/>
        <v>1</v>
      </c>
      <c r="AS345" t="str">
        <f>"2/01/2020 12:00:00 a. m."</f>
        <v>2/01/2020 12:00:00 a. m.</v>
      </c>
      <c r="AT345" t="str">
        <f t="shared" si="375"/>
        <v>1</v>
      </c>
      <c r="AU345" t="str">
        <f>""</f>
        <v/>
      </c>
      <c r="AV345" t="str">
        <f>"3"</f>
        <v>3</v>
      </c>
      <c r="AW345" t="str">
        <f>"16/11/2017 12:00:00 a. m."</f>
        <v>16/11/2017 12:00:00 a. m.</v>
      </c>
      <c r="AX345" t="str">
        <f>""</f>
        <v/>
      </c>
      <c r="AY345" t="str">
        <f t="shared" si="381"/>
        <v>30/04/2021 12:00:00 a. m.</v>
      </c>
      <c r="AZ345" t="str">
        <f>"11/02/2020 12:00:00 a. m."</f>
        <v>11/02/2020 12:00:00 a. m.</v>
      </c>
      <c r="BA345" t="str">
        <f>""</f>
        <v/>
      </c>
      <c r="BB345" t="str">
        <f>""</f>
        <v/>
      </c>
      <c r="BC345" t="str">
        <f>""</f>
        <v/>
      </c>
      <c r="BD345" t="str">
        <f t="shared" si="404"/>
        <v>1</v>
      </c>
      <c r="BE345" t="str">
        <f t="shared" si="404"/>
        <v>1</v>
      </c>
      <c r="BF345" t="str">
        <f t="shared" si="383"/>
        <v xml:space="preserve">3         </v>
      </c>
      <c r="BG345" t="str">
        <f t="shared" si="384"/>
        <v>Confirmado por laboratorio</v>
      </c>
      <c r="BH345" t="str">
        <f>"HOSPITAL DEPARTAMENTAL DE VILLAVICENCIO"</f>
        <v>HOSPITAL DEPARTAMENTAL DE VILLAVICENCIO</v>
      </c>
      <c r="BI345" t="str">
        <f t="shared" si="393"/>
        <v>COLOMBIA</v>
      </c>
      <c r="BJ345" t="str">
        <f t="shared" si="385"/>
        <v>CANCER INFANTIL</v>
      </c>
      <c r="BK345" t="str">
        <f>"META"</f>
        <v>META</v>
      </c>
      <c r="BL345" t="str">
        <f>"VILLAVICENCIO"</f>
        <v>VILLAVICENCIO</v>
      </c>
      <c r="BM345" t="str">
        <f t="shared" si="394"/>
        <v>COLOMBIA</v>
      </c>
      <c r="BN345" t="str">
        <f>"META"</f>
        <v>META</v>
      </c>
      <c r="BO345" t="str">
        <f>"VILLAVICENCIO"</f>
        <v>VILLAVICENCIO</v>
      </c>
      <c r="BP345" t="str">
        <f>"META"</f>
        <v>META</v>
      </c>
      <c r="BQ345" t="str">
        <f>"VILLAVICENCIO"</f>
        <v>VILLAVICENCIO</v>
      </c>
    </row>
    <row r="346" spans="1:69" x14ac:dyDescent="0.25">
      <c r="A346" t="str">
        <f>"7285765"</f>
        <v>7285765</v>
      </c>
      <c r="B346" t="str">
        <f t="shared" si="378"/>
        <v>459</v>
      </c>
      <c r="C346" t="str">
        <f>"25/11/2020 12:00:00 a. m."</f>
        <v>25/11/2020 12:00:00 a. m.</v>
      </c>
      <c r="D346" t="str">
        <f>"47"</f>
        <v>47</v>
      </c>
      <c r="E346" t="str">
        <f t="shared" si="379"/>
        <v>2020</v>
      </c>
      <c r="F346" t="str">
        <f>"5000100529"</f>
        <v>5000100529</v>
      </c>
      <c r="G346" t="str">
        <f t="shared" si="370"/>
        <v>01</v>
      </c>
      <c r="H346" t="str">
        <f>"4"</f>
        <v>4</v>
      </c>
      <c r="I346" t="str">
        <f t="shared" si="396"/>
        <v>1</v>
      </c>
      <c r="J346" t="str">
        <f>"M"</f>
        <v>M</v>
      </c>
      <c r="K346" t="str">
        <f t="shared" si="389"/>
        <v>170</v>
      </c>
      <c r="L346" t="str">
        <f>"50"</f>
        <v>50</v>
      </c>
      <c r="M346" t="str">
        <f>"001"</f>
        <v>001</v>
      </c>
      <c r="N346" t="str">
        <f>"2"</f>
        <v>2</v>
      </c>
      <c r="O346" t="str">
        <f>"9999"</f>
        <v>9999</v>
      </c>
      <c r="P346" t="str">
        <f>"N"</f>
        <v>N</v>
      </c>
      <c r="Q346" t="str">
        <f>""</f>
        <v/>
      </c>
      <c r="R346" t="str">
        <f t="shared" si="397"/>
        <v>6</v>
      </c>
      <c r="S346" t="str">
        <f>""</f>
        <v/>
      </c>
      <c r="T346" t="str">
        <f t="shared" si="399"/>
        <v xml:space="preserve">                                                                                                    </v>
      </c>
      <c r="U346" t="str">
        <f>"1         "</f>
        <v xml:space="preserve">1         </v>
      </c>
      <c r="V346" t="str">
        <f t="shared" si="403"/>
        <v>2</v>
      </c>
      <c r="W346" t="str">
        <f t="shared" si="365"/>
        <v>2</v>
      </c>
      <c r="X346" t="str">
        <f>"1"</f>
        <v>1</v>
      </c>
      <c r="Y346" t="str">
        <f t="shared" si="400"/>
        <v>2</v>
      </c>
      <c r="Z346" t="str">
        <f t="shared" si="400"/>
        <v>2</v>
      </c>
      <c r="AA346" t="str">
        <f t="shared" si="380"/>
        <v xml:space="preserve">          </v>
      </c>
      <c r="AB346" t="str">
        <f t="shared" si="372"/>
        <v>2</v>
      </c>
      <c r="AC346" t="str">
        <f t="shared" si="373"/>
        <v>2</v>
      </c>
      <c r="AD346" t="str">
        <f t="shared" si="402"/>
        <v>2</v>
      </c>
      <c r="AE346" t="str">
        <f t="shared" si="402"/>
        <v>2</v>
      </c>
      <c r="AF346" t="str">
        <f t="shared" si="402"/>
        <v>2</v>
      </c>
      <c r="AG346" t="str">
        <f t="shared" si="402"/>
        <v>2</v>
      </c>
      <c r="AH346" t="str">
        <f>"2"</f>
        <v>2</v>
      </c>
      <c r="AI346" t="str">
        <f t="shared" si="405"/>
        <v xml:space="preserve">1         </v>
      </c>
      <c r="AJ346" t="str">
        <f t="shared" si="392"/>
        <v>170</v>
      </c>
      <c r="AK346" t="str">
        <f>"50"</f>
        <v>50</v>
      </c>
      <c r="AL346" t="str">
        <f>"001"</f>
        <v>001</v>
      </c>
      <c r="AM346" t="str">
        <f>"50"</f>
        <v>50</v>
      </c>
      <c r="AN346" t="str">
        <f>"50001"</f>
        <v>50001</v>
      </c>
      <c r="AO346" t="str">
        <f>"18/11/2020 12:00:00 a. m."</f>
        <v>18/11/2020 12:00:00 a. m.</v>
      </c>
      <c r="AP346" t="str">
        <f>"10/11/2020 12:00:00 a. m."</f>
        <v>10/11/2020 12:00:00 a. m.</v>
      </c>
      <c r="AQ346" t="str">
        <f>"2"</f>
        <v>2</v>
      </c>
      <c r="AR346" t="str">
        <f t="shared" si="401"/>
        <v>1</v>
      </c>
      <c r="AS346" t="str">
        <f>"18/11/2020 12:00:00 a. m."</f>
        <v>18/11/2020 12:00:00 a. m.</v>
      </c>
      <c r="AT346" t="str">
        <f t="shared" si="375"/>
        <v>1</v>
      </c>
      <c r="AU346" t="str">
        <f>""</f>
        <v/>
      </c>
      <c r="AV346" t="str">
        <f>"3"</f>
        <v>3</v>
      </c>
      <c r="AW346" t="str">
        <f>"3/11/2016 12:00:00 a. m."</f>
        <v>3/11/2016 12:00:00 a. m.</v>
      </c>
      <c r="AX346" t="str">
        <f>""</f>
        <v/>
      </c>
      <c r="AY346" t="str">
        <f t="shared" si="381"/>
        <v>30/04/2021 12:00:00 a. m.</v>
      </c>
      <c r="AZ346" t="str">
        <f>"14/12/2020 12:00:00 a. m."</f>
        <v>14/12/2020 12:00:00 a. m.</v>
      </c>
      <c r="BA346" t="str">
        <f>""</f>
        <v/>
      </c>
      <c r="BB346" t="str">
        <f>""</f>
        <v/>
      </c>
      <c r="BC346" t="str">
        <f>""</f>
        <v/>
      </c>
      <c r="BD346" t="str">
        <f t="shared" si="404"/>
        <v>1</v>
      </c>
      <c r="BE346" t="str">
        <f t="shared" si="404"/>
        <v>1</v>
      </c>
      <c r="BF346" t="str">
        <f t="shared" si="383"/>
        <v xml:space="preserve">3         </v>
      </c>
      <c r="BG346" t="str">
        <f t="shared" si="384"/>
        <v>Confirmado por laboratorio</v>
      </c>
      <c r="BH346" t="str">
        <f>"HOSPITAL DEPARTAMENTAL DE VILLAVICENCIO"</f>
        <v>HOSPITAL DEPARTAMENTAL DE VILLAVICENCIO</v>
      </c>
      <c r="BI346" t="str">
        <f t="shared" si="393"/>
        <v>COLOMBIA</v>
      </c>
      <c r="BJ346" t="str">
        <f t="shared" si="385"/>
        <v>CANCER INFANTIL</v>
      </c>
      <c r="BK346" t="str">
        <f>"META"</f>
        <v>META</v>
      </c>
      <c r="BL346" t="str">
        <f>"VILLAVICENCIO"</f>
        <v>VILLAVICENCIO</v>
      </c>
      <c r="BM346" t="str">
        <f t="shared" si="394"/>
        <v>COLOMBIA</v>
      </c>
      <c r="BN346" t="str">
        <f>"META"</f>
        <v>META</v>
      </c>
      <c r="BO346" t="str">
        <f>"VILLAVICENCIO"</f>
        <v>VILLAVICENCIO</v>
      </c>
      <c r="BP346" t="str">
        <f>"META"</f>
        <v>META</v>
      </c>
      <c r="BQ346" t="str">
        <f>"VILLAVICENCIO"</f>
        <v>VILLAVICENCIO</v>
      </c>
    </row>
    <row r="347" spans="1:69" x14ac:dyDescent="0.25">
      <c r="A347" t="str">
        <f>"7291436"</f>
        <v>7291436</v>
      </c>
      <c r="B347" t="str">
        <f t="shared" si="378"/>
        <v>459</v>
      </c>
      <c r="C347" t="str">
        <f>"21/10/2020 12:00:00 a. m."</f>
        <v>21/10/2020 12:00:00 a. m.</v>
      </c>
      <c r="D347" t="str">
        <f>"24"</f>
        <v>24</v>
      </c>
      <c r="E347" t="str">
        <f t="shared" si="379"/>
        <v>2020</v>
      </c>
      <c r="F347" t="str">
        <f>"0500102175"</f>
        <v>0500102175</v>
      </c>
      <c r="G347" t="str">
        <f t="shared" si="370"/>
        <v>01</v>
      </c>
      <c r="H347" t="str">
        <f>"15"</f>
        <v>15</v>
      </c>
      <c r="I347" t="str">
        <f t="shared" si="396"/>
        <v>1</v>
      </c>
      <c r="J347" t="str">
        <f>"M"</f>
        <v>M</v>
      </c>
      <c r="K347" t="str">
        <f t="shared" si="389"/>
        <v>170</v>
      </c>
      <c r="L347" t="str">
        <f>"27"</f>
        <v>27</v>
      </c>
      <c r="M347" t="str">
        <f>"001"</f>
        <v>001</v>
      </c>
      <c r="N347" t="str">
        <f t="shared" ref="N347:N357" si="406">"1"</f>
        <v>1</v>
      </c>
      <c r="O347" t="str">
        <f>"9997"</f>
        <v>9997</v>
      </c>
      <c r="P347" t="str">
        <f>"C"</f>
        <v>C</v>
      </c>
      <c r="Q347" t="str">
        <f>"EPS037"</f>
        <v>EPS037</v>
      </c>
      <c r="R347" t="str">
        <f t="shared" si="397"/>
        <v>6</v>
      </c>
      <c r="S347" t="str">
        <f>""</f>
        <v/>
      </c>
      <c r="T347" t="str">
        <f t="shared" si="399"/>
        <v xml:space="preserve">                                                                                                    </v>
      </c>
      <c r="U347" t="str">
        <f>"2         "</f>
        <v xml:space="preserve">2         </v>
      </c>
      <c r="V347" t="str">
        <f t="shared" si="403"/>
        <v>2</v>
      </c>
      <c r="W347" t="str">
        <f t="shared" si="365"/>
        <v>2</v>
      </c>
      <c r="X347" t="str">
        <f t="shared" ref="X347:X376" si="407">"2"</f>
        <v>2</v>
      </c>
      <c r="Y347" t="str">
        <f t="shared" si="400"/>
        <v>2</v>
      </c>
      <c r="Z347" t="str">
        <f t="shared" si="400"/>
        <v>2</v>
      </c>
      <c r="AA347" t="str">
        <f t="shared" si="380"/>
        <v xml:space="preserve">          </v>
      </c>
      <c r="AB347" t="str">
        <f t="shared" si="372"/>
        <v>2</v>
      </c>
      <c r="AC347" t="str">
        <f t="shared" si="373"/>
        <v>2</v>
      </c>
      <c r="AD347" t="str">
        <f t="shared" si="402"/>
        <v>2</v>
      </c>
      <c r="AE347" t="str">
        <f t="shared" si="402"/>
        <v>2</v>
      </c>
      <c r="AF347" t="str">
        <f t="shared" si="402"/>
        <v>2</v>
      </c>
      <c r="AG347" t="str">
        <f t="shared" si="402"/>
        <v>2</v>
      </c>
      <c r="AH347" t="str">
        <f t="shared" ref="AH347:AH376" si="408">"1"</f>
        <v>1</v>
      </c>
      <c r="AI347" t="str">
        <f t="shared" si="405"/>
        <v xml:space="preserve">1         </v>
      </c>
      <c r="AJ347" t="str">
        <f t="shared" si="392"/>
        <v>170</v>
      </c>
      <c r="AK347" t="str">
        <f>"27"</f>
        <v>27</v>
      </c>
      <c r="AL347" t="str">
        <f>"001"</f>
        <v>001</v>
      </c>
      <c r="AM347" t="str">
        <f>"05"</f>
        <v>05</v>
      </c>
      <c r="AN347" t="str">
        <f>"05001"</f>
        <v>05001</v>
      </c>
      <c r="AO347" t="str">
        <f>"10/06/2020 12:00:00 a. m."</f>
        <v>10/06/2020 12:00:00 a. m.</v>
      </c>
      <c r="AP347" t="str">
        <f>"15/05/2020 12:00:00 a. m."</f>
        <v>15/05/2020 12:00:00 a. m.</v>
      </c>
      <c r="AQ347" t="str">
        <f>"3"</f>
        <v>3</v>
      </c>
      <c r="AR347" t="str">
        <f t="shared" si="401"/>
        <v>1</v>
      </c>
      <c r="AS347" t="str">
        <f>"11/06/2020 12:00:00 a. m."</f>
        <v>11/06/2020 12:00:00 a. m.</v>
      </c>
      <c r="AT347" t="str">
        <f t="shared" si="375"/>
        <v>1</v>
      </c>
      <c r="AU347" t="str">
        <f>""</f>
        <v/>
      </c>
      <c r="AV347" t="str">
        <f>"0"</f>
        <v>0</v>
      </c>
      <c r="AW347" t="str">
        <f>"28/06/2005 12:00:00 a. m."</f>
        <v>28/06/2005 12:00:00 a. m.</v>
      </c>
      <c r="AX347" t="str">
        <f>""</f>
        <v/>
      </c>
      <c r="AY347" t="str">
        <f t="shared" si="381"/>
        <v>30/04/2021 12:00:00 a. m.</v>
      </c>
      <c r="AZ347" t="str">
        <f>"21/10/2020 12:00:00 a. m."</f>
        <v>21/10/2020 12:00:00 a. m.</v>
      </c>
      <c r="BA347" t="str">
        <f>""</f>
        <v/>
      </c>
      <c r="BB347" t="str">
        <f>""</f>
        <v/>
      </c>
      <c r="BC347" t="str">
        <f>""</f>
        <v/>
      </c>
      <c r="BD347" t="str">
        <f t="shared" si="404"/>
        <v>1</v>
      </c>
      <c r="BE347" t="str">
        <f t="shared" si="404"/>
        <v>1</v>
      </c>
      <c r="BF347" t="str">
        <f t="shared" si="383"/>
        <v xml:space="preserve">3         </v>
      </c>
      <c r="BG347" t="str">
        <f t="shared" si="384"/>
        <v>Confirmado por laboratorio</v>
      </c>
      <c r="BH347" t="str">
        <f>"FUNDACION HOSPITALARIA SAN VICENTE DE PAUL"</f>
        <v>FUNDACION HOSPITALARIA SAN VICENTE DE PAUL</v>
      </c>
      <c r="BI347" t="str">
        <f t="shared" si="393"/>
        <v>COLOMBIA</v>
      </c>
      <c r="BJ347" t="str">
        <f t="shared" si="385"/>
        <v>CANCER INFANTIL</v>
      </c>
      <c r="BK347" t="str">
        <f>"CHOCO"</f>
        <v>CHOCO</v>
      </c>
      <c r="BL347" t="str">
        <f>"QUIBDO"</f>
        <v>QUIBDO</v>
      </c>
      <c r="BM347" t="str">
        <f t="shared" si="394"/>
        <v>COLOMBIA</v>
      </c>
      <c r="BN347" t="str">
        <f>"CHOCO"</f>
        <v>CHOCO</v>
      </c>
      <c r="BO347" t="str">
        <f>"QUIBDO"</f>
        <v>QUIBDO</v>
      </c>
      <c r="BP347" t="str">
        <f>"ANTIOQUIA"</f>
        <v>ANTIOQUIA</v>
      </c>
      <c r="BQ347" t="str">
        <f>"MEDELLIN"</f>
        <v>MEDELLIN</v>
      </c>
    </row>
    <row r="348" spans="1:69" x14ac:dyDescent="0.25">
      <c r="A348" t="str">
        <f>"7291566"</f>
        <v>7291566</v>
      </c>
      <c r="B348" t="str">
        <f t="shared" si="378"/>
        <v>459</v>
      </c>
      <c r="C348" t="str">
        <f>"20/10/2020 12:00:00 a. m."</f>
        <v>20/10/2020 12:00:00 a. m.</v>
      </c>
      <c r="D348" t="str">
        <f>"42"</f>
        <v>42</v>
      </c>
      <c r="E348" t="str">
        <f t="shared" si="379"/>
        <v>2020</v>
      </c>
      <c r="F348" t="str">
        <f>"7600102870"</f>
        <v>7600102870</v>
      </c>
      <c r="G348" t="str">
        <f t="shared" si="370"/>
        <v>01</v>
      </c>
      <c r="H348" t="str">
        <f>"4"</f>
        <v>4</v>
      </c>
      <c r="I348" t="str">
        <f t="shared" si="396"/>
        <v>1</v>
      </c>
      <c r="J348" t="str">
        <f>"M"</f>
        <v>M</v>
      </c>
      <c r="K348" t="str">
        <f t="shared" si="389"/>
        <v>170</v>
      </c>
      <c r="L348" t="str">
        <f>"19"</f>
        <v>19</v>
      </c>
      <c r="M348" t="str">
        <f>"548"</f>
        <v>548</v>
      </c>
      <c r="N348" t="str">
        <f t="shared" si="406"/>
        <v>1</v>
      </c>
      <c r="O348" t="str">
        <f>"9999"</f>
        <v>9999</v>
      </c>
      <c r="P348" t="str">
        <f>"S"</f>
        <v>S</v>
      </c>
      <c r="Q348" t="str">
        <f>"EPSI03"</f>
        <v>EPSI03</v>
      </c>
      <c r="R348" t="str">
        <f t="shared" si="397"/>
        <v>6</v>
      </c>
      <c r="S348" t="str">
        <f>""</f>
        <v/>
      </c>
      <c r="T348" t="str">
        <f t="shared" si="399"/>
        <v xml:space="preserve">                                                                                                    </v>
      </c>
      <c r="U348" t="str">
        <f>"          "</f>
        <v xml:space="preserve">          </v>
      </c>
      <c r="V348" t="str">
        <f t="shared" si="403"/>
        <v>2</v>
      </c>
      <c r="W348" t="str">
        <f t="shared" si="365"/>
        <v>2</v>
      </c>
      <c r="X348" t="str">
        <f t="shared" si="407"/>
        <v>2</v>
      </c>
      <c r="Y348" t="str">
        <f t="shared" si="400"/>
        <v>2</v>
      </c>
      <c r="Z348" t="str">
        <f t="shared" si="400"/>
        <v>2</v>
      </c>
      <c r="AA348" t="str">
        <f t="shared" si="380"/>
        <v xml:space="preserve">          </v>
      </c>
      <c r="AB348" t="str">
        <f t="shared" si="372"/>
        <v>2</v>
      </c>
      <c r="AC348" t="str">
        <f t="shared" si="373"/>
        <v>2</v>
      </c>
      <c r="AD348" t="str">
        <f t="shared" si="402"/>
        <v>2</v>
      </c>
      <c r="AE348" t="str">
        <f t="shared" si="402"/>
        <v>2</v>
      </c>
      <c r="AF348" t="str">
        <f t="shared" si="402"/>
        <v>2</v>
      </c>
      <c r="AG348" t="str">
        <f t="shared" si="402"/>
        <v>2</v>
      </c>
      <c r="AH348" t="str">
        <f t="shared" si="408"/>
        <v>1</v>
      </c>
      <c r="AI348" t="str">
        <f t="shared" si="405"/>
        <v xml:space="preserve">1         </v>
      </c>
      <c r="AJ348" t="str">
        <f t="shared" si="392"/>
        <v>170</v>
      </c>
      <c r="AK348" t="str">
        <f>"19"</f>
        <v>19</v>
      </c>
      <c r="AL348" t="str">
        <f>"548"</f>
        <v>548</v>
      </c>
      <c r="AM348" t="str">
        <f>"76"</f>
        <v>76</v>
      </c>
      <c r="AN348" t="str">
        <f>"76001"</f>
        <v>76001</v>
      </c>
      <c r="AO348" t="str">
        <f>"14/10/2020 12:00:00 a. m."</f>
        <v>14/10/2020 12:00:00 a. m.</v>
      </c>
      <c r="AP348" t="str">
        <f>"1/08/2020 12:00:00 a. m."</f>
        <v>1/08/2020 12:00:00 a. m.</v>
      </c>
      <c r="AQ348" t="str">
        <f>"2"</f>
        <v>2</v>
      </c>
      <c r="AR348" t="str">
        <f t="shared" si="401"/>
        <v>1</v>
      </c>
      <c r="AS348" t="str">
        <f>"14/10/2020 12:00:00 a. m."</f>
        <v>14/10/2020 12:00:00 a. m.</v>
      </c>
      <c r="AT348" t="str">
        <f t="shared" si="375"/>
        <v>1</v>
      </c>
      <c r="AU348" t="str">
        <f>""</f>
        <v/>
      </c>
      <c r="AV348" t="str">
        <f>"3"</f>
        <v>3</v>
      </c>
      <c r="AW348" t="str">
        <f>"20/07/2016 12:00:00 a. m."</f>
        <v>20/07/2016 12:00:00 a. m.</v>
      </c>
      <c r="AX348" t="str">
        <f>""</f>
        <v/>
      </c>
      <c r="AY348" t="str">
        <f t="shared" si="381"/>
        <v>30/04/2021 12:00:00 a. m.</v>
      </c>
      <c r="AZ348" t="str">
        <f>"28/10/2020 12:00:00 a. m."</f>
        <v>28/10/2020 12:00:00 a. m.</v>
      </c>
      <c r="BA348" t="str">
        <f>""</f>
        <v/>
      </c>
      <c r="BB348" t="str">
        <f>""</f>
        <v/>
      </c>
      <c r="BC348" t="str">
        <f>""</f>
        <v/>
      </c>
      <c r="BD348" t="str">
        <f t="shared" si="404"/>
        <v>1</v>
      </c>
      <c r="BE348" t="str">
        <f t="shared" si="404"/>
        <v>1</v>
      </c>
      <c r="BF348" t="str">
        <f t="shared" si="383"/>
        <v xml:space="preserve">3         </v>
      </c>
      <c r="BG348" t="str">
        <f t="shared" si="384"/>
        <v>Confirmado por laboratorio</v>
      </c>
      <c r="BH348" t="str">
        <f>"FUNDACION VALLE DEL LILI"</f>
        <v>FUNDACION VALLE DEL LILI</v>
      </c>
      <c r="BI348" t="str">
        <f t="shared" si="393"/>
        <v>COLOMBIA</v>
      </c>
      <c r="BJ348" t="str">
        <f t="shared" si="385"/>
        <v>CANCER INFANTIL</v>
      </c>
      <c r="BK348" t="str">
        <f>"CAUCA"</f>
        <v>CAUCA</v>
      </c>
      <c r="BL348" t="str">
        <f>"PIENDAMO"</f>
        <v>PIENDAMO</v>
      </c>
      <c r="BM348" t="str">
        <f t="shared" si="394"/>
        <v>COLOMBIA</v>
      </c>
      <c r="BN348" t="str">
        <f>"CAUCA"</f>
        <v>CAUCA</v>
      </c>
      <c r="BO348" t="str">
        <f>"PIENDAMO"</f>
        <v>PIENDAMO</v>
      </c>
      <c r="BP348" t="str">
        <f>"VALLE"</f>
        <v>VALLE</v>
      </c>
      <c r="BQ348" t="str">
        <f>"CALI"</f>
        <v>CALI</v>
      </c>
    </row>
    <row r="349" spans="1:69" x14ac:dyDescent="0.25">
      <c r="A349" t="str">
        <f>"7291574"</f>
        <v>7291574</v>
      </c>
      <c r="B349" t="str">
        <f t="shared" si="378"/>
        <v>459</v>
      </c>
      <c r="C349" t="str">
        <f>"9/11/2020 12:00:00 a. m."</f>
        <v>9/11/2020 12:00:00 a. m.</v>
      </c>
      <c r="D349" t="str">
        <f>"35"</f>
        <v>35</v>
      </c>
      <c r="E349" t="str">
        <f t="shared" si="379"/>
        <v>2020</v>
      </c>
      <c r="F349" t="str">
        <f>"7600103066"</f>
        <v>7600103066</v>
      </c>
      <c r="G349" t="str">
        <f t="shared" si="370"/>
        <v>01</v>
      </c>
      <c r="H349" t="str">
        <f>"8"</f>
        <v>8</v>
      </c>
      <c r="I349" t="str">
        <f t="shared" si="396"/>
        <v>1</v>
      </c>
      <c r="J349" t="str">
        <f>"F"</f>
        <v>F</v>
      </c>
      <c r="K349" t="str">
        <f t="shared" si="389"/>
        <v>170</v>
      </c>
      <c r="L349" t="str">
        <f>"19"</f>
        <v>19</v>
      </c>
      <c r="M349" t="str">
        <f>"022"</f>
        <v>022</v>
      </c>
      <c r="N349" t="str">
        <f t="shared" si="406"/>
        <v>1</v>
      </c>
      <c r="O349" t="str">
        <f>"9997"</f>
        <v>9997</v>
      </c>
      <c r="P349" t="str">
        <f>"S"</f>
        <v>S</v>
      </c>
      <c r="Q349" t="str">
        <f>"ESS062"</f>
        <v>ESS062</v>
      </c>
      <c r="R349" t="str">
        <f t="shared" si="397"/>
        <v>6</v>
      </c>
      <c r="S349" t="str">
        <f>""</f>
        <v/>
      </c>
      <c r="T349" t="str">
        <f t="shared" si="399"/>
        <v xml:space="preserve">                                                                                                    </v>
      </c>
      <c r="U349" t="str">
        <f t="shared" ref="U349:U355" si="409">"2         "</f>
        <v xml:space="preserve">2         </v>
      </c>
      <c r="V349" t="str">
        <f t="shared" si="403"/>
        <v>2</v>
      </c>
      <c r="W349" t="str">
        <f t="shared" si="365"/>
        <v>2</v>
      </c>
      <c r="X349" t="str">
        <f t="shared" si="407"/>
        <v>2</v>
      </c>
      <c r="Y349" t="str">
        <f t="shared" si="400"/>
        <v>2</v>
      </c>
      <c r="Z349" t="str">
        <f t="shared" si="400"/>
        <v>2</v>
      </c>
      <c r="AA349" t="str">
        <f t="shared" si="380"/>
        <v xml:space="preserve">          </v>
      </c>
      <c r="AB349" t="str">
        <f t="shared" si="372"/>
        <v>2</v>
      </c>
      <c r="AC349" t="str">
        <f t="shared" si="373"/>
        <v>2</v>
      </c>
      <c r="AD349" t="str">
        <f t="shared" si="402"/>
        <v>2</v>
      </c>
      <c r="AE349" t="str">
        <f t="shared" si="402"/>
        <v>2</v>
      </c>
      <c r="AF349" t="str">
        <f t="shared" si="402"/>
        <v>2</v>
      </c>
      <c r="AG349" t="str">
        <f t="shared" si="402"/>
        <v>2</v>
      </c>
      <c r="AH349" t="str">
        <f t="shared" si="408"/>
        <v>1</v>
      </c>
      <c r="AI349" t="str">
        <f t="shared" si="405"/>
        <v xml:space="preserve">1         </v>
      </c>
      <c r="AJ349" t="str">
        <f t="shared" si="392"/>
        <v>170</v>
      </c>
      <c r="AK349" t="str">
        <f>"19"</f>
        <v>19</v>
      </c>
      <c r="AL349" t="str">
        <f>"022"</f>
        <v>022</v>
      </c>
      <c r="AM349" t="str">
        <f>"76"</f>
        <v>76</v>
      </c>
      <c r="AN349" t="str">
        <f>"76001"</f>
        <v>76001</v>
      </c>
      <c r="AO349" t="str">
        <f>"28/08/2020 12:00:00 a. m."</f>
        <v>28/08/2020 12:00:00 a. m.</v>
      </c>
      <c r="AP349" t="str">
        <f>"28/08/2020 12:00:00 a. m."</f>
        <v>28/08/2020 12:00:00 a. m.</v>
      </c>
      <c r="AQ349" t="str">
        <f t="shared" ref="AQ349:AQ354" si="410">"3"</f>
        <v>3</v>
      </c>
      <c r="AR349" t="str">
        <f>"2"</f>
        <v>2</v>
      </c>
      <c r="AS349" t="str">
        <f>""</f>
        <v/>
      </c>
      <c r="AT349" t="str">
        <f t="shared" si="375"/>
        <v>1</v>
      </c>
      <c r="AU349" t="str">
        <f>""</f>
        <v/>
      </c>
      <c r="AV349" t="str">
        <f>"3"</f>
        <v>3</v>
      </c>
      <c r="AW349" t="str">
        <f>"9/04/2012 12:00:00 a. m."</f>
        <v>9/04/2012 12:00:00 a. m.</v>
      </c>
      <c r="AX349" t="str">
        <f>""</f>
        <v/>
      </c>
      <c r="AY349" t="str">
        <f t="shared" si="381"/>
        <v>30/04/2021 12:00:00 a. m.</v>
      </c>
      <c r="AZ349" t="str">
        <f>"28/11/2020 12:00:00 a. m."</f>
        <v>28/11/2020 12:00:00 a. m.</v>
      </c>
      <c r="BA349" t="str">
        <f>""</f>
        <v/>
      </c>
      <c r="BB349" t="str">
        <f>""</f>
        <v/>
      </c>
      <c r="BC349" t="str">
        <f>""</f>
        <v/>
      </c>
      <c r="BD349" t="str">
        <f t="shared" si="404"/>
        <v>1</v>
      </c>
      <c r="BE349" t="str">
        <f t="shared" si="404"/>
        <v>1</v>
      </c>
      <c r="BF349" t="str">
        <f t="shared" si="383"/>
        <v xml:space="preserve">3         </v>
      </c>
      <c r="BG349" t="str">
        <f t="shared" si="384"/>
        <v>Confirmado por laboratorio</v>
      </c>
      <c r="BH349" t="str">
        <f>"CLINICA DE OCCIDENTE SA"</f>
        <v>CLINICA DE OCCIDENTE SA</v>
      </c>
      <c r="BI349" t="str">
        <f t="shared" si="393"/>
        <v>COLOMBIA</v>
      </c>
      <c r="BJ349" t="str">
        <f t="shared" si="385"/>
        <v>CANCER INFANTIL</v>
      </c>
      <c r="BK349" t="str">
        <f>"CAUCA"</f>
        <v>CAUCA</v>
      </c>
      <c r="BL349" t="str">
        <f>"ALMAGUER"</f>
        <v>ALMAGUER</v>
      </c>
      <c r="BM349" t="str">
        <f t="shared" si="394"/>
        <v>COLOMBIA</v>
      </c>
      <c r="BN349" t="str">
        <f>"CAUCA"</f>
        <v>CAUCA</v>
      </c>
      <c r="BO349" t="str">
        <f>"ALMAGUER"</f>
        <v>ALMAGUER</v>
      </c>
      <c r="BP349" t="str">
        <f>"VALLE"</f>
        <v>VALLE</v>
      </c>
      <c r="BQ349" t="str">
        <f>"CALI"</f>
        <v>CALI</v>
      </c>
    </row>
    <row r="350" spans="1:69" x14ac:dyDescent="0.25">
      <c r="A350" t="str">
        <f>"7291772"</f>
        <v>7291772</v>
      </c>
      <c r="B350" t="str">
        <f t="shared" si="378"/>
        <v>459</v>
      </c>
      <c r="C350" t="str">
        <f>"18/09/2020 12:00:00 a. m."</f>
        <v>18/09/2020 12:00:00 a. m.</v>
      </c>
      <c r="D350" t="str">
        <f>"20"</f>
        <v>20</v>
      </c>
      <c r="E350" t="str">
        <f t="shared" si="379"/>
        <v>2020</v>
      </c>
      <c r="F350" t="str">
        <f>"1100105681"</f>
        <v>1100105681</v>
      </c>
      <c r="G350" t="str">
        <f t="shared" si="370"/>
        <v>01</v>
      </c>
      <c r="H350" t="str">
        <f>"10"</f>
        <v>10</v>
      </c>
      <c r="I350" t="str">
        <f t="shared" si="396"/>
        <v>1</v>
      </c>
      <c r="J350" t="str">
        <f>"M"</f>
        <v>M</v>
      </c>
      <c r="K350" t="str">
        <f t="shared" si="389"/>
        <v>170</v>
      </c>
      <c r="L350" t="str">
        <f>"86"</f>
        <v>86</v>
      </c>
      <c r="M350" t="str">
        <f>"320"</f>
        <v>320</v>
      </c>
      <c r="N350" t="str">
        <f t="shared" si="406"/>
        <v>1</v>
      </c>
      <c r="O350" t="str">
        <f>"9997"</f>
        <v>9997</v>
      </c>
      <c r="P350" t="str">
        <f>"C"</f>
        <v>C</v>
      </c>
      <c r="Q350" t="str">
        <f>"EPS044"</f>
        <v>EPS044</v>
      </c>
      <c r="R350" t="str">
        <f t="shared" si="397"/>
        <v>6</v>
      </c>
      <c r="S350" t="str">
        <f>""</f>
        <v/>
      </c>
      <c r="T350" t="str">
        <f t="shared" si="399"/>
        <v xml:space="preserve">                                                                                                    </v>
      </c>
      <c r="U350" t="str">
        <f t="shared" si="409"/>
        <v xml:space="preserve">2         </v>
      </c>
      <c r="V350" t="str">
        <f t="shared" si="403"/>
        <v>2</v>
      </c>
      <c r="W350" t="str">
        <f t="shared" si="365"/>
        <v>2</v>
      </c>
      <c r="X350" t="str">
        <f t="shared" si="407"/>
        <v>2</v>
      </c>
      <c r="Y350" t="str">
        <f t="shared" si="400"/>
        <v>2</v>
      </c>
      <c r="Z350" t="str">
        <f t="shared" si="400"/>
        <v>2</v>
      </c>
      <c r="AA350" t="str">
        <f t="shared" si="380"/>
        <v xml:space="preserve">          </v>
      </c>
      <c r="AB350" t="str">
        <f t="shared" si="372"/>
        <v>2</v>
      </c>
      <c r="AC350" t="str">
        <f t="shared" si="373"/>
        <v>2</v>
      </c>
      <c r="AD350" t="str">
        <f t="shared" si="402"/>
        <v>2</v>
      </c>
      <c r="AE350" t="str">
        <f t="shared" si="402"/>
        <v>2</v>
      </c>
      <c r="AF350" t="str">
        <f t="shared" si="402"/>
        <v>2</v>
      </c>
      <c r="AG350" t="str">
        <f t="shared" si="402"/>
        <v>2</v>
      </c>
      <c r="AH350" t="str">
        <f t="shared" si="408"/>
        <v>1</v>
      </c>
      <c r="AI350" t="str">
        <f t="shared" si="405"/>
        <v xml:space="preserve">1         </v>
      </c>
      <c r="AJ350" t="str">
        <f t="shared" si="392"/>
        <v>170</v>
      </c>
      <c r="AK350" t="str">
        <f>"86"</f>
        <v>86</v>
      </c>
      <c r="AL350" t="str">
        <f>"320"</f>
        <v>320</v>
      </c>
      <c r="AM350" t="str">
        <f>"11"</f>
        <v>11</v>
      </c>
      <c r="AN350" t="str">
        <f>"11001"</f>
        <v>11001</v>
      </c>
      <c r="AO350" t="str">
        <f>"15/05/2020 12:00:00 a. m."</f>
        <v>15/05/2020 12:00:00 a. m.</v>
      </c>
      <c r="AP350" t="str">
        <f>"30/04/2020 12:00:00 a. m."</f>
        <v>30/04/2020 12:00:00 a. m.</v>
      </c>
      <c r="AQ350" t="str">
        <f t="shared" si="410"/>
        <v>3</v>
      </c>
      <c r="AR350" t="str">
        <f t="shared" ref="AR350:AR357" si="411">"1"</f>
        <v>1</v>
      </c>
      <c r="AS350" t="str">
        <f>"15/05/2020 12:00:00 a. m."</f>
        <v>15/05/2020 12:00:00 a. m.</v>
      </c>
      <c r="AT350" t="str">
        <f t="shared" ref="AT350:AT386" si="412">"1"</f>
        <v>1</v>
      </c>
      <c r="AU350" t="str">
        <f>""</f>
        <v/>
      </c>
      <c r="AV350" t="str">
        <f>"0"</f>
        <v>0</v>
      </c>
      <c r="AW350" t="str">
        <f>"25/03/2010 12:00:00 a. m."</f>
        <v>25/03/2010 12:00:00 a. m.</v>
      </c>
      <c r="AX350" t="str">
        <f>""</f>
        <v/>
      </c>
      <c r="AY350" t="str">
        <f t="shared" si="381"/>
        <v>30/04/2021 12:00:00 a. m.</v>
      </c>
      <c r="AZ350" t="str">
        <f>"27/09/2020 12:00:00 a. m."</f>
        <v>27/09/2020 12:00:00 a. m.</v>
      </c>
      <c r="BA350" t="str">
        <f>""</f>
        <v/>
      </c>
      <c r="BB350" t="str">
        <f>""</f>
        <v/>
      </c>
      <c r="BC350" t="str">
        <f>""</f>
        <v/>
      </c>
      <c r="BD350" t="str">
        <f t="shared" si="404"/>
        <v>1</v>
      </c>
      <c r="BE350" t="str">
        <f t="shared" si="404"/>
        <v>1</v>
      </c>
      <c r="BF350" t="str">
        <f t="shared" si="383"/>
        <v xml:space="preserve">3         </v>
      </c>
      <c r="BG350" t="str">
        <f t="shared" si="384"/>
        <v>Confirmado por laboratorio</v>
      </c>
      <c r="BH350" t="str">
        <f>"FUNDACION HOSPITAL DE LA MISERICORDIA"</f>
        <v>FUNDACION HOSPITAL DE LA MISERICORDIA</v>
      </c>
      <c r="BI350" t="str">
        <f t="shared" si="393"/>
        <v>COLOMBIA</v>
      </c>
      <c r="BJ350" t="str">
        <f t="shared" si="385"/>
        <v>CANCER INFANTIL</v>
      </c>
      <c r="BK350" t="str">
        <f>"PUTUMAYO"</f>
        <v>PUTUMAYO</v>
      </c>
      <c r="BL350" t="str">
        <f>"ORITO"</f>
        <v>ORITO</v>
      </c>
      <c r="BM350" t="str">
        <f t="shared" si="394"/>
        <v>COLOMBIA</v>
      </c>
      <c r="BN350" t="str">
        <f>"PUTUMAYO"</f>
        <v>PUTUMAYO</v>
      </c>
      <c r="BO350" t="str">
        <f>"ORITO"</f>
        <v>ORITO</v>
      </c>
      <c r="BP350" t="str">
        <f t="shared" ref="BP350:BQ352" si="413">"BOGOTA"</f>
        <v>BOGOTA</v>
      </c>
      <c r="BQ350" t="str">
        <f t="shared" si="413"/>
        <v>BOGOTA</v>
      </c>
    </row>
    <row r="351" spans="1:69" x14ac:dyDescent="0.25">
      <c r="A351" t="str">
        <f>"7291742"</f>
        <v>7291742</v>
      </c>
      <c r="B351" t="str">
        <f t="shared" si="378"/>
        <v>459</v>
      </c>
      <c r="C351" t="str">
        <f>"14/11/2020 12:00:00 a. m."</f>
        <v>14/11/2020 12:00:00 a. m.</v>
      </c>
      <c r="D351" t="str">
        <f>"38"</f>
        <v>38</v>
      </c>
      <c r="E351" t="str">
        <f t="shared" si="379"/>
        <v>2020</v>
      </c>
      <c r="F351" t="str">
        <f>"1100105681"</f>
        <v>1100105681</v>
      </c>
      <c r="G351" t="str">
        <f t="shared" si="370"/>
        <v>01</v>
      </c>
      <c r="H351" t="str">
        <f>"3"</f>
        <v>3</v>
      </c>
      <c r="I351" t="str">
        <f t="shared" si="396"/>
        <v>1</v>
      </c>
      <c r="J351" t="str">
        <f>"F"</f>
        <v>F</v>
      </c>
      <c r="K351" t="str">
        <f t="shared" si="389"/>
        <v>170</v>
      </c>
      <c r="L351" t="str">
        <f>"94"</f>
        <v>94</v>
      </c>
      <c r="M351" t="str">
        <f>"001"</f>
        <v>001</v>
      </c>
      <c r="N351" t="str">
        <f t="shared" si="406"/>
        <v>1</v>
      </c>
      <c r="O351" t="str">
        <f>"9999"</f>
        <v>9999</v>
      </c>
      <c r="P351" t="str">
        <f>"S"</f>
        <v>S</v>
      </c>
      <c r="Q351" t="str">
        <f>"ESS024"</f>
        <v>ESS024</v>
      </c>
      <c r="R351" t="str">
        <f t="shared" si="397"/>
        <v>6</v>
      </c>
      <c r="S351" t="str">
        <f>""</f>
        <v/>
      </c>
      <c r="T351" t="str">
        <f t="shared" si="399"/>
        <v xml:space="preserve">                                                                                                    </v>
      </c>
      <c r="U351" t="str">
        <f t="shared" si="409"/>
        <v xml:space="preserve">2         </v>
      </c>
      <c r="V351" t="str">
        <f t="shared" si="403"/>
        <v>2</v>
      </c>
      <c r="W351" t="str">
        <f t="shared" si="365"/>
        <v>2</v>
      </c>
      <c r="X351" t="str">
        <f t="shared" si="407"/>
        <v>2</v>
      </c>
      <c r="Y351" t="str">
        <f t="shared" si="400"/>
        <v>2</v>
      </c>
      <c r="Z351" t="str">
        <f t="shared" si="400"/>
        <v>2</v>
      </c>
      <c r="AA351" t="str">
        <f t="shared" si="380"/>
        <v xml:space="preserve">          </v>
      </c>
      <c r="AB351" t="str">
        <f t="shared" si="372"/>
        <v>2</v>
      </c>
      <c r="AC351" t="str">
        <f t="shared" si="373"/>
        <v>2</v>
      </c>
      <c r="AD351" t="str">
        <f t="shared" si="402"/>
        <v>2</v>
      </c>
      <c r="AE351" t="str">
        <f t="shared" si="402"/>
        <v>2</v>
      </c>
      <c r="AF351" t="str">
        <f t="shared" si="402"/>
        <v>2</v>
      </c>
      <c r="AG351" t="str">
        <f t="shared" si="402"/>
        <v>2</v>
      </c>
      <c r="AH351" t="str">
        <f t="shared" si="408"/>
        <v>1</v>
      </c>
      <c r="AI351" t="str">
        <f t="shared" si="405"/>
        <v xml:space="preserve">1         </v>
      </c>
      <c r="AJ351" t="str">
        <f t="shared" si="392"/>
        <v>170</v>
      </c>
      <c r="AK351" t="str">
        <f>"94"</f>
        <v>94</v>
      </c>
      <c r="AL351" t="str">
        <f>"001"</f>
        <v>001</v>
      </c>
      <c r="AM351" t="str">
        <f>"11"</f>
        <v>11</v>
      </c>
      <c r="AN351" t="str">
        <f>"11001"</f>
        <v>11001</v>
      </c>
      <c r="AO351" t="str">
        <f>"17/09/2020 12:00:00 a. m."</f>
        <v>17/09/2020 12:00:00 a. m.</v>
      </c>
      <c r="AP351" t="str">
        <f>"17/02/2020 12:00:00 a. m."</f>
        <v>17/02/2020 12:00:00 a. m.</v>
      </c>
      <c r="AQ351" t="str">
        <f t="shared" si="410"/>
        <v>3</v>
      </c>
      <c r="AR351" t="str">
        <f t="shared" si="411"/>
        <v>1</v>
      </c>
      <c r="AS351" t="str">
        <f>"17/09/2020 12:00:00 a. m."</f>
        <v>17/09/2020 12:00:00 a. m.</v>
      </c>
      <c r="AT351" t="str">
        <f t="shared" si="412"/>
        <v>1</v>
      </c>
      <c r="AU351" t="str">
        <f>""</f>
        <v/>
      </c>
      <c r="AV351" t="str">
        <f>"0"</f>
        <v>0</v>
      </c>
      <c r="AW351" t="str">
        <f>"24/06/2017 12:00:00 a. m."</f>
        <v>24/06/2017 12:00:00 a. m.</v>
      </c>
      <c r="AX351" t="str">
        <f>""</f>
        <v/>
      </c>
      <c r="AY351" t="str">
        <f t="shared" si="381"/>
        <v>30/04/2021 12:00:00 a. m.</v>
      </c>
      <c r="AZ351" t="str">
        <f>"14/11/2020 12:00:00 a. m."</f>
        <v>14/11/2020 12:00:00 a. m.</v>
      </c>
      <c r="BA351" t="str">
        <f>""</f>
        <v/>
      </c>
      <c r="BB351" t="str">
        <f>""</f>
        <v/>
      </c>
      <c r="BC351" t="str">
        <f>""</f>
        <v/>
      </c>
      <c r="BD351" t="str">
        <f t="shared" si="404"/>
        <v>1</v>
      </c>
      <c r="BE351" t="str">
        <f t="shared" si="404"/>
        <v>1</v>
      </c>
      <c r="BF351" t="str">
        <f t="shared" si="383"/>
        <v xml:space="preserve">3         </v>
      </c>
      <c r="BG351" t="str">
        <f t="shared" si="384"/>
        <v>Confirmado por laboratorio</v>
      </c>
      <c r="BH351" t="str">
        <f>"FUNDACION HOSPITAL DE LA MISERICORDIA"</f>
        <v>FUNDACION HOSPITAL DE LA MISERICORDIA</v>
      </c>
      <c r="BI351" t="str">
        <f t="shared" si="393"/>
        <v>COLOMBIA</v>
      </c>
      <c r="BJ351" t="str">
        <f t="shared" si="385"/>
        <v>CANCER INFANTIL</v>
      </c>
      <c r="BK351" t="str">
        <f>"GUAINIA"</f>
        <v>GUAINIA</v>
      </c>
      <c r="BL351" t="str">
        <f>"PUERTO INIRIDA"</f>
        <v>PUERTO INIRIDA</v>
      </c>
      <c r="BM351" t="str">
        <f t="shared" si="394"/>
        <v>COLOMBIA</v>
      </c>
      <c r="BN351" t="str">
        <f>"GUAINIA"</f>
        <v>GUAINIA</v>
      </c>
      <c r="BO351" t="str">
        <f>"PUERTO INIRIDA"</f>
        <v>PUERTO INIRIDA</v>
      </c>
      <c r="BP351" t="str">
        <f t="shared" si="413"/>
        <v>BOGOTA</v>
      </c>
      <c r="BQ351" t="str">
        <f t="shared" si="413"/>
        <v>BOGOTA</v>
      </c>
    </row>
    <row r="352" spans="1:69" x14ac:dyDescent="0.25">
      <c r="A352" t="str">
        <f>"7291693"</f>
        <v>7291693</v>
      </c>
      <c r="B352" t="str">
        <f t="shared" si="378"/>
        <v>459</v>
      </c>
      <c r="C352" t="str">
        <f>"29/09/2020 12:00:00 a. m."</f>
        <v>29/09/2020 12:00:00 a. m.</v>
      </c>
      <c r="D352" t="str">
        <f>"34"</f>
        <v>34</v>
      </c>
      <c r="E352" t="str">
        <f t="shared" si="379"/>
        <v>2020</v>
      </c>
      <c r="F352" t="str">
        <f>"1100105681"</f>
        <v>1100105681</v>
      </c>
      <c r="G352" t="str">
        <f t="shared" si="370"/>
        <v>01</v>
      </c>
      <c r="H352" t="str">
        <f>"15"</f>
        <v>15</v>
      </c>
      <c r="I352" t="str">
        <f t="shared" si="396"/>
        <v>1</v>
      </c>
      <c r="J352" t="str">
        <f>"F"</f>
        <v>F</v>
      </c>
      <c r="K352" t="str">
        <f t="shared" si="389"/>
        <v>170</v>
      </c>
      <c r="L352" t="str">
        <f>"81"</f>
        <v>81</v>
      </c>
      <c r="M352" t="str">
        <f>"794"</f>
        <v>794</v>
      </c>
      <c r="N352" t="str">
        <f t="shared" si="406"/>
        <v>1</v>
      </c>
      <c r="O352" t="str">
        <f>"9997"</f>
        <v>9997</v>
      </c>
      <c r="P352" t="str">
        <f>"S"</f>
        <v>S</v>
      </c>
      <c r="Q352" t="str">
        <f>"EPSS41"</f>
        <v>EPSS41</v>
      </c>
      <c r="R352" t="str">
        <f t="shared" si="397"/>
        <v>6</v>
      </c>
      <c r="S352" t="str">
        <f>""</f>
        <v/>
      </c>
      <c r="T352" t="str">
        <f t="shared" si="399"/>
        <v xml:space="preserve">                                                                                                    </v>
      </c>
      <c r="U352" t="str">
        <f t="shared" si="409"/>
        <v xml:space="preserve">2         </v>
      </c>
      <c r="V352" t="str">
        <f t="shared" si="403"/>
        <v>2</v>
      </c>
      <c r="W352" t="str">
        <f t="shared" si="365"/>
        <v>2</v>
      </c>
      <c r="X352" t="str">
        <f t="shared" si="407"/>
        <v>2</v>
      </c>
      <c r="Y352" t="str">
        <f t="shared" si="400"/>
        <v>2</v>
      </c>
      <c r="Z352" t="str">
        <f t="shared" si="400"/>
        <v>2</v>
      </c>
      <c r="AA352" t="str">
        <f t="shared" si="380"/>
        <v xml:space="preserve">          </v>
      </c>
      <c r="AB352" t="str">
        <f t="shared" si="372"/>
        <v>2</v>
      </c>
      <c r="AC352" t="str">
        <f t="shared" si="373"/>
        <v>2</v>
      </c>
      <c r="AD352" t="str">
        <f t="shared" si="402"/>
        <v>2</v>
      </c>
      <c r="AE352" t="str">
        <f t="shared" si="402"/>
        <v>2</v>
      </c>
      <c r="AF352" t="str">
        <f t="shared" si="402"/>
        <v>2</v>
      </c>
      <c r="AG352" t="str">
        <f t="shared" si="402"/>
        <v>2</v>
      </c>
      <c r="AH352" t="str">
        <f t="shared" si="408"/>
        <v>1</v>
      </c>
      <c r="AI352" t="str">
        <f t="shared" si="405"/>
        <v xml:space="preserve">1         </v>
      </c>
      <c r="AJ352" t="str">
        <f t="shared" si="392"/>
        <v>170</v>
      </c>
      <c r="AK352" t="str">
        <f>"81"</f>
        <v>81</v>
      </c>
      <c r="AL352" t="str">
        <f>"794"</f>
        <v>794</v>
      </c>
      <c r="AM352" t="str">
        <f>"11"</f>
        <v>11</v>
      </c>
      <c r="AN352" t="str">
        <f>"11001"</f>
        <v>11001</v>
      </c>
      <c r="AO352" t="str">
        <f>"20/08/2020 12:00:00 a. m."</f>
        <v>20/08/2020 12:00:00 a. m.</v>
      </c>
      <c r="AP352" t="str">
        <f>"1/09/2015 12:00:00 a. m."</f>
        <v>1/09/2015 12:00:00 a. m.</v>
      </c>
      <c r="AQ352" t="str">
        <f t="shared" si="410"/>
        <v>3</v>
      </c>
      <c r="AR352" t="str">
        <f t="shared" si="411"/>
        <v>1</v>
      </c>
      <c r="AS352" t="str">
        <f>"20/08/2020 12:00:00 a. m."</f>
        <v>20/08/2020 12:00:00 a. m.</v>
      </c>
      <c r="AT352" t="str">
        <f t="shared" si="412"/>
        <v>1</v>
      </c>
      <c r="AU352" t="str">
        <f>""</f>
        <v/>
      </c>
      <c r="AV352" t="str">
        <f>"0"</f>
        <v>0</v>
      </c>
      <c r="AW352" t="str">
        <f>"16/09/2005 12:00:00 a. m."</f>
        <v>16/09/2005 12:00:00 a. m.</v>
      </c>
      <c r="AX352" t="str">
        <f>""</f>
        <v/>
      </c>
      <c r="AY352" t="str">
        <f t="shared" si="381"/>
        <v>30/04/2021 12:00:00 a. m.</v>
      </c>
      <c r="AZ352" t="str">
        <f>"29/09/2020 12:00:00 a. m."</f>
        <v>29/09/2020 12:00:00 a. m.</v>
      </c>
      <c r="BA352" t="str">
        <f>""</f>
        <v/>
      </c>
      <c r="BB352" t="str">
        <f>""</f>
        <v/>
      </c>
      <c r="BC352" t="str">
        <f>""</f>
        <v/>
      </c>
      <c r="BD352" t="str">
        <f t="shared" si="404"/>
        <v>1</v>
      </c>
      <c r="BE352" t="str">
        <f t="shared" si="404"/>
        <v>1</v>
      </c>
      <c r="BF352" t="str">
        <f t="shared" si="383"/>
        <v xml:space="preserve">3         </v>
      </c>
      <c r="BG352" t="str">
        <f t="shared" si="384"/>
        <v>Confirmado por laboratorio</v>
      </c>
      <c r="BH352" t="str">
        <f>"FUNDACION HOSPITAL DE LA MISERICORDIA"</f>
        <v>FUNDACION HOSPITAL DE LA MISERICORDIA</v>
      </c>
      <c r="BI352" t="str">
        <f t="shared" si="393"/>
        <v>COLOMBIA</v>
      </c>
      <c r="BJ352" t="str">
        <f t="shared" si="385"/>
        <v>CANCER INFANTIL</v>
      </c>
      <c r="BK352" t="str">
        <f>"ARAUCA"</f>
        <v>ARAUCA</v>
      </c>
      <c r="BL352" t="str">
        <f>"TAME"</f>
        <v>TAME</v>
      </c>
      <c r="BM352" t="str">
        <f t="shared" si="394"/>
        <v>COLOMBIA</v>
      </c>
      <c r="BN352" t="str">
        <f>"ARAUCA"</f>
        <v>ARAUCA</v>
      </c>
      <c r="BO352" t="str">
        <f>"TAME"</f>
        <v>TAME</v>
      </c>
      <c r="BP352" t="str">
        <f t="shared" si="413"/>
        <v>BOGOTA</v>
      </c>
      <c r="BQ352" t="str">
        <f t="shared" si="413"/>
        <v>BOGOTA</v>
      </c>
    </row>
    <row r="353" spans="1:69" x14ac:dyDescent="0.25">
      <c r="A353" t="str">
        <f>"7291597"</f>
        <v>7291597</v>
      </c>
      <c r="B353" t="str">
        <f t="shared" si="378"/>
        <v>459</v>
      </c>
      <c r="C353" t="str">
        <f>"24/02/2020 12:00:00 a. m."</f>
        <v>24/02/2020 12:00:00 a. m.</v>
      </c>
      <c r="D353" t="str">
        <f>"08"</f>
        <v>08</v>
      </c>
      <c r="E353" t="str">
        <f t="shared" si="379"/>
        <v>2020</v>
      </c>
      <c r="F353" t="str">
        <f>"0500102175"</f>
        <v>0500102175</v>
      </c>
      <c r="G353" t="str">
        <f t="shared" si="370"/>
        <v>01</v>
      </c>
      <c r="H353" t="str">
        <f>"3"</f>
        <v>3</v>
      </c>
      <c r="I353" t="str">
        <f t="shared" si="396"/>
        <v>1</v>
      </c>
      <c r="J353" t="str">
        <f>"M"</f>
        <v>M</v>
      </c>
      <c r="K353" t="str">
        <f t="shared" si="389"/>
        <v>170</v>
      </c>
      <c r="L353" t="str">
        <f>"05"</f>
        <v>05</v>
      </c>
      <c r="M353" t="str">
        <f>"148"</f>
        <v>148</v>
      </c>
      <c r="N353" t="str">
        <f t="shared" si="406"/>
        <v>1</v>
      </c>
      <c r="O353" t="str">
        <f>"9999"</f>
        <v>9999</v>
      </c>
      <c r="P353" t="str">
        <f>"C"</f>
        <v>C</v>
      </c>
      <c r="Q353" t="str">
        <f>"EPS041"</f>
        <v>EPS041</v>
      </c>
      <c r="R353" t="str">
        <f t="shared" si="397"/>
        <v>6</v>
      </c>
      <c r="S353" t="str">
        <f>""</f>
        <v/>
      </c>
      <c r="T353" t="str">
        <f t="shared" si="399"/>
        <v xml:space="preserve">                                                                                                    </v>
      </c>
      <c r="U353" t="str">
        <f t="shared" si="409"/>
        <v xml:space="preserve">2         </v>
      </c>
      <c r="V353" t="str">
        <f t="shared" si="403"/>
        <v>2</v>
      </c>
      <c r="W353" t="str">
        <f t="shared" si="365"/>
        <v>2</v>
      </c>
      <c r="X353" t="str">
        <f t="shared" si="407"/>
        <v>2</v>
      </c>
      <c r="Y353" t="str">
        <f t="shared" si="400"/>
        <v>2</v>
      </c>
      <c r="Z353" t="str">
        <f t="shared" si="400"/>
        <v>2</v>
      </c>
      <c r="AA353" t="str">
        <f t="shared" si="380"/>
        <v xml:space="preserve">          </v>
      </c>
      <c r="AB353" t="str">
        <f t="shared" si="372"/>
        <v>2</v>
      </c>
      <c r="AC353" t="str">
        <f t="shared" si="373"/>
        <v>2</v>
      </c>
      <c r="AD353" t="str">
        <f t="shared" si="402"/>
        <v>2</v>
      </c>
      <c r="AE353" t="str">
        <f t="shared" si="402"/>
        <v>2</v>
      </c>
      <c r="AF353" t="str">
        <f t="shared" si="402"/>
        <v>2</v>
      </c>
      <c r="AG353" t="str">
        <f t="shared" si="402"/>
        <v>2</v>
      </c>
      <c r="AH353" t="str">
        <f t="shared" si="408"/>
        <v>1</v>
      </c>
      <c r="AI353" t="str">
        <f t="shared" si="405"/>
        <v xml:space="preserve">1         </v>
      </c>
      <c r="AJ353" t="str">
        <f t="shared" si="392"/>
        <v>170</v>
      </c>
      <c r="AK353" t="str">
        <f>"05"</f>
        <v>05</v>
      </c>
      <c r="AL353" t="str">
        <f>"148"</f>
        <v>148</v>
      </c>
      <c r="AM353" t="str">
        <f>"05"</f>
        <v>05</v>
      </c>
      <c r="AN353" t="str">
        <f>"05001"</f>
        <v>05001</v>
      </c>
      <c r="AO353" t="str">
        <f>"17/02/2020 12:00:00 a. m."</f>
        <v>17/02/2020 12:00:00 a. m.</v>
      </c>
      <c r="AP353" t="str">
        <f>"16/02/2020 12:00:00 a. m."</f>
        <v>16/02/2020 12:00:00 a. m.</v>
      </c>
      <c r="AQ353" t="str">
        <f t="shared" si="410"/>
        <v>3</v>
      </c>
      <c r="AR353" t="str">
        <f t="shared" si="411"/>
        <v>1</v>
      </c>
      <c r="AS353" t="str">
        <f>"17/02/2020 12:00:00 a. m."</f>
        <v>17/02/2020 12:00:00 a. m.</v>
      </c>
      <c r="AT353" t="str">
        <f t="shared" si="412"/>
        <v>1</v>
      </c>
      <c r="AU353" t="str">
        <f>""</f>
        <v/>
      </c>
      <c r="AV353" t="str">
        <f>"0"</f>
        <v>0</v>
      </c>
      <c r="AW353" t="str">
        <f>"26/07/2016 12:00:00 a. m."</f>
        <v>26/07/2016 12:00:00 a. m.</v>
      </c>
      <c r="AX353" t="str">
        <f>""</f>
        <v/>
      </c>
      <c r="AY353" t="str">
        <f t="shared" si="381"/>
        <v>30/04/2021 12:00:00 a. m.</v>
      </c>
      <c r="AZ353" t="str">
        <f>"24/02/2020 12:00:00 a. m."</f>
        <v>24/02/2020 12:00:00 a. m.</v>
      </c>
      <c r="BA353" t="str">
        <f>""</f>
        <v/>
      </c>
      <c r="BB353" t="str">
        <f>""</f>
        <v/>
      </c>
      <c r="BC353" t="str">
        <f>""</f>
        <v/>
      </c>
      <c r="BD353" t="str">
        <f t="shared" si="404"/>
        <v>1</v>
      </c>
      <c r="BE353" t="str">
        <f t="shared" si="404"/>
        <v>1</v>
      </c>
      <c r="BF353" t="str">
        <f t="shared" si="383"/>
        <v xml:space="preserve">3         </v>
      </c>
      <c r="BG353" t="str">
        <f t="shared" si="384"/>
        <v>Confirmado por laboratorio</v>
      </c>
      <c r="BH353" t="str">
        <f>"FUNDACION HOSPITALARIA SAN VICENTE DE PAUL"</f>
        <v>FUNDACION HOSPITALARIA SAN VICENTE DE PAUL</v>
      </c>
      <c r="BI353" t="str">
        <f t="shared" si="393"/>
        <v>COLOMBIA</v>
      </c>
      <c r="BJ353" t="str">
        <f t="shared" si="385"/>
        <v>CANCER INFANTIL</v>
      </c>
      <c r="BK353" t="str">
        <f>"ANTIOQUIA"</f>
        <v>ANTIOQUIA</v>
      </c>
      <c r="BL353" t="str">
        <f>"CARMEN DE VIBORAL"</f>
        <v>CARMEN DE VIBORAL</v>
      </c>
      <c r="BM353" t="str">
        <f t="shared" si="394"/>
        <v>COLOMBIA</v>
      </c>
      <c r="BN353" t="str">
        <f>"ANTIOQUIA"</f>
        <v>ANTIOQUIA</v>
      </c>
      <c r="BO353" t="str">
        <f>"CARMEN DE VIBORAL"</f>
        <v>CARMEN DE VIBORAL</v>
      </c>
      <c r="BP353" t="str">
        <f>"ANTIOQUIA"</f>
        <v>ANTIOQUIA</v>
      </c>
      <c r="BQ353" t="str">
        <f>"MEDELLIN"</f>
        <v>MEDELLIN</v>
      </c>
    </row>
    <row r="354" spans="1:69" x14ac:dyDescent="0.25">
      <c r="A354" t="str">
        <f>"7291489"</f>
        <v>7291489</v>
      </c>
      <c r="B354" t="str">
        <f t="shared" si="378"/>
        <v>459</v>
      </c>
      <c r="C354" t="str">
        <f>"30/01/2020 12:00:00 a. m."</f>
        <v>30/01/2020 12:00:00 a. m.</v>
      </c>
      <c r="D354" t="str">
        <f>"04"</f>
        <v>04</v>
      </c>
      <c r="E354" t="str">
        <f t="shared" si="379"/>
        <v>2020</v>
      </c>
      <c r="F354" t="str">
        <f>"0500102175"</f>
        <v>0500102175</v>
      </c>
      <c r="G354" t="str">
        <f t="shared" si="370"/>
        <v>01</v>
      </c>
      <c r="H354" t="str">
        <f>"14"</f>
        <v>14</v>
      </c>
      <c r="I354" t="str">
        <f t="shared" si="396"/>
        <v>1</v>
      </c>
      <c r="J354" t="str">
        <f>"M"</f>
        <v>M</v>
      </c>
      <c r="K354" t="str">
        <f t="shared" si="389"/>
        <v>170</v>
      </c>
      <c r="L354" t="str">
        <f>"05"</f>
        <v>05</v>
      </c>
      <c r="M354" t="str">
        <f>"088"</f>
        <v>088</v>
      </c>
      <c r="N354" t="str">
        <f t="shared" si="406"/>
        <v>1</v>
      </c>
      <c r="O354" t="str">
        <f>"9997"</f>
        <v>9997</v>
      </c>
      <c r="P354" t="str">
        <f>"C"</f>
        <v>C</v>
      </c>
      <c r="Q354" t="str">
        <f>"EPS040"</f>
        <v>EPS040</v>
      </c>
      <c r="R354" t="str">
        <f t="shared" si="397"/>
        <v>6</v>
      </c>
      <c r="S354" t="str">
        <f>""</f>
        <v/>
      </c>
      <c r="T354" t="str">
        <f t="shared" si="399"/>
        <v xml:space="preserve">                                                                                                    </v>
      </c>
      <c r="U354" t="str">
        <f t="shared" si="409"/>
        <v xml:space="preserve">2         </v>
      </c>
      <c r="V354" t="str">
        <f t="shared" si="403"/>
        <v>2</v>
      </c>
      <c r="W354" t="str">
        <f t="shared" si="365"/>
        <v>2</v>
      </c>
      <c r="X354" t="str">
        <f t="shared" si="407"/>
        <v>2</v>
      </c>
      <c r="Y354" t="str">
        <f t="shared" si="400"/>
        <v>2</v>
      </c>
      <c r="Z354" t="str">
        <f t="shared" si="400"/>
        <v>2</v>
      </c>
      <c r="AA354" t="str">
        <f t="shared" si="380"/>
        <v xml:space="preserve">          </v>
      </c>
      <c r="AB354" t="str">
        <f t="shared" si="372"/>
        <v>2</v>
      </c>
      <c r="AC354" t="str">
        <f t="shared" si="373"/>
        <v>2</v>
      </c>
      <c r="AD354" t="str">
        <f t="shared" si="402"/>
        <v>2</v>
      </c>
      <c r="AE354" t="str">
        <f t="shared" si="402"/>
        <v>2</v>
      </c>
      <c r="AF354" t="str">
        <f t="shared" si="402"/>
        <v>2</v>
      </c>
      <c r="AG354" t="str">
        <f t="shared" si="402"/>
        <v>2</v>
      </c>
      <c r="AH354" t="str">
        <f t="shared" si="408"/>
        <v>1</v>
      </c>
      <c r="AI354" t="str">
        <f t="shared" si="405"/>
        <v xml:space="preserve">1         </v>
      </c>
      <c r="AJ354" t="str">
        <f t="shared" si="392"/>
        <v>170</v>
      </c>
      <c r="AK354" t="str">
        <f>"05"</f>
        <v>05</v>
      </c>
      <c r="AL354" t="str">
        <f>"088"</f>
        <v>088</v>
      </c>
      <c r="AM354" t="str">
        <f>"05"</f>
        <v>05</v>
      </c>
      <c r="AN354" t="str">
        <f>"05001"</f>
        <v>05001</v>
      </c>
      <c r="AO354" t="str">
        <f>"23/01/2020 12:00:00 a. m."</f>
        <v>23/01/2020 12:00:00 a. m.</v>
      </c>
      <c r="AP354" t="str">
        <f>"22/01/2020 12:00:00 a. m."</f>
        <v>22/01/2020 12:00:00 a. m.</v>
      </c>
      <c r="AQ354" t="str">
        <f t="shared" si="410"/>
        <v>3</v>
      </c>
      <c r="AR354" t="str">
        <f t="shared" si="411"/>
        <v>1</v>
      </c>
      <c r="AS354" t="str">
        <f>"23/01/2020 12:00:00 a. m."</f>
        <v>23/01/2020 12:00:00 a. m.</v>
      </c>
      <c r="AT354" t="str">
        <f t="shared" si="412"/>
        <v>1</v>
      </c>
      <c r="AU354" t="str">
        <f>""</f>
        <v/>
      </c>
      <c r="AV354" t="str">
        <f>"0"</f>
        <v>0</v>
      </c>
      <c r="AW354" t="str">
        <f>"7/04/2005 12:00:00 a. m."</f>
        <v>7/04/2005 12:00:00 a. m.</v>
      </c>
      <c r="AX354" t="str">
        <f>""</f>
        <v/>
      </c>
      <c r="AY354" t="str">
        <f t="shared" si="381"/>
        <v>30/04/2021 12:00:00 a. m.</v>
      </c>
      <c r="AZ354" t="str">
        <f>"30/01/2020 12:00:00 a. m."</f>
        <v>30/01/2020 12:00:00 a. m.</v>
      </c>
      <c r="BA354" t="str">
        <f>""</f>
        <v/>
      </c>
      <c r="BB354" t="str">
        <f>""</f>
        <v/>
      </c>
      <c r="BC354" t="str">
        <f>""</f>
        <v/>
      </c>
      <c r="BD354" t="str">
        <f t="shared" si="404"/>
        <v>1</v>
      </c>
      <c r="BE354" t="str">
        <f t="shared" si="404"/>
        <v>1</v>
      </c>
      <c r="BF354" t="str">
        <f t="shared" si="383"/>
        <v xml:space="preserve">3         </v>
      </c>
      <c r="BG354" t="str">
        <f t="shared" si="384"/>
        <v>Confirmado por laboratorio</v>
      </c>
      <c r="BH354" t="str">
        <f>"FUNDACION HOSPITALARIA SAN VICENTE DE PAUL"</f>
        <v>FUNDACION HOSPITALARIA SAN VICENTE DE PAUL</v>
      </c>
      <c r="BI354" t="str">
        <f t="shared" si="393"/>
        <v>COLOMBIA</v>
      </c>
      <c r="BJ354" t="str">
        <f t="shared" si="385"/>
        <v>CANCER INFANTIL</v>
      </c>
      <c r="BK354" t="str">
        <f>"ANTIOQUIA"</f>
        <v>ANTIOQUIA</v>
      </c>
      <c r="BL354" t="str">
        <f>"BELLO"</f>
        <v>BELLO</v>
      </c>
      <c r="BM354" t="str">
        <f t="shared" si="394"/>
        <v>COLOMBIA</v>
      </c>
      <c r="BN354" t="str">
        <f>"ANTIOQUIA"</f>
        <v>ANTIOQUIA</v>
      </c>
      <c r="BO354" t="str">
        <f>"BELLO"</f>
        <v>BELLO</v>
      </c>
      <c r="BP354" t="str">
        <f>"ANTIOQUIA"</f>
        <v>ANTIOQUIA</v>
      </c>
      <c r="BQ354" t="str">
        <f>"MEDELLIN"</f>
        <v>MEDELLIN</v>
      </c>
    </row>
    <row r="355" spans="1:69" x14ac:dyDescent="0.25">
      <c r="A355" t="str">
        <f>"7291641"</f>
        <v>7291641</v>
      </c>
      <c r="B355" t="str">
        <f t="shared" si="378"/>
        <v>459</v>
      </c>
      <c r="C355" t="str">
        <f>"3/12/2020 12:00:00 a. m."</f>
        <v>3/12/2020 12:00:00 a. m.</v>
      </c>
      <c r="D355" t="str">
        <f>"49"</f>
        <v>49</v>
      </c>
      <c r="E355" t="str">
        <f t="shared" si="379"/>
        <v>2020</v>
      </c>
      <c r="F355" t="str">
        <f>"1100108171"</f>
        <v>1100108171</v>
      </c>
      <c r="G355" t="str">
        <f>"02"</f>
        <v>02</v>
      </c>
      <c r="H355" t="str">
        <f>"6"</f>
        <v>6</v>
      </c>
      <c r="I355" t="str">
        <f t="shared" si="396"/>
        <v>1</v>
      </c>
      <c r="J355" t="str">
        <f>"F"</f>
        <v>F</v>
      </c>
      <c r="K355" t="str">
        <f t="shared" si="389"/>
        <v>170</v>
      </c>
      <c r="L355" t="str">
        <f>"25"</f>
        <v>25</v>
      </c>
      <c r="M355" t="str">
        <f>"183"</f>
        <v>183</v>
      </c>
      <c r="N355" t="str">
        <f t="shared" si="406"/>
        <v>1</v>
      </c>
      <c r="O355" t="str">
        <f>"9997"</f>
        <v>9997</v>
      </c>
      <c r="P355" t="str">
        <f>"C"</f>
        <v>C</v>
      </c>
      <c r="Q355" t="str">
        <f>"EPS017"</f>
        <v>EPS017</v>
      </c>
      <c r="R355" t="str">
        <f t="shared" si="397"/>
        <v>6</v>
      </c>
      <c r="S355" t="str">
        <f>""</f>
        <v/>
      </c>
      <c r="T355" t="str">
        <f t="shared" si="399"/>
        <v xml:space="preserve">                                                                                                    </v>
      </c>
      <c r="U355" t="str">
        <f t="shared" si="409"/>
        <v xml:space="preserve">2         </v>
      </c>
      <c r="V355" t="str">
        <f t="shared" si="403"/>
        <v>2</v>
      </c>
      <c r="W355" t="str">
        <f t="shared" si="365"/>
        <v>2</v>
      </c>
      <c r="X355" t="str">
        <f t="shared" si="407"/>
        <v>2</v>
      </c>
      <c r="Y355" t="str">
        <f t="shared" si="400"/>
        <v>2</v>
      </c>
      <c r="Z355" t="str">
        <f t="shared" si="400"/>
        <v>2</v>
      </c>
      <c r="AA355" t="str">
        <f t="shared" si="380"/>
        <v xml:space="preserve">          </v>
      </c>
      <c r="AB355" t="str">
        <f t="shared" si="372"/>
        <v>2</v>
      </c>
      <c r="AC355" t="str">
        <f t="shared" si="373"/>
        <v>2</v>
      </c>
      <c r="AD355" t="str">
        <f t="shared" si="402"/>
        <v>2</v>
      </c>
      <c r="AE355" t="str">
        <f t="shared" si="402"/>
        <v>2</v>
      </c>
      <c r="AF355" t="str">
        <f t="shared" si="402"/>
        <v>2</v>
      </c>
      <c r="AG355" t="str">
        <f t="shared" si="402"/>
        <v>2</v>
      </c>
      <c r="AH355" t="str">
        <f t="shared" si="408"/>
        <v>1</v>
      </c>
      <c r="AI355" t="str">
        <f t="shared" si="405"/>
        <v xml:space="preserve">1         </v>
      </c>
      <c r="AJ355" t="str">
        <f t="shared" si="392"/>
        <v>170</v>
      </c>
      <c r="AK355" t="str">
        <f>"25"</f>
        <v>25</v>
      </c>
      <c r="AL355" t="str">
        <f>"183"</f>
        <v>183</v>
      </c>
      <c r="AM355" t="str">
        <f>"11"</f>
        <v>11</v>
      </c>
      <c r="AN355" t="str">
        <f>"11001"</f>
        <v>11001</v>
      </c>
      <c r="AO355" t="str">
        <f>"1/12/2020 12:00:00 a. m."</f>
        <v>1/12/2020 12:00:00 a. m.</v>
      </c>
      <c r="AP355" t="str">
        <f>"1/10/2020 12:00:00 a. m."</f>
        <v>1/10/2020 12:00:00 a. m.</v>
      </c>
      <c r="AQ355" t="str">
        <f>"2"</f>
        <v>2</v>
      </c>
      <c r="AR355" t="str">
        <f t="shared" si="411"/>
        <v>1</v>
      </c>
      <c r="AS355" t="str">
        <f>"1/12/2020 12:00:00 a. m."</f>
        <v>1/12/2020 12:00:00 a. m.</v>
      </c>
      <c r="AT355" t="str">
        <f t="shared" si="412"/>
        <v>1</v>
      </c>
      <c r="AU355" t="str">
        <f>""</f>
        <v/>
      </c>
      <c r="AV355" t="str">
        <f>"3"</f>
        <v>3</v>
      </c>
      <c r="AW355" t="str">
        <f>"28/12/2013 12:00:00 a. m."</f>
        <v>28/12/2013 12:00:00 a. m.</v>
      </c>
      <c r="AX355" t="str">
        <f>""</f>
        <v/>
      </c>
      <c r="AY355" t="str">
        <f t="shared" si="381"/>
        <v>30/04/2021 12:00:00 a. m.</v>
      </c>
      <c r="AZ355" t="str">
        <f>"9/01/2021 12:00:00 a. m."</f>
        <v>9/01/2021 12:00:00 a. m.</v>
      </c>
      <c r="BA355" t="str">
        <f>""</f>
        <v/>
      </c>
      <c r="BB355" t="str">
        <f>""</f>
        <v/>
      </c>
      <c r="BC355" t="str">
        <f>""</f>
        <v/>
      </c>
      <c r="BD355" t="str">
        <f t="shared" si="404"/>
        <v>1</v>
      </c>
      <c r="BE355" t="str">
        <f t="shared" si="404"/>
        <v>1</v>
      </c>
      <c r="BF355" t="str">
        <f t="shared" si="383"/>
        <v xml:space="preserve">3         </v>
      </c>
      <c r="BG355" t="str">
        <f t="shared" si="384"/>
        <v>Confirmado por laboratorio</v>
      </c>
      <c r="BH355" t="str">
        <f>"CLINICA INFANTIL COLSUBSIDIO"</f>
        <v>CLINICA INFANTIL COLSUBSIDIO</v>
      </c>
      <c r="BI355" t="str">
        <f t="shared" si="393"/>
        <v>COLOMBIA</v>
      </c>
      <c r="BJ355" t="str">
        <f t="shared" si="385"/>
        <v>CANCER INFANTIL</v>
      </c>
      <c r="BK355" t="str">
        <f>"CUNDINAMARCA"</f>
        <v>CUNDINAMARCA</v>
      </c>
      <c r="BL355" t="str">
        <f>"CHOCONTA"</f>
        <v>CHOCONTA</v>
      </c>
      <c r="BM355" t="str">
        <f t="shared" si="394"/>
        <v>COLOMBIA</v>
      </c>
      <c r="BN355" t="str">
        <f>"CUNDINAMARCA"</f>
        <v>CUNDINAMARCA</v>
      </c>
      <c r="BO355" t="str">
        <f>"CHOCONTA"</f>
        <v>CHOCONTA</v>
      </c>
      <c r="BP355" t="str">
        <f>"BOGOTA"</f>
        <v>BOGOTA</v>
      </c>
      <c r="BQ355" t="str">
        <f>"BOGOTA"</f>
        <v>BOGOTA</v>
      </c>
    </row>
    <row r="356" spans="1:69" x14ac:dyDescent="0.25">
      <c r="A356" t="str">
        <f>"7285475"</f>
        <v>7285475</v>
      </c>
      <c r="B356" t="str">
        <f t="shared" si="378"/>
        <v>459</v>
      </c>
      <c r="C356" t="str">
        <f>"22/05/2020 12:00:00 a. m."</f>
        <v>22/05/2020 12:00:00 a. m.</v>
      </c>
      <c r="D356" t="str">
        <f>"20"</f>
        <v>20</v>
      </c>
      <c r="E356" t="str">
        <f t="shared" si="379"/>
        <v>2020</v>
      </c>
      <c r="F356" t="str">
        <f>"7600102870"</f>
        <v>7600102870</v>
      </c>
      <c r="G356" t="str">
        <f t="shared" ref="G356:G386" si="414">"01"</f>
        <v>01</v>
      </c>
      <c r="H356" t="str">
        <f>"16"</f>
        <v>16</v>
      </c>
      <c r="I356" t="str">
        <f t="shared" si="396"/>
        <v>1</v>
      </c>
      <c r="J356" t="str">
        <f>"M"</f>
        <v>M</v>
      </c>
      <c r="K356" t="str">
        <f t="shared" si="389"/>
        <v>170</v>
      </c>
      <c r="L356" t="str">
        <f>"76"</f>
        <v>76</v>
      </c>
      <c r="M356" t="str">
        <f>"001"</f>
        <v>001</v>
      </c>
      <c r="N356" t="str">
        <f t="shared" si="406"/>
        <v>1</v>
      </c>
      <c r="O356" t="str">
        <f>"9999"</f>
        <v>9999</v>
      </c>
      <c r="P356" t="str">
        <f>"C"</f>
        <v>C</v>
      </c>
      <c r="Q356" t="str">
        <f>"EPS005"</f>
        <v>EPS005</v>
      </c>
      <c r="R356" t="str">
        <f t="shared" si="397"/>
        <v>6</v>
      </c>
      <c r="S356" t="str">
        <f>""</f>
        <v/>
      </c>
      <c r="T356" t="str">
        <f t="shared" si="399"/>
        <v xml:space="preserve">                                                                                                    </v>
      </c>
      <c r="U356" t="str">
        <f>"          "</f>
        <v xml:space="preserve">          </v>
      </c>
      <c r="V356" t="str">
        <f t="shared" si="403"/>
        <v>2</v>
      </c>
      <c r="W356" t="str">
        <f t="shared" si="365"/>
        <v>2</v>
      </c>
      <c r="X356" t="str">
        <f t="shared" si="407"/>
        <v>2</v>
      </c>
      <c r="Y356" t="str">
        <f t="shared" si="400"/>
        <v>2</v>
      </c>
      <c r="Z356" t="str">
        <f t="shared" si="400"/>
        <v>2</v>
      </c>
      <c r="AA356" t="str">
        <f t="shared" si="380"/>
        <v xml:space="preserve">          </v>
      </c>
      <c r="AB356" t="str">
        <f t="shared" si="372"/>
        <v>2</v>
      </c>
      <c r="AC356" t="str">
        <f t="shared" si="373"/>
        <v>2</v>
      </c>
      <c r="AD356" t="str">
        <f t="shared" si="402"/>
        <v>2</v>
      </c>
      <c r="AE356" t="str">
        <f t="shared" si="402"/>
        <v>2</v>
      </c>
      <c r="AF356" t="str">
        <f t="shared" si="402"/>
        <v>2</v>
      </c>
      <c r="AG356" t="str">
        <f t="shared" si="402"/>
        <v>2</v>
      </c>
      <c r="AH356" t="str">
        <f t="shared" si="408"/>
        <v>1</v>
      </c>
      <c r="AI356" t="str">
        <f t="shared" si="405"/>
        <v xml:space="preserve">1         </v>
      </c>
      <c r="AJ356" t="str">
        <f t="shared" si="392"/>
        <v>170</v>
      </c>
      <c r="AK356" t="str">
        <f>"76"</f>
        <v>76</v>
      </c>
      <c r="AL356" t="str">
        <f>"001"</f>
        <v>001</v>
      </c>
      <c r="AM356" t="str">
        <f>"76"</f>
        <v>76</v>
      </c>
      <c r="AN356" t="str">
        <f>"76001"</f>
        <v>76001</v>
      </c>
      <c r="AO356" t="str">
        <f>"14/05/2020 12:00:00 a. m."</f>
        <v>14/05/2020 12:00:00 a. m.</v>
      </c>
      <c r="AP356" t="str">
        <f>"2/02/2019 12:00:00 a. m."</f>
        <v>2/02/2019 12:00:00 a. m.</v>
      </c>
      <c r="AQ356" t="str">
        <f>"2"</f>
        <v>2</v>
      </c>
      <c r="AR356" t="str">
        <f t="shared" si="411"/>
        <v>1</v>
      </c>
      <c r="AS356" t="str">
        <f>"14/05/2020 12:00:00 a. m."</f>
        <v>14/05/2020 12:00:00 a. m.</v>
      </c>
      <c r="AT356" t="str">
        <f t="shared" si="412"/>
        <v>1</v>
      </c>
      <c r="AU356" t="str">
        <f>""</f>
        <v/>
      </c>
      <c r="AV356" t="str">
        <f>"3"</f>
        <v>3</v>
      </c>
      <c r="AW356" t="str">
        <f>"27/01/2004 12:00:00 a. m."</f>
        <v>27/01/2004 12:00:00 a. m.</v>
      </c>
      <c r="AX356" t="str">
        <f>""</f>
        <v/>
      </c>
      <c r="AY356" t="str">
        <f t="shared" si="381"/>
        <v>30/04/2021 12:00:00 a. m.</v>
      </c>
      <c r="AZ356" t="str">
        <f>"1/06/2020 12:00:00 a. m."</f>
        <v>1/06/2020 12:00:00 a. m.</v>
      </c>
      <c r="BA356" t="str">
        <f>""</f>
        <v/>
      </c>
      <c r="BB356" t="str">
        <f>""</f>
        <v/>
      </c>
      <c r="BC356" t="str">
        <f>""</f>
        <v/>
      </c>
      <c r="BD356" t="str">
        <f t="shared" si="404"/>
        <v>1</v>
      </c>
      <c r="BE356" t="str">
        <f t="shared" si="404"/>
        <v>1</v>
      </c>
      <c r="BF356" t="str">
        <f t="shared" si="383"/>
        <v xml:space="preserve">3         </v>
      </c>
      <c r="BG356" t="str">
        <f t="shared" si="384"/>
        <v>Confirmado por laboratorio</v>
      </c>
      <c r="BH356" t="str">
        <f>"FUNDACION VALLE DEL LILI"</f>
        <v>FUNDACION VALLE DEL LILI</v>
      </c>
      <c r="BI356" t="str">
        <f t="shared" si="393"/>
        <v>COLOMBIA</v>
      </c>
      <c r="BJ356" t="str">
        <f t="shared" si="385"/>
        <v>CANCER INFANTIL</v>
      </c>
      <c r="BK356" t="str">
        <f>"VALLE"</f>
        <v>VALLE</v>
      </c>
      <c r="BL356" t="str">
        <f>"CALI"</f>
        <v>CALI</v>
      </c>
      <c r="BM356" t="str">
        <f t="shared" si="394"/>
        <v>COLOMBIA</v>
      </c>
      <c r="BN356" t="str">
        <f>"VALLE"</f>
        <v>VALLE</v>
      </c>
      <c r="BO356" t="str">
        <f>"CALI"</f>
        <v>CALI</v>
      </c>
      <c r="BP356" t="str">
        <f>"VALLE"</f>
        <v>VALLE</v>
      </c>
      <c r="BQ356" t="str">
        <f>"CALI"</f>
        <v>CALI</v>
      </c>
    </row>
    <row r="357" spans="1:69" x14ac:dyDescent="0.25">
      <c r="A357" t="str">
        <f>"7285509"</f>
        <v>7285509</v>
      </c>
      <c r="B357" t="str">
        <f t="shared" si="378"/>
        <v>459</v>
      </c>
      <c r="C357" t="str">
        <f>"31/03/2020 12:00:00 a. m."</f>
        <v>31/03/2020 12:00:00 a. m.</v>
      </c>
      <c r="D357" t="str">
        <f>"12"</f>
        <v>12</v>
      </c>
      <c r="E357" t="str">
        <f t="shared" si="379"/>
        <v>2020</v>
      </c>
      <c r="F357" t="str">
        <f>"6800100431"</f>
        <v>6800100431</v>
      </c>
      <c r="G357" t="str">
        <f t="shared" si="414"/>
        <v>01</v>
      </c>
      <c r="H357" t="str">
        <f>"3"</f>
        <v>3</v>
      </c>
      <c r="I357" t="str">
        <f t="shared" si="396"/>
        <v>1</v>
      </c>
      <c r="J357" t="str">
        <f>"M"</f>
        <v>M</v>
      </c>
      <c r="K357" t="str">
        <f t="shared" si="389"/>
        <v>170</v>
      </c>
      <c r="L357" t="str">
        <f>"68"</f>
        <v>68</v>
      </c>
      <c r="M357" t="str">
        <f>"307"</f>
        <v>307</v>
      </c>
      <c r="N357" t="str">
        <f t="shared" si="406"/>
        <v>1</v>
      </c>
      <c r="O357" t="str">
        <f>"9999"</f>
        <v>9999</v>
      </c>
      <c r="P357" t="str">
        <f>"C"</f>
        <v>C</v>
      </c>
      <c r="Q357" t="str">
        <f>"EPS042"</f>
        <v>EPS042</v>
      </c>
      <c r="R357" t="str">
        <f t="shared" si="397"/>
        <v>6</v>
      </c>
      <c r="S357" t="str">
        <f>""</f>
        <v/>
      </c>
      <c r="T357" t="str">
        <f t="shared" si="399"/>
        <v xml:space="preserve">                                                                                                    </v>
      </c>
      <c r="U357" t="str">
        <f>"3         "</f>
        <v xml:space="preserve">3         </v>
      </c>
      <c r="V357" t="str">
        <f t="shared" si="403"/>
        <v>2</v>
      </c>
      <c r="W357" t="str">
        <f t="shared" si="365"/>
        <v>2</v>
      </c>
      <c r="X357" t="str">
        <f t="shared" si="407"/>
        <v>2</v>
      </c>
      <c r="Y357" t="str">
        <f t="shared" si="400"/>
        <v>2</v>
      </c>
      <c r="Z357" t="str">
        <f t="shared" si="400"/>
        <v>2</v>
      </c>
      <c r="AA357" t="str">
        <f t="shared" si="380"/>
        <v xml:space="preserve">          </v>
      </c>
      <c r="AB357" t="str">
        <f t="shared" si="372"/>
        <v>2</v>
      </c>
      <c r="AC357" t="str">
        <f t="shared" si="373"/>
        <v>2</v>
      </c>
      <c r="AD357" t="str">
        <f t="shared" si="402"/>
        <v>2</v>
      </c>
      <c r="AE357" t="str">
        <f t="shared" si="402"/>
        <v>2</v>
      </c>
      <c r="AF357" t="str">
        <f t="shared" si="402"/>
        <v>2</v>
      </c>
      <c r="AG357" t="str">
        <f t="shared" si="402"/>
        <v>2</v>
      </c>
      <c r="AH357" t="str">
        <f t="shared" si="408"/>
        <v>1</v>
      </c>
      <c r="AI357" t="str">
        <f t="shared" si="405"/>
        <v xml:space="preserve">1         </v>
      </c>
      <c r="AJ357" t="str">
        <f t="shared" si="392"/>
        <v>170</v>
      </c>
      <c r="AK357" t="str">
        <f>"68"</f>
        <v>68</v>
      </c>
      <c r="AL357" t="str">
        <f>"307"</f>
        <v>307</v>
      </c>
      <c r="AM357" t="str">
        <f>"68"</f>
        <v>68</v>
      </c>
      <c r="AN357" t="str">
        <f>"68001"</f>
        <v>68001</v>
      </c>
      <c r="AO357" t="str">
        <f>"21/03/2020 12:00:00 a. m."</f>
        <v>21/03/2020 12:00:00 a. m.</v>
      </c>
      <c r="AP357" t="str">
        <f>"6/03/2020 12:00:00 a. m."</f>
        <v>6/03/2020 12:00:00 a. m.</v>
      </c>
      <c r="AQ357" t="str">
        <f t="shared" ref="AQ357:AQ364" si="415">"3"</f>
        <v>3</v>
      </c>
      <c r="AR357" t="str">
        <f t="shared" si="411"/>
        <v>1</v>
      </c>
      <c r="AS357" t="str">
        <f>"21/03/2020 12:00:00 a. m."</f>
        <v>21/03/2020 12:00:00 a. m.</v>
      </c>
      <c r="AT357" t="str">
        <f t="shared" si="412"/>
        <v>1</v>
      </c>
      <c r="AU357" t="str">
        <f>""</f>
        <v/>
      </c>
      <c r="AV357" t="str">
        <f>"7"</f>
        <v>7</v>
      </c>
      <c r="AW357" t="str">
        <f>"1/09/2016 12:00:00 a. m."</f>
        <v>1/09/2016 12:00:00 a. m.</v>
      </c>
      <c r="AX357" t="str">
        <f>""</f>
        <v/>
      </c>
      <c r="AY357" t="str">
        <f t="shared" si="381"/>
        <v>30/04/2021 12:00:00 a. m.</v>
      </c>
      <c r="AZ357" t="str">
        <f>"6/04/2021 12:00:00 a. m."</f>
        <v>6/04/2021 12:00:00 a. m.</v>
      </c>
      <c r="BA357" t="str">
        <f>""</f>
        <v/>
      </c>
      <c r="BB357" t="str">
        <f>""</f>
        <v/>
      </c>
      <c r="BC357" t="str">
        <f>""</f>
        <v/>
      </c>
      <c r="BD357" t="str">
        <f t="shared" si="404"/>
        <v>1</v>
      </c>
      <c r="BE357" t="str">
        <f t="shared" si="404"/>
        <v>1</v>
      </c>
      <c r="BF357" t="str">
        <f t="shared" si="383"/>
        <v xml:space="preserve">3         </v>
      </c>
      <c r="BG357" t="str">
        <f t="shared" si="384"/>
        <v>Confirmado por laboratorio</v>
      </c>
      <c r="BH357" t="str">
        <f>"CLINICA MATERNO INFANTEL SAN LUIS SA"</f>
        <v>CLINICA MATERNO INFANTEL SAN LUIS SA</v>
      </c>
      <c r="BI357" t="str">
        <f t="shared" si="393"/>
        <v>COLOMBIA</v>
      </c>
      <c r="BJ357" t="str">
        <f t="shared" si="385"/>
        <v>CANCER INFANTIL</v>
      </c>
      <c r="BK357" t="str">
        <f>"SANTANDER"</f>
        <v>SANTANDER</v>
      </c>
      <c r="BL357" t="str">
        <f>"GIRON"</f>
        <v>GIRON</v>
      </c>
      <c r="BM357" t="str">
        <f t="shared" si="394"/>
        <v>COLOMBIA</v>
      </c>
      <c r="BN357" t="str">
        <f>"SANTANDER"</f>
        <v>SANTANDER</v>
      </c>
      <c r="BO357" t="str">
        <f>"GIRON"</f>
        <v>GIRON</v>
      </c>
      <c r="BP357" t="str">
        <f>"SANTANDER"</f>
        <v>SANTANDER</v>
      </c>
      <c r="BQ357" t="str">
        <f>"BUCARAMANGA"</f>
        <v>BUCARAMANGA</v>
      </c>
    </row>
    <row r="358" spans="1:69" x14ac:dyDescent="0.25">
      <c r="A358" t="str">
        <f>"7285599"</f>
        <v>7285599</v>
      </c>
      <c r="B358" t="str">
        <f t="shared" si="378"/>
        <v>459</v>
      </c>
      <c r="C358" t="str">
        <f>"14/10/2020 12:00:00 a. m."</f>
        <v>14/10/2020 12:00:00 a. m.</v>
      </c>
      <c r="D358" t="str">
        <f>"39"</f>
        <v>39</v>
      </c>
      <c r="E358" t="str">
        <f t="shared" si="379"/>
        <v>2020</v>
      </c>
      <c r="F358" t="str">
        <f>"5200100283"</f>
        <v>5200100283</v>
      </c>
      <c r="G358" t="str">
        <f t="shared" si="414"/>
        <v>01</v>
      </c>
      <c r="H358" t="str">
        <f>"17"</f>
        <v>17</v>
      </c>
      <c r="I358" t="str">
        <f t="shared" si="396"/>
        <v>1</v>
      </c>
      <c r="J358" t="str">
        <f>"M"</f>
        <v>M</v>
      </c>
      <c r="K358" t="str">
        <f t="shared" si="389"/>
        <v>170</v>
      </c>
      <c r="L358" t="str">
        <f>"52"</f>
        <v>52</v>
      </c>
      <c r="M358" t="str">
        <f>"399"</f>
        <v>399</v>
      </c>
      <c r="N358" t="str">
        <f>"2"</f>
        <v>2</v>
      </c>
      <c r="O358" t="str">
        <f>"9997"</f>
        <v>9997</v>
      </c>
      <c r="P358" t="str">
        <f>"S"</f>
        <v>S</v>
      </c>
      <c r="Q358" t="str">
        <f>"ESS118"</f>
        <v>ESS118</v>
      </c>
      <c r="R358" t="str">
        <f t="shared" si="397"/>
        <v>6</v>
      </c>
      <c r="S358" t="str">
        <f>""</f>
        <v/>
      </c>
      <c r="T358" t="str">
        <f t="shared" si="399"/>
        <v xml:space="preserve">                                                                                                    </v>
      </c>
      <c r="U358" t="str">
        <f>"1         "</f>
        <v xml:space="preserve">1         </v>
      </c>
      <c r="V358" t="str">
        <f t="shared" si="403"/>
        <v>2</v>
      </c>
      <c r="W358" t="str">
        <f t="shared" si="365"/>
        <v>2</v>
      </c>
      <c r="X358" t="str">
        <f t="shared" si="407"/>
        <v>2</v>
      </c>
      <c r="Y358" t="str">
        <f t="shared" si="400"/>
        <v>2</v>
      </c>
      <c r="Z358" t="str">
        <f t="shared" si="400"/>
        <v>2</v>
      </c>
      <c r="AA358" t="str">
        <f t="shared" si="380"/>
        <v xml:space="preserve">          </v>
      </c>
      <c r="AB358" t="str">
        <f t="shared" si="372"/>
        <v>2</v>
      </c>
      <c r="AC358" t="str">
        <f t="shared" si="373"/>
        <v>2</v>
      </c>
      <c r="AD358" t="str">
        <f t="shared" si="402"/>
        <v>2</v>
      </c>
      <c r="AE358" t="str">
        <f t="shared" si="402"/>
        <v>2</v>
      </c>
      <c r="AF358" t="str">
        <f t="shared" si="402"/>
        <v>2</v>
      </c>
      <c r="AG358" t="str">
        <f t="shared" si="402"/>
        <v>2</v>
      </c>
      <c r="AH358" t="str">
        <f t="shared" si="408"/>
        <v>1</v>
      </c>
      <c r="AI358" t="str">
        <f t="shared" si="405"/>
        <v xml:space="preserve">1         </v>
      </c>
      <c r="AJ358" t="str">
        <f t="shared" si="392"/>
        <v>170</v>
      </c>
      <c r="AK358" t="str">
        <f>"52"</f>
        <v>52</v>
      </c>
      <c r="AL358" t="str">
        <f>"399"</f>
        <v>399</v>
      </c>
      <c r="AM358" t="str">
        <f>"52"</f>
        <v>52</v>
      </c>
      <c r="AN358" t="str">
        <f>"52001"</f>
        <v>52001</v>
      </c>
      <c r="AO358" t="str">
        <f>"21/09/2020 12:00:00 a. m."</f>
        <v>21/09/2020 12:00:00 a. m.</v>
      </c>
      <c r="AP358" t="str">
        <f>"21/09/2017 12:00:00 a. m."</f>
        <v>21/09/2017 12:00:00 a. m.</v>
      </c>
      <c r="AQ358" t="str">
        <f t="shared" si="415"/>
        <v>3</v>
      </c>
      <c r="AR358" t="str">
        <f>"2"</f>
        <v>2</v>
      </c>
      <c r="AS358" t="str">
        <f>""</f>
        <v/>
      </c>
      <c r="AT358" t="str">
        <f t="shared" si="412"/>
        <v>1</v>
      </c>
      <c r="AU358" t="str">
        <f>""</f>
        <v/>
      </c>
      <c r="AV358" t="str">
        <f>"0"</f>
        <v>0</v>
      </c>
      <c r="AW358" t="str">
        <f>"26/12/2002 12:00:00 a. m."</f>
        <v>26/12/2002 12:00:00 a. m.</v>
      </c>
      <c r="AX358" t="str">
        <f>""</f>
        <v/>
      </c>
      <c r="AY358" t="str">
        <f t="shared" si="381"/>
        <v>30/04/2021 12:00:00 a. m.</v>
      </c>
      <c r="AZ358" t="str">
        <f>"16/10/2020 12:00:00 a. m."</f>
        <v>16/10/2020 12:00:00 a. m.</v>
      </c>
      <c r="BA358" t="str">
        <f>""</f>
        <v/>
      </c>
      <c r="BB358" t="str">
        <f>""</f>
        <v/>
      </c>
      <c r="BC358" t="str">
        <f>""</f>
        <v/>
      </c>
      <c r="BD358" t="str">
        <f t="shared" si="404"/>
        <v>1</v>
      </c>
      <c r="BE358" t="str">
        <f t="shared" si="404"/>
        <v>1</v>
      </c>
      <c r="BF358" t="str">
        <f t="shared" si="383"/>
        <v xml:space="preserve">3         </v>
      </c>
      <c r="BG358" t="str">
        <f t="shared" si="384"/>
        <v>Confirmado por laboratorio</v>
      </c>
      <c r="BH358" t="str">
        <f>"HOSPITAL INFANTIL LOS ANGELES"</f>
        <v>HOSPITAL INFANTIL LOS ANGELES</v>
      </c>
      <c r="BI358" t="str">
        <f t="shared" si="393"/>
        <v>COLOMBIA</v>
      </c>
      <c r="BJ358" t="str">
        <f t="shared" si="385"/>
        <v>CANCER INFANTIL</v>
      </c>
      <c r="BK358" t="str">
        <f>"NARIÑO"</f>
        <v>NARIÑO</v>
      </c>
      <c r="BL358" t="str">
        <f>"LA UNION"</f>
        <v>LA UNION</v>
      </c>
      <c r="BM358" t="str">
        <f t="shared" si="394"/>
        <v>COLOMBIA</v>
      </c>
      <c r="BN358" t="str">
        <f>"NARIÑO"</f>
        <v>NARIÑO</v>
      </c>
      <c r="BO358" t="str">
        <f>"LA UNION"</f>
        <v>LA UNION</v>
      </c>
      <c r="BP358" t="str">
        <f>"NARIÑO"</f>
        <v>NARIÑO</v>
      </c>
      <c r="BQ358" t="str">
        <f>"PASTO"</f>
        <v>PASTO</v>
      </c>
    </row>
    <row r="359" spans="1:69" x14ac:dyDescent="0.25">
      <c r="A359" t="str">
        <f>"7279153"</f>
        <v>7279153</v>
      </c>
      <c r="B359" t="str">
        <f t="shared" si="378"/>
        <v>459</v>
      </c>
      <c r="C359" t="str">
        <f>"10/11/2020 12:00:00 a. m."</f>
        <v>10/11/2020 12:00:00 a. m.</v>
      </c>
      <c r="D359" t="str">
        <f>"40"</f>
        <v>40</v>
      </c>
      <c r="E359" t="str">
        <f t="shared" si="379"/>
        <v>2020</v>
      </c>
      <c r="F359" t="str">
        <f>"0800100623"</f>
        <v>0800100623</v>
      </c>
      <c r="G359" t="str">
        <f t="shared" si="414"/>
        <v>01</v>
      </c>
      <c r="H359" t="str">
        <f>"8"</f>
        <v>8</v>
      </c>
      <c r="I359" t="str">
        <f t="shared" si="396"/>
        <v>1</v>
      </c>
      <c r="J359" t="str">
        <f>"F"</f>
        <v>F</v>
      </c>
      <c r="K359" t="str">
        <f t="shared" si="389"/>
        <v>170</v>
      </c>
      <c r="L359" t="str">
        <f>"44"</f>
        <v>44</v>
      </c>
      <c r="M359" t="str">
        <f>"098"</f>
        <v>098</v>
      </c>
      <c r="N359" t="str">
        <f t="shared" ref="N359:N365" si="416">"1"</f>
        <v>1</v>
      </c>
      <c r="O359" t="str">
        <f>"9997"</f>
        <v>9997</v>
      </c>
      <c r="P359" t="str">
        <f>"S"</f>
        <v>S</v>
      </c>
      <c r="Q359" t="str">
        <f>"EPSI04"</f>
        <v>EPSI04</v>
      </c>
      <c r="R359" t="str">
        <f t="shared" si="397"/>
        <v>6</v>
      </c>
      <c r="S359" t="str">
        <f>""</f>
        <v/>
      </c>
      <c r="T359" t="str">
        <f t="shared" si="399"/>
        <v xml:space="preserve">                                                                                                    </v>
      </c>
      <c r="U359" t="str">
        <f>"1         "</f>
        <v xml:space="preserve">1         </v>
      </c>
      <c r="V359" t="str">
        <f t="shared" si="403"/>
        <v>2</v>
      </c>
      <c r="W359" t="str">
        <f t="shared" si="365"/>
        <v>2</v>
      </c>
      <c r="X359" t="str">
        <f t="shared" si="407"/>
        <v>2</v>
      </c>
      <c r="Y359" t="str">
        <f t="shared" ref="Y359:Z378" si="417">"2"</f>
        <v>2</v>
      </c>
      <c r="Z359" t="str">
        <f t="shared" si="417"/>
        <v>2</v>
      </c>
      <c r="AA359" t="str">
        <f t="shared" si="380"/>
        <v xml:space="preserve">          </v>
      </c>
      <c r="AB359" t="str">
        <f t="shared" si="372"/>
        <v>2</v>
      </c>
      <c r="AC359" t="str">
        <f t="shared" si="373"/>
        <v>2</v>
      </c>
      <c r="AD359" t="str">
        <f t="shared" si="402"/>
        <v>2</v>
      </c>
      <c r="AE359" t="str">
        <f t="shared" si="402"/>
        <v>2</v>
      </c>
      <c r="AF359" t="str">
        <f t="shared" si="402"/>
        <v>2</v>
      </c>
      <c r="AG359" t="str">
        <f t="shared" si="402"/>
        <v>2</v>
      </c>
      <c r="AH359" t="str">
        <f t="shared" si="408"/>
        <v>1</v>
      </c>
      <c r="AI359" t="str">
        <f t="shared" si="405"/>
        <v xml:space="preserve">1         </v>
      </c>
      <c r="AJ359" t="str">
        <f t="shared" si="392"/>
        <v>170</v>
      </c>
      <c r="AK359" t="str">
        <f>"44"</f>
        <v>44</v>
      </c>
      <c r="AL359" t="str">
        <f>"098"</f>
        <v>098</v>
      </c>
      <c r="AM359" t="str">
        <f>"08"</f>
        <v>08</v>
      </c>
      <c r="AN359" t="str">
        <f>"08001"</f>
        <v>08001</v>
      </c>
      <c r="AO359" t="str">
        <f>"30/09/2020 12:00:00 a. m."</f>
        <v>30/09/2020 12:00:00 a. m.</v>
      </c>
      <c r="AP359" t="str">
        <f>"1/09/2020 12:00:00 a. m."</f>
        <v>1/09/2020 12:00:00 a. m.</v>
      </c>
      <c r="AQ359" t="str">
        <f t="shared" si="415"/>
        <v>3</v>
      </c>
      <c r="AR359" t="str">
        <f>"2"</f>
        <v>2</v>
      </c>
      <c r="AS359" t="str">
        <f>""</f>
        <v/>
      </c>
      <c r="AT359" t="str">
        <f t="shared" si="412"/>
        <v>1</v>
      </c>
      <c r="AU359" t="str">
        <f>""</f>
        <v/>
      </c>
      <c r="AV359" t="str">
        <f>"7"</f>
        <v>7</v>
      </c>
      <c r="AW359" t="str">
        <f>"13/09/2012 12:00:00 a. m."</f>
        <v>13/09/2012 12:00:00 a. m.</v>
      </c>
      <c r="AX359" t="str">
        <f>""</f>
        <v/>
      </c>
      <c r="AY359" t="str">
        <f t="shared" si="381"/>
        <v>30/04/2021 12:00:00 a. m.</v>
      </c>
      <c r="AZ359" t="str">
        <f>"20/01/2021 12:00:00 a. m."</f>
        <v>20/01/2021 12:00:00 a. m.</v>
      </c>
      <c r="BA359" t="str">
        <f>""</f>
        <v/>
      </c>
      <c r="BB359" t="str">
        <f>""</f>
        <v/>
      </c>
      <c r="BC359" t="str">
        <f>""</f>
        <v/>
      </c>
      <c r="BD359" t="str">
        <f t="shared" si="404"/>
        <v>1</v>
      </c>
      <c r="BE359" t="str">
        <f t="shared" si="404"/>
        <v>1</v>
      </c>
      <c r="BF359" t="str">
        <f t="shared" si="383"/>
        <v xml:space="preserve">3         </v>
      </c>
      <c r="BG359" t="str">
        <f t="shared" si="384"/>
        <v>Confirmado por laboratorio</v>
      </c>
      <c r="BH359" t="str">
        <f>"CENTRO CANCEROLOGICO DEL CARIBE CECAC LTDA"</f>
        <v>CENTRO CANCEROLOGICO DEL CARIBE CECAC LTDA</v>
      </c>
      <c r="BI359" t="str">
        <f t="shared" si="393"/>
        <v>COLOMBIA</v>
      </c>
      <c r="BJ359" t="str">
        <f t="shared" si="385"/>
        <v>CANCER INFANTIL</v>
      </c>
      <c r="BK359" t="str">
        <f>"GUAJIRA"</f>
        <v>GUAJIRA</v>
      </c>
      <c r="BL359" t="str">
        <f>"DISTRACCION"</f>
        <v>DISTRACCION</v>
      </c>
      <c r="BM359" t="str">
        <f t="shared" si="394"/>
        <v>COLOMBIA</v>
      </c>
      <c r="BN359" t="str">
        <f>"GUAJIRA"</f>
        <v>GUAJIRA</v>
      </c>
      <c r="BO359" t="str">
        <f>"DISTRACCION"</f>
        <v>DISTRACCION</v>
      </c>
      <c r="BP359" t="str">
        <f>"ATLANTICO"</f>
        <v>ATLANTICO</v>
      </c>
      <c r="BQ359" t="str">
        <f>"BARRANQUILLA"</f>
        <v>BARRANQUILLA</v>
      </c>
    </row>
    <row r="360" spans="1:69" x14ac:dyDescent="0.25">
      <c r="A360" t="str">
        <f>"7279157"</f>
        <v>7279157</v>
      </c>
      <c r="B360" t="str">
        <f t="shared" si="378"/>
        <v>459</v>
      </c>
      <c r="C360" t="str">
        <f>"18/02/2020 12:00:00 a. m."</f>
        <v>18/02/2020 12:00:00 a. m.</v>
      </c>
      <c r="D360" t="str">
        <f>"05"</f>
        <v>05</v>
      </c>
      <c r="E360" t="str">
        <f t="shared" si="379"/>
        <v>2020</v>
      </c>
      <c r="F360" t="str">
        <f>"1100105681"</f>
        <v>1100105681</v>
      </c>
      <c r="G360" t="str">
        <f t="shared" si="414"/>
        <v>01</v>
      </c>
      <c r="H360" t="str">
        <f>"4"</f>
        <v>4</v>
      </c>
      <c r="I360" t="str">
        <f t="shared" si="396"/>
        <v>1</v>
      </c>
      <c r="J360" t="str">
        <f>"M"</f>
        <v>M</v>
      </c>
      <c r="K360" t="str">
        <f t="shared" si="389"/>
        <v>170</v>
      </c>
      <c r="L360" t="str">
        <f>"73"</f>
        <v>73</v>
      </c>
      <c r="M360" t="str">
        <f>"268"</f>
        <v>268</v>
      </c>
      <c r="N360" t="str">
        <f t="shared" si="416"/>
        <v>1</v>
      </c>
      <c r="O360" t="str">
        <f>"9999"</f>
        <v>9999</v>
      </c>
      <c r="P360" t="str">
        <f t="shared" ref="P360:P365" si="418">"C"</f>
        <v>C</v>
      </c>
      <c r="Q360" t="str">
        <f>"EPS037"</f>
        <v>EPS037</v>
      </c>
      <c r="R360" t="str">
        <f t="shared" si="397"/>
        <v>6</v>
      </c>
      <c r="S360" t="str">
        <f>""</f>
        <v/>
      </c>
      <c r="T360" t="str">
        <f t="shared" si="399"/>
        <v xml:space="preserve">                                                                                                    </v>
      </c>
      <c r="U360" t="str">
        <f>"2         "</f>
        <v xml:space="preserve">2         </v>
      </c>
      <c r="V360" t="str">
        <f t="shared" si="403"/>
        <v>2</v>
      </c>
      <c r="W360" t="str">
        <f t="shared" si="365"/>
        <v>2</v>
      </c>
      <c r="X360" t="str">
        <f t="shared" si="407"/>
        <v>2</v>
      </c>
      <c r="Y360" t="str">
        <f t="shared" si="417"/>
        <v>2</v>
      </c>
      <c r="Z360" t="str">
        <f t="shared" si="417"/>
        <v>2</v>
      </c>
      <c r="AA360" t="str">
        <f t="shared" si="380"/>
        <v xml:space="preserve">          </v>
      </c>
      <c r="AB360" t="str">
        <f t="shared" si="372"/>
        <v>2</v>
      </c>
      <c r="AC360" t="str">
        <f t="shared" si="373"/>
        <v>2</v>
      </c>
      <c r="AD360" t="str">
        <f t="shared" ref="AD360:AG379" si="419">"2"</f>
        <v>2</v>
      </c>
      <c r="AE360" t="str">
        <f t="shared" si="419"/>
        <v>2</v>
      </c>
      <c r="AF360" t="str">
        <f t="shared" si="419"/>
        <v>2</v>
      </c>
      <c r="AG360" t="str">
        <f t="shared" si="419"/>
        <v>2</v>
      </c>
      <c r="AH360" t="str">
        <f t="shared" si="408"/>
        <v>1</v>
      </c>
      <c r="AI360" t="str">
        <f t="shared" si="405"/>
        <v xml:space="preserve">1         </v>
      </c>
      <c r="AJ360" t="str">
        <f t="shared" si="392"/>
        <v>170</v>
      </c>
      <c r="AK360" t="str">
        <f>"73"</f>
        <v>73</v>
      </c>
      <c r="AL360" t="str">
        <f>"268"</f>
        <v>268</v>
      </c>
      <c r="AM360" t="str">
        <f>"11"</f>
        <v>11</v>
      </c>
      <c r="AN360" t="str">
        <f>"11001"</f>
        <v>11001</v>
      </c>
      <c r="AO360" t="str">
        <f>"29/01/2020 12:00:00 a. m."</f>
        <v>29/01/2020 12:00:00 a. m.</v>
      </c>
      <c r="AP360" t="str">
        <f>"24/01/2020 12:00:00 a. m."</f>
        <v>24/01/2020 12:00:00 a. m.</v>
      </c>
      <c r="AQ360" t="str">
        <f t="shared" si="415"/>
        <v>3</v>
      </c>
      <c r="AR360" t="str">
        <f>"1"</f>
        <v>1</v>
      </c>
      <c r="AS360" t="str">
        <f>"29/01/2020 12:00:00 a. m."</f>
        <v>29/01/2020 12:00:00 a. m.</v>
      </c>
      <c r="AT360" t="str">
        <f t="shared" si="412"/>
        <v>1</v>
      </c>
      <c r="AU360" t="str">
        <f>""</f>
        <v/>
      </c>
      <c r="AV360" t="str">
        <f>"0"</f>
        <v>0</v>
      </c>
      <c r="AW360" t="str">
        <f>"5/03/2015 12:00:00 a. m."</f>
        <v>5/03/2015 12:00:00 a. m.</v>
      </c>
      <c r="AX360" t="str">
        <f>""</f>
        <v/>
      </c>
      <c r="AY360" t="str">
        <f t="shared" si="381"/>
        <v>30/04/2021 12:00:00 a. m.</v>
      </c>
      <c r="AZ360" t="str">
        <f>"20/02/2020 12:00:00 a. m."</f>
        <v>20/02/2020 12:00:00 a. m.</v>
      </c>
      <c r="BA360" t="str">
        <f>""</f>
        <v/>
      </c>
      <c r="BB360" t="str">
        <f>""</f>
        <v/>
      </c>
      <c r="BC360" t="str">
        <f>""</f>
        <v/>
      </c>
      <c r="BD360" t="str">
        <f t="shared" si="404"/>
        <v>1</v>
      </c>
      <c r="BE360" t="str">
        <f t="shared" si="404"/>
        <v>1</v>
      </c>
      <c r="BF360" t="str">
        <f t="shared" si="383"/>
        <v xml:space="preserve">3         </v>
      </c>
      <c r="BG360" t="str">
        <f t="shared" si="384"/>
        <v>Confirmado por laboratorio</v>
      </c>
      <c r="BH360" t="str">
        <f>"FUNDACION HOSPITAL DE LA MISERICORDIA"</f>
        <v>FUNDACION HOSPITAL DE LA MISERICORDIA</v>
      </c>
      <c r="BI360" t="str">
        <f t="shared" si="393"/>
        <v>COLOMBIA</v>
      </c>
      <c r="BJ360" t="str">
        <f t="shared" si="385"/>
        <v>CANCER INFANTIL</v>
      </c>
      <c r="BK360" t="str">
        <f>"TOLIMA"</f>
        <v>TOLIMA</v>
      </c>
      <c r="BL360" t="str">
        <f>"ESPINAL"</f>
        <v>ESPINAL</v>
      </c>
      <c r="BM360" t="str">
        <f t="shared" si="394"/>
        <v>COLOMBIA</v>
      </c>
      <c r="BN360" t="str">
        <f>"TOLIMA"</f>
        <v>TOLIMA</v>
      </c>
      <c r="BO360" t="str">
        <f>"ESPINAL"</f>
        <v>ESPINAL</v>
      </c>
      <c r="BP360" t="str">
        <f t="shared" ref="BP360:BQ362" si="420">"BOGOTA"</f>
        <v>BOGOTA</v>
      </c>
      <c r="BQ360" t="str">
        <f t="shared" si="420"/>
        <v>BOGOTA</v>
      </c>
    </row>
    <row r="361" spans="1:69" x14ac:dyDescent="0.25">
      <c r="A361" t="str">
        <f>"7279101"</f>
        <v>7279101</v>
      </c>
      <c r="B361" t="str">
        <f t="shared" si="378"/>
        <v>459</v>
      </c>
      <c r="C361" t="str">
        <f>"22/09/2020 12:00:00 a. m."</f>
        <v>22/09/2020 12:00:00 a. m.</v>
      </c>
      <c r="D361" t="str">
        <f>"39"</f>
        <v>39</v>
      </c>
      <c r="E361" t="str">
        <f t="shared" si="379"/>
        <v>2020</v>
      </c>
      <c r="F361" t="str">
        <f>"1100105681"</f>
        <v>1100105681</v>
      </c>
      <c r="G361" t="str">
        <f t="shared" si="414"/>
        <v>01</v>
      </c>
      <c r="H361" t="str">
        <f>"3"</f>
        <v>3</v>
      </c>
      <c r="I361" t="str">
        <f t="shared" si="396"/>
        <v>1</v>
      </c>
      <c r="J361" t="str">
        <f>"F"</f>
        <v>F</v>
      </c>
      <c r="K361" t="str">
        <f t="shared" si="389"/>
        <v>170</v>
      </c>
      <c r="L361" t="str">
        <f>"25"</f>
        <v>25</v>
      </c>
      <c r="M361" t="str">
        <f>"290"</f>
        <v>290</v>
      </c>
      <c r="N361" t="str">
        <f t="shared" si="416"/>
        <v>1</v>
      </c>
      <c r="O361" t="str">
        <f>"9999"</f>
        <v>9999</v>
      </c>
      <c r="P361" t="str">
        <f t="shared" si="418"/>
        <v>C</v>
      </c>
      <c r="Q361" t="str">
        <f>"EPS005"</f>
        <v>EPS005</v>
      </c>
      <c r="R361" t="str">
        <f t="shared" si="397"/>
        <v>6</v>
      </c>
      <c r="S361" t="str">
        <f>""</f>
        <v/>
      </c>
      <c r="T361" t="str">
        <f t="shared" si="399"/>
        <v xml:space="preserve">                                                                                                    </v>
      </c>
      <c r="U361" t="str">
        <f>"2         "</f>
        <v xml:space="preserve">2         </v>
      </c>
      <c r="V361" t="str">
        <f t="shared" si="403"/>
        <v>2</v>
      </c>
      <c r="W361" t="str">
        <f t="shared" si="365"/>
        <v>2</v>
      </c>
      <c r="X361" t="str">
        <f t="shared" si="407"/>
        <v>2</v>
      </c>
      <c r="Y361" t="str">
        <f t="shared" si="417"/>
        <v>2</v>
      </c>
      <c r="Z361" t="str">
        <f t="shared" si="417"/>
        <v>2</v>
      </c>
      <c r="AA361" t="str">
        <f t="shared" si="380"/>
        <v xml:space="preserve">          </v>
      </c>
      <c r="AB361" t="str">
        <f t="shared" si="372"/>
        <v>2</v>
      </c>
      <c r="AC361" t="str">
        <f t="shared" si="373"/>
        <v>2</v>
      </c>
      <c r="AD361" t="str">
        <f t="shared" si="419"/>
        <v>2</v>
      </c>
      <c r="AE361" t="str">
        <f t="shared" si="419"/>
        <v>2</v>
      </c>
      <c r="AF361" t="str">
        <f t="shared" si="419"/>
        <v>2</v>
      </c>
      <c r="AG361" t="str">
        <f t="shared" si="419"/>
        <v>2</v>
      </c>
      <c r="AH361" t="str">
        <f t="shared" si="408"/>
        <v>1</v>
      </c>
      <c r="AI361" t="str">
        <f t="shared" si="405"/>
        <v xml:space="preserve">1         </v>
      </c>
      <c r="AJ361" t="str">
        <f t="shared" si="392"/>
        <v>170</v>
      </c>
      <c r="AK361" t="str">
        <f>"25"</f>
        <v>25</v>
      </c>
      <c r="AL361" t="str">
        <f>"290"</f>
        <v>290</v>
      </c>
      <c r="AM361" t="str">
        <f>"11"</f>
        <v>11</v>
      </c>
      <c r="AN361" t="str">
        <f>"11001"</f>
        <v>11001</v>
      </c>
      <c r="AO361" t="str">
        <f>"22/09/2020 12:00:00 a. m."</f>
        <v>22/09/2020 12:00:00 a. m.</v>
      </c>
      <c r="AP361" t="str">
        <f>"20/09/2020 12:00:00 a. m."</f>
        <v>20/09/2020 12:00:00 a. m.</v>
      </c>
      <c r="AQ361" t="str">
        <f t="shared" si="415"/>
        <v>3</v>
      </c>
      <c r="AR361" t="str">
        <f>"1"</f>
        <v>1</v>
      </c>
      <c r="AS361" t="str">
        <f>"22/09/2020 12:00:00 a. m."</f>
        <v>22/09/2020 12:00:00 a. m.</v>
      </c>
      <c r="AT361" t="str">
        <f t="shared" si="412"/>
        <v>1</v>
      </c>
      <c r="AU361" t="str">
        <f>""</f>
        <v/>
      </c>
      <c r="AV361" t="str">
        <f>"0"</f>
        <v>0</v>
      </c>
      <c r="AW361" t="str">
        <f>"1/02/2017 12:00:00 a. m."</f>
        <v>1/02/2017 12:00:00 a. m.</v>
      </c>
      <c r="AX361" t="str">
        <f>""</f>
        <v/>
      </c>
      <c r="AY361" t="str">
        <f t="shared" si="381"/>
        <v>30/04/2021 12:00:00 a. m.</v>
      </c>
      <c r="AZ361" t="str">
        <f>"18/11/2020 12:00:00 a. m."</f>
        <v>18/11/2020 12:00:00 a. m.</v>
      </c>
      <c r="BA361" t="str">
        <f>""</f>
        <v/>
      </c>
      <c r="BB361" t="str">
        <f>""</f>
        <v/>
      </c>
      <c r="BC361" t="str">
        <f>""</f>
        <v/>
      </c>
      <c r="BD361" t="str">
        <f t="shared" si="404"/>
        <v>1</v>
      </c>
      <c r="BE361" t="str">
        <f t="shared" si="404"/>
        <v>1</v>
      </c>
      <c r="BF361" t="str">
        <f t="shared" si="383"/>
        <v xml:space="preserve">3         </v>
      </c>
      <c r="BG361" t="str">
        <f t="shared" si="384"/>
        <v>Confirmado por laboratorio</v>
      </c>
      <c r="BH361" t="str">
        <f>"FUNDACION HOSPITAL DE LA MISERICORDIA"</f>
        <v>FUNDACION HOSPITAL DE LA MISERICORDIA</v>
      </c>
      <c r="BI361" t="str">
        <f t="shared" si="393"/>
        <v>COLOMBIA</v>
      </c>
      <c r="BJ361" t="str">
        <f t="shared" si="385"/>
        <v>CANCER INFANTIL</v>
      </c>
      <c r="BK361" t="str">
        <f>"CUNDINAMARCA"</f>
        <v>CUNDINAMARCA</v>
      </c>
      <c r="BL361" t="str">
        <f>"FUSAGASUGA"</f>
        <v>FUSAGASUGA</v>
      </c>
      <c r="BM361" t="str">
        <f t="shared" si="394"/>
        <v>COLOMBIA</v>
      </c>
      <c r="BN361" t="str">
        <f>"CUNDINAMARCA"</f>
        <v>CUNDINAMARCA</v>
      </c>
      <c r="BO361" t="str">
        <f>"FUSAGASUGA"</f>
        <v>FUSAGASUGA</v>
      </c>
      <c r="BP361" t="str">
        <f t="shared" si="420"/>
        <v>BOGOTA</v>
      </c>
      <c r="BQ361" t="str">
        <f t="shared" si="420"/>
        <v>BOGOTA</v>
      </c>
    </row>
    <row r="362" spans="1:69" x14ac:dyDescent="0.25">
      <c r="A362" t="str">
        <f>"7285853"</f>
        <v>7285853</v>
      </c>
      <c r="B362" t="str">
        <f t="shared" si="378"/>
        <v>459</v>
      </c>
      <c r="C362" t="str">
        <f>"3/07/2020 12:00:00 a. m."</f>
        <v>3/07/2020 12:00:00 a. m.</v>
      </c>
      <c r="D362" t="str">
        <f>"19"</f>
        <v>19</v>
      </c>
      <c r="E362" t="str">
        <f t="shared" si="379"/>
        <v>2020</v>
      </c>
      <c r="F362" t="str">
        <f>"1100116133"</f>
        <v>1100116133</v>
      </c>
      <c r="G362" t="str">
        <f t="shared" si="414"/>
        <v>01</v>
      </c>
      <c r="H362" t="str">
        <f>"13"</f>
        <v>13</v>
      </c>
      <c r="I362" t="str">
        <f t="shared" si="396"/>
        <v>1</v>
      </c>
      <c r="J362" t="str">
        <f>"M"</f>
        <v>M</v>
      </c>
      <c r="K362" t="str">
        <f t="shared" si="389"/>
        <v>170</v>
      </c>
      <c r="L362" t="str">
        <f>"11"</f>
        <v>11</v>
      </c>
      <c r="M362" t="str">
        <f>"001"</f>
        <v>001</v>
      </c>
      <c r="N362" t="str">
        <f t="shared" si="416"/>
        <v>1</v>
      </c>
      <c r="O362" t="str">
        <f>"9997"</f>
        <v>9997</v>
      </c>
      <c r="P362" t="str">
        <f t="shared" si="418"/>
        <v>C</v>
      </c>
      <c r="Q362" t="str">
        <f>"EPS002"</f>
        <v>EPS002</v>
      </c>
      <c r="R362" t="str">
        <f t="shared" si="397"/>
        <v>6</v>
      </c>
      <c r="S362" t="str">
        <f>""</f>
        <v/>
      </c>
      <c r="T362" t="str">
        <f t="shared" si="399"/>
        <v xml:space="preserve">                                                                                                    </v>
      </c>
      <c r="U362" t="str">
        <f>"3         "</f>
        <v xml:space="preserve">3         </v>
      </c>
      <c r="V362" t="str">
        <f t="shared" si="403"/>
        <v>2</v>
      </c>
      <c r="W362" t="str">
        <f t="shared" si="365"/>
        <v>2</v>
      </c>
      <c r="X362" t="str">
        <f t="shared" si="407"/>
        <v>2</v>
      </c>
      <c r="Y362" t="str">
        <f t="shared" si="417"/>
        <v>2</v>
      </c>
      <c r="Z362" t="str">
        <f t="shared" si="417"/>
        <v>2</v>
      </c>
      <c r="AA362" t="str">
        <f t="shared" si="380"/>
        <v xml:space="preserve">          </v>
      </c>
      <c r="AB362" t="str">
        <f t="shared" si="372"/>
        <v>2</v>
      </c>
      <c r="AC362" t="str">
        <f t="shared" si="373"/>
        <v>2</v>
      </c>
      <c r="AD362" t="str">
        <f t="shared" si="419"/>
        <v>2</v>
      </c>
      <c r="AE362" t="str">
        <f t="shared" si="419"/>
        <v>2</v>
      </c>
      <c r="AF362" t="str">
        <f t="shared" si="419"/>
        <v>2</v>
      </c>
      <c r="AG362" t="str">
        <f t="shared" si="419"/>
        <v>2</v>
      </c>
      <c r="AH362" t="str">
        <f t="shared" si="408"/>
        <v>1</v>
      </c>
      <c r="AI362" t="str">
        <f>"2         "</f>
        <v xml:space="preserve">2         </v>
      </c>
      <c r="AJ362" t="str">
        <f t="shared" si="392"/>
        <v>170</v>
      </c>
      <c r="AK362" t="str">
        <f>"11"</f>
        <v>11</v>
      </c>
      <c r="AL362" t="str">
        <f>"001"</f>
        <v>001</v>
      </c>
      <c r="AM362" t="str">
        <f>"11"</f>
        <v>11</v>
      </c>
      <c r="AN362" t="str">
        <f>"11001"</f>
        <v>11001</v>
      </c>
      <c r="AO362" t="str">
        <f>"4/05/2020 12:00:00 a. m."</f>
        <v>4/05/2020 12:00:00 a. m.</v>
      </c>
      <c r="AP362" t="str">
        <f>"4/02/2020 12:00:00 a. m."</f>
        <v>4/02/2020 12:00:00 a. m.</v>
      </c>
      <c r="AQ362" t="str">
        <f t="shared" si="415"/>
        <v>3</v>
      </c>
      <c r="AR362" t="str">
        <f>"1"</f>
        <v>1</v>
      </c>
      <c r="AS362" t="str">
        <f>"4/05/2020 12:00:00 a. m."</f>
        <v>4/05/2020 12:00:00 a. m.</v>
      </c>
      <c r="AT362" t="str">
        <f t="shared" si="412"/>
        <v>1</v>
      </c>
      <c r="AU362" t="str">
        <f>""</f>
        <v/>
      </c>
      <c r="AV362" t="str">
        <f>"0"</f>
        <v>0</v>
      </c>
      <c r="AW362" t="str">
        <f>"30/08/2006 12:00:00 a. m."</f>
        <v>30/08/2006 12:00:00 a. m.</v>
      </c>
      <c r="AX362" t="str">
        <f>""</f>
        <v/>
      </c>
      <c r="AY362" t="str">
        <f t="shared" si="381"/>
        <v>30/04/2021 12:00:00 a. m.</v>
      </c>
      <c r="AZ362" t="str">
        <f>"6/07/2020 12:00:00 a. m."</f>
        <v>6/07/2020 12:00:00 a. m.</v>
      </c>
      <c r="BA362" t="str">
        <f>""</f>
        <v/>
      </c>
      <c r="BB362" t="str">
        <f>""</f>
        <v/>
      </c>
      <c r="BC362" t="str">
        <f>""</f>
        <v/>
      </c>
      <c r="BD362" t="str">
        <f t="shared" ref="BD362:BE381" si="421">"1"</f>
        <v>1</v>
      </c>
      <c r="BE362" t="str">
        <f t="shared" si="421"/>
        <v>1</v>
      </c>
      <c r="BF362" t="str">
        <f t="shared" si="383"/>
        <v xml:space="preserve">3         </v>
      </c>
      <c r="BG362" t="str">
        <f t="shared" si="384"/>
        <v>Confirmado por laboratorio</v>
      </c>
      <c r="BH362" t="str">
        <f>"FUNDACION HOSPITAL INFANTIL UNIVERSITARIO DE SAN"</f>
        <v>FUNDACION HOSPITAL INFANTIL UNIVERSITARIO DE SAN</v>
      </c>
      <c r="BI362" t="str">
        <f t="shared" si="393"/>
        <v>COLOMBIA</v>
      </c>
      <c r="BJ362" t="str">
        <f t="shared" si="385"/>
        <v>CANCER INFANTIL</v>
      </c>
      <c r="BK362" t="str">
        <f>"BOGOTA"</f>
        <v>BOGOTA</v>
      </c>
      <c r="BL362" t="str">
        <f>"BOGOTA"</f>
        <v>BOGOTA</v>
      </c>
      <c r="BM362" t="str">
        <f t="shared" si="394"/>
        <v>COLOMBIA</v>
      </c>
      <c r="BN362" t="str">
        <f>"BOGOTA"</f>
        <v>BOGOTA</v>
      </c>
      <c r="BO362" t="str">
        <f>"BOGOTA"</f>
        <v>BOGOTA</v>
      </c>
      <c r="BP362" t="str">
        <f t="shared" si="420"/>
        <v>BOGOTA</v>
      </c>
      <c r="BQ362" t="str">
        <f t="shared" si="420"/>
        <v>BOGOTA</v>
      </c>
    </row>
    <row r="363" spans="1:69" x14ac:dyDescent="0.25">
      <c r="A363" t="str">
        <f>"7285844"</f>
        <v>7285844</v>
      </c>
      <c r="B363" t="str">
        <f t="shared" si="378"/>
        <v>459</v>
      </c>
      <c r="C363" t="str">
        <f>"17/03/2020 12:00:00 a. m."</f>
        <v>17/03/2020 12:00:00 a. m.</v>
      </c>
      <c r="D363" t="str">
        <f>"12"</f>
        <v>12</v>
      </c>
      <c r="E363" t="str">
        <f t="shared" si="379"/>
        <v>2020</v>
      </c>
      <c r="F363" t="str">
        <f>"0500102104"</f>
        <v>0500102104</v>
      </c>
      <c r="G363" t="str">
        <f t="shared" si="414"/>
        <v>01</v>
      </c>
      <c r="H363" t="str">
        <f>"4"</f>
        <v>4</v>
      </c>
      <c r="I363" t="str">
        <f t="shared" si="396"/>
        <v>1</v>
      </c>
      <c r="J363" t="str">
        <f>"F"</f>
        <v>F</v>
      </c>
      <c r="K363" t="str">
        <f t="shared" si="389"/>
        <v>170</v>
      </c>
      <c r="L363" t="str">
        <f>"05"</f>
        <v>05</v>
      </c>
      <c r="M363" t="str">
        <f>"686"</f>
        <v>686</v>
      </c>
      <c r="N363" t="str">
        <f t="shared" si="416"/>
        <v>1</v>
      </c>
      <c r="O363" t="str">
        <f>"9999"</f>
        <v>9999</v>
      </c>
      <c r="P363" t="str">
        <f t="shared" si="418"/>
        <v>C</v>
      </c>
      <c r="Q363" t="str">
        <f>"EPS016"</f>
        <v>EPS016</v>
      </c>
      <c r="R363" t="str">
        <f t="shared" si="397"/>
        <v>6</v>
      </c>
      <c r="S363" t="str">
        <f>""</f>
        <v/>
      </c>
      <c r="T363" t="str">
        <f t="shared" si="399"/>
        <v xml:space="preserve">                                                                                                    </v>
      </c>
      <c r="U363" t="str">
        <f>"2         "</f>
        <v xml:space="preserve">2         </v>
      </c>
      <c r="V363" t="str">
        <f t="shared" si="403"/>
        <v>2</v>
      </c>
      <c r="W363" t="str">
        <f t="shared" si="365"/>
        <v>2</v>
      </c>
      <c r="X363" t="str">
        <f t="shared" si="407"/>
        <v>2</v>
      </c>
      <c r="Y363" t="str">
        <f t="shared" si="417"/>
        <v>2</v>
      </c>
      <c r="Z363" t="str">
        <f t="shared" si="417"/>
        <v>2</v>
      </c>
      <c r="AA363" t="str">
        <f t="shared" si="380"/>
        <v xml:space="preserve">          </v>
      </c>
      <c r="AB363" t="str">
        <f t="shared" si="372"/>
        <v>2</v>
      </c>
      <c r="AC363" t="str">
        <f t="shared" si="373"/>
        <v>2</v>
      </c>
      <c r="AD363" t="str">
        <f t="shared" si="419"/>
        <v>2</v>
      </c>
      <c r="AE363" t="str">
        <f t="shared" si="419"/>
        <v>2</v>
      </c>
      <c r="AF363" t="str">
        <f t="shared" si="419"/>
        <v>2</v>
      </c>
      <c r="AG363" t="str">
        <f t="shared" si="419"/>
        <v>2</v>
      </c>
      <c r="AH363" t="str">
        <f t="shared" si="408"/>
        <v>1</v>
      </c>
      <c r="AI363" t="str">
        <f t="shared" ref="AI363:AI383" si="422">"1         "</f>
        <v xml:space="preserve">1         </v>
      </c>
      <c r="AJ363" t="str">
        <f t="shared" si="392"/>
        <v>170</v>
      </c>
      <c r="AK363" t="str">
        <f>"05"</f>
        <v>05</v>
      </c>
      <c r="AL363" t="str">
        <f>"686"</f>
        <v>686</v>
      </c>
      <c r="AM363" t="str">
        <f>"05"</f>
        <v>05</v>
      </c>
      <c r="AN363" t="str">
        <f>"05001"</f>
        <v>05001</v>
      </c>
      <c r="AO363" t="str">
        <f>"17/03/2020 12:00:00 a. m."</f>
        <v>17/03/2020 12:00:00 a. m.</v>
      </c>
      <c r="AP363" t="str">
        <f>"17/02/2020 12:00:00 a. m."</f>
        <v>17/02/2020 12:00:00 a. m.</v>
      </c>
      <c r="AQ363" t="str">
        <f t="shared" si="415"/>
        <v>3</v>
      </c>
      <c r="AR363" t="str">
        <f>"2"</f>
        <v>2</v>
      </c>
      <c r="AS363" t="str">
        <f>""</f>
        <v/>
      </c>
      <c r="AT363" t="str">
        <f t="shared" si="412"/>
        <v>1</v>
      </c>
      <c r="AU363" t="str">
        <f>""</f>
        <v/>
      </c>
      <c r="AV363" t="str">
        <f>"0"</f>
        <v>0</v>
      </c>
      <c r="AW363" t="str">
        <f>"19/12/2015 12:00:00 a. m."</f>
        <v>19/12/2015 12:00:00 a. m.</v>
      </c>
      <c r="AX363" t="str">
        <f>""</f>
        <v/>
      </c>
      <c r="AY363" t="str">
        <f t="shared" si="381"/>
        <v>30/04/2021 12:00:00 a. m.</v>
      </c>
      <c r="AZ363" t="str">
        <f>"21/10/2020 12:00:00 a. m."</f>
        <v>21/10/2020 12:00:00 a. m.</v>
      </c>
      <c r="BA363" t="str">
        <f>""</f>
        <v/>
      </c>
      <c r="BB363" t="str">
        <f>""</f>
        <v/>
      </c>
      <c r="BC363" t="str">
        <f>""</f>
        <v/>
      </c>
      <c r="BD363" t="str">
        <f t="shared" si="421"/>
        <v>1</v>
      </c>
      <c r="BE363" t="str">
        <f t="shared" si="421"/>
        <v>1</v>
      </c>
      <c r="BF363" t="str">
        <f t="shared" si="383"/>
        <v xml:space="preserve">3         </v>
      </c>
      <c r="BG363" t="str">
        <f t="shared" si="384"/>
        <v>Confirmado por laboratorio</v>
      </c>
      <c r="BH363" t="str">
        <f>"HOSPITAL PABLO TOBON URIBE"</f>
        <v>HOSPITAL PABLO TOBON URIBE</v>
      </c>
      <c r="BI363" t="str">
        <f t="shared" si="393"/>
        <v>COLOMBIA</v>
      </c>
      <c r="BJ363" t="str">
        <f t="shared" si="385"/>
        <v>CANCER INFANTIL</v>
      </c>
      <c r="BK363" t="str">
        <f>"ANTIOQUIA"</f>
        <v>ANTIOQUIA</v>
      </c>
      <c r="BL363" t="str">
        <f>"SANTA ROSA DE OSOS"</f>
        <v>SANTA ROSA DE OSOS</v>
      </c>
      <c r="BM363" t="str">
        <f t="shared" si="394"/>
        <v>COLOMBIA</v>
      </c>
      <c r="BN363" t="str">
        <f>"ANTIOQUIA"</f>
        <v>ANTIOQUIA</v>
      </c>
      <c r="BO363" t="str">
        <f>"SANTA ROSA DE OSOS"</f>
        <v>SANTA ROSA DE OSOS</v>
      </c>
      <c r="BP363" t="str">
        <f>"ANTIOQUIA"</f>
        <v>ANTIOQUIA</v>
      </c>
      <c r="BQ363" t="str">
        <f>"MEDELLIN"</f>
        <v>MEDELLIN</v>
      </c>
    </row>
    <row r="364" spans="1:69" x14ac:dyDescent="0.25">
      <c r="A364" t="str">
        <f>"7285822"</f>
        <v>7285822</v>
      </c>
      <c r="B364" t="str">
        <f t="shared" si="378"/>
        <v>459</v>
      </c>
      <c r="C364" t="str">
        <f>"3/10/2020 12:00:00 a. m."</f>
        <v>3/10/2020 12:00:00 a. m.</v>
      </c>
      <c r="D364" t="str">
        <f>"36"</f>
        <v>36</v>
      </c>
      <c r="E364" t="str">
        <f t="shared" si="379"/>
        <v>2020</v>
      </c>
      <c r="F364" t="str">
        <f>"0800100544"</f>
        <v>0800100544</v>
      </c>
      <c r="G364" t="str">
        <f t="shared" si="414"/>
        <v>01</v>
      </c>
      <c r="H364" t="str">
        <f>"3"</f>
        <v>3</v>
      </c>
      <c r="I364" t="str">
        <f t="shared" si="396"/>
        <v>1</v>
      </c>
      <c r="J364" t="str">
        <f>"M"</f>
        <v>M</v>
      </c>
      <c r="K364" t="str">
        <f t="shared" si="389"/>
        <v>170</v>
      </c>
      <c r="L364" t="str">
        <f>"08"</f>
        <v>08</v>
      </c>
      <c r="M364" t="str">
        <f>"758"</f>
        <v>758</v>
      </c>
      <c r="N364" t="str">
        <f t="shared" si="416"/>
        <v>1</v>
      </c>
      <c r="O364" t="str">
        <f>"9999"</f>
        <v>9999</v>
      </c>
      <c r="P364" t="str">
        <f t="shared" si="418"/>
        <v>C</v>
      </c>
      <c r="Q364" t="str">
        <f>"EPS002"</f>
        <v>EPS002</v>
      </c>
      <c r="R364" t="str">
        <f t="shared" si="397"/>
        <v>6</v>
      </c>
      <c r="S364" t="str">
        <f>""</f>
        <v/>
      </c>
      <c r="T364" t="str">
        <f t="shared" si="399"/>
        <v xml:space="preserve">                                                                                                    </v>
      </c>
      <c r="U364" t="str">
        <f>"2         "</f>
        <v xml:space="preserve">2         </v>
      </c>
      <c r="V364" t="str">
        <f t="shared" si="403"/>
        <v>2</v>
      </c>
      <c r="W364" t="str">
        <f t="shared" si="365"/>
        <v>2</v>
      </c>
      <c r="X364" t="str">
        <f t="shared" si="407"/>
        <v>2</v>
      </c>
      <c r="Y364" t="str">
        <f t="shared" si="417"/>
        <v>2</v>
      </c>
      <c r="Z364" t="str">
        <f t="shared" si="417"/>
        <v>2</v>
      </c>
      <c r="AA364" t="str">
        <f t="shared" si="380"/>
        <v xml:space="preserve">          </v>
      </c>
      <c r="AB364" t="str">
        <f t="shared" si="372"/>
        <v>2</v>
      </c>
      <c r="AC364" t="str">
        <f t="shared" si="373"/>
        <v>2</v>
      </c>
      <c r="AD364" t="str">
        <f t="shared" si="419"/>
        <v>2</v>
      </c>
      <c r="AE364" t="str">
        <f t="shared" si="419"/>
        <v>2</v>
      </c>
      <c r="AF364" t="str">
        <f t="shared" si="419"/>
        <v>2</v>
      </c>
      <c r="AG364" t="str">
        <f t="shared" si="419"/>
        <v>2</v>
      </c>
      <c r="AH364" t="str">
        <f t="shared" si="408"/>
        <v>1</v>
      </c>
      <c r="AI364" t="str">
        <f t="shared" si="422"/>
        <v xml:space="preserve">1         </v>
      </c>
      <c r="AJ364" t="str">
        <f t="shared" si="392"/>
        <v>170</v>
      </c>
      <c r="AK364" t="str">
        <f>"08"</f>
        <v>08</v>
      </c>
      <c r="AL364" t="str">
        <f>"758"</f>
        <v>758</v>
      </c>
      <c r="AM364" t="str">
        <f>"08"</f>
        <v>08</v>
      </c>
      <c r="AN364" t="str">
        <f>"08001"</f>
        <v>08001</v>
      </c>
      <c r="AO364" t="str">
        <f>"4/09/2020 12:00:00 a. m."</f>
        <v>4/09/2020 12:00:00 a. m.</v>
      </c>
      <c r="AP364" t="str">
        <f>"6/08/2020 12:00:00 a. m."</f>
        <v>6/08/2020 12:00:00 a. m.</v>
      </c>
      <c r="AQ364" t="str">
        <f t="shared" si="415"/>
        <v>3</v>
      </c>
      <c r="AR364" t="str">
        <f>"1"</f>
        <v>1</v>
      </c>
      <c r="AS364" t="str">
        <f>"6/09/2020 12:00:00 a. m."</f>
        <v>6/09/2020 12:00:00 a. m.</v>
      </c>
      <c r="AT364" t="str">
        <f t="shared" si="412"/>
        <v>1</v>
      </c>
      <c r="AU364" t="str">
        <f>""</f>
        <v/>
      </c>
      <c r="AV364" t="str">
        <f>"0"</f>
        <v>0</v>
      </c>
      <c r="AW364" t="str">
        <f>"20/07/2017 12:00:00 a. m."</f>
        <v>20/07/2017 12:00:00 a. m.</v>
      </c>
      <c r="AX364" t="str">
        <f>""</f>
        <v/>
      </c>
      <c r="AY364" t="str">
        <f t="shared" si="381"/>
        <v>30/04/2021 12:00:00 a. m.</v>
      </c>
      <c r="AZ364" t="str">
        <f>"3/10/2020 12:00:00 a. m."</f>
        <v>3/10/2020 12:00:00 a. m.</v>
      </c>
      <c r="BA364" t="str">
        <f>""</f>
        <v/>
      </c>
      <c r="BB364" t="str">
        <f>""</f>
        <v/>
      </c>
      <c r="BC364" t="str">
        <f>""</f>
        <v/>
      </c>
      <c r="BD364" t="str">
        <f t="shared" si="421"/>
        <v>1</v>
      </c>
      <c r="BE364" t="str">
        <f t="shared" si="421"/>
        <v>1</v>
      </c>
      <c r="BF364" t="str">
        <f t="shared" si="383"/>
        <v xml:space="preserve">3         </v>
      </c>
      <c r="BG364" t="str">
        <f t="shared" si="384"/>
        <v>Confirmado por laboratorio</v>
      </c>
      <c r="BH364" t="str">
        <f>"ORGANIZACION CLINICA BONNADONA PREVENIR SA"</f>
        <v>ORGANIZACION CLINICA BONNADONA PREVENIR SA</v>
      </c>
      <c r="BI364" t="str">
        <f t="shared" si="393"/>
        <v>COLOMBIA</v>
      </c>
      <c r="BJ364" t="str">
        <f t="shared" si="385"/>
        <v>CANCER INFANTIL</v>
      </c>
      <c r="BK364" t="str">
        <f>"ATLANTICO"</f>
        <v>ATLANTICO</v>
      </c>
      <c r="BL364" t="str">
        <f>"SOLEDAD"</f>
        <v>SOLEDAD</v>
      </c>
      <c r="BM364" t="str">
        <f t="shared" si="394"/>
        <v>COLOMBIA</v>
      </c>
      <c r="BN364" t="str">
        <f>"ATLANTICO"</f>
        <v>ATLANTICO</v>
      </c>
      <c r="BO364" t="str">
        <f>"SOLEDAD"</f>
        <v>SOLEDAD</v>
      </c>
      <c r="BP364" t="str">
        <f>"ATLANTICO"</f>
        <v>ATLANTICO</v>
      </c>
      <c r="BQ364" t="str">
        <f>"BARRANQUILLA"</f>
        <v>BARRANQUILLA</v>
      </c>
    </row>
    <row r="365" spans="1:69" x14ac:dyDescent="0.25">
      <c r="A365" t="str">
        <f>"7291637"</f>
        <v>7291637</v>
      </c>
      <c r="B365" t="str">
        <f t="shared" si="378"/>
        <v>459</v>
      </c>
      <c r="C365" t="str">
        <f>"7/02/2020 12:00:00 a. m."</f>
        <v>7/02/2020 12:00:00 a. m.</v>
      </c>
      <c r="D365" t="str">
        <f>"05"</f>
        <v>05</v>
      </c>
      <c r="E365" t="str">
        <f t="shared" si="379"/>
        <v>2020</v>
      </c>
      <c r="F365" t="str">
        <f>"1100108679"</f>
        <v>1100108679</v>
      </c>
      <c r="G365" t="str">
        <f t="shared" si="414"/>
        <v>01</v>
      </c>
      <c r="H365" t="str">
        <f>"6"</f>
        <v>6</v>
      </c>
      <c r="I365" t="str">
        <f t="shared" si="396"/>
        <v>1</v>
      </c>
      <c r="J365" t="str">
        <f>"F"</f>
        <v>F</v>
      </c>
      <c r="K365" t="str">
        <f t="shared" si="389"/>
        <v>170</v>
      </c>
      <c r="L365" t="str">
        <f>"25"</f>
        <v>25</v>
      </c>
      <c r="M365" t="str">
        <f>"899"</f>
        <v>899</v>
      </c>
      <c r="N365" t="str">
        <f t="shared" si="416"/>
        <v>1</v>
      </c>
      <c r="O365" t="str">
        <f>"9997"</f>
        <v>9997</v>
      </c>
      <c r="P365" t="str">
        <f t="shared" si="418"/>
        <v>C</v>
      </c>
      <c r="Q365" t="str">
        <f>"EPS044"</f>
        <v>EPS044</v>
      </c>
      <c r="R365" t="str">
        <f t="shared" si="397"/>
        <v>6</v>
      </c>
      <c r="S365" t="str">
        <f>""</f>
        <v/>
      </c>
      <c r="T365" t="str">
        <f t="shared" si="399"/>
        <v xml:space="preserve">                                                                                                    </v>
      </c>
      <c r="U365" t="str">
        <f>"2         "</f>
        <v xml:space="preserve">2         </v>
      </c>
      <c r="V365" t="str">
        <f t="shared" si="403"/>
        <v>2</v>
      </c>
      <c r="W365" t="str">
        <f t="shared" si="365"/>
        <v>2</v>
      </c>
      <c r="X365" t="str">
        <f t="shared" si="407"/>
        <v>2</v>
      </c>
      <c r="Y365" t="str">
        <f t="shared" si="417"/>
        <v>2</v>
      </c>
      <c r="Z365" t="str">
        <f t="shared" si="417"/>
        <v>2</v>
      </c>
      <c r="AA365" t="str">
        <f t="shared" si="380"/>
        <v xml:space="preserve">          </v>
      </c>
      <c r="AB365" t="str">
        <f t="shared" si="372"/>
        <v>2</v>
      </c>
      <c r="AC365" t="str">
        <f t="shared" si="373"/>
        <v>2</v>
      </c>
      <c r="AD365" t="str">
        <f t="shared" si="419"/>
        <v>2</v>
      </c>
      <c r="AE365" t="str">
        <f t="shared" si="419"/>
        <v>2</v>
      </c>
      <c r="AF365" t="str">
        <f t="shared" si="419"/>
        <v>2</v>
      </c>
      <c r="AG365" t="str">
        <f t="shared" si="419"/>
        <v>2</v>
      </c>
      <c r="AH365" t="str">
        <f t="shared" si="408"/>
        <v>1</v>
      </c>
      <c r="AI365" t="str">
        <f t="shared" si="422"/>
        <v xml:space="preserve">1         </v>
      </c>
      <c r="AJ365" t="str">
        <f t="shared" si="392"/>
        <v>170</v>
      </c>
      <c r="AK365" t="str">
        <f>"25"</f>
        <v>25</v>
      </c>
      <c r="AL365" t="str">
        <f>"899"</f>
        <v>899</v>
      </c>
      <c r="AM365" t="str">
        <f>"11"</f>
        <v>11</v>
      </c>
      <c r="AN365" t="str">
        <f>"11001"</f>
        <v>11001</v>
      </c>
      <c r="AO365" t="str">
        <f>"30/01/2020 12:00:00 a. m."</f>
        <v>30/01/2020 12:00:00 a. m.</v>
      </c>
      <c r="AP365" t="str">
        <f>"1/01/2019 12:00:00 a. m."</f>
        <v>1/01/2019 12:00:00 a. m.</v>
      </c>
      <c r="AQ365" t="str">
        <f>"2"</f>
        <v>2</v>
      </c>
      <c r="AR365" t="str">
        <f>"2"</f>
        <v>2</v>
      </c>
      <c r="AS365" t="str">
        <f>""</f>
        <v/>
      </c>
      <c r="AT365" t="str">
        <f t="shared" si="412"/>
        <v>1</v>
      </c>
      <c r="AU365" t="str">
        <f>""</f>
        <v/>
      </c>
      <c r="AV365" t="str">
        <f>"3"</f>
        <v>3</v>
      </c>
      <c r="AW365" t="str">
        <f>"8/08/2013 12:00:00 a. m."</f>
        <v>8/08/2013 12:00:00 a. m.</v>
      </c>
      <c r="AX365" t="str">
        <f>""</f>
        <v/>
      </c>
      <c r="AY365" t="str">
        <f t="shared" si="381"/>
        <v>30/04/2021 12:00:00 a. m.</v>
      </c>
      <c r="AZ365" t="str">
        <f>"20/03/2020 12:00:00 a. m."</f>
        <v>20/03/2020 12:00:00 a. m.</v>
      </c>
      <c r="BA365" t="str">
        <f>""</f>
        <v/>
      </c>
      <c r="BB365" t="str">
        <f>""</f>
        <v/>
      </c>
      <c r="BC365" t="str">
        <f>""</f>
        <v/>
      </c>
      <c r="BD365" t="str">
        <f t="shared" si="421"/>
        <v>1</v>
      </c>
      <c r="BE365" t="str">
        <f t="shared" si="421"/>
        <v>1</v>
      </c>
      <c r="BF365" t="str">
        <f t="shared" si="383"/>
        <v xml:space="preserve">3         </v>
      </c>
      <c r="BG365" t="str">
        <f t="shared" si="384"/>
        <v>Confirmado por laboratorio</v>
      </c>
      <c r="BH365" t="str">
        <f>"SOCIEDAD DE CIRUGIA DE BOGOTA HOSPITAL DE SAN JOSE"</f>
        <v>SOCIEDAD DE CIRUGIA DE BOGOTA HOSPITAL DE SAN JOSE</v>
      </c>
      <c r="BI365" t="str">
        <f t="shared" si="393"/>
        <v>COLOMBIA</v>
      </c>
      <c r="BJ365" t="str">
        <f t="shared" si="385"/>
        <v>CANCER INFANTIL</v>
      </c>
      <c r="BK365" t="str">
        <f>"CUNDINAMARCA"</f>
        <v>CUNDINAMARCA</v>
      </c>
      <c r="BL365" t="str">
        <f>"ZIPAQUIRA"</f>
        <v>ZIPAQUIRA</v>
      </c>
      <c r="BM365" t="str">
        <f t="shared" si="394"/>
        <v>COLOMBIA</v>
      </c>
      <c r="BN365" t="str">
        <f>"CUNDINAMARCA"</f>
        <v>CUNDINAMARCA</v>
      </c>
      <c r="BO365" t="str">
        <f>"ZIPAQUIRA"</f>
        <v>ZIPAQUIRA</v>
      </c>
      <c r="BP365" t="str">
        <f>"BOGOTA"</f>
        <v>BOGOTA</v>
      </c>
      <c r="BQ365" t="str">
        <f>"BOGOTA"</f>
        <v>BOGOTA</v>
      </c>
    </row>
    <row r="366" spans="1:69" x14ac:dyDescent="0.25">
      <c r="A366" t="str">
        <f>"7291687"</f>
        <v>7291687</v>
      </c>
      <c r="B366" t="str">
        <f t="shared" si="378"/>
        <v>459</v>
      </c>
      <c r="C366" t="str">
        <f>"28/05/2020 12:00:00 a. m."</f>
        <v>28/05/2020 12:00:00 a. m.</v>
      </c>
      <c r="D366" t="str">
        <f>"14"</f>
        <v>14</v>
      </c>
      <c r="E366" t="str">
        <f t="shared" si="379"/>
        <v>2020</v>
      </c>
      <c r="F366" t="str">
        <f>"7600101111"</f>
        <v>7600101111</v>
      </c>
      <c r="G366" t="str">
        <f t="shared" si="414"/>
        <v>01</v>
      </c>
      <c r="H366" t="str">
        <f>"2"</f>
        <v>2</v>
      </c>
      <c r="I366" t="str">
        <f t="shared" ref="I366:I385" si="423">"1"</f>
        <v>1</v>
      </c>
      <c r="J366" t="str">
        <f>"F"</f>
        <v>F</v>
      </c>
      <c r="K366" t="str">
        <f t="shared" si="389"/>
        <v>170</v>
      </c>
      <c r="L366" t="str">
        <f>"76"</f>
        <v>76</v>
      </c>
      <c r="M366" t="str">
        <f>"275"</f>
        <v>275</v>
      </c>
      <c r="N366" t="str">
        <f>"2"</f>
        <v>2</v>
      </c>
      <c r="O366" t="str">
        <f>"9999"</f>
        <v>9999</v>
      </c>
      <c r="P366" t="str">
        <f>"P"</f>
        <v>P</v>
      </c>
      <c r="Q366" t="str">
        <f>"RES003"</f>
        <v>RES003</v>
      </c>
      <c r="R366" t="str">
        <f t="shared" si="397"/>
        <v>6</v>
      </c>
      <c r="S366" t="str">
        <f>""</f>
        <v/>
      </c>
      <c r="T366" t="str">
        <f t="shared" si="399"/>
        <v xml:space="preserve">                                                                                                    </v>
      </c>
      <c r="U366" t="str">
        <f>"3         "</f>
        <v xml:space="preserve">3         </v>
      </c>
      <c r="V366" t="str">
        <f t="shared" si="403"/>
        <v>2</v>
      </c>
      <c r="W366" t="str">
        <f t="shared" si="365"/>
        <v>2</v>
      </c>
      <c r="X366" t="str">
        <f t="shared" si="407"/>
        <v>2</v>
      </c>
      <c r="Y366" t="str">
        <f t="shared" si="417"/>
        <v>2</v>
      </c>
      <c r="Z366" t="str">
        <f t="shared" si="417"/>
        <v>2</v>
      </c>
      <c r="AA366" t="str">
        <f t="shared" si="380"/>
        <v xml:space="preserve">          </v>
      </c>
      <c r="AB366" t="str">
        <f t="shared" si="372"/>
        <v>2</v>
      </c>
      <c r="AC366" t="str">
        <f t="shared" si="373"/>
        <v>2</v>
      </c>
      <c r="AD366" t="str">
        <f t="shared" si="419"/>
        <v>2</v>
      </c>
      <c r="AE366" t="str">
        <f t="shared" si="419"/>
        <v>2</v>
      </c>
      <c r="AF366" t="str">
        <f t="shared" si="419"/>
        <v>2</v>
      </c>
      <c r="AG366" t="str">
        <f t="shared" si="419"/>
        <v>2</v>
      </c>
      <c r="AH366" t="str">
        <f t="shared" si="408"/>
        <v>1</v>
      </c>
      <c r="AI366" t="str">
        <f t="shared" si="422"/>
        <v xml:space="preserve">1         </v>
      </c>
      <c r="AJ366" t="str">
        <f t="shared" si="392"/>
        <v>170</v>
      </c>
      <c r="AK366" t="str">
        <f>"76"</f>
        <v>76</v>
      </c>
      <c r="AL366" t="str">
        <f>"275"</f>
        <v>275</v>
      </c>
      <c r="AM366" t="str">
        <f>"76"</f>
        <v>76</v>
      </c>
      <c r="AN366" t="str">
        <f>"76001"</f>
        <v>76001</v>
      </c>
      <c r="AO366" t="str">
        <f>"1/04/2020 12:00:00 a. m."</f>
        <v>1/04/2020 12:00:00 a. m.</v>
      </c>
      <c r="AP366" t="str">
        <f>""</f>
        <v/>
      </c>
      <c r="AQ366" t="str">
        <f>"3"</f>
        <v>3</v>
      </c>
      <c r="AR366" t="str">
        <f t="shared" ref="AR366:AR372" si="424">"1"</f>
        <v>1</v>
      </c>
      <c r="AS366" t="str">
        <f>"1/04/2020 12:00:00 a. m."</f>
        <v>1/04/2020 12:00:00 a. m.</v>
      </c>
      <c r="AT366" t="str">
        <f t="shared" si="412"/>
        <v>1</v>
      </c>
      <c r="AU366" t="str">
        <f>""</f>
        <v/>
      </c>
      <c r="AV366" t="str">
        <f>"7"</f>
        <v>7</v>
      </c>
      <c r="AW366" t="str">
        <f>"15/08/2017 12:00:00 a. m."</f>
        <v>15/08/2017 12:00:00 a. m.</v>
      </c>
      <c r="AX366" t="str">
        <f>""</f>
        <v/>
      </c>
      <c r="AY366" t="str">
        <f t="shared" si="381"/>
        <v>30/04/2021 12:00:00 a. m.</v>
      </c>
      <c r="AZ366" t="str">
        <f>"20/01/2021 12:00:00 a. m."</f>
        <v>20/01/2021 12:00:00 a. m.</v>
      </c>
      <c r="BA366" t="str">
        <f>""</f>
        <v/>
      </c>
      <c r="BB366" t="str">
        <f>""</f>
        <v/>
      </c>
      <c r="BC366" t="str">
        <f>""</f>
        <v/>
      </c>
      <c r="BD366" t="str">
        <f t="shared" si="421"/>
        <v>1</v>
      </c>
      <c r="BE366" t="str">
        <f t="shared" si="421"/>
        <v>1</v>
      </c>
      <c r="BF366" t="str">
        <f t="shared" si="383"/>
        <v xml:space="preserve">3         </v>
      </c>
      <c r="BG366" t="str">
        <f t="shared" si="384"/>
        <v>Confirmado por laboratorio</v>
      </c>
      <c r="BH366" t="str">
        <f>"CENTRO MEDICO IMBANACO CMI"</f>
        <v>CENTRO MEDICO IMBANACO CMI</v>
      </c>
      <c r="BI366" t="str">
        <f t="shared" si="393"/>
        <v>COLOMBIA</v>
      </c>
      <c r="BJ366" t="str">
        <f t="shared" si="385"/>
        <v>CANCER INFANTIL</v>
      </c>
      <c r="BK366" t="str">
        <f>"VALLE"</f>
        <v>VALLE</v>
      </c>
      <c r="BL366" t="str">
        <f>"FLORIDA"</f>
        <v>FLORIDA</v>
      </c>
      <c r="BM366" t="str">
        <f t="shared" si="394"/>
        <v>COLOMBIA</v>
      </c>
      <c r="BN366" t="str">
        <f>"VALLE"</f>
        <v>VALLE</v>
      </c>
      <c r="BO366" t="str">
        <f>"FLORIDA"</f>
        <v>FLORIDA</v>
      </c>
      <c r="BP366" t="str">
        <f>"VALLE"</f>
        <v>VALLE</v>
      </c>
      <c r="BQ366" t="str">
        <f>"CALI"</f>
        <v>CALI</v>
      </c>
    </row>
    <row r="367" spans="1:69" x14ac:dyDescent="0.25">
      <c r="A367" t="str">
        <f>"7291622"</f>
        <v>7291622</v>
      </c>
      <c r="B367" t="str">
        <f t="shared" si="378"/>
        <v>459</v>
      </c>
      <c r="C367" t="str">
        <f>"14/12/2020 12:00:00 a. m."</f>
        <v>14/12/2020 12:00:00 a. m.</v>
      </c>
      <c r="D367" t="str">
        <f>"51"</f>
        <v>51</v>
      </c>
      <c r="E367" t="str">
        <f t="shared" si="379"/>
        <v>2020</v>
      </c>
      <c r="F367" t="str">
        <f>"7600102870"</f>
        <v>7600102870</v>
      </c>
      <c r="G367" t="str">
        <f t="shared" si="414"/>
        <v>01</v>
      </c>
      <c r="H367" t="str">
        <f>"16"</f>
        <v>16</v>
      </c>
      <c r="I367" t="str">
        <f t="shared" si="423"/>
        <v>1</v>
      </c>
      <c r="J367" t="str">
        <f>"M"</f>
        <v>M</v>
      </c>
      <c r="K367" t="str">
        <f t="shared" si="389"/>
        <v>170</v>
      </c>
      <c r="L367" t="str">
        <f>"19"</f>
        <v>19</v>
      </c>
      <c r="M367" t="str">
        <f>"809"</f>
        <v>809</v>
      </c>
      <c r="N367" t="str">
        <f>"3"</f>
        <v>3</v>
      </c>
      <c r="O367" t="str">
        <f>"9999"</f>
        <v>9999</v>
      </c>
      <c r="P367" t="str">
        <f>"S"</f>
        <v>S</v>
      </c>
      <c r="Q367" t="str">
        <f>"EPSI03"</f>
        <v>EPSI03</v>
      </c>
      <c r="R367" t="str">
        <f t="shared" ref="R367:R398" si="425">"6"</f>
        <v>6</v>
      </c>
      <c r="S367" t="str">
        <f>""</f>
        <v/>
      </c>
      <c r="T367" t="str">
        <f t="shared" si="399"/>
        <v xml:space="preserve">                                                                                                    </v>
      </c>
      <c r="U367" t="str">
        <f>"          "</f>
        <v xml:space="preserve">          </v>
      </c>
      <c r="V367" t="str">
        <f t="shared" si="403"/>
        <v>2</v>
      </c>
      <c r="W367" t="str">
        <f t="shared" si="365"/>
        <v>2</v>
      </c>
      <c r="X367" t="str">
        <f t="shared" si="407"/>
        <v>2</v>
      </c>
      <c r="Y367" t="str">
        <f t="shared" si="417"/>
        <v>2</v>
      </c>
      <c r="Z367" t="str">
        <f t="shared" si="417"/>
        <v>2</v>
      </c>
      <c r="AA367" t="str">
        <f t="shared" si="380"/>
        <v xml:space="preserve">          </v>
      </c>
      <c r="AB367" t="str">
        <f t="shared" si="372"/>
        <v>2</v>
      </c>
      <c r="AC367" t="str">
        <f t="shared" si="373"/>
        <v>2</v>
      </c>
      <c r="AD367" t="str">
        <f t="shared" si="419"/>
        <v>2</v>
      </c>
      <c r="AE367" t="str">
        <f t="shared" si="419"/>
        <v>2</v>
      </c>
      <c r="AF367" t="str">
        <f t="shared" si="419"/>
        <v>2</v>
      </c>
      <c r="AG367" t="str">
        <f t="shared" si="419"/>
        <v>2</v>
      </c>
      <c r="AH367" t="str">
        <f t="shared" si="408"/>
        <v>1</v>
      </c>
      <c r="AI367" t="str">
        <f t="shared" si="422"/>
        <v xml:space="preserve">1         </v>
      </c>
      <c r="AJ367" t="str">
        <f t="shared" si="392"/>
        <v>170</v>
      </c>
      <c r="AK367" t="str">
        <f>"19"</f>
        <v>19</v>
      </c>
      <c r="AL367" t="str">
        <f>"809"</f>
        <v>809</v>
      </c>
      <c r="AM367" t="str">
        <f>"76"</f>
        <v>76</v>
      </c>
      <c r="AN367" t="str">
        <f>"76001"</f>
        <v>76001</v>
      </c>
      <c r="AO367" t="str">
        <f>"13/12/2020 12:00:00 a. m."</f>
        <v>13/12/2020 12:00:00 a. m.</v>
      </c>
      <c r="AP367" t="str">
        <f>"1/09/2020 12:00:00 a. m."</f>
        <v>1/09/2020 12:00:00 a. m.</v>
      </c>
      <c r="AQ367" t="str">
        <f>"2"</f>
        <v>2</v>
      </c>
      <c r="AR367" t="str">
        <f t="shared" si="424"/>
        <v>1</v>
      </c>
      <c r="AS367" t="str">
        <f>"13/12/2020 12:00:00 a. m."</f>
        <v>13/12/2020 12:00:00 a. m.</v>
      </c>
      <c r="AT367" t="str">
        <f t="shared" si="412"/>
        <v>1</v>
      </c>
      <c r="AU367" t="str">
        <f>""</f>
        <v/>
      </c>
      <c r="AV367" t="str">
        <f>"3"</f>
        <v>3</v>
      </c>
      <c r="AW367" t="str">
        <f>"25/07/2004 12:00:00 a. m."</f>
        <v>25/07/2004 12:00:00 a. m.</v>
      </c>
      <c r="AX367" t="str">
        <f>""</f>
        <v/>
      </c>
      <c r="AY367" t="str">
        <f t="shared" si="381"/>
        <v>30/04/2021 12:00:00 a. m.</v>
      </c>
      <c r="AZ367" t="str">
        <f>"15/01/2021 12:00:00 a. m."</f>
        <v>15/01/2021 12:00:00 a. m.</v>
      </c>
      <c r="BA367" t="str">
        <f>""</f>
        <v/>
      </c>
      <c r="BB367" t="str">
        <f>""</f>
        <v/>
      </c>
      <c r="BC367" t="str">
        <f>""</f>
        <v/>
      </c>
      <c r="BD367" t="str">
        <f t="shared" si="421"/>
        <v>1</v>
      </c>
      <c r="BE367" t="str">
        <f t="shared" si="421"/>
        <v>1</v>
      </c>
      <c r="BF367" t="str">
        <f t="shared" si="383"/>
        <v xml:space="preserve">3         </v>
      </c>
      <c r="BG367" t="str">
        <f t="shared" si="384"/>
        <v>Confirmado por laboratorio</v>
      </c>
      <c r="BH367" t="str">
        <f>"FUNDACION VALLE DEL LILI"</f>
        <v>FUNDACION VALLE DEL LILI</v>
      </c>
      <c r="BI367" t="str">
        <f t="shared" si="393"/>
        <v>COLOMBIA</v>
      </c>
      <c r="BJ367" t="str">
        <f t="shared" si="385"/>
        <v>CANCER INFANTIL</v>
      </c>
      <c r="BK367" t="str">
        <f>"CAUCA"</f>
        <v>CAUCA</v>
      </c>
      <c r="BL367" t="str">
        <f>"TIMBIQUI"</f>
        <v>TIMBIQUI</v>
      </c>
      <c r="BM367" t="str">
        <f t="shared" si="394"/>
        <v>COLOMBIA</v>
      </c>
      <c r="BN367" t="str">
        <f>"CAUCA"</f>
        <v>CAUCA</v>
      </c>
      <c r="BO367" t="str">
        <f>"TIMBIQUI"</f>
        <v>TIMBIQUI</v>
      </c>
      <c r="BP367" t="str">
        <f>"VALLE"</f>
        <v>VALLE</v>
      </c>
      <c r="BQ367" t="str">
        <f>"CALI"</f>
        <v>CALI</v>
      </c>
    </row>
    <row r="368" spans="1:69" x14ac:dyDescent="0.25">
      <c r="A368" t="str">
        <f>"7279075"</f>
        <v>7279075</v>
      </c>
      <c r="B368" t="str">
        <f t="shared" si="378"/>
        <v>459</v>
      </c>
      <c r="C368" t="str">
        <f>"6/11/2020 12:00:00 a. m."</f>
        <v>6/11/2020 12:00:00 a. m.</v>
      </c>
      <c r="D368" t="str">
        <f>"44"</f>
        <v>44</v>
      </c>
      <c r="E368" t="str">
        <f t="shared" si="379"/>
        <v>2020</v>
      </c>
      <c r="F368" t="str">
        <f>"5200100283"</f>
        <v>5200100283</v>
      </c>
      <c r="G368" t="str">
        <f t="shared" si="414"/>
        <v>01</v>
      </c>
      <c r="H368" t="str">
        <f>"12"</f>
        <v>12</v>
      </c>
      <c r="I368" t="str">
        <f t="shared" si="423"/>
        <v>1</v>
      </c>
      <c r="J368" t="str">
        <f>"M"</f>
        <v>M</v>
      </c>
      <c r="K368" t="str">
        <f t="shared" si="389"/>
        <v>170</v>
      </c>
      <c r="L368" t="str">
        <f>"52"</f>
        <v>52</v>
      </c>
      <c r="M368" t="str">
        <f>"001"</f>
        <v>001</v>
      </c>
      <c r="N368" t="str">
        <f>"1"</f>
        <v>1</v>
      </c>
      <c r="O368" t="str">
        <f>"9997"</f>
        <v>9997</v>
      </c>
      <c r="P368" t="str">
        <f>"C"</f>
        <v>C</v>
      </c>
      <c r="Q368" t="str">
        <f>"EPS016"</f>
        <v>EPS016</v>
      </c>
      <c r="R368" t="str">
        <f t="shared" si="425"/>
        <v>6</v>
      </c>
      <c r="S368" t="str">
        <f>""</f>
        <v/>
      </c>
      <c r="T368" t="str">
        <f t="shared" si="399"/>
        <v xml:space="preserve">                                                                                                    </v>
      </c>
      <c r="U368" t="str">
        <f>"1         "</f>
        <v xml:space="preserve">1         </v>
      </c>
      <c r="V368" t="str">
        <f t="shared" si="403"/>
        <v>2</v>
      </c>
      <c r="W368" t="str">
        <f t="shared" si="365"/>
        <v>2</v>
      </c>
      <c r="X368" t="str">
        <f t="shared" si="407"/>
        <v>2</v>
      </c>
      <c r="Y368" t="str">
        <f t="shared" si="417"/>
        <v>2</v>
      </c>
      <c r="Z368" t="str">
        <f t="shared" si="417"/>
        <v>2</v>
      </c>
      <c r="AA368" t="str">
        <f t="shared" si="380"/>
        <v xml:space="preserve">          </v>
      </c>
      <c r="AB368" t="str">
        <f t="shared" si="372"/>
        <v>2</v>
      </c>
      <c r="AC368" t="str">
        <f t="shared" si="373"/>
        <v>2</v>
      </c>
      <c r="AD368" t="str">
        <f t="shared" si="419"/>
        <v>2</v>
      </c>
      <c r="AE368" t="str">
        <f t="shared" si="419"/>
        <v>2</v>
      </c>
      <c r="AF368" t="str">
        <f t="shared" si="419"/>
        <v>2</v>
      </c>
      <c r="AG368" t="str">
        <f t="shared" si="419"/>
        <v>2</v>
      </c>
      <c r="AH368" t="str">
        <f t="shared" si="408"/>
        <v>1</v>
      </c>
      <c r="AI368" t="str">
        <f t="shared" si="422"/>
        <v xml:space="preserve">1         </v>
      </c>
      <c r="AJ368" t="str">
        <f t="shared" si="392"/>
        <v>170</v>
      </c>
      <c r="AK368" t="str">
        <f>"52"</f>
        <v>52</v>
      </c>
      <c r="AL368" t="str">
        <f>"001"</f>
        <v>001</v>
      </c>
      <c r="AM368" t="str">
        <f>"52"</f>
        <v>52</v>
      </c>
      <c r="AN368" t="str">
        <f>"52001"</f>
        <v>52001</v>
      </c>
      <c r="AO368" t="str">
        <f>"26/10/2020 12:00:00 a. m."</f>
        <v>26/10/2020 12:00:00 a. m.</v>
      </c>
      <c r="AP368" t="str">
        <f>"26/02/2020 12:00:00 a. m."</f>
        <v>26/02/2020 12:00:00 a. m.</v>
      </c>
      <c r="AQ368" t="str">
        <f>"2"</f>
        <v>2</v>
      </c>
      <c r="AR368" t="str">
        <f t="shared" si="424"/>
        <v>1</v>
      </c>
      <c r="AS368" t="str">
        <f>"26/10/2020 12:00:00 a. m."</f>
        <v>26/10/2020 12:00:00 a. m.</v>
      </c>
      <c r="AT368" t="str">
        <f t="shared" si="412"/>
        <v>1</v>
      </c>
      <c r="AU368" t="str">
        <f>""</f>
        <v/>
      </c>
      <c r="AV368" t="str">
        <f>"3"</f>
        <v>3</v>
      </c>
      <c r="AW368" t="str">
        <f>"25/12/2007 12:00:00 a. m."</f>
        <v>25/12/2007 12:00:00 a. m.</v>
      </c>
      <c r="AX368" t="str">
        <f>""</f>
        <v/>
      </c>
      <c r="AY368" t="str">
        <f t="shared" si="381"/>
        <v>30/04/2021 12:00:00 a. m.</v>
      </c>
      <c r="AZ368" t="str">
        <f>"9/02/2021 12:00:00 a. m."</f>
        <v>9/02/2021 12:00:00 a. m.</v>
      </c>
      <c r="BA368" t="str">
        <f>""</f>
        <v/>
      </c>
      <c r="BB368" t="str">
        <f>""</f>
        <v/>
      </c>
      <c r="BC368" t="str">
        <f>""</f>
        <v/>
      </c>
      <c r="BD368" t="str">
        <f t="shared" si="421"/>
        <v>1</v>
      </c>
      <c r="BE368" t="str">
        <f t="shared" si="421"/>
        <v>1</v>
      </c>
      <c r="BF368" t="str">
        <f t="shared" si="383"/>
        <v xml:space="preserve">3         </v>
      </c>
      <c r="BG368" t="str">
        <f t="shared" si="384"/>
        <v>Confirmado por laboratorio</v>
      </c>
      <c r="BH368" t="str">
        <f>"HOSPITAL INFANTIL LOS ANGELES"</f>
        <v>HOSPITAL INFANTIL LOS ANGELES</v>
      </c>
      <c r="BI368" t="str">
        <f t="shared" si="393"/>
        <v>COLOMBIA</v>
      </c>
      <c r="BJ368" t="str">
        <f t="shared" si="385"/>
        <v>CANCER INFANTIL</v>
      </c>
      <c r="BK368" t="str">
        <f>"NARIÑO"</f>
        <v>NARIÑO</v>
      </c>
      <c r="BL368" t="str">
        <f>"PASTO"</f>
        <v>PASTO</v>
      </c>
      <c r="BM368" t="str">
        <f t="shared" si="394"/>
        <v>COLOMBIA</v>
      </c>
      <c r="BN368" t="str">
        <f>"NARIÑO"</f>
        <v>NARIÑO</v>
      </c>
      <c r="BO368" t="str">
        <f>"PASTO"</f>
        <v>PASTO</v>
      </c>
      <c r="BP368" t="str">
        <f>"NARIÑO"</f>
        <v>NARIÑO</v>
      </c>
      <c r="BQ368" t="str">
        <f>"PASTO"</f>
        <v>PASTO</v>
      </c>
    </row>
    <row r="369" spans="1:69" x14ac:dyDescent="0.25">
      <c r="A369" t="str">
        <f>"7279069"</f>
        <v>7279069</v>
      </c>
      <c r="B369" t="str">
        <f t="shared" si="378"/>
        <v>459</v>
      </c>
      <c r="C369" t="str">
        <f>"9/10/2020 12:00:00 a. m."</f>
        <v>9/10/2020 12:00:00 a. m.</v>
      </c>
      <c r="D369" t="str">
        <f>"35"</f>
        <v>35</v>
      </c>
      <c r="E369" t="str">
        <f t="shared" si="379"/>
        <v>2020</v>
      </c>
      <c r="F369" t="str">
        <f>"1300100568"</f>
        <v>1300100568</v>
      </c>
      <c r="G369" t="str">
        <f t="shared" si="414"/>
        <v>01</v>
      </c>
      <c r="H369" t="str">
        <f>"4"</f>
        <v>4</v>
      </c>
      <c r="I369" t="str">
        <f t="shared" si="423"/>
        <v>1</v>
      </c>
      <c r="J369" t="str">
        <f>"F"</f>
        <v>F</v>
      </c>
      <c r="K369" t="str">
        <f t="shared" si="389"/>
        <v>170</v>
      </c>
      <c r="L369" t="str">
        <f>"13"</f>
        <v>13</v>
      </c>
      <c r="M369" t="str">
        <f>"873"</f>
        <v>873</v>
      </c>
      <c r="N369" t="str">
        <f>"2"</f>
        <v>2</v>
      </c>
      <c r="O369" t="str">
        <f>"9998"</f>
        <v>9998</v>
      </c>
      <c r="P369" t="str">
        <f>"S"</f>
        <v>S</v>
      </c>
      <c r="Q369" t="str">
        <f>"ESS207"</f>
        <v>ESS207</v>
      </c>
      <c r="R369" t="str">
        <f t="shared" si="425"/>
        <v>6</v>
      </c>
      <c r="S369" t="str">
        <f>""</f>
        <v/>
      </c>
      <c r="T369" t="str">
        <f t="shared" si="399"/>
        <v xml:space="preserve">                                                                                                    </v>
      </c>
      <c r="U369" t="str">
        <f>"2         "</f>
        <v xml:space="preserve">2         </v>
      </c>
      <c r="V369" t="str">
        <f t="shared" si="403"/>
        <v>2</v>
      </c>
      <c r="W369" t="str">
        <f t="shared" si="365"/>
        <v>2</v>
      </c>
      <c r="X369" t="str">
        <f t="shared" si="407"/>
        <v>2</v>
      </c>
      <c r="Y369" t="str">
        <f t="shared" si="417"/>
        <v>2</v>
      </c>
      <c r="Z369" t="str">
        <f t="shared" si="417"/>
        <v>2</v>
      </c>
      <c r="AA369" t="str">
        <f t="shared" si="380"/>
        <v xml:space="preserve">          </v>
      </c>
      <c r="AB369" t="str">
        <f t="shared" si="372"/>
        <v>2</v>
      </c>
      <c r="AC369" t="str">
        <f t="shared" si="373"/>
        <v>2</v>
      </c>
      <c r="AD369" t="str">
        <f t="shared" si="419"/>
        <v>2</v>
      </c>
      <c r="AE369" t="str">
        <f t="shared" si="419"/>
        <v>2</v>
      </c>
      <c r="AF369" t="str">
        <f t="shared" si="419"/>
        <v>2</v>
      </c>
      <c r="AG369" t="str">
        <f t="shared" si="419"/>
        <v>2</v>
      </c>
      <c r="AH369" t="str">
        <f t="shared" si="408"/>
        <v>1</v>
      </c>
      <c r="AI369" t="str">
        <f t="shared" si="422"/>
        <v xml:space="preserve">1         </v>
      </c>
      <c r="AJ369" t="str">
        <f t="shared" si="392"/>
        <v>170</v>
      </c>
      <c r="AK369" t="str">
        <f>"13"</f>
        <v>13</v>
      </c>
      <c r="AL369" t="str">
        <f>"873"</f>
        <v>873</v>
      </c>
      <c r="AM369" t="str">
        <f>"13"</f>
        <v>13</v>
      </c>
      <c r="AN369" t="str">
        <f>"13001"</f>
        <v>13001</v>
      </c>
      <c r="AO369" t="str">
        <f>"23/08/2020 12:00:00 a. m."</f>
        <v>23/08/2020 12:00:00 a. m.</v>
      </c>
      <c r="AP369" t="str">
        <f>"1/06/2020 12:00:00 a. m."</f>
        <v>1/06/2020 12:00:00 a. m.</v>
      </c>
      <c r="AQ369" t="str">
        <f t="shared" ref="AQ369:AQ382" si="426">"3"</f>
        <v>3</v>
      </c>
      <c r="AR369" t="str">
        <f t="shared" si="424"/>
        <v>1</v>
      </c>
      <c r="AS369" t="str">
        <f>"23/08/2020 12:00:00 a. m."</f>
        <v>23/08/2020 12:00:00 a. m.</v>
      </c>
      <c r="AT369" t="str">
        <f t="shared" si="412"/>
        <v>1</v>
      </c>
      <c r="AU369" t="str">
        <f>""</f>
        <v/>
      </c>
      <c r="AV369" t="str">
        <f t="shared" ref="AV369:AV379" si="427">"0"</f>
        <v>0</v>
      </c>
      <c r="AW369" t="str">
        <f>"5/06/2016 12:00:00 a. m."</f>
        <v>5/06/2016 12:00:00 a. m.</v>
      </c>
      <c r="AX369" t="str">
        <f>""</f>
        <v/>
      </c>
      <c r="AY369" t="str">
        <f t="shared" si="381"/>
        <v>30/04/2021 12:00:00 a. m.</v>
      </c>
      <c r="AZ369" t="str">
        <f>"9/10/2020 12:00:00 a. m."</f>
        <v>9/10/2020 12:00:00 a. m.</v>
      </c>
      <c r="BA369" t="str">
        <f>""</f>
        <v/>
      </c>
      <c r="BB369" t="str">
        <f>""</f>
        <v/>
      </c>
      <c r="BC369" t="str">
        <f>""</f>
        <v/>
      </c>
      <c r="BD369" t="str">
        <f t="shared" si="421"/>
        <v>1</v>
      </c>
      <c r="BE369" t="str">
        <f t="shared" si="421"/>
        <v>1</v>
      </c>
      <c r="BF369" t="str">
        <f t="shared" si="383"/>
        <v xml:space="preserve">3         </v>
      </c>
      <c r="BG369" t="str">
        <f t="shared" si="384"/>
        <v>Confirmado por laboratorio</v>
      </c>
      <c r="BH369" t="str">
        <f>"CLINICA BLAS DE LEZO S.A."</f>
        <v>CLINICA BLAS DE LEZO S.A.</v>
      </c>
      <c r="BI369" t="str">
        <f t="shared" si="393"/>
        <v>COLOMBIA</v>
      </c>
      <c r="BJ369" t="str">
        <f t="shared" si="385"/>
        <v>CANCER INFANTIL</v>
      </c>
      <c r="BK369" t="str">
        <f>"BOLIVAR"</f>
        <v>BOLIVAR</v>
      </c>
      <c r="BL369" t="str">
        <f>"VILLANUEVA"</f>
        <v>VILLANUEVA</v>
      </c>
      <c r="BM369" t="str">
        <f t="shared" si="394"/>
        <v>COLOMBIA</v>
      </c>
      <c r="BN369" t="str">
        <f>"BOLIVAR"</f>
        <v>BOLIVAR</v>
      </c>
      <c r="BO369" t="str">
        <f>"VILLANUEVA"</f>
        <v>VILLANUEVA</v>
      </c>
      <c r="BP369" t="str">
        <f>"BOLIVAR"</f>
        <v>BOLIVAR</v>
      </c>
      <c r="BQ369" t="str">
        <f>"CARTAGENA"</f>
        <v>CARTAGENA</v>
      </c>
    </row>
    <row r="370" spans="1:69" x14ac:dyDescent="0.25">
      <c r="A370" t="str">
        <f>"7279024"</f>
        <v>7279024</v>
      </c>
      <c r="B370" t="str">
        <f t="shared" si="378"/>
        <v>459</v>
      </c>
      <c r="C370" t="str">
        <f>"15/12/2020 12:00:00 a. m."</f>
        <v>15/12/2020 12:00:00 a. m.</v>
      </c>
      <c r="D370" t="str">
        <f>"44"</f>
        <v>44</v>
      </c>
      <c r="E370" t="str">
        <f t="shared" si="379"/>
        <v>2020</v>
      </c>
      <c r="F370" t="str">
        <f>"5200100283"</f>
        <v>5200100283</v>
      </c>
      <c r="G370" t="str">
        <f t="shared" si="414"/>
        <v>01</v>
      </c>
      <c r="H370" t="str">
        <f>"13"</f>
        <v>13</v>
      </c>
      <c r="I370" t="str">
        <f t="shared" si="423"/>
        <v>1</v>
      </c>
      <c r="J370" t="str">
        <f>"M"</f>
        <v>M</v>
      </c>
      <c r="K370" t="str">
        <f t="shared" si="389"/>
        <v>170</v>
      </c>
      <c r="L370" t="str">
        <f>"52"</f>
        <v>52</v>
      </c>
      <c r="M370" t="str">
        <f>"001"</f>
        <v>001</v>
      </c>
      <c r="N370" t="str">
        <f>"3"</f>
        <v>3</v>
      </c>
      <c r="O370" t="str">
        <f t="shared" ref="O370:O375" si="428">"9997"</f>
        <v>9997</v>
      </c>
      <c r="P370" t="str">
        <f>"S"</f>
        <v>S</v>
      </c>
      <c r="Q370" t="str">
        <f>"ESS118"</f>
        <v>ESS118</v>
      </c>
      <c r="R370" t="str">
        <f t="shared" si="425"/>
        <v>6</v>
      </c>
      <c r="S370" t="str">
        <f>""</f>
        <v/>
      </c>
      <c r="T370" t="str">
        <f t="shared" si="399"/>
        <v xml:space="preserve">                                                                                                    </v>
      </c>
      <c r="U370" t="str">
        <f>"1         "</f>
        <v xml:space="preserve">1         </v>
      </c>
      <c r="V370" t="str">
        <f t="shared" si="403"/>
        <v>2</v>
      </c>
      <c r="W370" t="str">
        <f t="shared" si="365"/>
        <v>2</v>
      </c>
      <c r="X370" t="str">
        <f t="shared" si="407"/>
        <v>2</v>
      </c>
      <c r="Y370" t="str">
        <f t="shared" si="417"/>
        <v>2</v>
      </c>
      <c r="Z370" t="str">
        <f t="shared" si="417"/>
        <v>2</v>
      </c>
      <c r="AA370" t="str">
        <f t="shared" si="380"/>
        <v xml:space="preserve">          </v>
      </c>
      <c r="AB370" t="str">
        <f t="shared" si="372"/>
        <v>2</v>
      </c>
      <c r="AC370" t="str">
        <f t="shared" si="373"/>
        <v>2</v>
      </c>
      <c r="AD370" t="str">
        <f t="shared" si="419"/>
        <v>2</v>
      </c>
      <c r="AE370" t="str">
        <f t="shared" si="419"/>
        <v>2</v>
      </c>
      <c r="AF370" t="str">
        <f t="shared" si="419"/>
        <v>2</v>
      </c>
      <c r="AG370" t="str">
        <f t="shared" si="419"/>
        <v>2</v>
      </c>
      <c r="AH370" t="str">
        <f t="shared" si="408"/>
        <v>1</v>
      </c>
      <c r="AI370" t="str">
        <f t="shared" si="422"/>
        <v xml:space="preserve">1         </v>
      </c>
      <c r="AJ370" t="str">
        <f t="shared" si="392"/>
        <v>170</v>
      </c>
      <c r="AK370" t="str">
        <f>"52"</f>
        <v>52</v>
      </c>
      <c r="AL370" t="str">
        <f>"585"</f>
        <v>585</v>
      </c>
      <c r="AM370" t="str">
        <f>"52"</f>
        <v>52</v>
      </c>
      <c r="AN370" t="str">
        <f>"52001"</f>
        <v>52001</v>
      </c>
      <c r="AO370" t="str">
        <f>"29/10/2020 12:00:00 a. m."</f>
        <v>29/10/2020 12:00:00 a. m.</v>
      </c>
      <c r="AP370" t="str">
        <f>"15/10/2020 12:00:00 a. m."</f>
        <v>15/10/2020 12:00:00 a. m.</v>
      </c>
      <c r="AQ370" t="str">
        <f t="shared" si="426"/>
        <v>3</v>
      </c>
      <c r="AR370" t="str">
        <f t="shared" si="424"/>
        <v>1</v>
      </c>
      <c r="AS370" t="str">
        <f>"29/10/2020 12:00:00 a. m."</f>
        <v>29/10/2020 12:00:00 a. m.</v>
      </c>
      <c r="AT370" t="str">
        <f t="shared" si="412"/>
        <v>1</v>
      </c>
      <c r="AU370" t="str">
        <f>""</f>
        <v/>
      </c>
      <c r="AV370" t="str">
        <f t="shared" si="427"/>
        <v>0</v>
      </c>
      <c r="AW370" t="str">
        <f>"17/09/2007 12:00:00 a. m."</f>
        <v>17/09/2007 12:00:00 a. m.</v>
      </c>
      <c r="AX370" t="str">
        <f>""</f>
        <v/>
      </c>
      <c r="AY370" t="str">
        <f t="shared" si="381"/>
        <v>30/04/2021 12:00:00 a. m.</v>
      </c>
      <c r="AZ370" t="str">
        <f>"16/12/2020 12:00:00 a. m."</f>
        <v>16/12/2020 12:00:00 a. m.</v>
      </c>
      <c r="BA370" t="str">
        <f>""</f>
        <v/>
      </c>
      <c r="BB370" t="str">
        <f>""</f>
        <v/>
      </c>
      <c r="BC370" t="str">
        <f>""</f>
        <v/>
      </c>
      <c r="BD370" t="str">
        <f t="shared" si="421"/>
        <v>1</v>
      </c>
      <c r="BE370" t="str">
        <f t="shared" si="421"/>
        <v>1</v>
      </c>
      <c r="BF370" t="str">
        <f t="shared" si="383"/>
        <v xml:space="preserve">3         </v>
      </c>
      <c r="BG370" t="str">
        <f t="shared" si="384"/>
        <v>Confirmado por laboratorio</v>
      </c>
      <c r="BH370" t="str">
        <f>"HOSPITAL INFANTIL LOS ANGELES"</f>
        <v>HOSPITAL INFANTIL LOS ANGELES</v>
      </c>
      <c r="BI370" t="str">
        <f t="shared" si="393"/>
        <v>COLOMBIA</v>
      </c>
      <c r="BJ370" t="str">
        <f t="shared" si="385"/>
        <v>CANCER INFANTIL</v>
      </c>
      <c r="BK370" t="str">
        <f>"NARIÑO"</f>
        <v>NARIÑO</v>
      </c>
      <c r="BL370" t="str">
        <f>"PASTO"</f>
        <v>PASTO</v>
      </c>
      <c r="BM370" t="str">
        <f t="shared" si="394"/>
        <v>COLOMBIA</v>
      </c>
      <c r="BN370" t="str">
        <f>"NARIÑO"</f>
        <v>NARIÑO</v>
      </c>
      <c r="BO370" t="str">
        <f>"PUPIALES"</f>
        <v>PUPIALES</v>
      </c>
      <c r="BP370" t="str">
        <f>"NARIÑO"</f>
        <v>NARIÑO</v>
      </c>
      <c r="BQ370" t="str">
        <f>"PASTO"</f>
        <v>PASTO</v>
      </c>
    </row>
    <row r="371" spans="1:69" x14ac:dyDescent="0.25">
      <c r="A371" t="str">
        <f>"7285377"</f>
        <v>7285377</v>
      </c>
      <c r="B371" t="str">
        <f t="shared" si="378"/>
        <v>459</v>
      </c>
      <c r="C371" t="str">
        <f>"19/03/2020 12:00:00 a. m."</f>
        <v>19/03/2020 12:00:00 a. m.</v>
      </c>
      <c r="D371" t="str">
        <f>"10"</f>
        <v>10</v>
      </c>
      <c r="E371" t="str">
        <f t="shared" si="379"/>
        <v>2020</v>
      </c>
      <c r="F371" t="str">
        <f>"1100105681"</f>
        <v>1100105681</v>
      </c>
      <c r="G371" t="str">
        <f t="shared" si="414"/>
        <v>01</v>
      </c>
      <c r="H371" t="str">
        <f>"8"</f>
        <v>8</v>
      </c>
      <c r="I371" t="str">
        <f t="shared" si="423"/>
        <v>1</v>
      </c>
      <c r="J371" t="str">
        <f>"F"</f>
        <v>F</v>
      </c>
      <c r="K371" t="str">
        <f t="shared" si="389"/>
        <v>170</v>
      </c>
      <c r="L371" t="str">
        <f>"11"</f>
        <v>11</v>
      </c>
      <c r="M371" t="str">
        <f>"001"</f>
        <v>001</v>
      </c>
      <c r="N371" t="str">
        <f>"1"</f>
        <v>1</v>
      </c>
      <c r="O371" t="str">
        <f t="shared" si="428"/>
        <v>9997</v>
      </c>
      <c r="P371" t="str">
        <f t="shared" ref="P371:P376" si="429">"C"</f>
        <v>C</v>
      </c>
      <c r="Q371" t="str">
        <f>"EPS005"</f>
        <v>EPS005</v>
      </c>
      <c r="R371" t="str">
        <f t="shared" si="425"/>
        <v>6</v>
      </c>
      <c r="S371" t="str">
        <f>""</f>
        <v/>
      </c>
      <c r="T371" t="str">
        <f t="shared" si="399"/>
        <v xml:space="preserve">                                                                                                    </v>
      </c>
      <c r="U371" t="str">
        <f>"2         "</f>
        <v xml:space="preserve">2         </v>
      </c>
      <c r="V371" t="str">
        <f t="shared" si="403"/>
        <v>2</v>
      </c>
      <c r="W371" t="str">
        <f t="shared" si="365"/>
        <v>2</v>
      </c>
      <c r="X371" t="str">
        <f t="shared" si="407"/>
        <v>2</v>
      </c>
      <c r="Y371" t="str">
        <f t="shared" si="417"/>
        <v>2</v>
      </c>
      <c r="Z371" t="str">
        <f t="shared" si="417"/>
        <v>2</v>
      </c>
      <c r="AA371" t="str">
        <f t="shared" si="380"/>
        <v xml:space="preserve">          </v>
      </c>
      <c r="AB371" t="str">
        <f t="shared" si="372"/>
        <v>2</v>
      </c>
      <c r="AC371" t="str">
        <f t="shared" si="373"/>
        <v>2</v>
      </c>
      <c r="AD371" t="str">
        <f t="shared" si="419"/>
        <v>2</v>
      </c>
      <c r="AE371" t="str">
        <f t="shared" si="419"/>
        <v>2</v>
      </c>
      <c r="AF371" t="str">
        <f t="shared" si="419"/>
        <v>2</v>
      </c>
      <c r="AG371" t="str">
        <f t="shared" si="419"/>
        <v>2</v>
      </c>
      <c r="AH371" t="str">
        <f t="shared" si="408"/>
        <v>1</v>
      </c>
      <c r="AI371" t="str">
        <f t="shared" si="422"/>
        <v xml:space="preserve">1         </v>
      </c>
      <c r="AJ371" t="str">
        <f t="shared" si="392"/>
        <v>170</v>
      </c>
      <c r="AK371" t="str">
        <f>"11"</f>
        <v>11</v>
      </c>
      <c r="AL371" t="str">
        <f>"001"</f>
        <v>001</v>
      </c>
      <c r="AM371" t="str">
        <f>"11"</f>
        <v>11</v>
      </c>
      <c r="AN371" t="str">
        <f>"11001"</f>
        <v>11001</v>
      </c>
      <c r="AO371" t="str">
        <f>"7/03/2020 12:00:00 a. m."</f>
        <v>7/03/2020 12:00:00 a. m.</v>
      </c>
      <c r="AP371" t="str">
        <f>"7/01/2020 12:00:00 a. m."</f>
        <v>7/01/2020 12:00:00 a. m.</v>
      </c>
      <c r="AQ371" t="str">
        <f t="shared" si="426"/>
        <v>3</v>
      </c>
      <c r="AR371" t="str">
        <f t="shared" si="424"/>
        <v>1</v>
      </c>
      <c r="AS371" t="str">
        <f>"7/03/2020 12:00:00 a. m."</f>
        <v>7/03/2020 12:00:00 a. m.</v>
      </c>
      <c r="AT371" t="str">
        <f t="shared" si="412"/>
        <v>1</v>
      </c>
      <c r="AU371" t="str">
        <f>""</f>
        <v/>
      </c>
      <c r="AV371" t="str">
        <f t="shared" si="427"/>
        <v>0</v>
      </c>
      <c r="AW371" t="str">
        <f>"7/05/2011 12:00:00 a. m."</f>
        <v>7/05/2011 12:00:00 a. m.</v>
      </c>
      <c r="AX371" t="str">
        <f>""</f>
        <v/>
      </c>
      <c r="AY371" t="str">
        <f t="shared" si="381"/>
        <v>30/04/2021 12:00:00 a. m.</v>
      </c>
      <c r="AZ371" t="str">
        <f>"19/03/2020 12:00:00 a. m."</f>
        <v>19/03/2020 12:00:00 a. m.</v>
      </c>
      <c r="BA371" t="str">
        <f>""</f>
        <v/>
      </c>
      <c r="BB371" t="str">
        <f>""</f>
        <v/>
      </c>
      <c r="BC371" t="str">
        <f>""</f>
        <v/>
      </c>
      <c r="BD371" t="str">
        <f t="shared" si="421"/>
        <v>1</v>
      </c>
      <c r="BE371" t="str">
        <f t="shared" si="421"/>
        <v>1</v>
      </c>
      <c r="BF371" t="str">
        <f t="shared" si="383"/>
        <v xml:space="preserve">3         </v>
      </c>
      <c r="BG371" t="str">
        <f t="shared" si="384"/>
        <v>Confirmado por laboratorio</v>
      </c>
      <c r="BH371" t="str">
        <f>"FUNDACION HOSPITAL DE LA MISERICORDIA"</f>
        <v>FUNDACION HOSPITAL DE LA MISERICORDIA</v>
      </c>
      <c r="BI371" t="str">
        <f t="shared" si="393"/>
        <v>COLOMBIA</v>
      </c>
      <c r="BJ371" t="str">
        <f t="shared" si="385"/>
        <v>CANCER INFANTIL</v>
      </c>
      <c r="BK371" t="str">
        <f>"BOGOTA"</f>
        <v>BOGOTA</v>
      </c>
      <c r="BL371" t="str">
        <f>"BOGOTA"</f>
        <v>BOGOTA</v>
      </c>
      <c r="BM371" t="str">
        <f t="shared" si="394"/>
        <v>COLOMBIA</v>
      </c>
      <c r="BN371" t="str">
        <f t="shared" ref="BN371:BQ372" si="430">"BOGOTA"</f>
        <v>BOGOTA</v>
      </c>
      <c r="BO371" t="str">
        <f t="shared" si="430"/>
        <v>BOGOTA</v>
      </c>
      <c r="BP371" t="str">
        <f t="shared" si="430"/>
        <v>BOGOTA</v>
      </c>
      <c r="BQ371" t="str">
        <f t="shared" si="430"/>
        <v>BOGOTA</v>
      </c>
    </row>
    <row r="372" spans="1:69" x14ac:dyDescent="0.25">
      <c r="A372" t="str">
        <f>"7285318"</f>
        <v>7285318</v>
      </c>
      <c r="B372" t="str">
        <f t="shared" si="378"/>
        <v>459</v>
      </c>
      <c r="C372" t="str">
        <f>"20/10/2020 12:00:00 a. m."</f>
        <v>20/10/2020 12:00:00 a. m.</v>
      </c>
      <c r="D372" t="str">
        <f>"39"</f>
        <v>39</v>
      </c>
      <c r="E372" t="str">
        <f t="shared" si="379"/>
        <v>2020</v>
      </c>
      <c r="F372" t="str">
        <f>"1100105681"</f>
        <v>1100105681</v>
      </c>
      <c r="G372" t="str">
        <f t="shared" si="414"/>
        <v>01</v>
      </c>
      <c r="H372" t="str">
        <f>"14"</f>
        <v>14</v>
      </c>
      <c r="I372" t="str">
        <f t="shared" si="423"/>
        <v>1</v>
      </c>
      <c r="J372" t="str">
        <f>"M"</f>
        <v>M</v>
      </c>
      <c r="K372" t="str">
        <f t="shared" si="389"/>
        <v>170</v>
      </c>
      <c r="L372" t="str">
        <f>"11"</f>
        <v>11</v>
      </c>
      <c r="M372" t="str">
        <f>"001"</f>
        <v>001</v>
      </c>
      <c r="N372" t="str">
        <f>"1"</f>
        <v>1</v>
      </c>
      <c r="O372" t="str">
        <f t="shared" si="428"/>
        <v>9997</v>
      </c>
      <c r="P372" t="str">
        <f t="shared" si="429"/>
        <v>C</v>
      </c>
      <c r="Q372" t="str">
        <f>"EPS017"</f>
        <v>EPS017</v>
      </c>
      <c r="R372" t="str">
        <f t="shared" si="425"/>
        <v>6</v>
      </c>
      <c r="S372" t="str">
        <f>""</f>
        <v/>
      </c>
      <c r="T372" t="str">
        <f t="shared" si="399"/>
        <v xml:space="preserve">                                                                                                    </v>
      </c>
      <c r="U372" t="str">
        <f>"2         "</f>
        <v xml:space="preserve">2         </v>
      </c>
      <c r="V372" t="str">
        <f t="shared" si="403"/>
        <v>2</v>
      </c>
      <c r="W372" t="str">
        <f t="shared" ref="W372:W435" si="431">"2"</f>
        <v>2</v>
      </c>
      <c r="X372" t="str">
        <f t="shared" si="407"/>
        <v>2</v>
      </c>
      <c r="Y372" t="str">
        <f t="shared" si="417"/>
        <v>2</v>
      </c>
      <c r="Z372" t="str">
        <f t="shared" si="417"/>
        <v>2</v>
      </c>
      <c r="AA372" t="str">
        <f t="shared" si="380"/>
        <v xml:space="preserve">          </v>
      </c>
      <c r="AB372" t="str">
        <f t="shared" si="372"/>
        <v>2</v>
      </c>
      <c r="AC372" t="str">
        <f t="shared" si="373"/>
        <v>2</v>
      </c>
      <c r="AD372" t="str">
        <f t="shared" si="419"/>
        <v>2</v>
      </c>
      <c r="AE372" t="str">
        <f t="shared" si="419"/>
        <v>2</v>
      </c>
      <c r="AF372" t="str">
        <f t="shared" si="419"/>
        <v>2</v>
      </c>
      <c r="AG372" t="str">
        <f t="shared" si="419"/>
        <v>2</v>
      </c>
      <c r="AH372" t="str">
        <f t="shared" si="408"/>
        <v>1</v>
      </c>
      <c r="AI372" t="str">
        <f t="shared" si="422"/>
        <v xml:space="preserve">1         </v>
      </c>
      <c r="AJ372" t="str">
        <f t="shared" si="392"/>
        <v>170</v>
      </c>
      <c r="AK372" t="str">
        <f>"11"</f>
        <v>11</v>
      </c>
      <c r="AL372" t="str">
        <f>"001"</f>
        <v>001</v>
      </c>
      <c r="AM372" t="str">
        <f>"11"</f>
        <v>11</v>
      </c>
      <c r="AN372" t="str">
        <f>"11001"</f>
        <v>11001</v>
      </c>
      <c r="AO372" t="str">
        <f>"22/09/2020 12:00:00 a. m."</f>
        <v>22/09/2020 12:00:00 a. m.</v>
      </c>
      <c r="AP372" t="str">
        <f>"22/08/2020 12:00:00 a. m."</f>
        <v>22/08/2020 12:00:00 a. m.</v>
      </c>
      <c r="AQ372" t="str">
        <f t="shared" si="426"/>
        <v>3</v>
      </c>
      <c r="AR372" t="str">
        <f t="shared" si="424"/>
        <v>1</v>
      </c>
      <c r="AS372" t="str">
        <f>"22/09/2020 12:00:00 a. m."</f>
        <v>22/09/2020 12:00:00 a. m.</v>
      </c>
      <c r="AT372" t="str">
        <f t="shared" si="412"/>
        <v>1</v>
      </c>
      <c r="AU372" t="str">
        <f>""</f>
        <v/>
      </c>
      <c r="AV372" t="str">
        <f t="shared" si="427"/>
        <v>0</v>
      </c>
      <c r="AW372" t="str">
        <f>"28/07/2006 12:00:00 a. m."</f>
        <v>28/07/2006 12:00:00 a. m.</v>
      </c>
      <c r="AX372" t="str">
        <f>""</f>
        <v/>
      </c>
      <c r="AY372" t="str">
        <f t="shared" si="381"/>
        <v>30/04/2021 12:00:00 a. m.</v>
      </c>
      <c r="AZ372" t="str">
        <f>"27/11/2020 12:00:00 a. m."</f>
        <v>27/11/2020 12:00:00 a. m.</v>
      </c>
      <c r="BA372" t="str">
        <f>""</f>
        <v/>
      </c>
      <c r="BB372" t="str">
        <f>""</f>
        <v/>
      </c>
      <c r="BC372" t="str">
        <f>""</f>
        <v/>
      </c>
      <c r="BD372" t="str">
        <f t="shared" si="421"/>
        <v>1</v>
      </c>
      <c r="BE372" t="str">
        <f t="shared" si="421"/>
        <v>1</v>
      </c>
      <c r="BF372" t="str">
        <f t="shared" si="383"/>
        <v xml:space="preserve">3         </v>
      </c>
      <c r="BG372" t="str">
        <f t="shared" si="384"/>
        <v>Confirmado por laboratorio</v>
      </c>
      <c r="BH372" t="str">
        <f>"FUNDACION HOSPITAL DE LA MISERICORDIA"</f>
        <v>FUNDACION HOSPITAL DE LA MISERICORDIA</v>
      </c>
      <c r="BI372" t="str">
        <f t="shared" si="393"/>
        <v>COLOMBIA</v>
      </c>
      <c r="BJ372" t="str">
        <f t="shared" si="385"/>
        <v>CANCER INFANTIL</v>
      </c>
      <c r="BK372" t="str">
        <f>"BOGOTA"</f>
        <v>BOGOTA</v>
      </c>
      <c r="BL372" t="str">
        <f>"BOGOTA"</f>
        <v>BOGOTA</v>
      </c>
      <c r="BM372" t="str">
        <f t="shared" si="394"/>
        <v>COLOMBIA</v>
      </c>
      <c r="BN372" t="str">
        <f t="shared" si="430"/>
        <v>BOGOTA</v>
      </c>
      <c r="BO372" t="str">
        <f t="shared" si="430"/>
        <v>BOGOTA</v>
      </c>
      <c r="BP372" t="str">
        <f t="shared" si="430"/>
        <v>BOGOTA</v>
      </c>
      <c r="BQ372" t="str">
        <f t="shared" si="430"/>
        <v>BOGOTA</v>
      </c>
    </row>
    <row r="373" spans="1:69" x14ac:dyDescent="0.25">
      <c r="A373" t="str">
        <f>"7285393"</f>
        <v>7285393</v>
      </c>
      <c r="B373" t="str">
        <f t="shared" si="378"/>
        <v>459</v>
      </c>
      <c r="C373" t="str">
        <f>"15/08/2020 12:00:00 a. m."</f>
        <v>15/08/2020 12:00:00 a. m.</v>
      </c>
      <c r="D373" t="str">
        <f>"33"</f>
        <v>33</v>
      </c>
      <c r="E373" t="str">
        <f t="shared" si="379"/>
        <v>2020</v>
      </c>
      <c r="F373" t="str">
        <f>"0561502129"</f>
        <v>0561502129</v>
      </c>
      <c r="G373" t="str">
        <f t="shared" si="414"/>
        <v>01</v>
      </c>
      <c r="H373" t="str">
        <f>"10"</f>
        <v>10</v>
      </c>
      <c r="I373" t="str">
        <f t="shared" si="423"/>
        <v>1</v>
      </c>
      <c r="J373" t="str">
        <f>"F"</f>
        <v>F</v>
      </c>
      <c r="K373" t="str">
        <f t="shared" si="389"/>
        <v>170</v>
      </c>
      <c r="L373" t="str">
        <f>"05"</f>
        <v>05</v>
      </c>
      <c r="M373" t="str">
        <f>"440"</f>
        <v>440</v>
      </c>
      <c r="N373" t="str">
        <f>"3"</f>
        <v>3</v>
      </c>
      <c r="O373" t="str">
        <f t="shared" si="428"/>
        <v>9997</v>
      </c>
      <c r="P373" t="str">
        <f t="shared" si="429"/>
        <v>C</v>
      </c>
      <c r="Q373" t="str">
        <f>"EPS010"</f>
        <v>EPS010</v>
      </c>
      <c r="R373" t="str">
        <f t="shared" si="425"/>
        <v>6</v>
      </c>
      <c r="S373" t="str">
        <f>""</f>
        <v/>
      </c>
      <c r="T373" t="str">
        <f t="shared" si="399"/>
        <v xml:space="preserve">                                                                                                    </v>
      </c>
      <c r="U373" t="str">
        <f>"3         "</f>
        <v xml:space="preserve">3         </v>
      </c>
      <c r="V373" t="str">
        <f t="shared" ref="V373:V404" si="432">"2"</f>
        <v>2</v>
      </c>
      <c r="W373" t="str">
        <f t="shared" si="431"/>
        <v>2</v>
      </c>
      <c r="X373" t="str">
        <f t="shared" si="407"/>
        <v>2</v>
      </c>
      <c r="Y373" t="str">
        <f t="shared" si="417"/>
        <v>2</v>
      </c>
      <c r="Z373" t="str">
        <f t="shared" si="417"/>
        <v>2</v>
      </c>
      <c r="AA373" t="str">
        <f t="shared" si="380"/>
        <v xml:space="preserve">          </v>
      </c>
      <c r="AB373" t="str">
        <f t="shared" si="372"/>
        <v>2</v>
      </c>
      <c r="AC373" t="str">
        <f t="shared" si="373"/>
        <v>2</v>
      </c>
      <c r="AD373" t="str">
        <f t="shared" si="419"/>
        <v>2</v>
      </c>
      <c r="AE373" t="str">
        <f t="shared" si="419"/>
        <v>2</v>
      </c>
      <c r="AF373" t="str">
        <f t="shared" si="419"/>
        <v>2</v>
      </c>
      <c r="AG373" t="str">
        <f t="shared" si="419"/>
        <v>2</v>
      </c>
      <c r="AH373" t="str">
        <f t="shared" si="408"/>
        <v>1</v>
      </c>
      <c r="AI373" t="str">
        <f t="shared" si="422"/>
        <v xml:space="preserve">1         </v>
      </c>
      <c r="AJ373" t="str">
        <f t="shared" si="392"/>
        <v>170</v>
      </c>
      <c r="AK373" t="str">
        <f>"05"</f>
        <v>05</v>
      </c>
      <c r="AL373" t="str">
        <f>"440"</f>
        <v>440</v>
      </c>
      <c r="AM373" t="str">
        <f>"05"</f>
        <v>05</v>
      </c>
      <c r="AN373" t="str">
        <f>"05615"</f>
        <v>05615</v>
      </c>
      <c r="AO373" t="str">
        <f>"15/08/2020 12:00:00 a. m."</f>
        <v>15/08/2020 12:00:00 a. m.</v>
      </c>
      <c r="AP373" t="str">
        <f>"15/08/2020 12:00:00 a. m."</f>
        <v>15/08/2020 12:00:00 a. m.</v>
      </c>
      <c r="AQ373" t="str">
        <f t="shared" si="426"/>
        <v>3</v>
      </c>
      <c r="AR373" t="str">
        <f>"2"</f>
        <v>2</v>
      </c>
      <c r="AS373" t="str">
        <f>""</f>
        <v/>
      </c>
      <c r="AT373" t="str">
        <f t="shared" si="412"/>
        <v>1</v>
      </c>
      <c r="AU373" t="str">
        <f>""</f>
        <v/>
      </c>
      <c r="AV373" t="str">
        <f t="shared" si="427"/>
        <v>0</v>
      </c>
      <c r="AW373" t="str">
        <f>"27/10/2009 12:00:00 a. m."</f>
        <v>27/10/2009 12:00:00 a. m.</v>
      </c>
      <c r="AX373" t="str">
        <f>""</f>
        <v/>
      </c>
      <c r="AY373" t="str">
        <f t="shared" si="381"/>
        <v>30/04/2021 12:00:00 a. m.</v>
      </c>
      <c r="AZ373" t="str">
        <f>"31/08/2020 12:00:00 a. m."</f>
        <v>31/08/2020 12:00:00 a. m.</v>
      </c>
      <c r="BA373" t="str">
        <f>""</f>
        <v/>
      </c>
      <c r="BB373" t="str">
        <f>""</f>
        <v/>
      </c>
      <c r="BC373" t="str">
        <f>""</f>
        <v/>
      </c>
      <c r="BD373" t="str">
        <f t="shared" si="421"/>
        <v>1</v>
      </c>
      <c r="BE373" t="str">
        <f t="shared" si="421"/>
        <v>1</v>
      </c>
      <c r="BF373" t="str">
        <f t="shared" si="383"/>
        <v xml:space="preserve">3         </v>
      </c>
      <c r="BG373" t="str">
        <f t="shared" si="384"/>
        <v>Confirmado por laboratorio</v>
      </c>
      <c r="BH373" t="str">
        <f>"SOCIEDAD MEDICA DE RIONEGRO SA SOMER SA"</f>
        <v>SOCIEDAD MEDICA DE RIONEGRO SA SOMER SA</v>
      </c>
      <c r="BI373" t="str">
        <f t="shared" si="393"/>
        <v>COLOMBIA</v>
      </c>
      <c r="BJ373" t="str">
        <f t="shared" si="385"/>
        <v>CANCER INFANTIL</v>
      </c>
      <c r="BK373" t="str">
        <f>"ANTIOQUIA"</f>
        <v>ANTIOQUIA</v>
      </c>
      <c r="BL373" t="str">
        <f>"MARINILLA"</f>
        <v>MARINILLA</v>
      </c>
      <c r="BM373" t="str">
        <f t="shared" si="394"/>
        <v>COLOMBIA</v>
      </c>
      <c r="BN373" t="str">
        <f>"ANTIOQUIA"</f>
        <v>ANTIOQUIA</v>
      </c>
      <c r="BO373" t="str">
        <f>"MARINILLA"</f>
        <v>MARINILLA</v>
      </c>
      <c r="BP373" t="str">
        <f>"ANTIOQUIA"</f>
        <v>ANTIOQUIA</v>
      </c>
      <c r="BQ373" t="str">
        <f>"RIONEGRO"</f>
        <v>RIONEGRO</v>
      </c>
    </row>
    <row r="374" spans="1:69" x14ac:dyDescent="0.25">
      <c r="A374" t="str">
        <f>"7285637"</f>
        <v>7285637</v>
      </c>
      <c r="B374" t="str">
        <f t="shared" si="378"/>
        <v>459</v>
      </c>
      <c r="C374" t="str">
        <f>"2/06/2020 12:00:00 a. m."</f>
        <v>2/06/2020 12:00:00 a. m.</v>
      </c>
      <c r="D374" t="str">
        <f>"21"</f>
        <v>21</v>
      </c>
      <c r="E374" t="str">
        <f t="shared" si="379"/>
        <v>2020</v>
      </c>
      <c r="F374" t="str">
        <f>"6854704947"</f>
        <v>6854704947</v>
      </c>
      <c r="G374" t="str">
        <f t="shared" si="414"/>
        <v>01</v>
      </c>
      <c r="H374" t="str">
        <f>"16"</f>
        <v>16</v>
      </c>
      <c r="I374" t="str">
        <f t="shared" si="423"/>
        <v>1</v>
      </c>
      <c r="J374" t="str">
        <f>"M"</f>
        <v>M</v>
      </c>
      <c r="K374" t="str">
        <f t="shared" si="389"/>
        <v>170</v>
      </c>
      <c r="L374" t="str">
        <f>"68"</f>
        <v>68</v>
      </c>
      <c r="M374" t="str">
        <f>"001"</f>
        <v>001</v>
      </c>
      <c r="N374" t="str">
        <f>"1"</f>
        <v>1</v>
      </c>
      <c r="O374" t="str">
        <f t="shared" si="428"/>
        <v>9997</v>
      </c>
      <c r="P374" t="str">
        <f t="shared" si="429"/>
        <v>C</v>
      </c>
      <c r="Q374" t="str">
        <f>"EPS002"</f>
        <v>EPS002</v>
      </c>
      <c r="R374" t="str">
        <f t="shared" si="425"/>
        <v>6</v>
      </c>
      <c r="S374" t="str">
        <f>""</f>
        <v/>
      </c>
      <c r="T374" t="str">
        <f t="shared" si="399"/>
        <v xml:space="preserve">                                                                                                    </v>
      </c>
      <c r="U374" t="str">
        <f>"2         "</f>
        <v xml:space="preserve">2         </v>
      </c>
      <c r="V374" t="str">
        <f t="shared" si="432"/>
        <v>2</v>
      </c>
      <c r="W374" t="str">
        <f t="shared" si="431"/>
        <v>2</v>
      </c>
      <c r="X374" t="str">
        <f t="shared" si="407"/>
        <v>2</v>
      </c>
      <c r="Y374" t="str">
        <f t="shared" si="417"/>
        <v>2</v>
      </c>
      <c r="Z374" t="str">
        <f t="shared" si="417"/>
        <v>2</v>
      </c>
      <c r="AA374" t="str">
        <f t="shared" si="380"/>
        <v xml:space="preserve">          </v>
      </c>
      <c r="AB374" t="str">
        <f t="shared" si="372"/>
        <v>2</v>
      </c>
      <c r="AC374" t="str">
        <f t="shared" si="373"/>
        <v>2</v>
      </c>
      <c r="AD374" t="str">
        <f t="shared" si="419"/>
        <v>2</v>
      </c>
      <c r="AE374" t="str">
        <f t="shared" si="419"/>
        <v>2</v>
      </c>
      <c r="AF374" t="str">
        <f t="shared" si="419"/>
        <v>2</v>
      </c>
      <c r="AG374" t="str">
        <f t="shared" si="419"/>
        <v>2</v>
      </c>
      <c r="AH374" t="str">
        <f t="shared" si="408"/>
        <v>1</v>
      </c>
      <c r="AI374" t="str">
        <f t="shared" si="422"/>
        <v xml:space="preserve">1         </v>
      </c>
      <c r="AJ374" t="str">
        <f t="shared" si="392"/>
        <v>170</v>
      </c>
      <c r="AK374" t="str">
        <f>"68"</f>
        <v>68</v>
      </c>
      <c r="AL374" t="str">
        <f>"001"</f>
        <v>001</v>
      </c>
      <c r="AM374" t="str">
        <f>"68"</f>
        <v>68</v>
      </c>
      <c r="AN374" t="str">
        <f>"68547"</f>
        <v>68547</v>
      </c>
      <c r="AO374" t="str">
        <f>"18/05/2020 12:00:00 a. m."</f>
        <v>18/05/2020 12:00:00 a. m.</v>
      </c>
      <c r="AP374" t="str">
        <f>"18/03/2020 12:00:00 a. m."</f>
        <v>18/03/2020 12:00:00 a. m.</v>
      </c>
      <c r="AQ374" t="str">
        <f t="shared" si="426"/>
        <v>3</v>
      </c>
      <c r="AR374" t="str">
        <f t="shared" ref="AR374:AR381" si="433">"1"</f>
        <v>1</v>
      </c>
      <c r="AS374" t="str">
        <f>"18/05/2020 12:00:00 a. m."</f>
        <v>18/05/2020 12:00:00 a. m.</v>
      </c>
      <c r="AT374" t="str">
        <f t="shared" si="412"/>
        <v>1</v>
      </c>
      <c r="AU374" t="str">
        <f>""</f>
        <v/>
      </c>
      <c r="AV374" t="str">
        <f t="shared" si="427"/>
        <v>0</v>
      </c>
      <c r="AW374" t="str">
        <f>"11/06/2003 12:00:00 a. m."</f>
        <v>11/06/2003 12:00:00 a. m.</v>
      </c>
      <c r="AX374" t="str">
        <f>""</f>
        <v/>
      </c>
      <c r="AY374" t="str">
        <f t="shared" si="381"/>
        <v>30/04/2021 12:00:00 a. m.</v>
      </c>
      <c r="AZ374" t="str">
        <f>"2/06/2020 12:00:00 a. m."</f>
        <v>2/06/2020 12:00:00 a. m.</v>
      </c>
      <c r="BA374" t="str">
        <f>""</f>
        <v/>
      </c>
      <c r="BB374" t="str">
        <f>""</f>
        <v/>
      </c>
      <c r="BC374" t="str">
        <f>""</f>
        <v/>
      </c>
      <c r="BD374" t="str">
        <f t="shared" si="421"/>
        <v>1</v>
      </c>
      <c r="BE374" t="str">
        <f t="shared" si="421"/>
        <v>1</v>
      </c>
      <c r="BF374" t="str">
        <f t="shared" si="383"/>
        <v xml:space="preserve">3         </v>
      </c>
      <c r="BG374" t="str">
        <f t="shared" si="384"/>
        <v>Confirmado por laboratorio</v>
      </c>
      <c r="BH374" t="str">
        <f>"HOSPITAL INTERNACIONAL DE COLOMBIA"</f>
        <v>HOSPITAL INTERNACIONAL DE COLOMBIA</v>
      </c>
      <c r="BI374" t="str">
        <f t="shared" si="393"/>
        <v>COLOMBIA</v>
      </c>
      <c r="BJ374" t="str">
        <f t="shared" si="385"/>
        <v>CANCER INFANTIL</v>
      </c>
      <c r="BK374" t="str">
        <f>"SANTANDER"</f>
        <v>SANTANDER</v>
      </c>
      <c r="BL374" t="str">
        <f>"BUCARAMANGA"</f>
        <v>BUCARAMANGA</v>
      </c>
      <c r="BM374" t="str">
        <f t="shared" si="394"/>
        <v>COLOMBIA</v>
      </c>
      <c r="BN374" t="str">
        <f>"SANTANDER"</f>
        <v>SANTANDER</v>
      </c>
      <c r="BO374" t="str">
        <f>"BUCARAMANGA"</f>
        <v>BUCARAMANGA</v>
      </c>
      <c r="BP374" t="str">
        <f>"SANTANDER"</f>
        <v>SANTANDER</v>
      </c>
      <c r="BQ374" t="str">
        <f>"PIEDECUESTA"</f>
        <v>PIEDECUESTA</v>
      </c>
    </row>
    <row r="375" spans="1:69" x14ac:dyDescent="0.25">
      <c r="A375" t="str">
        <f>"7285527"</f>
        <v>7285527</v>
      </c>
      <c r="B375" t="str">
        <f t="shared" si="378"/>
        <v>459</v>
      </c>
      <c r="C375" t="str">
        <f>"19/01/2021 12:00:00 a. m."</f>
        <v>19/01/2021 12:00:00 a. m.</v>
      </c>
      <c r="D375" t="str">
        <f>"48"</f>
        <v>48</v>
      </c>
      <c r="E375" t="str">
        <f t="shared" si="379"/>
        <v>2020</v>
      </c>
      <c r="F375" t="str">
        <f>"6854704947"</f>
        <v>6854704947</v>
      </c>
      <c r="G375" t="str">
        <f t="shared" si="414"/>
        <v>01</v>
      </c>
      <c r="H375" t="str">
        <f>"8"</f>
        <v>8</v>
      </c>
      <c r="I375" t="str">
        <f t="shared" si="423"/>
        <v>1</v>
      </c>
      <c r="J375" t="str">
        <f>"F"</f>
        <v>F</v>
      </c>
      <c r="K375" t="str">
        <f t="shared" si="389"/>
        <v>170</v>
      </c>
      <c r="L375" t="str">
        <f>"68"</f>
        <v>68</v>
      </c>
      <c r="M375" t="str">
        <f>"001"</f>
        <v>001</v>
      </c>
      <c r="N375" t="str">
        <f>"1"</f>
        <v>1</v>
      </c>
      <c r="O375" t="str">
        <f t="shared" si="428"/>
        <v>9997</v>
      </c>
      <c r="P375" t="str">
        <f t="shared" si="429"/>
        <v>C</v>
      </c>
      <c r="Q375" t="str">
        <f>"EPS010"</f>
        <v>EPS010</v>
      </c>
      <c r="R375" t="str">
        <f t="shared" si="425"/>
        <v>6</v>
      </c>
      <c r="S375" t="str">
        <f>""</f>
        <v/>
      </c>
      <c r="T375" t="str">
        <f t="shared" si="399"/>
        <v xml:space="preserve">                                                                                                    </v>
      </c>
      <c r="U375" t="str">
        <f>"1         "</f>
        <v xml:space="preserve">1         </v>
      </c>
      <c r="V375" t="str">
        <f t="shared" si="432"/>
        <v>2</v>
      </c>
      <c r="W375" t="str">
        <f t="shared" si="431"/>
        <v>2</v>
      </c>
      <c r="X375" t="str">
        <f t="shared" si="407"/>
        <v>2</v>
      </c>
      <c r="Y375" t="str">
        <f t="shared" si="417"/>
        <v>2</v>
      </c>
      <c r="Z375" t="str">
        <f t="shared" si="417"/>
        <v>2</v>
      </c>
      <c r="AA375" t="str">
        <f t="shared" si="380"/>
        <v xml:space="preserve">          </v>
      </c>
      <c r="AB375" t="str">
        <f t="shared" si="372"/>
        <v>2</v>
      </c>
      <c r="AC375" t="str">
        <f t="shared" si="373"/>
        <v>2</v>
      </c>
      <c r="AD375" t="str">
        <f t="shared" si="419"/>
        <v>2</v>
      </c>
      <c r="AE375" t="str">
        <f t="shared" si="419"/>
        <v>2</v>
      </c>
      <c r="AF375" t="str">
        <f t="shared" si="419"/>
        <v>2</v>
      </c>
      <c r="AG375" t="str">
        <f t="shared" si="419"/>
        <v>2</v>
      </c>
      <c r="AH375" t="str">
        <f t="shared" si="408"/>
        <v>1</v>
      </c>
      <c r="AI375" t="str">
        <f t="shared" si="422"/>
        <v xml:space="preserve">1         </v>
      </c>
      <c r="AJ375" t="str">
        <f t="shared" si="392"/>
        <v>170</v>
      </c>
      <c r="AK375" t="str">
        <f>"68"</f>
        <v>68</v>
      </c>
      <c r="AL375" t="str">
        <f>"001"</f>
        <v>001</v>
      </c>
      <c r="AM375" t="str">
        <f>"68"</f>
        <v>68</v>
      </c>
      <c r="AN375" t="str">
        <f>"68547"</f>
        <v>68547</v>
      </c>
      <c r="AO375" t="str">
        <f>"24/11/2020 12:00:00 a. m."</f>
        <v>24/11/2020 12:00:00 a. m.</v>
      </c>
      <c r="AP375" t="str">
        <f>"20/11/2020 12:00:00 a. m."</f>
        <v>20/11/2020 12:00:00 a. m.</v>
      </c>
      <c r="AQ375" t="str">
        <f t="shared" si="426"/>
        <v>3</v>
      </c>
      <c r="AR375" t="str">
        <f t="shared" si="433"/>
        <v>1</v>
      </c>
      <c r="AS375" t="str">
        <f>"24/11/2020 12:00:00 a. m."</f>
        <v>24/11/2020 12:00:00 a. m.</v>
      </c>
      <c r="AT375" t="str">
        <f t="shared" si="412"/>
        <v>1</v>
      </c>
      <c r="AU375" t="str">
        <f>""</f>
        <v/>
      </c>
      <c r="AV375" t="str">
        <f t="shared" si="427"/>
        <v>0</v>
      </c>
      <c r="AW375" t="str">
        <f>"27/10/2012 12:00:00 a. m."</f>
        <v>27/10/2012 12:00:00 a. m.</v>
      </c>
      <c r="AX375" t="str">
        <f>""</f>
        <v/>
      </c>
      <c r="AY375" t="str">
        <f t="shared" si="381"/>
        <v>30/04/2021 12:00:00 a. m.</v>
      </c>
      <c r="AZ375" t="str">
        <f>"19/01/2021 12:00:00 a. m."</f>
        <v>19/01/2021 12:00:00 a. m.</v>
      </c>
      <c r="BA375" t="str">
        <f>""</f>
        <v/>
      </c>
      <c r="BB375" t="str">
        <f>""</f>
        <v/>
      </c>
      <c r="BC375" t="str">
        <f>""</f>
        <v/>
      </c>
      <c r="BD375" t="str">
        <f t="shared" si="421"/>
        <v>1</v>
      </c>
      <c r="BE375" t="str">
        <f t="shared" si="421"/>
        <v>1</v>
      </c>
      <c r="BF375" t="str">
        <f t="shared" si="383"/>
        <v xml:space="preserve">3         </v>
      </c>
      <c r="BG375" t="str">
        <f t="shared" si="384"/>
        <v>Confirmado por laboratorio</v>
      </c>
      <c r="BH375" t="str">
        <f>"HOSPITAL INTERNACIONAL DE COLOMBIA"</f>
        <v>HOSPITAL INTERNACIONAL DE COLOMBIA</v>
      </c>
      <c r="BI375" t="str">
        <f t="shared" si="393"/>
        <v>COLOMBIA</v>
      </c>
      <c r="BJ375" t="str">
        <f t="shared" si="385"/>
        <v>CANCER INFANTIL</v>
      </c>
      <c r="BK375" t="str">
        <f>"SANTANDER"</f>
        <v>SANTANDER</v>
      </c>
      <c r="BL375" t="str">
        <f>"BUCARAMANGA"</f>
        <v>BUCARAMANGA</v>
      </c>
      <c r="BM375" t="str">
        <f t="shared" si="394"/>
        <v>COLOMBIA</v>
      </c>
      <c r="BN375" t="str">
        <f>"SANTANDER"</f>
        <v>SANTANDER</v>
      </c>
      <c r="BO375" t="str">
        <f>"BUCARAMANGA"</f>
        <v>BUCARAMANGA</v>
      </c>
      <c r="BP375" t="str">
        <f>"SANTANDER"</f>
        <v>SANTANDER</v>
      </c>
      <c r="BQ375" t="str">
        <f>"PIEDECUESTA"</f>
        <v>PIEDECUESTA</v>
      </c>
    </row>
    <row r="376" spans="1:69" x14ac:dyDescent="0.25">
      <c r="A376" t="str">
        <f>"7285531"</f>
        <v>7285531</v>
      </c>
      <c r="B376" t="str">
        <f t="shared" si="378"/>
        <v>459</v>
      </c>
      <c r="C376" t="str">
        <f>"16/03/2020 12:00:00 a. m."</f>
        <v>16/03/2020 12:00:00 a. m.</v>
      </c>
      <c r="D376" t="str">
        <f>"09"</f>
        <v>09</v>
      </c>
      <c r="E376" t="str">
        <f t="shared" si="379"/>
        <v>2020</v>
      </c>
      <c r="F376" t="str">
        <f>"6854704947"</f>
        <v>6854704947</v>
      </c>
      <c r="G376" t="str">
        <f t="shared" si="414"/>
        <v>01</v>
      </c>
      <c r="H376" t="str">
        <f>"2"</f>
        <v>2</v>
      </c>
      <c r="I376" t="str">
        <f t="shared" si="423"/>
        <v>1</v>
      </c>
      <c r="J376" t="str">
        <f>"M"</f>
        <v>M</v>
      </c>
      <c r="K376" t="str">
        <f t="shared" si="389"/>
        <v>170</v>
      </c>
      <c r="L376" t="str">
        <f>"68"</f>
        <v>68</v>
      </c>
      <c r="M376" t="str">
        <f>"001"</f>
        <v>001</v>
      </c>
      <c r="N376" t="str">
        <f>"1"</f>
        <v>1</v>
      </c>
      <c r="O376" t="str">
        <f>"9999"</f>
        <v>9999</v>
      </c>
      <c r="P376" t="str">
        <f t="shared" si="429"/>
        <v>C</v>
      </c>
      <c r="Q376" t="str">
        <f>"EPS017"</f>
        <v>EPS017</v>
      </c>
      <c r="R376" t="str">
        <f t="shared" si="425"/>
        <v>6</v>
      </c>
      <c r="S376" t="str">
        <f>""</f>
        <v/>
      </c>
      <c r="T376" t="str">
        <f t="shared" si="399"/>
        <v xml:space="preserve">                                                                                                    </v>
      </c>
      <c r="U376" t="str">
        <f>"2         "</f>
        <v xml:space="preserve">2         </v>
      </c>
      <c r="V376" t="str">
        <f t="shared" si="432"/>
        <v>2</v>
      </c>
      <c r="W376" t="str">
        <f t="shared" si="431"/>
        <v>2</v>
      </c>
      <c r="X376" t="str">
        <f t="shared" si="407"/>
        <v>2</v>
      </c>
      <c r="Y376" t="str">
        <f t="shared" si="417"/>
        <v>2</v>
      </c>
      <c r="Z376" t="str">
        <f t="shared" si="417"/>
        <v>2</v>
      </c>
      <c r="AA376" t="str">
        <f t="shared" si="380"/>
        <v xml:space="preserve">          </v>
      </c>
      <c r="AB376" t="str">
        <f t="shared" si="372"/>
        <v>2</v>
      </c>
      <c r="AC376" t="str">
        <f t="shared" si="373"/>
        <v>2</v>
      </c>
      <c r="AD376" t="str">
        <f t="shared" si="419"/>
        <v>2</v>
      </c>
      <c r="AE376" t="str">
        <f t="shared" si="419"/>
        <v>2</v>
      </c>
      <c r="AF376" t="str">
        <f t="shared" si="419"/>
        <v>2</v>
      </c>
      <c r="AG376" t="str">
        <f t="shared" si="419"/>
        <v>2</v>
      </c>
      <c r="AH376" t="str">
        <f t="shared" si="408"/>
        <v>1</v>
      </c>
      <c r="AI376" t="str">
        <f t="shared" si="422"/>
        <v xml:space="preserve">1         </v>
      </c>
      <c r="AJ376" t="str">
        <f t="shared" si="392"/>
        <v>170</v>
      </c>
      <c r="AK376" t="str">
        <f>"68"</f>
        <v>68</v>
      </c>
      <c r="AL376" t="str">
        <f>"001"</f>
        <v>001</v>
      </c>
      <c r="AM376" t="str">
        <f>"68"</f>
        <v>68</v>
      </c>
      <c r="AN376" t="str">
        <f>"68547"</f>
        <v>68547</v>
      </c>
      <c r="AO376" t="str">
        <f>"26/02/2020 12:00:00 a. m."</f>
        <v>26/02/2020 12:00:00 a. m.</v>
      </c>
      <c r="AP376" t="str">
        <f>"13/02/2020 12:00:00 a. m."</f>
        <v>13/02/2020 12:00:00 a. m.</v>
      </c>
      <c r="AQ376" t="str">
        <f t="shared" si="426"/>
        <v>3</v>
      </c>
      <c r="AR376" t="str">
        <f t="shared" si="433"/>
        <v>1</v>
      </c>
      <c r="AS376" t="str">
        <f>"26/02/2020 12:00:00 a. m."</f>
        <v>26/02/2020 12:00:00 a. m.</v>
      </c>
      <c r="AT376" t="str">
        <f t="shared" si="412"/>
        <v>1</v>
      </c>
      <c r="AU376" t="str">
        <f>""</f>
        <v/>
      </c>
      <c r="AV376" t="str">
        <f t="shared" si="427"/>
        <v>0</v>
      </c>
      <c r="AW376" t="str">
        <f>"3/08/2017 12:00:00 a. m."</f>
        <v>3/08/2017 12:00:00 a. m.</v>
      </c>
      <c r="AX376" t="str">
        <f>""</f>
        <v/>
      </c>
      <c r="AY376" t="str">
        <f t="shared" si="381"/>
        <v>30/04/2021 12:00:00 a. m.</v>
      </c>
      <c r="AZ376" t="str">
        <f>"16/03/2020 12:00:00 a. m."</f>
        <v>16/03/2020 12:00:00 a. m.</v>
      </c>
      <c r="BA376" t="str">
        <f>""</f>
        <v/>
      </c>
      <c r="BB376" t="str">
        <f>""</f>
        <v/>
      </c>
      <c r="BC376" t="str">
        <f>""</f>
        <v/>
      </c>
      <c r="BD376" t="str">
        <f t="shared" si="421"/>
        <v>1</v>
      </c>
      <c r="BE376" t="str">
        <f t="shared" si="421"/>
        <v>1</v>
      </c>
      <c r="BF376" t="str">
        <f t="shared" si="383"/>
        <v xml:space="preserve">3         </v>
      </c>
      <c r="BG376" t="str">
        <f t="shared" si="384"/>
        <v>Confirmado por laboratorio</v>
      </c>
      <c r="BH376" t="str">
        <f>"HOSPITAL INTERNACIONAL DE COLOMBIA"</f>
        <v>HOSPITAL INTERNACIONAL DE COLOMBIA</v>
      </c>
      <c r="BI376" t="str">
        <f t="shared" si="393"/>
        <v>COLOMBIA</v>
      </c>
      <c r="BJ376" t="str">
        <f t="shared" si="385"/>
        <v>CANCER INFANTIL</v>
      </c>
      <c r="BK376" t="str">
        <f>"SANTANDER"</f>
        <v>SANTANDER</v>
      </c>
      <c r="BL376" t="str">
        <f>"BUCARAMANGA"</f>
        <v>BUCARAMANGA</v>
      </c>
      <c r="BM376" t="str">
        <f t="shared" si="394"/>
        <v>COLOMBIA</v>
      </c>
      <c r="BN376" t="str">
        <f>"SANTANDER"</f>
        <v>SANTANDER</v>
      </c>
      <c r="BO376" t="str">
        <f>"BUCARAMANGA"</f>
        <v>BUCARAMANGA</v>
      </c>
      <c r="BP376" t="str">
        <f>"SANTANDER"</f>
        <v>SANTANDER</v>
      </c>
      <c r="BQ376" t="str">
        <f>"PIEDECUESTA"</f>
        <v>PIEDECUESTA</v>
      </c>
    </row>
    <row r="377" spans="1:69" x14ac:dyDescent="0.25">
      <c r="A377" t="str">
        <f>"7285751"</f>
        <v>7285751</v>
      </c>
      <c r="B377" t="str">
        <f t="shared" si="378"/>
        <v>459</v>
      </c>
      <c r="C377" t="str">
        <f>"27/01/2020 12:00:00 a. m."</f>
        <v>27/01/2020 12:00:00 a. m.</v>
      </c>
      <c r="D377" t="str">
        <f>"03"</f>
        <v>03</v>
      </c>
      <c r="E377" t="str">
        <f t="shared" si="379"/>
        <v>2020</v>
      </c>
      <c r="F377" t="str">
        <f>"0500102175"</f>
        <v>0500102175</v>
      </c>
      <c r="G377" t="str">
        <f t="shared" si="414"/>
        <v>01</v>
      </c>
      <c r="H377" t="str">
        <f>"12"</f>
        <v>12</v>
      </c>
      <c r="I377" t="str">
        <f t="shared" si="423"/>
        <v>1</v>
      </c>
      <c r="J377" t="str">
        <f>"F"</f>
        <v>F</v>
      </c>
      <c r="K377" t="str">
        <f t="shared" si="389"/>
        <v>170</v>
      </c>
      <c r="L377" t="str">
        <f>"05"</f>
        <v>05</v>
      </c>
      <c r="M377" t="str">
        <f>"001"</f>
        <v>001</v>
      </c>
      <c r="N377" t="str">
        <f>"1"</f>
        <v>1</v>
      </c>
      <c r="O377" t="str">
        <f t="shared" ref="O377:O384" si="434">"9997"</f>
        <v>9997</v>
      </c>
      <c r="P377" t="str">
        <f>"S"</f>
        <v>S</v>
      </c>
      <c r="Q377" t="str">
        <f>"EPSS02"</f>
        <v>EPSS02</v>
      </c>
      <c r="R377" t="str">
        <f t="shared" si="425"/>
        <v>6</v>
      </c>
      <c r="S377" t="str">
        <f>""</f>
        <v/>
      </c>
      <c r="T377" t="str">
        <f t="shared" si="399"/>
        <v xml:space="preserve">                                                                                                    </v>
      </c>
      <c r="U377" t="str">
        <f>"2         "</f>
        <v xml:space="preserve">2         </v>
      </c>
      <c r="V377" t="str">
        <f t="shared" si="432"/>
        <v>2</v>
      </c>
      <c r="W377" t="str">
        <f t="shared" si="431"/>
        <v>2</v>
      </c>
      <c r="X377" t="str">
        <f>"1"</f>
        <v>1</v>
      </c>
      <c r="Y377" t="str">
        <f t="shared" si="417"/>
        <v>2</v>
      </c>
      <c r="Z377" t="str">
        <f t="shared" si="417"/>
        <v>2</v>
      </c>
      <c r="AA377" t="str">
        <f t="shared" si="380"/>
        <v xml:space="preserve">          </v>
      </c>
      <c r="AB377" t="str">
        <f t="shared" si="372"/>
        <v>2</v>
      </c>
      <c r="AC377" t="str">
        <f t="shared" si="373"/>
        <v>2</v>
      </c>
      <c r="AD377" t="str">
        <f t="shared" si="419"/>
        <v>2</v>
      </c>
      <c r="AE377" t="str">
        <f t="shared" si="419"/>
        <v>2</v>
      </c>
      <c r="AF377" t="str">
        <f t="shared" si="419"/>
        <v>2</v>
      </c>
      <c r="AG377" t="str">
        <f t="shared" si="419"/>
        <v>2</v>
      </c>
      <c r="AH377" t="str">
        <f>"2"</f>
        <v>2</v>
      </c>
      <c r="AI377" t="str">
        <f t="shared" si="422"/>
        <v xml:space="preserve">1         </v>
      </c>
      <c r="AJ377" t="str">
        <f t="shared" si="392"/>
        <v>170</v>
      </c>
      <c r="AK377" t="str">
        <f>"05"</f>
        <v>05</v>
      </c>
      <c r="AL377" t="str">
        <f>"001"</f>
        <v>001</v>
      </c>
      <c r="AM377" t="str">
        <f>"05"</f>
        <v>05</v>
      </c>
      <c r="AN377" t="str">
        <f>"05001"</f>
        <v>05001</v>
      </c>
      <c r="AO377" t="str">
        <f>"12/01/2020 12:00:00 a. m."</f>
        <v>12/01/2020 12:00:00 a. m.</v>
      </c>
      <c r="AP377" t="str">
        <f>"12/01/2020 12:00:00 a. m."</f>
        <v>12/01/2020 12:00:00 a. m.</v>
      </c>
      <c r="AQ377" t="str">
        <f t="shared" si="426"/>
        <v>3</v>
      </c>
      <c r="AR377" t="str">
        <f t="shared" si="433"/>
        <v>1</v>
      </c>
      <c r="AS377" t="str">
        <f>"13/01/2020 12:00:00 a. m."</f>
        <v>13/01/2020 12:00:00 a. m.</v>
      </c>
      <c r="AT377" t="str">
        <f t="shared" si="412"/>
        <v>1</v>
      </c>
      <c r="AU377" t="str">
        <f>""</f>
        <v/>
      </c>
      <c r="AV377" t="str">
        <f t="shared" si="427"/>
        <v>0</v>
      </c>
      <c r="AW377" t="str">
        <f>"24/10/2007 12:00:00 a. m."</f>
        <v>24/10/2007 12:00:00 a. m.</v>
      </c>
      <c r="AX377" t="str">
        <f>""</f>
        <v/>
      </c>
      <c r="AY377" t="str">
        <f t="shared" si="381"/>
        <v>30/04/2021 12:00:00 a. m.</v>
      </c>
      <c r="AZ377" t="str">
        <f>"27/01/2020 12:00:00 a. m."</f>
        <v>27/01/2020 12:00:00 a. m.</v>
      </c>
      <c r="BA377" t="str">
        <f>""</f>
        <v/>
      </c>
      <c r="BB377" t="str">
        <f>""</f>
        <v/>
      </c>
      <c r="BC377" t="str">
        <f>""</f>
        <v/>
      </c>
      <c r="BD377" t="str">
        <f t="shared" si="421"/>
        <v>1</v>
      </c>
      <c r="BE377" t="str">
        <f t="shared" si="421"/>
        <v>1</v>
      </c>
      <c r="BF377" t="str">
        <f t="shared" si="383"/>
        <v xml:space="preserve">3         </v>
      </c>
      <c r="BG377" t="str">
        <f t="shared" si="384"/>
        <v>Confirmado por laboratorio</v>
      </c>
      <c r="BH377" t="str">
        <f>"FUNDACION HOSPITALARIA SAN VICENTE DE PAUL"</f>
        <v>FUNDACION HOSPITALARIA SAN VICENTE DE PAUL</v>
      </c>
      <c r="BI377" t="str">
        <f t="shared" si="393"/>
        <v>COLOMBIA</v>
      </c>
      <c r="BJ377" t="str">
        <f t="shared" si="385"/>
        <v>CANCER INFANTIL</v>
      </c>
      <c r="BK377" t="str">
        <f>"ANTIOQUIA"</f>
        <v>ANTIOQUIA</v>
      </c>
      <c r="BL377" t="str">
        <f>"MEDELLIN"</f>
        <v>MEDELLIN</v>
      </c>
      <c r="BM377" t="str">
        <f t="shared" si="394"/>
        <v>COLOMBIA</v>
      </c>
      <c r="BN377" t="str">
        <f>"ANTIOQUIA"</f>
        <v>ANTIOQUIA</v>
      </c>
      <c r="BO377" t="str">
        <f>"MEDELLIN"</f>
        <v>MEDELLIN</v>
      </c>
      <c r="BP377" t="str">
        <f>"ANTIOQUIA"</f>
        <v>ANTIOQUIA</v>
      </c>
      <c r="BQ377" t="str">
        <f>"MEDELLIN"</f>
        <v>MEDELLIN</v>
      </c>
    </row>
    <row r="378" spans="1:69" x14ac:dyDescent="0.25">
      <c r="A378" t="str">
        <f>"7285664"</f>
        <v>7285664</v>
      </c>
      <c r="B378" t="str">
        <f t="shared" si="378"/>
        <v>459</v>
      </c>
      <c r="C378" t="str">
        <f>"19/05/2020 12:00:00 a. m."</f>
        <v>19/05/2020 12:00:00 a. m.</v>
      </c>
      <c r="D378" t="str">
        <f>"19"</f>
        <v>19</v>
      </c>
      <c r="E378" t="str">
        <f t="shared" si="379"/>
        <v>2020</v>
      </c>
      <c r="F378" t="str">
        <f>"0500102144"</f>
        <v>0500102144</v>
      </c>
      <c r="G378" t="str">
        <f t="shared" si="414"/>
        <v>01</v>
      </c>
      <c r="H378" t="str">
        <f>"6"</f>
        <v>6</v>
      </c>
      <c r="I378" t="str">
        <f t="shared" si="423"/>
        <v>1</v>
      </c>
      <c r="J378" t="str">
        <f>"M"</f>
        <v>M</v>
      </c>
      <c r="K378" t="str">
        <f t="shared" si="389"/>
        <v>170</v>
      </c>
      <c r="L378" t="str">
        <f>"05"</f>
        <v>05</v>
      </c>
      <c r="M378" t="str">
        <f>"001"</f>
        <v>001</v>
      </c>
      <c r="N378" t="str">
        <f>"1"</f>
        <v>1</v>
      </c>
      <c r="O378" t="str">
        <f t="shared" si="434"/>
        <v>9997</v>
      </c>
      <c r="P378" t="str">
        <f>"S"</f>
        <v>S</v>
      </c>
      <c r="Q378" t="str">
        <f>"EPSS40"</f>
        <v>EPSS40</v>
      </c>
      <c r="R378" t="str">
        <f t="shared" si="425"/>
        <v>6</v>
      </c>
      <c r="S378" t="str">
        <f>""</f>
        <v/>
      </c>
      <c r="T378" t="str">
        <f t="shared" si="399"/>
        <v xml:space="preserve">                                                                                                    </v>
      </c>
      <c r="U378" t="str">
        <f>"          "</f>
        <v xml:space="preserve">          </v>
      </c>
      <c r="V378" t="str">
        <f t="shared" si="432"/>
        <v>2</v>
      </c>
      <c r="W378" t="str">
        <f t="shared" si="431"/>
        <v>2</v>
      </c>
      <c r="X378" t="str">
        <f t="shared" ref="X378:X410" si="435">"2"</f>
        <v>2</v>
      </c>
      <c r="Y378" t="str">
        <f t="shared" si="417"/>
        <v>2</v>
      </c>
      <c r="Z378" t="str">
        <f t="shared" si="417"/>
        <v>2</v>
      </c>
      <c r="AA378" t="str">
        <f t="shared" si="380"/>
        <v xml:space="preserve">          </v>
      </c>
      <c r="AB378" t="str">
        <f t="shared" si="372"/>
        <v>2</v>
      </c>
      <c r="AC378" t="str">
        <f t="shared" si="373"/>
        <v>2</v>
      </c>
      <c r="AD378" t="str">
        <f t="shared" si="419"/>
        <v>2</v>
      </c>
      <c r="AE378" t="str">
        <f t="shared" si="419"/>
        <v>2</v>
      </c>
      <c r="AF378" t="str">
        <f t="shared" si="419"/>
        <v>2</v>
      </c>
      <c r="AG378" t="str">
        <f t="shared" si="419"/>
        <v>2</v>
      </c>
      <c r="AH378" t="str">
        <f t="shared" ref="AH378:AH410" si="436">"1"</f>
        <v>1</v>
      </c>
      <c r="AI378" t="str">
        <f t="shared" si="422"/>
        <v xml:space="preserve">1         </v>
      </c>
      <c r="AJ378" t="str">
        <f t="shared" si="392"/>
        <v>170</v>
      </c>
      <c r="AK378" t="str">
        <f>"05"</f>
        <v>05</v>
      </c>
      <c r="AL378" t="str">
        <f>"001"</f>
        <v>001</v>
      </c>
      <c r="AM378" t="str">
        <f>"05"</f>
        <v>05</v>
      </c>
      <c r="AN378" t="str">
        <f>"05001"</f>
        <v>05001</v>
      </c>
      <c r="AO378" t="str">
        <f>"9/05/2020 12:00:00 a. m."</f>
        <v>9/05/2020 12:00:00 a. m.</v>
      </c>
      <c r="AP378" t="str">
        <f>"26/04/2020 12:00:00 a. m."</f>
        <v>26/04/2020 12:00:00 a. m.</v>
      </c>
      <c r="AQ378" t="str">
        <f t="shared" si="426"/>
        <v>3</v>
      </c>
      <c r="AR378" t="str">
        <f t="shared" si="433"/>
        <v>1</v>
      </c>
      <c r="AS378" t="str">
        <f>"9/05/2020 12:00:00 a. m."</f>
        <v>9/05/2020 12:00:00 a. m.</v>
      </c>
      <c r="AT378" t="str">
        <f t="shared" si="412"/>
        <v>1</v>
      </c>
      <c r="AU378" t="str">
        <f>""</f>
        <v/>
      </c>
      <c r="AV378" t="str">
        <f t="shared" si="427"/>
        <v>0</v>
      </c>
      <c r="AW378" t="str">
        <f>"4/05/2014 12:00:00 a. m."</f>
        <v>4/05/2014 12:00:00 a. m.</v>
      </c>
      <c r="AX378" t="str">
        <f>""</f>
        <v/>
      </c>
      <c r="AY378" t="str">
        <f t="shared" si="381"/>
        <v>30/04/2021 12:00:00 a. m.</v>
      </c>
      <c r="AZ378" t="str">
        <f>"19/05/2020 12:00:00 a. m."</f>
        <v>19/05/2020 12:00:00 a. m.</v>
      </c>
      <c r="BA378" t="str">
        <f>""</f>
        <v/>
      </c>
      <c r="BB378" t="str">
        <f>""</f>
        <v/>
      </c>
      <c r="BC378" t="str">
        <f>""</f>
        <v/>
      </c>
      <c r="BD378" t="str">
        <f t="shared" si="421"/>
        <v>1</v>
      </c>
      <c r="BE378" t="str">
        <f t="shared" si="421"/>
        <v>1</v>
      </c>
      <c r="BF378" t="str">
        <f t="shared" si="383"/>
        <v xml:space="preserve">3         </v>
      </c>
      <c r="BG378" t="str">
        <f t="shared" si="384"/>
        <v>Confirmado por laboratorio</v>
      </c>
      <c r="BH378" t="str">
        <f>"HOSPITAL GENERAL DE MEDELLIN - LUZ CASTRO DE GUTIE"</f>
        <v>HOSPITAL GENERAL DE MEDELLIN - LUZ CASTRO DE GUTIE</v>
      </c>
      <c r="BI378" t="str">
        <f t="shared" si="393"/>
        <v>COLOMBIA</v>
      </c>
      <c r="BJ378" t="str">
        <f t="shared" si="385"/>
        <v>CANCER INFANTIL</v>
      </c>
      <c r="BK378" t="str">
        <f>"ANTIOQUIA"</f>
        <v>ANTIOQUIA</v>
      </c>
      <c r="BL378" t="str">
        <f>"MEDELLIN"</f>
        <v>MEDELLIN</v>
      </c>
      <c r="BM378" t="str">
        <f t="shared" si="394"/>
        <v>COLOMBIA</v>
      </c>
      <c r="BN378" t="str">
        <f>"ANTIOQUIA"</f>
        <v>ANTIOQUIA</v>
      </c>
      <c r="BO378" t="str">
        <f>"MEDELLIN"</f>
        <v>MEDELLIN</v>
      </c>
      <c r="BP378" t="str">
        <f>"ANTIOQUIA"</f>
        <v>ANTIOQUIA</v>
      </c>
      <c r="BQ378" t="str">
        <f>"MEDELLIN"</f>
        <v>MEDELLIN</v>
      </c>
    </row>
    <row r="379" spans="1:69" x14ac:dyDescent="0.25">
      <c r="A379" t="str">
        <f>"7285638"</f>
        <v>7285638</v>
      </c>
      <c r="B379" t="str">
        <f t="shared" si="378"/>
        <v>459</v>
      </c>
      <c r="C379" t="str">
        <f>"31/07/2020 12:00:00 a. m."</f>
        <v>31/07/2020 12:00:00 a. m.</v>
      </c>
      <c r="D379" t="str">
        <f>"30"</f>
        <v>30</v>
      </c>
      <c r="E379" t="str">
        <f t="shared" si="379"/>
        <v>2020</v>
      </c>
      <c r="F379" t="str">
        <f>"6854704947"</f>
        <v>6854704947</v>
      </c>
      <c r="G379" t="str">
        <f t="shared" si="414"/>
        <v>01</v>
      </c>
      <c r="H379" t="str">
        <f>"16"</f>
        <v>16</v>
      </c>
      <c r="I379" t="str">
        <f t="shared" si="423"/>
        <v>1</v>
      </c>
      <c r="J379" t="str">
        <f>"F"</f>
        <v>F</v>
      </c>
      <c r="K379" t="str">
        <f t="shared" si="389"/>
        <v>170</v>
      </c>
      <c r="L379" t="str">
        <f>"68"</f>
        <v>68</v>
      </c>
      <c r="M379" t="str">
        <f>"679"</f>
        <v>679</v>
      </c>
      <c r="N379" t="str">
        <f>"3"</f>
        <v>3</v>
      </c>
      <c r="O379" t="str">
        <f t="shared" si="434"/>
        <v>9997</v>
      </c>
      <c r="P379" t="str">
        <f>"C"</f>
        <v>C</v>
      </c>
      <c r="Q379" t="str">
        <f>"EPS037"</f>
        <v>EPS037</v>
      </c>
      <c r="R379" t="str">
        <f t="shared" si="425"/>
        <v>6</v>
      </c>
      <c r="S379" t="str">
        <f>""</f>
        <v/>
      </c>
      <c r="T379" t="str">
        <f t="shared" si="399"/>
        <v xml:space="preserve">                                                                                                    </v>
      </c>
      <c r="U379" t="str">
        <f>"2         "</f>
        <v xml:space="preserve">2         </v>
      </c>
      <c r="V379" t="str">
        <f t="shared" si="432"/>
        <v>2</v>
      </c>
      <c r="W379" t="str">
        <f t="shared" si="431"/>
        <v>2</v>
      </c>
      <c r="X379" t="str">
        <f t="shared" si="435"/>
        <v>2</v>
      </c>
      <c r="Y379" t="str">
        <f t="shared" ref="Y379:Z398" si="437">"2"</f>
        <v>2</v>
      </c>
      <c r="Z379" t="str">
        <f t="shared" si="437"/>
        <v>2</v>
      </c>
      <c r="AA379" t="str">
        <f t="shared" si="380"/>
        <v xml:space="preserve">          </v>
      </c>
      <c r="AB379" t="str">
        <f t="shared" si="372"/>
        <v>2</v>
      </c>
      <c r="AC379" t="str">
        <f t="shared" si="373"/>
        <v>2</v>
      </c>
      <c r="AD379" t="str">
        <f t="shared" si="419"/>
        <v>2</v>
      </c>
      <c r="AE379" t="str">
        <f t="shared" si="419"/>
        <v>2</v>
      </c>
      <c r="AF379" t="str">
        <f t="shared" si="419"/>
        <v>2</v>
      </c>
      <c r="AG379" t="str">
        <f t="shared" si="419"/>
        <v>2</v>
      </c>
      <c r="AH379" t="str">
        <f t="shared" si="436"/>
        <v>1</v>
      </c>
      <c r="AI379" t="str">
        <f t="shared" si="422"/>
        <v xml:space="preserve">1         </v>
      </c>
      <c r="AJ379" t="str">
        <f t="shared" si="392"/>
        <v>170</v>
      </c>
      <c r="AK379" t="str">
        <f>"68"</f>
        <v>68</v>
      </c>
      <c r="AL379" t="str">
        <f>"679"</f>
        <v>679</v>
      </c>
      <c r="AM379" t="str">
        <f>"68"</f>
        <v>68</v>
      </c>
      <c r="AN379" t="str">
        <f>"68547"</f>
        <v>68547</v>
      </c>
      <c r="AO379" t="str">
        <f>"24/07/2020 12:00:00 a. m."</f>
        <v>24/07/2020 12:00:00 a. m.</v>
      </c>
      <c r="AP379" t="str">
        <f>"24/07/2020 12:00:00 a. m."</f>
        <v>24/07/2020 12:00:00 a. m.</v>
      </c>
      <c r="AQ379" t="str">
        <f t="shared" si="426"/>
        <v>3</v>
      </c>
      <c r="AR379" t="str">
        <f t="shared" si="433"/>
        <v>1</v>
      </c>
      <c r="AS379" t="str">
        <f>"24/07/2020 12:00:00 a. m."</f>
        <v>24/07/2020 12:00:00 a. m.</v>
      </c>
      <c r="AT379" t="str">
        <f t="shared" si="412"/>
        <v>1</v>
      </c>
      <c r="AU379" t="str">
        <f>""</f>
        <v/>
      </c>
      <c r="AV379" t="str">
        <f t="shared" si="427"/>
        <v>0</v>
      </c>
      <c r="AW379" t="str">
        <f>"23/09/2003 12:00:00 a. m."</f>
        <v>23/09/2003 12:00:00 a. m.</v>
      </c>
      <c r="AX379" t="str">
        <f>""</f>
        <v/>
      </c>
      <c r="AY379" t="str">
        <f t="shared" si="381"/>
        <v>30/04/2021 12:00:00 a. m.</v>
      </c>
      <c r="AZ379" t="str">
        <f>"31/07/2020 12:00:00 a. m."</f>
        <v>31/07/2020 12:00:00 a. m.</v>
      </c>
      <c r="BA379" t="str">
        <f>""</f>
        <v/>
      </c>
      <c r="BB379" t="str">
        <f>""</f>
        <v/>
      </c>
      <c r="BC379" t="str">
        <f>""</f>
        <v/>
      </c>
      <c r="BD379" t="str">
        <f t="shared" si="421"/>
        <v>1</v>
      </c>
      <c r="BE379" t="str">
        <f t="shared" si="421"/>
        <v>1</v>
      </c>
      <c r="BF379" t="str">
        <f t="shared" si="383"/>
        <v xml:space="preserve">3         </v>
      </c>
      <c r="BG379" t="str">
        <f t="shared" si="384"/>
        <v>Confirmado por laboratorio</v>
      </c>
      <c r="BH379" t="str">
        <f>"HOSPITAL INTERNACIONAL DE COLOMBIA"</f>
        <v>HOSPITAL INTERNACIONAL DE COLOMBIA</v>
      </c>
      <c r="BI379" t="str">
        <f t="shared" si="393"/>
        <v>COLOMBIA</v>
      </c>
      <c r="BJ379" t="str">
        <f t="shared" si="385"/>
        <v>CANCER INFANTIL</v>
      </c>
      <c r="BK379" t="str">
        <f>"SANTANDER"</f>
        <v>SANTANDER</v>
      </c>
      <c r="BL379" t="str">
        <f>"SAN GIL"</f>
        <v>SAN GIL</v>
      </c>
      <c r="BM379" t="str">
        <f t="shared" si="394"/>
        <v>COLOMBIA</v>
      </c>
      <c r="BN379" t="str">
        <f>"SANTANDER"</f>
        <v>SANTANDER</v>
      </c>
      <c r="BO379" t="str">
        <f>"SAN GIL"</f>
        <v>SAN GIL</v>
      </c>
      <c r="BP379" t="str">
        <f>"SANTANDER"</f>
        <v>SANTANDER</v>
      </c>
      <c r="BQ379" t="str">
        <f>"PIEDECUESTA"</f>
        <v>PIEDECUESTA</v>
      </c>
    </row>
    <row r="380" spans="1:69" x14ac:dyDescent="0.25">
      <c r="A380" t="str">
        <f>"7285535"</f>
        <v>7285535</v>
      </c>
      <c r="B380" t="str">
        <f t="shared" si="378"/>
        <v>459</v>
      </c>
      <c r="C380" t="str">
        <f>"11/11/2020 12:00:00 a. m."</f>
        <v>11/11/2020 12:00:00 a. m.</v>
      </c>
      <c r="D380" t="str">
        <f>"43"</f>
        <v>43</v>
      </c>
      <c r="E380" t="str">
        <f t="shared" si="379"/>
        <v>2020</v>
      </c>
      <c r="F380" t="str">
        <f>"6854704947"</f>
        <v>6854704947</v>
      </c>
      <c r="G380" t="str">
        <f t="shared" si="414"/>
        <v>01</v>
      </c>
      <c r="H380" t="str">
        <f>"9"</f>
        <v>9</v>
      </c>
      <c r="I380" t="str">
        <f t="shared" si="423"/>
        <v>1</v>
      </c>
      <c r="J380" t="str">
        <f>"M"</f>
        <v>M</v>
      </c>
      <c r="K380" t="str">
        <f t="shared" si="389"/>
        <v>170</v>
      </c>
      <c r="L380" t="str">
        <f>"68"</f>
        <v>68</v>
      </c>
      <c r="M380" t="str">
        <f t="shared" ref="M380:M385" si="438">"001"</f>
        <v>001</v>
      </c>
      <c r="N380" t="str">
        <f t="shared" ref="N380:N388" si="439">"1"</f>
        <v>1</v>
      </c>
      <c r="O380" t="str">
        <f t="shared" si="434"/>
        <v>9997</v>
      </c>
      <c r="P380" t="str">
        <f>"S"</f>
        <v>S</v>
      </c>
      <c r="Q380" t="str">
        <f>"EPSS17"</f>
        <v>EPSS17</v>
      </c>
      <c r="R380" t="str">
        <f t="shared" si="425"/>
        <v>6</v>
      </c>
      <c r="S380" t="str">
        <f>""</f>
        <v/>
      </c>
      <c r="T380" t="str">
        <f t="shared" si="399"/>
        <v xml:space="preserve">                                                                                                    </v>
      </c>
      <c r="U380" t="str">
        <f>"2         "</f>
        <v xml:space="preserve">2         </v>
      </c>
      <c r="V380" t="str">
        <f t="shared" si="432"/>
        <v>2</v>
      </c>
      <c r="W380" t="str">
        <f t="shared" si="431"/>
        <v>2</v>
      </c>
      <c r="X380" t="str">
        <f t="shared" si="435"/>
        <v>2</v>
      </c>
      <c r="Y380" t="str">
        <f t="shared" si="437"/>
        <v>2</v>
      </c>
      <c r="Z380" t="str">
        <f t="shared" si="437"/>
        <v>2</v>
      </c>
      <c r="AA380" t="str">
        <f t="shared" si="380"/>
        <v xml:space="preserve">          </v>
      </c>
      <c r="AB380" t="str">
        <f t="shared" ref="AB380:AB443" si="440">"2"</f>
        <v>2</v>
      </c>
      <c r="AC380" t="str">
        <f t="shared" si="373"/>
        <v>2</v>
      </c>
      <c r="AD380" t="str">
        <f t="shared" ref="AD380:AG399" si="441">"2"</f>
        <v>2</v>
      </c>
      <c r="AE380" t="str">
        <f t="shared" si="441"/>
        <v>2</v>
      </c>
      <c r="AF380" t="str">
        <f t="shared" si="441"/>
        <v>2</v>
      </c>
      <c r="AG380" t="str">
        <f t="shared" si="441"/>
        <v>2</v>
      </c>
      <c r="AH380" t="str">
        <f t="shared" si="436"/>
        <v>1</v>
      </c>
      <c r="AI380" t="str">
        <f t="shared" si="422"/>
        <v xml:space="preserve">1         </v>
      </c>
      <c r="AJ380" t="str">
        <f t="shared" si="392"/>
        <v>170</v>
      </c>
      <c r="AK380" t="str">
        <f>"68"</f>
        <v>68</v>
      </c>
      <c r="AL380" t="str">
        <f t="shared" ref="AL380:AL385" si="442">"001"</f>
        <v>001</v>
      </c>
      <c r="AM380" t="str">
        <f>"68"</f>
        <v>68</v>
      </c>
      <c r="AN380" t="str">
        <f>"68547"</f>
        <v>68547</v>
      </c>
      <c r="AO380" t="str">
        <f>"24/10/2020 12:00:00 a. m."</f>
        <v>24/10/2020 12:00:00 a. m.</v>
      </c>
      <c r="AP380" t="str">
        <f>"20/10/2020 12:00:00 a. m."</f>
        <v>20/10/2020 12:00:00 a. m.</v>
      </c>
      <c r="AQ380" t="str">
        <f t="shared" si="426"/>
        <v>3</v>
      </c>
      <c r="AR380" t="str">
        <f t="shared" si="433"/>
        <v>1</v>
      </c>
      <c r="AS380" t="str">
        <f>"24/10/2020 12:00:00 a. m."</f>
        <v>24/10/2020 12:00:00 a. m.</v>
      </c>
      <c r="AT380" t="str">
        <f t="shared" si="412"/>
        <v>1</v>
      </c>
      <c r="AU380" t="str">
        <f>""</f>
        <v/>
      </c>
      <c r="AV380" t="str">
        <f>"7"</f>
        <v>7</v>
      </c>
      <c r="AW380" t="str">
        <f>"4/08/2011 12:00:00 a. m."</f>
        <v>4/08/2011 12:00:00 a. m.</v>
      </c>
      <c r="AX380" t="str">
        <f>""</f>
        <v/>
      </c>
      <c r="AY380" t="str">
        <f t="shared" si="381"/>
        <v>30/04/2021 12:00:00 a. m.</v>
      </c>
      <c r="AZ380" t="str">
        <f>"23/11/2020 12:00:00 a. m."</f>
        <v>23/11/2020 12:00:00 a. m.</v>
      </c>
      <c r="BA380" t="str">
        <f>""</f>
        <v/>
      </c>
      <c r="BB380" t="str">
        <f>""</f>
        <v/>
      </c>
      <c r="BC380" t="str">
        <f>""</f>
        <v/>
      </c>
      <c r="BD380" t="str">
        <f t="shared" si="421"/>
        <v>1</v>
      </c>
      <c r="BE380" t="str">
        <f t="shared" si="421"/>
        <v>1</v>
      </c>
      <c r="BF380" t="str">
        <f t="shared" si="383"/>
        <v xml:space="preserve">3         </v>
      </c>
      <c r="BG380" t="str">
        <f t="shared" si="384"/>
        <v>Confirmado por laboratorio</v>
      </c>
      <c r="BH380" t="str">
        <f>"HOSPITAL INTERNACIONAL DE COLOMBIA"</f>
        <v>HOSPITAL INTERNACIONAL DE COLOMBIA</v>
      </c>
      <c r="BI380" t="str">
        <f t="shared" si="393"/>
        <v>COLOMBIA</v>
      </c>
      <c r="BJ380" t="str">
        <f t="shared" si="385"/>
        <v>CANCER INFANTIL</v>
      </c>
      <c r="BK380" t="str">
        <f>"SANTANDER"</f>
        <v>SANTANDER</v>
      </c>
      <c r="BL380" t="str">
        <f>"BUCARAMANGA"</f>
        <v>BUCARAMANGA</v>
      </c>
      <c r="BM380" t="str">
        <f t="shared" si="394"/>
        <v>COLOMBIA</v>
      </c>
      <c r="BN380" t="str">
        <f>"SANTANDER"</f>
        <v>SANTANDER</v>
      </c>
      <c r="BO380" t="str">
        <f>"BUCARAMANGA"</f>
        <v>BUCARAMANGA</v>
      </c>
      <c r="BP380" t="str">
        <f>"SANTANDER"</f>
        <v>SANTANDER</v>
      </c>
      <c r="BQ380" t="str">
        <f>"PIEDECUESTA"</f>
        <v>PIEDECUESTA</v>
      </c>
    </row>
    <row r="381" spans="1:69" x14ac:dyDescent="0.25">
      <c r="A381" t="str">
        <f>"7285544"</f>
        <v>7285544</v>
      </c>
      <c r="B381" t="str">
        <f t="shared" si="378"/>
        <v>459</v>
      </c>
      <c r="C381" t="str">
        <f>"24/06/2020 12:00:00 a. m."</f>
        <v>24/06/2020 12:00:00 a. m.</v>
      </c>
      <c r="D381" t="str">
        <f>"14"</f>
        <v>14</v>
      </c>
      <c r="E381" t="str">
        <f t="shared" si="379"/>
        <v>2020</v>
      </c>
      <c r="F381" t="str">
        <f>"6854704947"</f>
        <v>6854704947</v>
      </c>
      <c r="G381" t="str">
        <f t="shared" si="414"/>
        <v>01</v>
      </c>
      <c r="H381" t="str">
        <f>"9"</f>
        <v>9</v>
      </c>
      <c r="I381" t="str">
        <f t="shared" si="423"/>
        <v>1</v>
      </c>
      <c r="J381" t="str">
        <f>"F"</f>
        <v>F</v>
      </c>
      <c r="K381" t="str">
        <f t="shared" si="389"/>
        <v>170</v>
      </c>
      <c r="L381" t="str">
        <f>"68"</f>
        <v>68</v>
      </c>
      <c r="M381" t="str">
        <f t="shared" si="438"/>
        <v>001</v>
      </c>
      <c r="N381" t="str">
        <f t="shared" si="439"/>
        <v>1</v>
      </c>
      <c r="O381" t="str">
        <f t="shared" si="434"/>
        <v>9997</v>
      </c>
      <c r="P381" t="str">
        <f>"S"</f>
        <v>S</v>
      </c>
      <c r="Q381" t="str">
        <f>"ESS024"</f>
        <v>ESS024</v>
      </c>
      <c r="R381" t="str">
        <f t="shared" si="425"/>
        <v>6</v>
      </c>
      <c r="S381" t="str">
        <f>""</f>
        <v/>
      </c>
      <c r="T381" t="str">
        <f t="shared" si="399"/>
        <v xml:space="preserve">                                                                                                    </v>
      </c>
      <c r="U381" t="str">
        <f>"2         "</f>
        <v xml:space="preserve">2         </v>
      </c>
      <c r="V381" t="str">
        <f t="shared" si="432"/>
        <v>2</v>
      </c>
      <c r="W381" t="str">
        <f t="shared" si="431"/>
        <v>2</v>
      </c>
      <c r="X381" t="str">
        <f t="shared" si="435"/>
        <v>2</v>
      </c>
      <c r="Y381" t="str">
        <f t="shared" si="437"/>
        <v>2</v>
      </c>
      <c r="Z381" t="str">
        <f t="shared" si="437"/>
        <v>2</v>
      </c>
      <c r="AA381" t="str">
        <f t="shared" si="380"/>
        <v xml:space="preserve">          </v>
      </c>
      <c r="AB381" t="str">
        <f t="shared" si="440"/>
        <v>2</v>
      </c>
      <c r="AC381" t="str">
        <f t="shared" ref="AC381:AC444" si="443">"2"</f>
        <v>2</v>
      </c>
      <c r="AD381" t="str">
        <f t="shared" si="441"/>
        <v>2</v>
      </c>
      <c r="AE381" t="str">
        <f t="shared" si="441"/>
        <v>2</v>
      </c>
      <c r="AF381" t="str">
        <f t="shared" si="441"/>
        <v>2</v>
      </c>
      <c r="AG381" t="str">
        <f t="shared" si="441"/>
        <v>2</v>
      </c>
      <c r="AH381" t="str">
        <f t="shared" si="436"/>
        <v>1</v>
      </c>
      <c r="AI381" t="str">
        <f t="shared" si="422"/>
        <v xml:space="preserve">1         </v>
      </c>
      <c r="AJ381" t="str">
        <f t="shared" si="392"/>
        <v>170</v>
      </c>
      <c r="AK381" t="str">
        <f>"68"</f>
        <v>68</v>
      </c>
      <c r="AL381" t="str">
        <f t="shared" si="442"/>
        <v>001</v>
      </c>
      <c r="AM381" t="str">
        <f>"68"</f>
        <v>68</v>
      </c>
      <c r="AN381" t="str">
        <f>"68547"</f>
        <v>68547</v>
      </c>
      <c r="AO381" t="str">
        <f>"30/03/2020 12:00:00 a. m."</f>
        <v>30/03/2020 12:00:00 a. m.</v>
      </c>
      <c r="AP381" t="str">
        <f>"24/04/2019 12:00:00 a. m."</f>
        <v>24/04/2019 12:00:00 a. m.</v>
      </c>
      <c r="AQ381" t="str">
        <f t="shared" si="426"/>
        <v>3</v>
      </c>
      <c r="AR381" t="str">
        <f t="shared" si="433"/>
        <v>1</v>
      </c>
      <c r="AS381" t="str">
        <f>"30/03/2020 12:00:00 a. m."</f>
        <v>30/03/2020 12:00:00 a. m.</v>
      </c>
      <c r="AT381" t="str">
        <f t="shared" si="412"/>
        <v>1</v>
      </c>
      <c r="AU381" t="str">
        <f>""</f>
        <v/>
      </c>
      <c r="AV381" t="str">
        <f>"0"</f>
        <v>0</v>
      </c>
      <c r="AW381" t="str">
        <f>"13/11/2010 12:00:00 a. m."</f>
        <v>13/11/2010 12:00:00 a. m.</v>
      </c>
      <c r="AX381" t="str">
        <f>""</f>
        <v/>
      </c>
      <c r="AY381" t="str">
        <f t="shared" si="381"/>
        <v>30/04/2021 12:00:00 a. m.</v>
      </c>
      <c r="AZ381" t="str">
        <f>"24/06/2020 12:00:00 a. m."</f>
        <v>24/06/2020 12:00:00 a. m.</v>
      </c>
      <c r="BA381" t="str">
        <f>""</f>
        <v/>
      </c>
      <c r="BB381" t="str">
        <f>""</f>
        <v/>
      </c>
      <c r="BC381" t="str">
        <f>""</f>
        <v/>
      </c>
      <c r="BD381" t="str">
        <f t="shared" si="421"/>
        <v>1</v>
      </c>
      <c r="BE381" t="str">
        <f t="shared" si="421"/>
        <v>1</v>
      </c>
      <c r="BF381" t="str">
        <f t="shared" si="383"/>
        <v xml:space="preserve">3         </v>
      </c>
      <c r="BG381" t="str">
        <f t="shared" si="384"/>
        <v>Confirmado por laboratorio</v>
      </c>
      <c r="BH381" t="str">
        <f>"HOSPITAL INTERNACIONAL DE COLOMBIA"</f>
        <v>HOSPITAL INTERNACIONAL DE COLOMBIA</v>
      </c>
      <c r="BI381" t="str">
        <f t="shared" si="393"/>
        <v>COLOMBIA</v>
      </c>
      <c r="BJ381" t="str">
        <f t="shared" si="385"/>
        <v>CANCER INFANTIL</v>
      </c>
      <c r="BK381" t="str">
        <f>"SANTANDER"</f>
        <v>SANTANDER</v>
      </c>
      <c r="BL381" t="str">
        <f>"BUCARAMANGA"</f>
        <v>BUCARAMANGA</v>
      </c>
      <c r="BM381" t="str">
        <f t="shared" si="394"/>
        <v>COLOMBIA</v>
      </c>
      <c r="BN381" t="str">
        <f>"SANTANDER"</f>
        <v>SANTANDER</v>
      </c>
      <c r="BO381" t="str">
        <f>"BUCARAMANGA"</f>
        <v>BUCARAMANGA</v>
      </c>
      <c r="BP381" t="str">
        <f>"SANTANDER"</f>
        <v>SANTANDER</v>
      </c>
      <c r="BQ381" t="str">
        <f>"PIEDECUESTA"</f>
        <v>PIEDECUESTA</v>
      </c>
    </row>
    <row r="382" spans="1:69" x14ac:dyDescent="0.25">
      <c r="A382" t="str">
        <f>"7285559"</f>
        <v>7285559</v>
      </c>
      <c r="B382" t="str">
        <f t="shared" si="378"/>
        <v>459</v>
      </c>
      <c r="C382" t="str">
        <f>"12/03/2021 12:00:00 a. m."</f>
        <v>12/03/2021 12:00:00 a. m.</v>
      </c>
      <c r="D382" t="str">
        <f>"50"</f>
        <v>50</v>
      </c>
      <c r="E382" t="str">
        <f t="shared" si="379"/>
        <v>2020</v>
      </c>
      <c r="F382" t="str">
        <f>"6854704947"</f>
        <v>6854704947</v>
      </c>
      <c r="G382" t="str">
        <f t="shared" si="414"/>
        <v>01</v>
      </c>
      <c r="H382" t="str">
        <f>"9"</f>
        <v>9</v>
      </c>
      <c r="I382" t="str">
        <f t="shared" si="423"/>
        <v>1</v>
      </c>
      <c r="J382" t="str">
        <f>"F"</f>
        <v>F</v>
      </c>
      <c r="K382" t="str">
        <f t="shared" si="389"/>
        <v>170</v>
      </c>
      <c r="L382" t="str">
        <f>"68"</f>
        <v>68</v>
      </c>
      <c r="M382" t="str">
        <f t="shared" si="438"/>
        <v>001</v>
      </c>
      <c r="N382" t="str">
        <f t="shared" si="439"/>
        <v>1</v>
      </c>
      <c r="O382" t="str">
        <f t="shared" si="434"/>
        <v>9997</v>
      </c>
      <c r="P382" t="str">
        <f>"S"</f>
        <v>S</v>
      </c>
      <c r="Q382" t="str">
        <f>"ESS024"</f>
        <v>ESS024</v>
      </c>
      <c r="R382" t="str">
        <f t="shared" si="425"/>
        <v>6</v>
      </c>
      <c r="S382" t="str">
        <f>""</f>
        <v/>
      </c>
      <c r="T382" t="str">
        <f t="shared" si="399"/>
        <v xml:space="preserve">                                                                                                    </v>
      </c>
      <c r="U382" t="str">
        <f>"2         "</f>
        <v xml:space="preserve">2         </v>
      </c>
      <c r="V382" t="str">
        <f t="shared" si="432"/>
        <v>2</v>
      </c>
      <c r="W382" t="str">
        <f t="shared" si="431"/>
        <v>2</v>
      </c>
      <c r="X382" t="str">
        <f t="shared" si="435"/>
        <v>2</v>
      </c>
      <c r="Y382" t="str">
        <f t="shared" si="437"/>
        <v>2</v>
      </c>
      <c r="Z382" t="str">
        <f t="shared" si="437"/>
        <v>2</v>
      </c>
      <c r="AA382" t="str">
        <f t="shared" si="380"/>
        <v xml:space="preserve">          </v>
      </c>
      <c r="AB382" t="str">
        <f t="shared" si="440"/>
        <v>2</v>
      </c>
      <c r="AC382" t="str">
        <f t="shared" si="443"/>
        <v>2</v>
      </c>
      <c r="AD382" t="str">
        <f t="shared" si="441"/>
        <v>2</v>
      </c>
      <c r="AE382" t="str">
        <f t="shared" si="441"/>
        <v>2</v>
      </c>
      <c r="AF382" t="str">
        <f t="shared" si="441"/>
        <v>2</v>
      </c>
      <c r="AG382" t="str">
        <f t="shared" si="441"/>
        <v>2</v>
      </c>
      <c r="AH382" t="str">
        <f t="shared" si="436"/>
        <v>1</v>
      </c>
      <c r="AI382" t="str">
        <f t="shared" si="422"/>
        <v xml:space="preserve">1         </v>
      </c>
      <c r="AJ382" t="str">
        <f t="shared" si="392"/>
        <v>170</v>
      </c>
      <c r="AK382" t="str">
        <f>"68"</f>
        <v>68</v>
      </c>
      <c r="AL382" t="str">
        <f t="shared" si="442"/>
        <v>001</v>
      </c>
      <c r="AM382" t="str">
        <f>"68"</f>
        <v>68</v>
      </c>
      <c r="AN382" t="str">
        <f>"68547"</f>
        <v>68547</v>
      </c>
      <c r="AO382" t="str">
        <f>"10/12/2020 12:00:00 a. m."</f>
        <v>10/12/2020 12:00:00 a. m.</v>
      </c>
      <c r="AP382" t="str">
        <f>"1/10/2020 12:00:00 a. m."</f>
        <v>1/10/2020 12:00:00 a. m.</v>
      </c>
      <c r="AQ382" t="str">
        <f t="shared" si="426"/>
        <v>3</v>
      </c>
      <c r="AR382" t="str">
        <f>"2"</f>
        <v>2</v>
      </c>
      <c r="AS382" t="str">
        <f>""</f>
        <v/>
      </c>
      <c r="AT382" t="str">
        <f t="shared" si="412"/>
        <v>1</v>
      </c>
      <c r="AU382" t="str">
        <f>""</f>
        <v/>
      </c>
      <c r="AV382" t="str">
        <f>"0"</f>
        <v>0</v>
      </c>
      <c r="AW382" t="str">
        <f>"22/03/2011 12:00:00 a. m."</f>
        <v>22/03/2011 12:00:00 a. m.</v>
      </c>
      <c r="AX382" t="str">
        <f>""</f>
        <v/>
      </c>
      <c r="AY382" t="str">
        <f t="shared" si="381"/>
        <v>30/04/2021 12:00:00 a. m.</v>
      </c>
      <c r="AZ382" t="str">
        <f>"12/03/2021 12:00:00 a. m."</f>
        <v>12/03/2021 12:00:00 a. m.</v>
      </c>
      <c r="BA382" t="str">
        <f>""</f>
        <v/>
      </c>
      <c r="BB382" t="str">
        <f>""</f>
        <v/>
      </c>
      <c r="BC382" t="str">
        <f>""</f>
        <v/>
      </c>
      <c r="BD382" t="str">
        <f t="shared" ref="BD382:BE401" si="444">"1"</f>
        <v>1</v>
      </c>
      <c r="BE382" t="str">
        <f t="shared" si="444"/>
        <v>1</v>
      </c>
      <c r="BF382" t="str">
        <f t="shared" si="383"/>
        <v xml:space="preserve">3         </v>
      </c>
      <c r="BG382" t="str">
        <f t="shared" si="384"/>
        <v>Confirmado por laboratorio</v>
      </c>
      <c r="BH382" t="str">
        <f>"HOSPITAL INTERNACIONAL DE COLOMBIA"</f>
        <v>HOSPITAL INTERNACIONAL DE COLOMBIA</v>
      </c>
      <c r="BI382" t="str">
        <f t="shared" si="393"/>
        <v>COLOMBIA</v>
      </c>
      <c r="BJ382" t="str">
        <f t="shared" si="385"/>
        <v>CANCER INFANTIL</v>
      </c>
      <c r="BK382" t="str">
        <f>"SANTANDER"</f>
        <v>SANTANDER</v>
      </c>
      <c r="BL382" t="str">
        <f>"BUCARAMANGA"</f>
        <v>BUCARAMANGA</v>
      </c>
      <c r="BM382" t="str">
        <f t="shared" si="394"/>
        <v>COLOMBIA</v>
      </c>
      <c r="BN382" t="str">
        <f>"SANTANDER"</f>
        <v>SANTANDER</v>
      </c>
      <c r="BO382" t="str">
        <f>"BUCARAMANGA"</f>
        <v>BUCARAMANGA</v>
      </c>
      <c r="BP382" t="str">
        <f>"SANTANDER"</f>
        <v>SANTANDER</v>
      </c>
      <c r="BQ382" t="str">
        <f>"PIEDECUESTA"</f>
        <v>PIEDECUESTA</v>
      </c>
    </row>
    <row r="383" spans="1:69" x14ac:dyDescent="0.25">
      <c r="A383" t="str">
        <f>"7279268"</f>
        <v>7279268</v>
      </c>
      <c r="B383" t="str">
        <f t="shared" si="378"/>
        <v>459</v>
      </c>
      <c r="C383" t="str">
        <f>"19/10/2020 12:00:00 a. m."</f>
        <v>19/10/2020 12:00:00 a. m.</v>
      </c>
      <c r="D383" t="str">
        <f>"42"</f>
        <v>42</v>
      </c>
      <c r="E383" t="str">
        <f t="shared" si="379"/>
        <v>2020</v>
      </c>
      <c r="F383" t="str">
        <f>"1100125070"</f>
        <v>1100125070</v>
      </c>
      <c r="G383" t="str">
        <f t="shared" si="414"/>
        <v>01</v>
      </c>
      <c r="H383" t="str">
        <f>"17"</f>
        <v>17</v>
      </c>
      <c r="I383" t="str">
        <f t="shared" si="423"/>
        <v>1</v>
      </c>
      <c r="J383" t="str">
        <f>"M"</f>
        <v>M</v>
      </c>
      <c r="K383" t="str">
        <f t="shared" si="389"/>
        <v>170</v>
      </c>
      <c r="L383" t="str">
        <f>"11"</f>
        <v>11</v>
      </c>
      <c r="M383" t="str">
        <f t="shared" si="438"/>
        <v>001</v>
      </c>
      <c r="N383" t="str">
        <f t="shared" si="439"/>
        <v>1</v>
      </c>
      <c r="O383" t="str">
        <f t="shared" si="434"/>
        <v>9997</v>
      </c>
      <c r="P383" t="str">
        <f t="shared" ref="P383:P388" si="445">"C"</f>
        <v>C</v>
      </c>
      <c r="Q383" t="str">
        <f>"EPS001"</f>
        <v>EPS001</v>
      </c>
      <c r="R383" t="str">
        <f t="shared" si="425"/>
        <v>6</v>
      </c>
      <c r="S383" t="str">
        <f>""</f>
        <v/>
      </c>
      <c r="T383" t="str">
        <f t="shared" si="399"/>
        <v xml:space="preserve">                                                                                                    </v>
      </c>
      <c r="U383" t="str">
        <f>"4         "</f>
        <v xml:space="preserve">4         </v>
      </c>
      <c r="V383" t="str">
        <f t="shared" si="432"/>
        <v>2</v>
      </c>
      <c r="W383" t="str">
        <f t="shared" si="431"/>
        <v>2</v>
      </c>
      <c r="X383" t="str">
        <f t="shared" si="435"/>
        <v>2</v>
      </c>
      <c r="Y383" t="str">
        <f t="shared" si="437"/>
        <v>2</v>
      </c>
      <c r="Z383" t="str">
        <f t="shared" si="437"/>
        <v>2</v>
      </c>
      <c r="AA383" t="str">
        <f t="shared" si="380"/>
        <v xml:space="preserve">          </v>
      </c>
      <c r="AB383" t="str">
        <f t="shared" si="440"/>
        <v>2</v>
      </c>
      <c r="AC383" t="str">
        <f t="shared" si="443"/>
        <v>2</v>
      </c>
      <c r="AD383" t="str">
        <f t="shared" si="441"/>
        <v>2</v>
      </c>
      <c r="AE383" t="str">
        <f t="shared" si="441"/>
        <v>2</v>
      </c>
      <c r="AF383" t="str">
        <f t="shared" si="441"/>
        <v>2</v>
      </c>
      <c r="AG383" t="str">
        <f t="shared" si="441"/>
        <v>2</v>
      </c>
      <c r="AH383" t="str">
        <f t="shared" si="436"/>
        <v>1</v>
      </c>
      <c r="AI383" t="str">
        <f t="shared" si="422"/>
        <v xml:space="preserve">1         </v>
      </c>
      <c r="AJ383" t="str">
        <f t="shared" si="392"/>
        <v>170</v>
      </c>
      <c r="AK383" t="str">
        <f>"11"</f>
        <v>11</v>
      </c>
      <c r="AL383" t="str">
        <f t="shared" si="442"/>
        <v>001</v>
      </c>
      <c r="AM383" t="str">
        <f>"11"</f>
        <v>11</v>
      </c>
      <c r="AN383" t="str">
        <f>"11001"</f>
        <v>11001</v>
      </c>
      <c r="AO383" t="str">
        <f>"17/10/2020 12:00:00 a. m."</f>
        <v>17/10/2020 12:00:00 a. m.</v>
      </c>
      <c r="AP383" t="str">
        <f>"2/10/2020 12:00:00 a. m."</f>
        <v>2/10/2020 12:00:00 a. m.</v>
      </c>
      <c r="AQ383" t="str">
        <f>"2"</f>
        <v>2</v>
      </c>
      <c r="AR383" t="str">
        <f>"1"</f>
        <v>1</v>
      </c>
      <c r="AS383" t="str">
        <f>"17/10/2020 12:00:00 a. m."</f>
        <v>17/10/2020 12:00:00 a. m.</v>
      </c>
      <c r="AT383" t="str">
        <f t="shared" si="412"/>
        <v>1</v>
      </c>
      <c r="AU383" t="str">
        <f>""</f>
        <v/>
      </c>
      <c r="AV383" t="str">
        <f>"3"</f>
        <v>3</v>
      </c>
      <c r="AW383" t="str">
        <f>"9/11/2002 12:00:00 a. m."</f>
        <v>9/11/2002 12:00:00 a. m.</v>
      </c>
      <c r="AX383" t="str">
        <f>""</f>
        <v/>
      </c>
      <c r="AY383" t="str">
        <f t="shared" si="381"/>
        <v>30/04/2021 12:00:00 a. m.</v>
      </c>
      <c r="AZ383" t="str">
        <f>"13/01/2021 12:00:00 a. m."</f>
        <v>13/01/2021 12:00:00 a. m.</v>
      </c>
      <c r="BA383" t="str">
        <f>""</f>
        <v/>
      </c>
      <c r="BB383" t="str">
        <f>""</f>
        <v/>
      </c>
      <c r="BC383" t="str">
        <f>""</f>
        <v/>
      </c>
      <c r="BD383" t="str">
        <f t="shared" si="444"/>
        <v>1</v>
      </c>
      <c r="BE383" t="str">
        <f t="shared" si="444"/>
        <v>1</v>
      </c>
      <c r="BF383" t="str">
        <f t="shared" si="383"/>
        <v xml:space="preserve">3         </v>
      </c>
      <c r="BG383" t="str">
        <f t="shared" si="384"/>
        <v>Confirmado por laboratorio</v>
      </c>
      <c r="BH383" t="str">
        <f>"ADMINISTRADORA CLINICA LA COLINA"</f>
        <v>ADMINISTRADORA CLINICA LA COLINA</v>
      </c>
      <c r="BI383" t="str">
        <f t="shared" si="393"/>
        <v>COLOMBIA</v>
      </c>
      <c r="BJ383" t="str">
        <f t="shared" si="385"/>
        <v>CANCER INFANTIL</v>
      </c>
      <c r="BK383" t="str">
        <f t="shared" ref="BK383:BL385" si="446">"BOGOTA"</f>
        <v>BOGOTA</v>
      </c>
      <c r="BL383" t="str">
        <f t="shared" si="446"/>
        <v>BOGOTA</v>
      </c>
      <c r="BM383" t="str">
        <f t="shared" si="394"/>
        <v>COLOMBIA</v>
      </c>
      <c r="BN383" t="str">
        <f t="shared" ref="BN383:BQ385" si="447">"BOGOTA"</f>
        <v>BOGOTA</v>
      </c>
      <c r="BO383" t="str">
        <f t="shared" si="447"/>
        <v>BOGOTA</v>
      </c>
      <c r="BP383" t="str">
        <f t="shared" si="447"/>
        <v>BOGOTA</v>
      </c>
      <c r="BQ383" t="str">
        <f t="shared" si="447"/>
        <v>BOGOTA</v>
      </c>
    </row>
    <row r="384" spans="1:69" x14ac:dyDescent="0.25">
      <c r="A384" t="str">
        <f>"7279273"</f>
        <v>7279273</v>
      </c>
      <c r="B384" t="str">
        <f t="shared" si="378"/>
        <v>459</v>
      </c>
      <c r="C384" t="str">
        <f>"3/04/2020 12:00:00 a. m."</f>
        <v>3/04/2020 12:00:00 a. m.</v>
      </c>
      <c r="D384" t="str">
        <f>"12"</f>
        <v>12</v>
      </c>
      <c r="E384" t="str">
        <f t="shared" si="379"/>
        <v>2020</v>
      </c>
      <c r="F384" t="str">
        <f>"1100105681"</f>
        <v>1100105681</v>
      </c>
      <c r="G384" t="str">
        <f t="shared" si="414"/>
        <v>01</v>
      </c>
      <c r="H384" t="str">
        <f>"17"</f>
        <v>17</v>
      </c>
      <c r="I384" t="str">
        <f t="shared" si="423"/>
        <v>1</v>
      </c>
      <c r="J384" t="str">
        <f>"M"</f>
        <v>M</v>
      </c>
      <c r="K384" t="str">
        <f t="shared" si="389"/>
        <v>170</v>
      </c>
      <c r="L384" t="str">
        <f>"11"</f>
        <v>11</v>
      </c>
      <c r="M384" t="str">
        <f t="shared" si="438"/>
        <v>001</v>
      </c>
      <c r="N384" t="str">
        <f t="shared" si="439"/>
        <v>1</v>
      </c>
      <c r="O384" t="str">
        <f t="shared" si="434"/>
        <v>9997</v>
      </c>
      <c r="P384" t="str">
        <f t="shared" si="445"/>
        <v>C</v>
      </c>
      <c r="Q384" t="str">
        <f>"EPS037"</f>
        <v>EPS037</v>
      </c>
      <c r="R384" t="str">
        <f t="shared" si="425"/>
        <v>6</v>
      </c>
      <c r="S384" t="str">
        <f>""</f>
        <v/>
      </c>
      <c r="T384" t="str">
        <f t="shared" si="399"/>
        <v xml:space="preserve">                                                                                                    </v>
      </c>
      <c r="U384" t="str">
        <f>"2         "</f>
        <v xml:space="preserve">2         </v>
      </c>
      <c r="V384" t="str">
        <f t="shared" si="432"/>
        <v>2</v>
      </c>
      <c r="W384" t="str">
        <f t="shared" si="431"/>
        <v>2</v>
      </c>
      <c r="X384" t="str">
        <f t="shared" si="435"/>
        <v>2</v>
      </c>
      <c r="Y384" t="str">
        <f t="shared" si="437"/>
        <v>2</v>
      </c>
      <c r="Z384" t="str">
        <f t="shared" si="437"/>
        <v>2</v>
      </c>
      <c r="AA384" t="str">
        <f t="shared" si="380"/>
        <v xml:space="preserve">          </v>
      </c>
      <c r="AB384" t="str">
        <f t="shared" si="440"/>
        <v>2</v>
      </c>
      <c r="AC384" t="str">
        <f t="shared" si="443"/>
        <v>2</v>
      </c>
      <c r="AD384" t="str">
        <f t="shared" si="441"/>
        <v>2</v>
      </c>
      <c r="AE384" t="str">
        <f t="shared" si="441"/>
        <v>2</v>
      </c>
      <c r="AF384" t="str">
        <f t="shared" si="441"/>
        <v>2</v>
      </c>
      <c r="AG384" t="str">
        <f t="shared" si="441"/>
        <v>2</v>
      </c>
      <c r="AH384" t="str">
        <f t="shared" si="436"/>
        <v>1</v>
      </c>
      <c r="AI384" t="str">
        <f>"2         "</f>
        <v xml:space="preserve">2         </v>
      </c>
      <c r="AJ384" t="str">
        <f t="shared" si="392"/>
        <v>170</v>
      </c>
      <c r="AK384" t="str">
        <f>"11"</f>
        <v>11</v>
      </c>
      <c r="AL384" t="str">
        <f t="shared" si="442"/>
        <v>001</v>
      </c>
      <c r="AM384" t="str">
        <f>"11"</f>
        <v>11</v>
      </c>
      <c r="AN384" t="str">
        <f>"11001"</f>
        <v>11001</v>
      </c>
      <c r="AO384" t="str">
        <f>"16/03/2020 12:00:00 a. m."</f>
        <v>16/03/2020 12:00:00 a. m.</v>
      </c>
      <c r="AP384" t="str">
        <f>"16/01/2020 12:00:00 a. m."</f>
        <v>16/01/2020 12:00:00 a. m.</v>
      </c>
      <c r="AQ384" t="str">
        <f>"3"</f>
        <v>3</v>
      </c>
      <c r="AR384" t="str">
        <f>"1"</f>
        <v>1</v>
      </c>
      <c r="AS384" t="str">
        <f>"13/06/2020 12:00:00 a. m."</f>
        <v>13/06/2020 12:00:00 a. m.</v>
      </c>
      <c r="AT384" t="str">
        <f t="shared" si="412"/>
        <v>1</v>
      </c>
      <c r="AU384" t="str">
        <f>""</f>
        <v/>
      </c>
      <c r="AV384" t="str">
        <f>"0"</f>
        <v>0</v>
      </c>
      <c r="AW384" t="str">
        <f>"20/07/2002 12:00:00 a. m."</f>
        <v>20/07/2002 12:00:00 a. m.</v>
      </c>
      <c r="AX384" t="str">
        <f>""</f>
        <v/>
      </c>
      <c r="AY384" t="str">
        <f t="shared" si="381"/>
        <v>30/04/2021 12:00:00 a. m.</v>
      </c>
      <c r="AZ384" t="str">
        <f>"16/07/2020 12:00:00 a. m."</f>
        <v>16/07/2020 12:00:00 a. m.</v>
      </c>
      <c r="BA384" t="str">
        <f>""</f>
        <v/>
      </c>
      <c r="BB384" t="str">
        <f>""</f>
        <v/>
      </c>
      <c r="BC384" t="str">
        <f>""</f>
        <v/>
      </c>
      <c r="BD384" t="str">
        <f t="shared" si="444"/>
        <v>1</v>
      </c>
      <c r="BE384" t="str">
        <f t="shared" si="444"/>
        <v>1</v>
      </c>
      <c r="BF384" t="str">
        <f t="shared" si="383"/>
        <v xml:space="preserve">3         </v>
      </c>
      <c r="BG384" t="str">
        <f t="shared" si="384"/>
        <v>Confirmado por laboratorio</v>
      </c>
      <c r="BH384" t="str">
        <f>"FUNDACION HOSPITAL DE LA MISERICORDIA"</f>
        <v>FUNDACION HOSPITAL DE LA MISERICORDIA</v>
      </c>
      <c r="BI384" t="str">
        <f t="shared" si="393"/>
        <v>COLOMBIA</v>
      </c>
      <c r="BJ384" t="str">
        <f t="shared" si="385"/>
        <v>CANCER INFANTIL</v>
      </c>
      <c r="BK384" t="str">
        <f t="shared" si="446"/>
        <v>BOGOTA</v>
      </c>
      <c r="BL384" t="str">
        <f t="shared" si="446"/>
        <v>BOGOTA</v>
      </c>
      <c r="BM384" t="str">
        <f t="shared" si="394"/>
        <v>COLOMBIA</v>
      </c>
      <c r="BN384" t="str">
        <f t="shared" si="447"/>
        <v>BOGOTA</v>
      </c>
      <c r="BO384" t="str">
        <f t="shared" si="447"/>
        <v>BOGOTA</v>
      </c>
      <c r="BP384" t="str">
        <f t="shared" si="447"/>
        <v>BOGOTA</v>
      </c>
      <c r="BQ384" t="str">
        <f t="shared" si="447"/>
        <v>BOGOTA</v>
      </c>
    </row>
    <row r="385" spans="1:69" x14ac:dyDescent="0.25">
      <c r="A385" t="str">
        <f>"7279169"</f>
        <v>7279169</v>
      </c>
      <c r="B385" t="str">
        <f t="shared" si="378"/>
        <v>459</v>
      </c>
      <c r="C385" t="str">
        <f>"26/07/2020 12:00:00 a. m."</f>
        <v>26/07/2020 12:00:00 a. m.</v>
      </c>
      <c r="D385" t="str">
        <f>"23"</f>
        <v>23</v>
      </c>
      <c r="E385" t="str">
        <f t="shared" si="379"/>
        <v>2020</v>
      </c>
      <c r="F385" t="str">
        <f>"1100105668"</f>
        <v>1100105668</v>
      </c>
      <c r="G385" t="str">
        <f t="shared" si="414"/>
        <v>01</v>
      </c>
      <c r="H385" t="str">
        <f>"15"</f>
        <v>15</v>
      </c>
      <c r="I385" t="str">
        <f t="shared" si="423"/>
        <v>1</v>
      </c>
      <c r="J385" t="str">
        <f>"F"</f>
        <v>F</v>
      </c>
      <c r="K385" t="str">
        <f t="shared" si="389"/>
        <v>170</v>
      </c>
      <c r="L385" t="str">
        <f>"11"</f>
        <v>11</v>
      </c>
      <c r="M385" t="str">
        <f t="shared" si="438"/>
        <v>001</v>
      </c>
      <c r="N385" t="str">
        <f t="shared" si="439"/>
        <v>1</v>
      </c>
      <c r="O385" t="str">
        <f>"9999"</f>
        <v>9999</v>
      </c>
      <c r="P385" t="str">
        <f t="shared" si="445"/>
        <v>C</v>
      </c>
      <c r="Q385" t="str">
        <f>"EPS002"</f>
        <v>EPS002</v>
      </c>
      <c r="R385" t="str">
        <f t="shared" si="425"/>
        <v>6</v>
      </c>
      <c r="S385" t="str">
        <f>""</f>
        <v/>
      </c>
      <c r="T385" t="str">
        <f t="shared" si="399"/>
        <v xml:space="preserve">                                                                                                    </v>
      </c>
      <c r="U385" t="str">
        <f>"2         "</f>
        <v xml:space="preserve">2         </v>
      </c>
      <c r="V385" t="str">
        <f t="shared" si="432"/>
        <v>2</v>
      </c>
      <c r="W385" t="str">
        <f t="shared" si="431"/>
        <v>2</v>
      </c>
      <c r="X385" t="str">
        <f t="shared" si="435"/>
        <v>2</v>
      </c>
      <c r="Y385" t="str">
        <f t="shared" si="437"/>
        <v>2</v>
      </c>
      <c r="Z385" t="str">
        <f t="shared" si="437"/>
        <v>2</v>
      </c>
      <c r="AA385" t="str">
        <f t="shared" si="380"/>
        <v xml:space="preserve">          </v>
      </c>
      <c r="AB385" t="str">
        <f t="shared" si="440"/>
        <v>2</v>
      </c>
      <c r="AC385" t="str">
        <f t="shared" si="443"/>
        <v>2</v>
      </c>
      <c r="AD385" t="str">
        <f t="shared" si="441"/>
        <v>2</v>
      </c>
      <c r="AE385" t="str">
        <f t="shared" si="441"/>
        <v>2</v>
      </c>
      <c r="AF385" t="str">
        <f t="shared" si="441"/>
        <v>2</v>
      </c>
      <c r="AG385" t="str">
        <f t="shared" si="441"/>
        <v>2</v>
      </c>
      <c r="AH385" t="str">
        <f t="shared" si="436"/>
        <v>1</v>
      </c>
      <c r="AI385" t="str">
        <f t="shared" ref="AI385:AI393" si="448">"1         "</f>
        <v xml:space="preserve">1         </v>
      </c>
      <c r="AJ385" t="str">
        <f t="shared" si="392"/>
        <v>170</v>
      </c>
      <c r="AK385" t="str">
        <f>"11"</f>
        <v>11</v>
      </c>
      <c r="AL385" t="str">
        <f t="shared" si="442"/>
        <v>001</v>
      </c>
      <c r="AM385" t="str">
        <f>"11"</f>
        <v>11</v>
      </c>
      <c r="AN385" t="str">
        <f>"11001"</f>
        <v>11001</v>
      </c>
      <c r="AO385" t="str">
        <f>"6/06/2020 12:00:00 a. m."</f>
        <v>6/06/2020 12:00:00 a. m.</v>
      </c>
      <c r="AP385" t="str">
        <f>"20/05/2020 12:00:00 a. m."</f>
        <v>20/05/2020 12:00:00 a. m.</v>
      </c>
      <c r="AQ385" t="str">
        <f>"2"</f>
        <v>2</v>
      </c>
      <c r="AR385" t="str">
        <f>"1"</f>
        <v>1</v>
      </c>
      <c r="AS385" t="str">
        <f>"6/06/2020 12:00:00 a. m."</f>
        <v>6/06/2020 12:00:00 a. m.</v>
      </c>
      <c r="AT385" t="str">
        <f t="shared" si="412"/>
        <v>1</v>
      </c>
      <c r="AU385" t="str">
        <f>""</f>
        <v/>
      </c>
      <c r="AV385" t="str">
        <f>"3"</f>
        <v>3</v>
      </c>
      <c r="AW385" t="str">
        <f>"18/04/2005 12:00:00 a. m."</f>
        <v>18/04/2005 12:00:00 a. m.</v>
      </c>
      <c r="AX385" t="str">
        <f>""</f>
        <v/>
      </c>
      <c r="AY385" t="str">
        <f t="shared" si="381"/>
        <v>30/04/2021 12:00:00 a. m.</v>
      </c>
      <c r="AZ385" t="str">
        <f>"4/09/2020 12:00:00 a. m."</f>
        <v>4/09/2020 12:00:00 a. m.</v>
      </c>
      <c r="BA385" t="str">
        <f>""</f>
        <v/>
      </c>
      <c r="BB385" t="str">
        <f>""</f>
        <v/>
      </c>
      <c r="BC385" t="str">
        <f>""</f>
        <v/>
      </c>
      <c r="BD385" t="str">
        <f t="shared" si="444"/>
        <v>1</v>
      </c>
      <c r="BE385" t="str">
        <f t="shared" si="444"/>
        <v>1</v>
      </c>
      <c r="BF385" t="str">
        <f t="shared" si="383"/>
        <v xml:space="preserve">3         </v>
      </c>
      <c r="BG385" t="str">
        <f t="shared" si="384"/>
        <v>Confirmado por laboratorio</v>
      </c>
      <c r="BH385" t="str">
        <f>"H UNIVERSITARIO CLINICA SAN RAFAEL - SAN CRISTOBA"</f>
        <v>H UNIVERSITARIO CLINICA SAN RAFAEL - SAN CRISTOBA</v>
      </c>
      <c r="BI385" t="str">
        <f t="shared" si="393"/>
        <v>COLOMBIA</v>
      </c>
      <c r="BJ385" t="str">
        <f t="shared" si="385"/>
        <v>CANCER INFANTIL</v>
      </c>
      <c r="BK385" t="str">
        <f t="shared" si="446"/>
        <v>BOGOTA</v>
      </c>
      <c r="BL385" t="str">
        <f t="shared" si="446"/>
        <v>BOGOTA</v>
      </c>
      <c r="BM385" t="str">
        <f t="shared" si="394"/>
        <v>COLOMBIA</v>
      </c>
      <c r="BN385" t="str">
        <f t="shared" si="447"/>
        <v>BOGOTA</v>
      </c>
      <c r="BO385" t="str">
        <f t="shared" si="447"/>
        <v>BOGOTA</v>
      </c>
      <c r="BP385" t="str">
        <f t="shared" si="447"/>
        <v>BOGOTA</v>
      </c>
      <c r="BQ385" t="str">
        <f t="shared" si="447"/>
        <v>BOGOTA</v>
      </c>
    </row>
    <row r="386" spans="1:69" x14ac:dyDescent="0.25">
      <c r="A386" t="str">
        <f>"7279258"</f>
        <v>7279258</v>
      </c>
      <c r="B386" t="str">
        <f t="shared" ref="B386:B449" si="449">"459"</f>
        <v>459</v>
      </c>
      <c r="C386" t="str">
        <f>"12/06/2020 12:00:00 a. m."</f>
        <v>12/06/2020 12:00:00 a. m.</v>
      </c>
      <c r="D386" t="str">
        <f>"23"</f>
        <v>23</v>
      </c>
      <c r="E386" t="str">
        <f t="shared" ref="E386:E449" si="450">"2020"</f>
        <v>2020</v>
      </c>
      <c r="F386" t="str">
        <f>"7600102870"</f>
        <v>7600102870</v>
      </c>
      <c r="G386" t="str">
        <f t="shared" si="414"/>
        <v>01</v>
      </c>
      <c r="H386" t="str">
        <f>"1"</f>
        <v>1</v>
      </c>
      <c r="I386" t="str">
        <f>"2"</f>
        <v>2</v>
      </c>
      <c r="J386" t="str">
        <f>"F"</f>
        <v>F</v>
      </c>
      <c r="K386" t="str">
        <f t="shared" si="389"/>
        <v>170</v>
      </c>
      <c r="L386" t="str">
        <f>"52"</f>
        <v>52</v>
      </c>
      <c r="M386" t="str">
        <f>"480"</f>
        <v>480</v>
      </c>
      <c r="N386" t="str">
        <f t="shared" si="439"/>
        <v>1</v>
      </c>
      <c r="O386" t="str">
        <f>"9999"</f>
        <v>9999</v>
      </c>
      <c r="P386" t="str">
        <f t="shared" si="445"/>
        <v>C</v>
      </c>
      <c r="Q386" t="str">
        <f>"CCF027"</f>
        <v>CCF027</v>
      </c>
      <c r="R386" t="str">
        <f t="shared" si="425"/>
        <v>6</v>
      </c>
      <c r="S386" t="str">
        <f>""</f>
        <v/>
      </c>
      <c r="T386" t="str">
        <f t="shared" si="399"/>
        <v xml:space="preserve">                                                                                                    </v>
      </c>
      <c r="U386" t="str">
        <f>"          "</f>
        <v xml:space="preserve">          </v>
      </c>
      <c r="V386" t="str">
        <f t="shared" si="432"/>
        <v>2</v>
      </c>
      <c r="W386" t="str">
        <f t="shared" si="431"/>
        <v>2</v>
      </c>
      <c r="X386" t="str">
        <f t="shared" si="435"/>
        <v>2</v>
      </c>
      <c r="Y386" t="str">
        <f t="shared" si="437"/>
        <v>2</v>
      </c>
      <c r="Z386" t="str">
        <f t="shared" si="437"/>
        <v>2</v>
      </c>
      <c r="AA386" t="str">
        <f t="shared" ref="AA386:AA449" si="451">"          "</f>
        <v xml:space="preserve">          </v>
      </c>
      <c r="AB386" t="str">
        <f t="shared" si="440"/>
        <v>2</v>
      </c>
      <c r="AC386" t="str">
        <f t="shared" si="443"/>
        <v>2</v>
      </c>
      <c r="AD386" t="str">
        <f t="shared" si="441"/>
        <v>2</v>
      </c>
      <c r="AE386" t="str">
        <f t="shared" si="441"/>
        <v>2</v>
      </c>
      <c r="AF386" t="str">
        <f t="shared" si="441"/>
        <v>2</v>
      </c>
      <c r="AG386" t="str">
        <f t="shared" si="441"/>
        <v>2</v>
      </c>
      <c r="AH386" t="str">
        <f t="shared" si="436"/>
        <v>1</v>
      </c>
      <c r="AI386" t="str">
        <f t="shared" si="448"/>
        <v xml:space="preserve">1         </v>
      </c>
      <c r="AJ386" t="str">
        <f t="shared" si="392"/>
        <v>170</v>
      </c>
      <c r="AK386" t="str">
        <f>"52"</f>
        <v>52</v>
      </c>
      <c r="AL386" t="str">
        <f>"480"</f>
        <v>480</v>
      </c>
      <c r="AM386" t="str">
        <f>"76"</f>
        <v>76</v>
      </c>
      <c r="AN386" t="str">
        <f>"76001"</f>
        <v>76001</v>
      </c>
      <c r="AO386" t="str">
        <f>"5/06/2020 12:00:00 a. m."</f>
        <v>5/06/2020 12:00:00 a. m.</v>
      </c>
      <c r="AP386" t="str">
        <f>"22/05/2020 12:00:00 a. m."</f>
        <v>22/05/2020 12:00:00 a. m.</v>
      </c>
      <c r="AQ386" t="str">
        <f>"3"</f>
        <v>3</v>
      </c>
      <c r="AR386" t="str">
        <f>"1"</f>
        <v>1</v>
      </c>
      <c r="AS386" t="str">
        <f>"5/06/2020 12:00:00 a. m."</f>
        <v>5/06/2020 12:00:00 a. m.</v>
      </c>
      <c r="AT386" t="str">
        <f t="shared" si="412"/>
        <v>1</v>
      </c>
      <c r="AU386" t="str">
        <f>""</f>
        <v/>
      </c>
      <c r="AV386" t="str">
        <f>"0"</f>
        <v>0</v>
      </c>
      <c r="AW386" t="str">
        <f>"14/04/2020 12:00:00 a. m."</f>
        <v>14/04/2020 12:00:00 a. m.</v>
      </c>
      <c r="AX386" t="str">
        <f>""</f>
        <v/>
      </c>
      <c r="AY386" t="str">
        <f t="shared" ref="AY386:AY449" si="452">"30/04/2021 12:00:00 a. m."</f>
        <v>30/04/2021 12:00:00 a. m.</v>
      </c>
      <c r="AZ386" t="str">
        <f>"12/06/2020 12:00:00 a. m."</f>
        <v>12/06/2020 12:00:00 a. m.</v>
      </c>
      <c r="BA386" t="str">
        <f>""</f>
        <v/>
      </c>
      <c r="BB386" t="str">
        <f>""</f>
        <v/>
      </c>
      <c r="BC386" t="str">
        <f>""</f>
        <v/>
      </c>
      <c r="BD386" t="str">
        <f t="shared" si="444"/>
        <v>1</v>
      </c>
      <c r="BE386" t="str">
        <f t="shared" si="444"/>
        <v>1</v>
      </c>
      <c r="BF386" t="str">
        <f t="shared" ref="BF386:BF449" si="453">"3         "</f>
        <v xml:space="preserve">3         </v>
      </c>
      <c r="BG386" t="str">
        <f t="shared" ref="BG386:BG449" si="454">"Confirmado por laboratorio"</f>
        <v>Confirmado por laboratorio</v>
      </c>
      <c r="BH386" t="str">
        <f>"FUNDACION VALLE DEL LILI"</f>
        <v>FUNDACION VALLE DEL LILI</v>
      </c>
      <c r="BI386" t="str">
        <f t="shared" si="393"/>
        <v>COLOMBIA</v>
      </c>
      <c r="BJ386" t="str">
        <f t="shared" ref="BJ386:BJ449" si="455">"CANCER INFANTIL"</f>
        <v>CANCER INFANTIL</v>
      </c>
      <c r="BK386" t="str">
        <f>"NARIÑO"</f>
        <v>NARIÑO</v>
      </c>
      <c r="BL386" t="str">
        <f>"NARIÑO"</f>
        <v>NARIÑO</v>
      </c>
      <c r="BM386" t="str">
        <f t="shared" si="394"/>
        <v>COLOMBIA</v>
      </c>
      <c r="BN386" t="str">
        <f>"NARIÑO"</f>
        <v>NARIÑO</v>
      </c>
      <c r="BO386" t="str">
        <f>"NARIÑO"</f>
        <v>NARIÑO</v>
      </c>
      <c r="BP386" t="str">
        <f>"VALLE"</f>
        <v>VALLE</v>
      </c>
      <c r="BQ386" t="str">
        <f>"CALI"</f>
        <v>CALI</v>
      </c>
    </row>
    <row r="387" spans="1:69" x14ac:dyDescent="0.25">
      <c r="A387" t="str">
        <f>"7279238"</f>
        <v>7279238</v>
      </c>
      <c r="B387" t="str">
        <f t="shared" si="449"/>
        <v>459</v>
      </c>
      <c r="C387" t="str">
        <f>"24/09/2020 12:00:00 a. m."</f>
        <v>24/09/2020 12:00:00 a. m.</v>
      </c>
      <c r="D387" t="str">
        <f>"39"</f>
        <v>39</v>
      </c>
      <c r="E387" t="str">
        <f t="shared" si="450"/>
        <v>2020</v>
      </c>
      <c r="F387" t="str">
        <f>"8500100001"</f>
        <v>8500100001</v>
      </c>
      <c r="G387" t="str">
        <f>"03"</f>
        <v>03</v>
      </c>
      <c r="H387" t="str">
        <f>"6"</f>
        <v>6</v>
      </c>
      <c r="I387" t="str">
        <f t="shared" ref="I387:I396" si="456">"1"</f>
        <v>1</v>
      </c>
      <c r="J387" t="str">
        <f>"F"</f>
        <v>F</v>
      </c>
      <c r="K387" t="str">
        <f t="shared" si="389"/>
        <v>170</v>
      </c>
      <c r="L387" t="str">
        <f>"85"</f>
        <v>85</v>
      </c>
      <c r="M387" t="str">
        <f>"001"</f>
        <v>001</v>
      </c>
      <c r="N387" t="str">
        <f t="shared" si="439"/>
        <v>1</v>
      </c>
      <c r="O387" t="str">
        <f>"9999"</f>
        <v>9999</v>
      </c>
      <c r="P387" t="str">
        <f t="shared" si="445"/>
        <v>C</v>
      </c>
      <c r="Q387" t="str">
        <f>"EPS044"</f>
        <v>EPS044</v>
      </c>
      <c r="R387" t="str">
        <f t="shared" si="425"/>
        <v>6</v>
      </c>
      <c r="S387" t="str">
        <f>""</f>
        <v/>
      </c>
      <c r="T387" t="str">
        <f t="shared" si="399"/>
        <v xml:space="preserve">                                                                                                    </v>
      </c>
      <c r="U387" t="str">
        <f>"2         "</f>
        <v xml:space="preserve">2         </v>
      </c>
      <c r="V387" t="str">
        <f t="shared" si="432"/>
        <v>2</v>
      </c>
      <c r="W387" t="str">
        <f t="shared" si="431"/>
        <v>2</v>
      </c>
      <c r="X387" t="str">
        <f t="shared" si="435"/>
        <v>2</v>
      </c>
      <c r="Y387" t="str">
        <f t="shared" si="437"/>
        <v>2</v>
      </c>
      <c r="Z387" t="str">
        <f t="shared" si="437"/>
        <v>2</v>
      </c>
      <c r="AA387" t="str">
        <f t="shared" si="451"/>
        <v xml:space="preserve">          </v>
      </c>
      <c r="AB387" t="str">
        <f t="shared" si="440"/>
        <v>2</v>
      </c>
      <c r="AC387" t="str">
        <f t="shared" si="443"/>
        <v>2</v>
      </c>
      <c r="AD387" t="str">
        <f t="shared" si="441"/>
        <v>2</v>
      </c>
      <c r="AE387" t="str">
        <f t="shared" si="441"/>
        <v>2</v>
      </c>
      <c r="AF387" t="str">
        <f t="shared" si="441"/>
        <v>2</v>
      </c>
      <c r="AG387" t="str">
        <f t="shared" si="441"/>
        <v>2</v>
      </c>
      <c r="AH387" t="str">
        <f t="shared" si="436"/>
        <v>1</v>
      </c>
      <c r="AI387" t="str">
        <f t="shared" si="448"/>
        <v xml:space="preserve">1         </v>
      </c>
      <c r="AJ387" t="str">
        <f t="shared" si="392"/>
        <v>170</v>
      </c>
      <c r="AK387" t="str">
        <f>"85"</f>
        <v>85</v>
      </c>
      <c r="AL387" t="str">
        <f>"001"</f>
        <v>001</v>
      </c>
      <c r="AM387" t="str">
        <f>"85"</f>
        <v>85</v>
      </c>
      <c r="AN387" t="str">
        <f>"85001"</f>
        <v>85001</v>
      </c>
      <c r="AO387" t="str">
        <f>"22/09/2020 12:00:00 a. m."</f>
        <v>22/09/2020 12:00:00 a. m.</v>
      </c>
      <c r="AP387" t="str">
        <f>"15/09/2020 12:00:00 a. m."</f>
        <v>15/09/2020 12:00:00 a. m.</v>
      </c>
      <c r="AQ387" t="str">
        <f>"2"</f>
        <v>2</v>
      </c>
      <c r="AR387" t="str">
        <f>"1"</f>
        <v>1</v>
      </c>
      <c r="AS387" t="str">
        <f>"22/09/2020 12:00:00 a. m."</f>
        <v>22/09/2020 12:00:00 a. m.</v>
      </c>
      <c r="AT387" t="str">
        <f>"2"</f>
        <v>2</v>
      </c>
      <c r="AU387" t="str">
        <f>"8/12/2020 12:00:00 a. m."</f>
        <v>8/12/2020 12:00:00 a. m.</v>
      </c>
      <c r="AV387" t="str">
        <f>"3"</f>
        <v>3</v>
      </c>
      <c r="AW387" t="str">
        <f>"16/11/2013 12:00:00 a. m."</f>
        <v>16/11/2013 12:00:00 a. m.</v>
      </c>
      <c r="AX387" t="str">
        <f>"D430"</f>
        <v>D430</v>
      </c>
      <c r="AY387" t="str">
        <f t="shared" si="452"/>
        <v>30/04/2021 12:00:00 a. m.</v>
      </c>
      <c r="AZ387" t="str">
        <f>"4/11/2020 12:00:00 a. m."</f>
        <v>4/11/2020 12:00:00 a. m.</v>
      </c>
      <c r="BA387" t="str">
        <f>""</f>
        <v/>
      </c>
      <c r="BB387" t="str">
        <f>""</f>
        <v/>
      </c>
      <c r="BC387" t="str">
        <f>""</f>
        <v/>
      </c>
      <c r="BD387" t="str">
        <f t="shared" si="444"/>
        <v>1</v>
      </c>
      <c r="BE387" t="str">
        <f t="shared" si="444"/>
        <v>1</v>
      </c>
      <c r="BF387" t="str">
        <f t="shared" si="453"/>
        <v xml:space="preserve">3         </v>
      </c>
      <c r="BG387" t="str">
        <f t="shared" si="454"/>
        <v>Confirmado por laboratorio</v>
      </c>
      <c r="BH387" t="str">
        <f>"HOSPITAL DE YOPAL ESE NUEVA SEDE"</f>
        <v>HOSPITAL DE YOPAL ESE NUEVA SEDE</v>
      </c>
      <c r="BI387" t="str">
        <f t="shared" si="393"/>
        <v>COLOMBIA</v>
      </c>
      <c r="BJ387" t="str">
        <f t="shared" si="455"/>
        <v>CANCER INFANTIL</v>
      </c>
      <c r="BK387" t="str">
        <f>"CASANARE"</f>
        <v>CASANARE</v>
      </c>
      <c r="BL387" t="str">
        <f>"YOPAL"</f>
        <v>YOPAL</v>
      </c>
      <c r="BM387" t="str">
        <f t="shared" si="394"/>
        <v>COLOMBIA</v>
      </c>
      <c r="BN387" t="str">
        <f>"CASANARE"</f>
        <v>CASANARE</v>
      </c>
      <c r="BO387" t="str">
        <f>"YOPAL"</f>
        <v>YOPAL</v>
      </c>
      <c r="BP387" t="str">
        <f>"CASANARE"</f>
        <v>CASANARE</v>
      </c>
      <c r="BQ387" t="str">
        <f>"YOPAL"</f>
        <v>YOPAL</v>
      </c>
    </row>
    <row r="388" spans="1:69" x14ac:dyDescent="0.25">
      <c r="A388" t="str">
        <f>"7279287"</f>
        <v>7279287</v>
      </c>
      <c r="B388" t="str">
        <f t="shared" si="449"/>
        <v>459</v>
      </c>
      <c r="C388" t="str">
        <f>"5/02/2020 12:00:00 a. m."</f>
        <v>5/02/2020 12:00:00 a. m.</v>
      </c>
      <c r="D388" t="str">
        <f>"06"</f>
        <v>06</v>
      </c>
      <c r="E388" t="str">
        <f t="shared" si="450"/>
        <v>2020</v>
      </c>
      <c r="F388" t="str">
        <f>"0500102104"</f>
        <v>0500102104</v>
      </c>
      <c r="G388" t="str">
        <f t="shared" ref="G388:G399" si="457">"01"</f>
        <v>01</v>
      </c>
      <c r="H388" t="str">
        <f>"16"</f>
        <v>16</v>
      </c>
      <c r="I388" t="str">
        <f t="shared" si="456"/>
        <v>1</v>
      </c>
      <c r="J388" t="str">
        <f>"M"</f>
        <v>M</v>
      </c>
      <c r="K388" t="str">
        <f t="shared" si="389"/>
        <v>170</v>
      </c>
      <c r="L388" t="str">
        <f>"05"</f>
        <v>05</v>
      </c>
      <c r="M388" t="str">
        <f>"088"</f>
        <v>088</v>
      </c>
      <c r="N388" t="str">
        <f t="shared" si="439"/>
        <v>1</v>
      </c>
      <c r="O388" t="str">
        <f>"9999"</f>
        <v>9999</v>
      </c>
      <c r="P388" t="str">
        <f t="shared" si="445"/>
        <v>C</v>
      </c>
      <c r="Q388" t="str">
        <f>"EPS016"</f>
        <v>EPS016</v>
      </c>
      <c r="R388" t="str">
        <f t="shared" si="425"/>
        <v>6</v>
      </c>
      <c r="S388" t="str">
        <f>""</f>
        <v/>
      </c>
      <c r="T388" t="str">
        <f t="shared" si="399"/>
        <v xml:space="preserve">                                                                                                    </v>
      </c>
      <c r="U388" t="str">
        <f>"2         "</f>
        <v xml:space="preserve">2         </v>
      </c>
      <c r="V388" t="str">
        <f t="shared" si="432"/>
        <v>2</v>
      </c>
      <c r="W388" t="str">
        <f t="shared" si="431"/>
        <v>2</v>
      </c>
      <c r="X388" t="str">
        <f t="shared" si="435"/>
        <v>2</v>
      </c>
      <c r="Y388" t="str">
        <f t="shared" si="437"/>
        <v>2</v>
      </c>
      <c r="Z388" t="str">
        <f t="shared" si="437"/>
        <v>2</v>
      </c>
      <c r="AA388" t="str">
        <f t="shared" si="451"/>
        <v xml:space="preserve">          </v>
      </c>
      <c r="AB388" t="str">
        <f t="shared" si="440"/>
        <v>2</v>
      </c>
      <c r="AC388" t="str">
        <f t="shared" si="443"/>
        <v>2</v>
      </c>
      <c r="AD388" t="str">
        <f t="shared" si="441"/>
        <v>2</v>
      </c>
      <c r="AE388" t="str">
        <f t="shared" si="441"/>
        <v>2</v>
      </c>
      <c r="AF388" t="str">
        <f t="shared" si="441"/>
        <v>2</v>
      </c>
      <c r="AG388" t="str">
        <f t="shared" si="441"/>
        <v>2</v>
      </c>
      <c r="AH388" t="str">
        <f t="shared" si="436"/>
        <v>1</v>
      </c>
      <c r="AI388" t="str">
        <f t="shared" si="448"/>
        <v xml:space="preserve">1         </v>
      </c>
      <c r="AJ388" t="str">
        <f t="shared" si="392"/>
        <v>170</v>
      </c>
      <c r="AK388" t="str">
        <f>"05"</f>
        <v>05</v>
      </c>
      <c r="AL388" t="str">
        <f>"088"</f>
        <v>088</v>
      </c>
      <c r="AM388" t="str">
        <f>"05"</f>
        <v>05</v>
      </c>
      <c r="AN388" t="str">
        <f>"05001"</f>
        <v>05001</v>
      </c>
      <c r="AO388" t="str">
        <f>"5/02/2020 12:00:00 a. m."</f>
        <v>5/02/2020 12:00:00 a. m.</v>
      </c>
      <c r="AP388" t="str">
        <f>"1/02/2020 12:00:00 a. m."</f>
        <v>1/02/2020 12:00:00 a. m.</v>
      </c>
      <c r="AQ388" t="str">
        <f>"3"</f>
        <v>3</v>
      </c>
      <c r="AR388" t="str">
        <f>"2"</f>
        <v>2</v>
      </c>
      <c r="AS388" t="str">
        <f>""</f>
        <v/>
      </c>
      <c r="AT388" t="str">
        <f t="shared" ref="AT388:AT393" si="458">"1"</f>
        <v>1</v>
      </c>
      <c r="AU388" t="str">
        <f>""</f>
        <v/>
      </c>
      <c r="AV388" t="str">
        <f>"7"</f>
        <v>7</v>
      </c>
      <c r="AW388" t="str">
        <f>"26/06/2003 12:00:00 a. m."</f>
        <v>26/06/2003 12:00:00 a. m.</v>
      </c>
      <c r="AX388" t="str">
        <f>""</f>
        <v/>
      </c>
      <c r="AY388" t="str">
        <f t="shared" si="452"/>
        <v>30/04/2021 12:00:00 a. m.</v>
      </c>
      <c r="AZ388" t="str">
        <f>"20/04/2020 12:00:00 a. m."</f>
        <v>20/04/2020 12:00:00 a. m.</v>
      </c>
      <c r="BA388" t="str">
        <f>""</f>
        <v/>
      </c>
      <c r="BB388" t="str">
        <f>""</f>
        <v/>
      </c>
      <c r="BC388" t="str">
        <f>""</f>
        <v/>
      </c>
      <c r="BD388" t="str">
        <f t="shared" si="444"/>
        <v>1</v>
      </c>
      <c r="BE388" t="str">
        <f t="shared" si="444"/>
        <v>1</v>
      </c>
      <c r="BF388" t="str">
        <f t="shared" si="453"/>
        <v xml:space="preserve">3         </v>
      </c>
      <c r="BG388" t="str">
        <f t="shared" si="454"/>
        <v>Confirmado por laboratorio</v>
      </c>
      <c r="BH388" t="str">
        <f>"HOSPITAL PABLO TOBON URIBE"</f>
        <v>HOSPITAL PABLO TOBON URIBE</v>
      </c>
      <c r="BI388" t="str">
        <f t="shared" si="393"/>
        <v>COLOMBIA</v>
      </c>
      <c r="BJ388" t="str">
        <f t="shared" si="455"/>
        <v>CANCER INFANTIL</v>
      </c>
      <c r="BK388" t="str">
        <f>"ANTIOQUIA"</f>
        <v>ANTIOQUIA</v>
      </c>
      <c r="BL388" t="str">
        <f>"BELLO"</f>
        <v>BELLO</v>
      </c>
      <c r="BM388" t="str">
        <f t="shared" si="394"/>
        <v>COLOMBIA</v>
      </c>
      <c r="BN388" t="str">
        <f>"ANTIOQUIA"</f>
        <v>ANTIOQUIA</v>
      </c>
      <c r="BO388" t="str">
        <f>"BELLO"</f>
        <v>BELLO</v>
      </c>
      <c r="BP388" t="str">
        <f>"ANTIOQUIA"</f>
        <v>ANTIOQUIA</v>
      </c>
      <c r="BQ388" t="str">
        <f>"MEDELLIN"</f>
        <v>MEDELLIN</v>
      </c>
    </row>
    <row r="389" spans="1:69" x14ac:dyDescent="0.25">
      <c r="A389" t="str">
        <f>"7291626"</f>
        <v>7291626</v>
      </c>
      <c r="B389" t="str">
        <f t="shared" si="449"/>
        <v>459</v>
      </c>
      <c r="C389" t="str">
        <f>"26/05/2020 12:00:00 a. m."</f>
        <v>26/05/2020 12:00:00 a. m.</v>
      </c>
      <c r="D389" t="str">
        <f>"20"</f>
        <v>20</v>
      </c>
      <c r="E389" t="str">
        <f t="shared" si="450"/>
        <v>2020</v>
      </c>
      <c r="F389" t="str">
        <f>"7600102870"</f>
        <v>7600102870</v>
      </c>
      <c r="G389" t="str">
        <f t="shared" si="457"/>
        <v>01</v>
      </c>
      <c r="H389" t="str">
        <f>"10"</f>
        <v>10</v>
      </c>
      <c r="I389" t="str">
        <f t="shared" si="456"/>
        <v>1</v>
      </c>
      <c r="J389" t="str">
        <f>"F"</f>
        <v>F</v>
      </c>
      <c r="K389" t="str">
        <f t="shared" si="389"/>
        <v>170</v>
      </c>
      <c r="L389" t="str">
        <f>"19"</f>
        <v>19</v>
      </c>
      <c r="M389" t="str">
        <f>"780"</f>
        <v>780</v>
      </c>
      <c r="N389" t="str">
        <f>"3"</f>
        <v>3</v>
      </c>
      <c r="O389" t="str">
        <f>"9999"</f>
        <v>9999</v>
      </c>
      <c r="P389" t="str">
        <f>"S"</f>
        <v>S</v>
      </c>
      <c r="Q389" t="str">
        <f>"ESS062"</f>
        <v>ESS062</v>
      </c>
      <c r="R389" t="str">
        <f t="shared" si="425"/>
        <v>6</v>
      </c>
      <c r="S389" t="str">
        <f>""</f>
        <v/>
      </c>
      <c r="T389" t="str">
        <f t="shared" si="399"/>
        <v xml:space="preserve">                                                                                                    </v>
      </c>
      <c r="U389" t="str">
        <f>"          "</f>
        <v xml:space="preserve">          </v>
      </c>
      <c r="V389" t="str">
        <f t="shared" si="432"/>
        <v>2</v>
      </c>
      <c r="W389" t="str">
        <f t="shared" si="431"/>
        <v>2</v>
      </c>
      <c r="X389" t="str">
        <f t="shared" si="435"/>
        <v>2</v>
      </c>
      <c r="Y389" t="str">
        <f t="shared" si="437"/>
        <v>2</v>
      </c>
      <c r="Z389" t="str">
        <f t="shared" si="437"/>
        <v>2</v>
      </c>
      <c r="AA389" t="str">
        <f t="shared" si="451"/>
        <v xml:space="preserve">          </v>
      </c>
      <c r="AB389" t="str">
        <f t="shared" si="440"/>
        <v>2</v>
      </c>
      <c r="AC389" t="str">
        <f t="shared" si="443"/>
        <v>2</v>
      </c>
      <c r="AD389" t="str">
        <f t="shared" si="441"/>
        <v>2</v>
      </c>
      <c r="AE389" t="str">
        <f t="shared" si="441"/>
        <v>2</v>
      </c>
      <c r="AF389" t="str">
        <f t="shared" si="441"/>
        <v>2</v>
      </c>
      <c r="AG389" t="str">
        <f t="shared" si="441"/>
        <v>2</v>
      </c>
      <c r="AH389" t="str">
        <f t="shared" si="436"/>
        <v>1</v>
      </c>
      <c r="AI389" t="str">
        <f t="shared" si="448"/>
        <v xml:space="preserve">1         </v>
      </c>
      <c r="AJ389" t="str">
        <f t="shared" si="392"/>
        <v>170</v>
      </c>
      <c r="AK389" t="str">
        <f>"19"</f>
        <v>19</v>
      </c>
      <c r="AL389" t="str">
        <f>"780"</f>
        <v>780</v>
      </c>
      <c r="AM389" t="str">
        <f>"76"</f>
        <v>76</v>
      </c>
      <c r="AN389" t="str">
        <f>"76001"</f>
        <v>76001</v>
      </c>
      <c r="AO389" t="str">
        <f>"16/05/2020 12:00:00 a. m."</f>
        <v>16/05/2020 12:00:00 a. m.</v>
      </c>
      <c r="AP389" t="str">
        <f>"13/05/2020 12:00:00 a. m."</f>
        <v>13/05/2020 12:00:00 a. m.</v>
      </c>
      <c r="AQ389" t="str">
        <f>"2"</f>
        <v>2</v>
      </c>
      <c r="AR389" t="str">
        <f t="shared" ref="AR389:AR403" si="459">"1"</f>
        <v>1</v>
      </c>
      <c r="AS389" t="str">
        <f>"16/05/2020 12:00:00 a. m."</f>
        <v>16/05/2020 12:00:00 a. m.</v>
      </c>
      <c r="AT389" t="str">
        <f t="shared" si="458"/>
        <v>1</v>
      </c>
      <c r="AU389" t="str">
        <f>""</f>
        <v/>
      </c>
      <c r="AV389" t="str">
        <f>"3"</f>
        <v>3</v>
      </c>
      <c r="AW389" t="str">
        <f>"3/01/2010 12:00:00 a. m."</f>
        <v>3/01/2010 12:00:00 a. m.</v>
      </c>
      <c r="AX389" t="str">
        <f>""</f>
        <v/>
      </c>
      <c r="AY389" t="str">
        <f t="shared" si="452"/>
        <v>30/04/2021 12:00:00 a. m.</v>
      </c>
      <c r="AZ389" t="str">
        <f>"26/05/2020 12:00:00 a. m."</f>
        <v>26/05/2020 12:00:00 a. m.</v>
      </c>
      <c r="BA389" t="str">
        <f>""</f>
        <v/>
      </c>
      <c r="BB389" t="str">
        <f>""</f>
        <v/>
      </c>
      <c r="BC389" t="str">
        <f>""</f>
        <v/>
      </c>
      <c r="BD389" t="str">
        <f t="shared" si="444"/>
        <v>1</v>
      </c>
      <c r="BE389" t="str">
        <f t="shared" si="444"/>
        <v>1</v>
      </c>
      <c r="BF389" t="str">
        <f t="shared" si="453"/>
        <v xml:space="preserve">3         </v>
      </c>
      <c r="BG389" t="str">
        <f t="shared" si="454"/>
        <v>Confirmado por laboratorio</v>
      </c>
      <c r="BH389" t="str">
        <f>"FUNDACION VALLE DEL LILI"</f>
        <v>FUNDACION VALLE DEL LILI</v>
      </c>
      <c r="BI389" t="str">
        <f t="shared" si="393"/>
        <v>COLOMBIA</v>
      </c>
      <c r="BJ389" t="str">
        <f t="shared" si="455"/>
        <v>CANCER INFANTIL</v>
      </c>
      <c r="BK389" t="str">
        <f>"CAUCA"</f>
        <v>CAUCA</v>
      </c>
      <c r="BL389" t="str">
        <f>"SUAREZ"</f>
        <v>SUAREZ</v>
      </c>
      <c r="BM389" t="str">
        <f t="shared" si="394"/>
        <v>COLOMBIA</v>
      </c>
      <c r="BN389" t="str">
        <f>"CAUCA"</f>
        <v>CAUCA</v>
      </c>
      <c r="BO389" t="str">
        <f>"SUAREZ"</f>
        <v>SUAREZ</v>
      </c>
      <c r="BP389" t="str">
        <f>"VALLE"</f>
        <v>VALLE</v>
      </c>
      <c r="BQ389" t="str">
        <f>"CALI"</f>
        <v>CALI</v>
      </c>
    </row>
    <row r="390" spans="1:69" x14ac:dyDescent="0.25">
      <c r="A390" t="str">
        <f>"7291623"</f>
        <v>7291623</v>
      </c>
      <c r="B390" t="str">
        <f t="shared" si="449"/>
        <v>459</v>
      </c>
      <c r="C390" t="str">
        <f>"5/05/2020 12:00:00 a. m."</f>
        <v>5/05/2020 12:00:00 a. m.</v>
      </c>
      <c r="D390" t="str">
        <f>"12"</f>
        <v>12</v>
      </c>
      <c r="E390" t="str">
        <f t="shared" si="450"/>
        <v>2020</v>
      </c>
      <c r="F390" t="str">
        <f>"0800100544"</f>
        <v>0800100544</v>
      </c>
      <c r="G390" t="str">
        <f t="shared" si="457"/>
        <v>01</v>
      </c>
      <c r="H390" t="str">
        <f>"4"</f>
        <v>4</v>
      </c>
      <c r="I390" t="str">
        <f t="shared" si="456"/>
        <v>1</v>
      </c>
      <c r="J390" t="str">
        <f>"M"</f>
        <v>M</v>
      </c>
      <c r="K390" t="str">
        <f t="shared" si="389"/>
        <v>170</v>
      </c>
      <c r="L390" t="str">
        <f>"20"</f>
        <v>20</v>
      </c>
      <c r="M390" t="str">
        <f>"001"</f>
        <v>001</v>
      </c>
      <c r="N390" t="str">
        <f>"1"</f>
        <v>1</v>
      </c>
      <c r="O390" t="str">
        <f>"9997"</f>
        <v>9997</v>
      </c>
      <c r="P390" t="str">
        <f>"C"</f>
        <v>C</v>
      </c>
      <c r="Q390" t="str">
        <f>"EPS002"</f>
        <v>EPS002</v>
      </c>
      <c r="R390" t="str">
        <f t="shared" si="425"/>
        <v>6</v>
      </c>
      <c r="S390" t="str">
        <f>""</f>
        <v/>
      </c>
      <c r="T390" t="str">
        <f t="shared" si="399"/>
        <v xml:space="preserve">                                                                                                    </v>
      </c>
      <c r="U390" t="str">
        <f>"2         "</f>
        <v xml:space="preserve">2         </v>
      </c>
      <c r="V390" t="str">
        <f t="shared" si="432"/>
        <v>2</v>
      </c>
      <c r="W390" t="str">
        <f t="shared" si="431"/>
        <v>2</v>
      </c>
      <c r="X390" t="str">
        <f t="shared" si="435"/>
        <v>2</v>
      </c>
      <c r="Y390" t="str">
        <f t="shared" si="437"/>
        <v>2</v>
      </c>
      <c r="Z390" t="str">
        <f t="shared" si="437"/>
        <v>2</v>
      </c>
      <c r="AA390" t="str">
        <f t="shared" si="451"/>
        <v xml:space="preserve">          </v>
      </c>
      <c r="AB390" t="str">
        <f t="shared" si="440"/>
        <v>2</v>
      </c>
      <c r="AC390" t="str">
        <f t="shared" si="443"/>
        <v>2</v>
      </c>
      <c r="AD390" t="str">
        <f t="shared" si="441"/>
        <v>2</v>
      </c>
      <c r="AE390" t="str">
        <f t="shared" si="441"/>
        <v>2</v>
      </c>
      <c r="AF390" t="str">
        <f t="shared" si="441"/>
        <v>2</v>
      </c>
      <c r="AG390" t="str">
        <f t="shared" si="441"/>
        <v>2</v>
      </c>
      <c r="AH390" t="str">
        <f t="shared" si="436"/>
        <v>1</v>
      </c>
      <c r="AI390" t="str">
        <f t="shared" si="448"/>
        <v xml:space="preserve">1         </v>
      </c>
      <c r="AJ390" t="str">
        <f t="shared" si="392"/>
        <v>170</v>
      </c>
      <c r="AK390" t="str">
        <f>"20"</f>
        <v>20</v>
      </c>
      <c r="AL390" t="str">
        <f>"001"</f>
        <v>001</v>
      </c>
      <c r="AM390" t="str">
        <f>"08"</f>
        <v>08</v>
      </c>
      <c r="AN390" t="str">
        <f>"08001"</f>
        <v>08001</v>
      </c>
      <c r="AO390" t="str">
        <f>"18/03/2020 12:00:00 a. m."</f>
        <v>18/03/2020 12:00:00 a. m.</v>
      </c>
      <c r="AP390" t="str">
        <f>"18/03/2020 12:00:00 a. m."</f>
        <v>18/03/2020 12:00:00 a. m.</v>
      </c>
      <c r="AQ390" t="str">
        <f>"2"</f>
        <v>2</v>
      </c>
      <c r="AR390" t="str">
        <f t="shared" si="459"/>
        <v>1</v>
      </c>
      <c r="AS390" t="str">
        <f>"5/04/2020 12:00:00 a. m."</f>
        <v>5/04/2020 12:00:00 a. m.</v>
      </c>
      <c r="AT390" t="str">
        <f t="shared" si="458"/>
        <v>1</v>
      </c>
      <c r="AU390" t="str">
        <f>""</f>
        <v/>
      </c>
      <c r="AV390" t="str">
        <f>"3"</f>
        <v>3</v>
      </c>
      <c r="AW390" t="str">
        <f>"8/01/2016 12:00:00 a. m."</f>
        <v>8/01/2016 12:00:00 a. m.</v>
      </c>
      <c r="AX390" t="str">
        <f>""</f>
        <v/>
      </c>
      <c r="AY390" t="str">
        <f t="shared" si="452"/>
        <v>30/04/2021 12:00:00 a. m.</v>
      </c>
      <c r="AZ390" t="str">
        <f>"7/11/2020 12:00:00 a. m."</f>
        <v>7/11/2020 12:00:00 a. m.</v>
      </c>
      <c r="BA390" t="str">
        <f>""</f>
        <v/>
      </c>
      <c r="BB390" t="str">
        <f>""</f>
        <v/>
      </c>
      <c r="BC390" t="str">
        <f>""</f>
        <v/>
      </c>
      <c r="BD390" t="str">
        <f t="shared" si="444"/>
        <v>1</v>
      </c>
      <c r="BE390" t="str">
        <f t="shared" si="444"/>
        <v>1</v>
      </c>
      <c r="BF390" t="str">
        <f t="shared" si="453"/>
        <v xml:space="preserve">3         </v>
      </c>
      <c r="BG390" t="str">
        <f t="shared" si="454"/>
        <v>Confirmado por laboratorio</v>
      </c>
      <c r="BH390" t="str">
        <f>"ORGANIZACION CLINICA BONNADONA PREVENIR SA"</f>
        <v>ORGANIZACION CLINICA BONNADONA PREVENIR SA</v>
      </c>
      <c r="BI390" t="str">
        <f t="shared" si="393"/>
        <v>COLOMBIA</v>
      </c>
      <c r="BJ390" t="str">
        <f t="shared" si="455"/>
        <v>CANCER INFANTIL</v>
      </c>
      <c r="BK390" t="str">
        <f>"CESAR"</f>
        <v>CESAR</v>
      </c>
      <c r="BL390" t="str">
        <f>"VALLEDUPAR"</f>
        <v>VALLEDUPAR</v>
      </c>
      <c r="BM390" t="str">
        <f t="shared" si="394"/>
        <v>COLOMBIA</v>
      </c>
      <c r="BN390" t="str">
        <f>"CESAR"</f>
        <v>CESAR</v>
      </c>
      <c r="BO390" t="str">
        <f>"VALLEDUPAR"</f>
        <v>VALLEDUPAR</v>
      </c>
      <c r="BP390" t="str">
        <f>"ATLANTICO"</f>
        <v>ATLANTICO</v>
      </c>
      <c r="BQ390" t="str">
        <f>"BARRANQUILLA"</f>
        <v>BARRANQUILLA</v>
      </c>
    </row>
    <row r="391" spans="1:69" x14ac:dyDescent="0.25">
      <c r="A391" t="str">
        <f>"7291628"</f>
        <v>7291628</v>
      </c>
      <c r="B391" t="str">
        <f t="shared" si="449"/>
        <v>459</v>
      </c>
      <c r="C391" t="str">
        <f>"21/07/2020 12:00:00 a. m."</f>
        <v>21/07/2020 12:00:00 a. m.</v>
      </c>
      <c r="D391" t="str">
        <f>"28"</f>
        <v>28</v>
      </c>
      <c r="E391" t="str">
        <f t="shared" si="450"/>
        <v>2020</v>
      </c>
      <c r="F391" t="str">
        <f>"6854704947"</f>
        <v>6854704947</v>
      </c>
      <c r="G391" t="str">
        <f t="shared" si="457"/>
        <v>01</v>
      </c>
      <c r="H391" t="str">
        <f>"2"</f>
        <v>2</v>
      </c>
      <c r="I391" t="str">
        <f t="shared" si="456"/>
        <v>1</v>
      </c>
      <c r="J391" t="str">
        <f>"M"</f>
        <v>M</v>
      </c>
      <c r="K391" t="str">
        <f t="shared" si="389"/>
        <v>170</v>
      </c>
      <c r="L391" t="str">
        <f>"20"</f>
        <v>20</v>
      </c>
      <c r="M391" t="str">
        <f>"001"</f>
        <v>001</v>
      </c>
      <c r="N391" t="str">
        <f>"1"</f>
        <v>1</v>
      </c>
      <c r="O391" t="str">
        <f>"9999"</f>
        <v>9999</v>
      </c>
      <c r="P391" t="str">
        <f>"S"</f>
        <v>S</v>
      </c>
      <c r="Q391" t="str">
        <f>"ESS062"</f>
        <v>ESS062</v>
      </c>
      <c r="R391" t="str">
        <f t="shared" si="425"/>
        <v>6</v>
      </c>
      <c r="S391" t="str">
        <f>""</f>
        <v/>
      </c>
      <c r="T391" t="str">
        <f t="shared" si="399"/>
        <v xml:space="preserve">                                                                                                    </v>
      </c>
      <c r="U391" t="str">
        <f>"2         "</f>
        <v xml:space="preserve">2         </v>
      </c>
      <c r="V391" t="str">
        <f t="shared" si="432"/>
        <v>2</v>
      </c>
      <c r="W391" t="str">
        <f t="shared" si="431"/>
        <v>2</v>
      </c>
      <c r="X391" t="str">
        <f t="shared" si="435"/>
        <v>2</v>
      </c>
      <c r="Y391" t="str">
        <f t="shared" si="437"/>
        <v>2</v>
      </c>
      <c r="Z391" t="str">
        <f t="shared" si="437"/>
        <v>2</v>
      </c>
      <c r="AA391" t="str">
        <f t="shared" si="451"/>
        <v xml:space="preserve">          </v>
      </c>
      <c r="AB391" t="str">
        <f t="shared" si="440"/>
        <v>2</v>
      </c>
      <c r="AC391" t="str">
        <f t="shared" si="443"/>
        <v>2</v>
      </c>
      <c r="AD391" t="str">
        <f t="shared" si="441"/>
        <v>2</v>
      </c>
      <c r="AE391" t="str">
        <f t="shared" si="441"/>
        <v>2</v>
      </c>
      <c r="AF391" t="str">
        <f t="shared" si="441"/>
        <v>2</v>
      </c>
      <c r="AG391" t="str">
        <f t="shared" si="441"/>
        <v>2</v>
      </c>
      <c r="AH391" t="str">
        <f t="shared" si="436"/>
        <v>1</v>
      </c>
      <c r="AI391" t="str">
        <f t="shared" si="448"/>
        <v xml:space="preserve">1         </v>
      </c>
      <c r="AJ391" t="str">
        <f t="shared" si="392"/>
        <v>170</v>
      </c>
      <c r="AK391" t="str">
        <f>"20"</f>
        <v>20</v>
      </c>
      <c r="AL391" t="str">
        <f>"001"</f>
        <v>001</v>
      </c>
      <c r="AM391" t="str">
        <f>"68"</f>
        <v>68</v>
      </c>
      <c r="AN391" t="str">
        <f>"68547"</f>
        <v>68547</v>
      </c>
      <c r="AO391" t="str">
        <f>"7/07/2020 12:00:00 a. m."</f>
        <v>7/07/2020 12:00:00 a. m.</v>
      </c>
      <c r="AP391" t="str">
        <f>"27/06/2020 12:00:00 a. m."</f>
        <v>27/06/2020 12:00:00 a. m.</v>
      </c>
      <c r="AQ391" t="str">
        <f>"3"</f>
        <v>3</v>
      </c>
      <c r="AR391" t="str">
        <f t="shared" si="459"/>
        <v>1</v>
      </c>
      <c r="AS391" t="str">
        <f>"7/07/2020 12:00:00 a. m."</f>
        <v>7/07/2020 12:00:00 a. m.</v>
      </c>
      <c r="AT391" t="str">
        <f t="shared" si="458"/>
        <v>1</v>
      </c>
      <c r="AU391" t="str">
        <f>""</f>
        <v/>
      </c>
      <c r="AV391" t="str">
        <f>"0"</f>
        <v>0</v>
      </c>
      <c r="AW391" t="str">
        <f>"29/04/2018 12:00:00 a. m."</f>
        <v>29/04/2018 12:00:00 a. m.</v>
      </c>
      <c r="AX391" t="str">
        <f>""</f>
        <v/>
      </c>
      <c r="AY391" t="str">
        <f t="shared" si="452"/>
        <v>30/04/2021 12:00:00 a. m.</v>
      </c>
      <c r="AZ391" t="str">
        <f>"21/07/2020 12:00:00 a. m."</f>
        <v>21/07/2020 12:00:00 a. m.</v>
      </c>
      <c r="BA391" t="str">
        <f>""</f>
        <v/>
      </c>
      <c r="BB391" t="str">
        <f>""</f>
        <v/>
      </c>
      <c r="BC391" t="str">
        <f>""</f>
        <v/>
      </c>
      <c r="BD391" t="str">
        <f t="shared" si="444"/>
        <v>1</v>
      </c>
      <c r="BE391" t="str">
        <f t="shared" si="444"/>
        <v>1</v>
      </c>
      <c r="BF391" t="str">
        <f t="shared" si="453"/>
        <v xml:space="preserve">3         </v>
      </c>
      <c r="BG391" t="str">
        <f t="shared" si="454"/>
        <v>Confirmado por laboratorio</v>
      </c>
      <c r="BH391" t="str">
        <f>"HOSPITAL INTERNACIONAL DE COLOMBIA"</f>
        <v>HOSPITAL INTERNACIONAL DE COLOMBIA</v>
      </c>
      <c r="BI391" t="str">
        <f t="shared" si="393"/>
        <v>COLOMBIA</v>
      </c>
      <c r="BJ391" t="str">
        <f t="shared" si="455"/>
        <v>CANCER INFANTIL</v>
      </c>
      <c r="BK391" t="str">
        <f>"CESAR"</f>
        <v>CESAR</v>
      </c>
      <c r="BL391" t="str">
        <f>"VALLEDUPAR"</f>
        <v>VALLEDUPAR</v>
      </c>
      <c r="BM391" t="str">
        <f t="shared" si="394"/>
        <v>COLOMBIA</v>
      </c>
      <c r="BN391" t="str">
        <f>"CESAR"</f>
        <v>CESAR</v>
      </c>
      <c r="BO391" t="str">
        <f>"VALLEDUPAR"</f>
        <v>VALLEDUPAR</v>
      </c>
      <c r="BP391" t="str">
        <f>"SANTANDER"</f>
        <v>SANTANDER</v>
      </c>
      <c r="BQ391" t="str">
        <f>"PIEDECUESTA"</f>
        <v>PIEDECUESTA</v>
      </c>
    </row>
    <row r="392" spans="1:69" x14ac:dyDescent="0.25">
      <c r="A392" t="str">
        <f>"7279072"</f>
        <v>7279072</v>
      </c>
      <c r="B392" t="str">
        <f t="shared" si="449"/>
        <v>459</v>
      </c>
      <c r="C392" t="str">
        <f>"17/09/2020 12:00:00 a. m."</f>
        <v>17/09/2020 12:00:00 a. m.</v>
      </c>
      <c r="D392" t="str">
        <f>"26"</f>
        <v>26</v>
      </c>
      <c r="E392" t="str">
        <f t="shared" si="450"/>
        <v>2020</v>
      </c>
      <c r="F392" t="str">
        <f>"2300100949"</f>
        <v>2300100949</v>
      </c>
      <c r="G392" t="str">
        <f t="shared" si="457"/>
        <v>01</v>
      </c>
      <c r="H392" t="str">
        <f>"12"</f>
        <v>12</v>
      </c>
      <c r="I392" t="str">
        <f t="shared" si="456"/>
        <v>1</v>
      </c>
      <c r="J392" t="str">
        <f>"F"</f>
        <v>F</v>
      </c>
      <c r="K392" t="str">
        <f t="shared" si="389"/>
        <v>170</v>
      </c>
      <c r="L392" t="str">
        <f>"23"</f>
        <v>23</v>
      </c>
      <c r="M392" t="str">
        <f>"807"</f>
        <v>807</v>
      </c>
      <c r="N392" t="str">
        <f>"2"</f>
        <v>2</v>
      </c>
      <c r="O392" t="str">
        <f>"9997"</f>
        <v>9997</v>
      </c>
      <c r="P392" t="str">
        <f>"S"</f>
        <v>S</v>
      </c>
      <c r="Q392" t="str">
        <f>"EPSS41"</f>
        <v>EPSS41</v>
      </c>
      <c r="R392" t="str">
        <f t="shared" si="425"/>
        <v>6</v>
      </c>
      <c r="S392" t="str">
        <f>""</f>
        <v/>
      </c>
      <c r="T392" t="str">
        <f t="shared" si="399"/>
        <v xml:space="preserve">                                                                                                    </v>
      </c>
      <c r="U392" t="str">
        <f>"1         "</f>
        <v xml:space="preserve">1         </v>
      </c>
      <c r="V392" t="str">
        <f t="shared" si="432"/>
        <v>2</v>
      </c>
      <c r="W392" t="str">
        <f t="shared" si="431"/>
        <v>2</v>
      </c>
      <c r="X392" t="str">
        <f t="shared" si="435"/>
        <v>2</v>
      </c>
      <c r="Y392" t="str">
        <f t="shared" si="437"/>
        <v>2</v>
      </c>
      <c r="Z392" t="str">
        <f t="shared" si="437"/>
        <v>2</v>
      </c>
      <c r="AA392" t="str">
        <f t="shared" si="451"/>
        <v xml:space="preserve">          </v>
      </c>
      <c r="AB392" t="str">
        <f t="shared" si="440"/>
        <v>2</v>
      </c>
      <c r="AC392" t="str">
        <f t="shared" si="443"/>
        <v>2</v>
      </c>
      <c r="AD392" t="str">
        <f t="shared" si="441"/>
        <v>2</v>
      </c>
      <c r="AE392" t="str">
        <f t="shared" si="441"/>
        <v>2</v>
      </c>
      <c r="AF392" t="str">
        <f t="shared" si="441"/>
        <v>2</v>
      </c>
      <c r="AG392" t="str">
        <f t="shared" si="441"/>
        <v>2</v>
      </c>
      <c r="AH392" t="str">
        <f t="shared" si="436"/>
        <v>1</v>
      </c>
      <c r="AI392" t="str">
        <f t="shared" si="448"/>
        <v xml:space="preserve">1         </v>
      </c>
      <c r="AJ392" t="str">
        <f t="shared" si="392"/>
        <v>170</v>
      </c>
      <c r="AK392" t="str">
        <f>"23"</f>
        <v>23</v>
      </c>
      <c r="AL392" t="str">
        <f>"807"</f>
        <v>807</v>
      </c>
      <c r="AM392" t="str">
        <f>"23"</f>
        <v>23</v>
      </c>
      <c r="AN392" t="str">
        <f>"23001"</f>
        <v>23001</v>
      </c>
      <c r="AO392" t="str">
        <f>"27/06/2020 12:00:00 a. m."</f>
        <v>27/06/2020 12:00:00 a. m.</v>
      </c>
      <c r="AP392" t="str">
        <f>"7/06/2020 12:00:00 a. m."</f>
        <v>7/06/2020 12:00:00 a. m.</v>
      </c>
      <c r="AQ392" t="str">
        <f>"2"</f>
        <v>2</v>
      </c>
      <c r="AR392" t="str">
        <f t="shared" si="459"/>
        <v>1</v>
      </c>
      <c r="AS392" t="str">
        <f>"27/06/2020 12:00:00 a. m."</f>
        <v>27/06/2020 12:00:00 a. m.</v>
      </c>
      <c r="AT392" t="str">
        <f t="shared" si="458"/>
        <v>1</v>
      </c>
      <c r="AU392" t="str">
        <f>""</f>
        <v/>
      </c>
      <c r="AV392" t="str">
        <f>"3"</f>
        <v>3</v>
      </c>
      <c r="AW392" t="str">
        <f>"7/12/2007 12:00:00 a. m."</f>
        <v>7/12/2007 12:00:00 a. m.</v>
      </c>
      <c r="AX392" t="str">
        <f>""</f>
        <v/>
      </c>
      <c r="AY392" t="str">
        <f t="shared" si="452"/>
        <v>30/04/2021 12:00:00 a. m.</v>
      </c>
      <c r="AZ392" t="str">
        <f>"7/10/2020 12:00:00 a. m."</f>
        <v>7/10/2020 12:00:00 a. m.</v>
      </c>
      <c r="BA392" t="str">
        <f>""</f>
        <v/>
      </c>
      <c r="BB392" t="str">
        <f>""</f>
        <v/>
      </c>
      <c r="BC392" t="str">
        <f>""</f>
        <v/>
      </c>
      <c r="BD392" t="str">
        <f t="shared" si="444"/>
        <v>1</v>
      </c>
      <c r="BE392" t="str">
        <f t="shared" si="444"/>
        <v>1</v>
      </c>
      <c r="BF392" t="str">
        <f t="shared" si="453"/>
        <v xml:space="preserve">3         </v>
      </c>
      <c r="BG392" t="str">
        <f t="shared" si="454"/>
        <v>Confirmado por laboratorio</v>
      </c>
      <c r="BH392" t="str">
        <f>"ONCOMEDICA S A"</f>
        <v>ONCOMEDICA S A</v>
      </c>
      <c r="BI392" t="str">
        <f t="shared" si="393"/>
        <v>COLOMBIA</v>
      </c>
      <c r="BJ392" t="str">
        <f t="shared" si="455"/>
        <v>CANCER INFANTIL</v>
      </c>
      <c r="BK392" t="str">
        <f>"CORDOBA"</f>
        <v>CORDOBA</v>
      </c>
      <c r="BL392" t="str">
        <f>"TIERRALTA"</f>
        <v>TIERRALTA</v>
      </c>
      <c r="BM392" t="str">
        <f t="shared" si="394"/>
        <v>COLOMBIA</v>
      </c>
      <c r="BN392" t="str">
        <f>"CORDOBA"</f>
        <v>CORDOBA</v>
      </c>
      <c r="BO392" t="str">
        <f>"TIERRALTA"</f>
        <v>TIERRALTA</v>
      </c>
      <c r="BP392" t="str">
        <f>"CORDOBA"</f>
        <v>CORDOBA</v>
      </c>
      <c r="BQ392" t="str">
        <f>"MONTERIA"</f>
        <v>MONTERIA</v>
      </c>
    </row>
    <row r="393" spans="1:69" x14ac:dyDescent="0.25">
      <c r="A393" t="str">
        <f>"7278984"</f>
        <v>7278984</v>
      </c>
      <c r="B393" t="str">
        <f t="shared" si="449"/>
        <v>459</v>
      </c>
      <c r="C393" t="str">
        <f>"1/08/2020 12:00:00 a. m."</f>
        <v>1/08/2020 12:00:00 a. m.</v>
      </c>
      <c r="D393" t="str">
        <f>"30"</f>
        <v>30</v>
      </c>
      <c r="E393" t="str">
        <f t="shared" si="450"/>
        <v>2020</v>
      </c>
      <c r="F393" t="str">
        <f>"7600102870"</f>
        <v>7600102870</v>
      </c>
      <c r="G393" t="str">
        <f t="shared" si="457"/>
        <v>01</v>
      </c>
      <c r="H393" t="str">
        <f>"1"</f>
        <v>1</v>
      </c>
      <c r="I393" t="str">
        <f t="shared" si="456"/>
        <v>1</v>
      </c>
      <c r="J393" t="str">
        <f>"F"</f>
        <v>F</v>
      </c>
      <c r="K393" t="str">
        <f t="shared" si="389"/>
        <v>170</v>
      </c>
      <c r="L393" t="str">
        <f>"52"</f>
        <v>52</v>
      </c>
      <c r="M393" t="str">
        <f>"001"</f>
        <v>001</v>
      </c>
      <c r="N393" t="str">
        <f t="shared" ref="N393:N401" si="460">"1"</f>
        <v>1</v>
      </c>
      <c r="O393" t="str">
        <f>"9999"</f>
        <v>9999</v>
      </c>
      <c r="P393" t="str">
        <f>"S"</f>
        <v>S</v>
      </c>
      <c r="Q393" t="str">
        <f>"ESS118"</f>
        <v>ESS118</v>
      </c>
      <c r="R393" t="str">
        <f t="shared" si="425"/>
        <v>6</v>
      </c>
      <c r="S393" t="str">
        <f>""</f>
        <v/>
      </c>
      <c r="T393" t="str">
        <f t="shared" si="399"/>
        <v xml:space="preserve">                                                                                                    </v>
      </c>
      <c r="U393" t="str">
        <f>"          "</f>
        <v xml:space="preserve">          </v>
      </c>
      <c r="V393" t="str">
        <f t="shared" si="432"/>
        <v>2</v>
      </c>
      <c r="W393" t="str">
        <f t="shared" si="431"/>
        <v>2</v>
      </c>
      <c r="X393" t="str">
        <f t="shared" si="435"/>
        <v>2</v>
      </c>
      <c r="Y393" t="str">
        <f t="shared" si="437"/>
        <v>2</v>
      </c>
      <c r="Z393" t="str">
        <f t="shared" si="437"/>
        <v>2</v>
      </c>
      <c r="AA393" t="str">
        <f t="shared" si="451"/>
        <v xml:space="preserve">          </v>
      </c>
      <c r="AB393" t="str">
        <f t="shared" si="440"/>
        <v>2</v>
      </c>
      <c r="AC393" t="str">
        <f t="shared" si="443"/>
        <v>2</v>
      </c>
      <c r="AD393" t="str">
        <f t="shared" si="441"/>
        <v>2</v>
      </c>
      <c r="AE393" t="str">
        <f t="shared" si="441"/>
        <v>2</v>
      </c>
      <c r="AF393" t="str">
        <f t="shared" si="441"/>
        <v>2</v>
      </c>
      <c r="AG393" t="str">
        <f t="shared" si="441"/>
        <v>2</v>
      </c>
      <c r="AH393" t="str">
        <f t="shared" si="436"/>
        <v>1</v>
      </c>
      <c r="AI393" t="str">
        <f t="shared" si="448"/>
        <v xml:space="preserve">1         </v>
      </c>
      <c r="AJ393" t="str">
        <f t="shared" si="392"/>
        <v>170</v>
      </c>
      <c r="AK393" t="str">
        <f>"52"</f>
        <v>52</v>
      </c>
      <c r="AL393" t="str">
        <f>"001"</f>
        <v>001</v>
      </c>
      <c r="AM393" t="str">
        <f>"76"</f>
        <v>76</v>
      </c>
      <c r="AN393" t="str">
        <f>"76001"</f>
        <v>76001</v>
      </c>
      <c r="AO393" t="str">
        <f>"20/07/2020 12:00:00 a. m."</f>
        <v>20/07/2020 12:00:00 a. m.</v>
      </c>
      <c r="AP393" t="str">
        <f>"20/06/2020 12:00:00 a. m."</f>
        <v>20/06/2020 12:00:00 a. m.</v>
      </c>
      <c r="AQ393" t="str">
        <f>"2"</f>
        <v>2</v>
      </c>
      <c r="AR393" t="str">
        <f t="shared" si="459"/>
        <v>1</v>
      </c>
      <c r="AS393" t="str">
        <f>"20/07/2020 12:00:00 a. m."</f>
        <v>20/07/2020 12:00:00 a. m.</v>
      </c>
      <c r="AT393" t="str">
        <f t="shared" si="458"/>
        <v>1</v>
      </c>
      <c r="AU393" t="str">
        <f>""</f>
        <v/>
      </c>
      <c r="AV393" t="str">
        <f>"3"</f>
        <v>3</v>
      </c>
      <c r="AW393" t="str">
        <f>"23/12/2018 12:00:00 a. m."</f>
        <v>23/12/2018 12:00:00 a. m.</v>
      </c>
      <c r="AX393" t="str">
        <f>""</f>
        <v/>
      </c>
      <c r="AY393" t="str">
        <f t="shared" si="452"/>
        <v>30/04/2021 12:00:00 a. m.</v>
      </c>
      <c r="AZ393" t="str">
        <f>"27/08/2020 12:00:00 a. m."</f>
        <v>27/08/2020 12:00:00 a. m.</v>
      </c>
      <c r="BA393" t="str">
        <f>""</f>
        <v/>
      </c>
      <c r="BB393" t="str">
        <f>""</f>
        <v/>
      </c>
      <c r="BC393" t="str">
        <f>""</f>
        <v/>
      </c>
      <c r="BD393" t="str">
        <f t="shared" si="444"/>
        <v>1</v>
      </c>
      <c r="BE393" t="str">
        <f t="shared" si="444"/>
        <v>1</v>
      </c>
      <c r="BF393" t="str">
        <f t="shared" si="453"/>
        <v xml:space="preserve">3         </v>
      </c>
      <c r="BG393" t="str">
        <f t="shared" si="454"/>
        <v>Confirmado por laboratorio</v>
      </c>
      <c r="BH393" t="str">
        <f>"FUNDACION VALLE DEL LILI"</f>
        <v>FUNDACION VALLE DEL LILI</v>
      </c>
      <c r="BI393" t="str">
        <f t="shared" si="393"/>
        <v>COLOMBIA</v>
      </c>
      <c r="BJ393" t="str">
        <f t="shared" si="455"/>
        <v>CANCER INFANTIL</v>
      </c>
      <c r="BK393" t="str">
        <f>"NARIÑO"</f>
        <v>NARIÑO</v>
      </c>
      <c r="BL393" t="str">
        <f>"PASTO"</f>
        <v>PASTO</v>
      </c>
      <c r="BM393" t="str">
        <f t="shared" si="394"/>
        <v>COLOMBIA</v>
      </c>
      <c r="BN393" t="str">
        <f>"NARIÑO"</f>
        <v>NARIÑO</v>
      </c>
      <c r="BO393" t="str">
        <f>"PASTO"</f>
        <v>PASTO</v>
      </c>
      <c r="BP393" t="str">
        <f>"VALLE"</f>
        <v>VALLE</v>
      </c>
      <c r="BQ393" t="str">
        <f>"CALI"</f>
        <v>CALI</v>
      </c>
    </row>
    <row r="394" spans="1:69" x14ac:dyDescent="0.25">
      <c r="A394" t="str">
        <f>"7278961"</f>
        <v>7278961</v>
      </c>
      <c r="B394" t="str">
        <f t="shared" si="449"/>
        <v>459</v>
      </c>
      <c r="C394" t="str">
        <f>"18/03/2020 12:00:00 a. m."</f>
        <v>18/03/2020 12:00:00 a. m.</v>
      </c>
      <c r="D394" t="str">
        <f>"06"</f>
        <v>06</v>
      </c>
      <c r="E394" t="str">
        <f t="shared" si="450"/>
        <v>2020</v>
      </c>
      <c r="F394" t="str">
        <f>"1100105681"</f>
        <v>1100105681</v>
      </c>
      <c r="G394" t="str">
        <f t="shared" si="457"/>
        <v>01</v>
      </c>
      <c r="H394" t="str">
        <f>"8"</f>
        <v>8</v>
      </c>
      <c r="I394" t="str">
        <f t="shared" si="456"/>
        <v>1</v>
      </c>
      <c r="J394" t="str">
        <f>"F"</f>
        <v>F</v>
      </c>
      <c r="K394" t="str">
        <f t="shared" ref="K394:K457" si="461">"170"</f>
        <v>170</v>
      </c>
      <c r="L394" t="str">
        <f>"41"</f>
        <v>41</v>
      </c>
      <c r="M394" t="str">
        <f>"001"</f>
        <v>001</v>
      </c>
      <c r="N394" t="str">
        <f t="shared" si="460"/>
        <v>1</v>
      </c>
      <c r="O394" t="str">
        <f>"9997"</f>
        <v>9997</v>
      </c>
      <c r="P394" t="str">
        <f>"C"</f>
        <v>C</v>
      </c>
      <c r="Q394" t="str">
        <f>"EPS005"</f>
        <v>EPS005</v>
      </c>
      <c r="R394" t="str">
        <f t="shared" si="425"/>
        <v>6</v>
      </c>
      <c r="S394" t="str">
        <f>""</f>
        <v/>
      </c>
      <c r="T394" t="str">
        <f t="shared" si="399"/>
        <v xml:space="preserve">                                                                                                    </v>
      </c>
      <c r="U394" t="str">
        <f>"2         "</f>
        <v xml:space="preserve">2         </v>
      </c>
      <c r="V394" t="str">
        <f t="shared" si="432"/>
        <v>2</v>
      </c>
      <c r="W394" t="str">
        <f t="shared" si="431"/>
        <v>2</v>
      </c>
      <c r="X394" t="str">
        <f t="shared" si="435"/>
        <v>2</v>
      </c>
      <c r="Y394" t="str">
        <f t="shared" si="437"/>
        <v>2</v>
      </c>
      <c r="Z394" t="str">
        <f t="shared" si="437"/>
        <v>2</v>
      </c>
      <c r="AA394" t="str">
        <f t="shared" si="451"/>
        <v xml:space="preserve">          </v>
      </c>
      <c r="AB394" t="str">
        <f t="shared" si="440"/>
        <v>2</v>
      </c>
      <c r="AC394" t="str">
        <f t="shared" si="443"/>
        <v>2</v>
      </c>
      <c r="AD394" t="str">
        <f t="shared" si="441"/>
        <v>2</v>
      </c>
      <c r="AE394" t="str">
        <f t="shared" si="441"/>
        <v>2</v>
      </c>
      <c r="AF394" t="str">
        <f t="shared" si="441"/>
        <v>2</v>
      </c>
      <c r="AG394" t="str">
        <f t="shared" si="441"/>
        <v>2</v>
      </c>
      <c r="AH394" t="str">
        <f t="shared" si="436"/>
        <v>1</v>
      </c>
      <c r="AI394" t="str">
        <f>"2         "</f>
        <v xml:space="preserve">2         </v>
      </c>
      <c r="AJ394" t="str">
        <f t="shared" ref="AJ394:AJ457" si="462">"170"</f>
        <v>170</v>
      </c>
      <c r="AK394" t="str">
        <f>"41"</f>
        <v>41</v>
      </c>
      <c r="AL394" t="str">
        <f>"001"</f>
        <v>001</v>
      </c>
      <c r="AM394" t="str">
        <f>"11"</f>
        <v>11</v>
      </c>
      <c r="AN394" t="str">
        <f>"11001"</f>
        <v>11001</v>
      </c>
      <c r="AO394" t="str">
        <f>"6/02/2020 12:00:00 a. m."</f>
        <v>6/02/2020 12:00:00 a. m.</v>
      </c>
      <c r="AP394" t="str">
        <f>"6/02/2019 12:00:00 a. m."</f>
        <v>6/02/2019 12:00:00 a. m.</v>
      </c>
      <c r="AQ394" t="str">
        <f t="shared" ref="AQ394:AQ399" si="463">"3"</f>
        <v>3</v>
      </c>
      <c r="AR394" t="str">
        <f t="shared" si="459"/>
        <v>1</v>
      </c>
      <c r="AS394" t="str">
        <f>"6/02/2020 12:00:00 a. m."</f>
        <v>6/02/2020 12:00:00 a. m.</v>
      </c>
      <c r="AT394" t="str">
        <f>"2"</f>
        <v>2</v>
      </c>
      <c r="AU394" t="str">
        <f>"18/05/2020 12:00:00 a. m."</f>
        <v>18/05/2020 12:00:00 a. m.</v>
      </c>
      <c r="AV394" t="str">
        <f>"7"</f>
        <v>7</v>
      </c>
      <c r="AW394" t="str">
        <f>"28/12/2011 12:00:00 a. m."</f>
        <v>28/12/2011 12:00:00 a. m.</v>
      </c>
      <c r="AX394" t="str">
        <f>"C710"</f>
        <v>C710</v>
      </c>
      <c r="AY394" t="str">
        <f t="shared" si="452"/>
        <v>30/04/2021 12:00:00 a. m.</v>
      </c>
      <c r="AZ394" t="str">
        <f>"22/07/2020 12:00:00 a. m."</f>
        <v>22/07/2020 12:00:00 a. m.</v>
      </c>
      <c r="BA394" t="str">
        <f>""</f>
        <v/>
      </c>
      <c r="BB394" t="str">
        <f>""</f>
        <v/>
      </c>
      <c r="BC394" t="str">
        <f>""</f>
        <v/>
      </c>
      <c r="BD394" t="str">
        <f t="shared" si="444"/>
        <v>1</v>
      </c>
      <c r="BE394" t="str">
        <f t="shared" si="444"/>
        <v>1</v>
      </c>
      <c r="BF394" t="str">
        <f t="shared" si="453"/>
        <v xml:space="preserve">3         </v>
      </c>
      <c r="BG394" t="str">
        <f t="shared" si="454"/>
        <v>Confirmado por laboratorio</v>
      </c>
      <c r="BH394" t="str">
        <f>"FUNDACION HOSPITAL DE LA MISERICORDIA"</f>
        <v>FUNDACION HOSPITAL DE LA MISERICORDIA</v>
      </c>
      <c r="BI394" t="str">
        <f t="shared" ref="BI394:BI457" si="464">"COLOMBIA"</f>
        <v>COLOMBIA</v>
      </c>
      <c r="BJ394" t="str">
        <f t="shared" si="455"/>
        <v>CANCER INFANTIL</v>
      </c>
      <c r="BK394" t="str">
        <f>"HUILA"</f>
        <v>HUILA</v>
      </c>
      <c r="BL394" t="str">
        <f>"NEIVA"</f>
        <v>NEIVA</v>
      </c>
      <c r="BM394" t="str">
        <f t="shared" ref="BM394:BM457" si="465">"COLOMBIA"</f>
        <v>COLOMBIA</v>
      </c>
      <c r="BN394" t="str">
        <f>"HUILA"</f>
        <v>HUILA</v>
      </c>
      <c r="BO394" t="str">
        <f>"NEIVA"</f>
        <v>NEIVA</v>
      </c>
      <c r="BP394" t="str">
        <f>"BOGOTA"</f>
        <v>BOGOTA</v>
      </c>
      <c r="BQ394" t="str">
        <f>"BOGOTA"</f>
        <v>BOGOTA</v>
      </c>
    </row>
    <row r="395" spans="1:69" x14ac:dyDescent="0.25">
      <c r="A395" t="str">
        <f>"7278788"</f>
        <v>7278788</v>
      </c>
      <c r="B395" t="str">
        <f t="shared" si="449"/>
        <v>459</v>
      </c>
      <c r="C395" t="str">
        <f>"1/12/2020 12:00:00 a. m."</f>
        <v>1/12/2020 12:00:00 a. m.</v>
      </c>
      <c r="D395" t="str">
        <f>"48"</f>
        <v>48</v>
      </c>
      <c r="E395" t="str">
        <f t="shared" si="450"/>
        <v>2020</v>
      </c>
      <c r="F395" t="str">
        <f>"6854704947"</f>
        <v>6854704947</v>
      </c>
      <c r="G395" t="str">
        <f t="shared" si="457"/>
        <v>01</v>
      </c>
      <c r="H395" t="str">
        <f>"17"</f>
        <v>17</v>
      </c>
      <c r="I395" t="str">
        <f t="shared" si="456"/>
        <v>1</v>
      </c>
      <c r="J395" t="str">
        <f>"M"</f>
        <v>M</v>
      </c>
      <c r="K395" t="str">
        <f t="shared" si="461"/>
        <v>170</v>
      </c>
      <c r="L395" t="str">
        <f>"68"</f>
        <v>68</v>
      </c>
      <c r="M395" t="str">
        <f>"001"</f>
        <v>001</v>
      </c>
      <c r="N395" t="str">
        <f t="shared" si="460"/>
        <v>1</v>
      </c>
      <c r="O395" t="str">
        <f>"9997"</f>
        <v>9997</v>
      </c>
      <c r="P395" t="str">
        <f>"S"</f>
        <v>S</v>
      </c>
      <c r="Q395" t="str">
        <f>"EPSS10"</f>
        <v>EPSS10</v>
      </c>
      <c r="R395" t="str">
        <f t="shared" si="425"/>
        <v>6</v>
      </c>
      <c r="S395" t="str">
        <f>""</f>
        <v/>
      </c>
      <c r="T395" t="str">
        <f t="shared" si="399"/>
        <v xml:space="preserve">                                                                                                    </v>
      </c>
      <c r="U395" t="str">
        <f>"3         "</f>
        <v xml:space="preserve">3         </v>
      </c>
      <c r="V395" t="str">
        <f t="shared" si="432"/>
        <v>2</v>
      </c>
      <c r="W395" t="str">
        <f t="shared" si="431"/>
        <v>2</v>
      </c>
      <c r="X395" t="str">
        <f t="shared" si="435"/>
        <v>2</v>
      </c>
      <c r="Y395" t="str">
        <f t="shared" si="437"/>
        <v>2</v>
      </c>
      <c r="Z395" t="str">
        <f t="shared" si="437"/>
        <v>2</v>
      </c>
      <c r="AA395" t="str">
        <f t="shared" si="451"/>
        <v xml:space="preserve">          </v>
      </c>
      <c r="AB395" t="str">
        <f t="shared" si="440"/>
        <v>2</v>
      </c>
      <c r="AC395" t="str">
        <f t="shared" si="443"/>
        <v>2</v>
      </c>
      <c r="AD395" t="str">
        <f t="shared" si="441"/>
        <v>2</v>
      </c>
      <c r="AE395" t="str">
        <f t="shared" si="441"/>
        <v>2</v>
      </c>
      <c r="AF395" t="str">
        <f t="shared" si="441"/>
        <v>2</v>
      </c>
      <c r="AG395" t="str">
        <f t="shared" si="441"/>
        <v>2</v>
      </c>
      <c r="AH395" t="str">
        <f t="shared" si="436"/>
        <v>1</v>
      </c>
      <c r="AI395" t="str">
        <f>"1         "</f>
        <v xml:space="preserve">1         </v>
      </c>
      <c r="AJ395" t="str">
        <f t="shared" si="462"/>
        <v>170</v>
      </c>
      <c r="AK395" t="str">
        <f>"68"</f>
        <v>68</v>
      </c>
      <c r="AL395" t="str">
        <f>"001"</f>
        <v>001</v>
      </c>
      <c r="AM395" t="str">
        <f>"68"</f>
        <v>68</v>
      </c>
      <c r="AN395" t="str">
        <f>"68547"</f>
        <v>68547</v>
      </c>
      <c r="AO395" t="str">
        <f>"23/11/2020 12:00:00 a. m."</f>
        <v>23/11/2020 12:00:00 a. m.</v>
      </c>
      <c r="AP395" t="str">
        <f>"13/11/2020 12:00:00 a. m."</f>
        <v>13/11/2020 12:00:00 a. m.</v>
      </c>
      <c r="AQ395" t="str">
        <f t="shared" si="463"/>
        <v>3</v>
      </c>
      <c r="AR395" t="str">
        <f t="shared" si="459"/>
        <v>1</v>
      </c>
      <c r="AS395" t="str">
        <f>"23/11/2020 12:00:00 a. m."</f>
        <v>23/11/2020 12:00:00 a. m.</v>
      </c>
      <c r="AT395" t="str">
        <f t="shared" ref="AT395:AT400" si="466">"1"</f>
        <v>1</v>
      </c>
      <c r="AU395" t="str">
        <f>""</f>
        <v/>
      </c>
      <c r="AV395" t="str">
        <f>"0"</f>
        <v>0</v>
      </c>
      <c r="AW395" t="str">
        <f>"11/02/2003 12:00:00 a. m."</f>
        <v>11/02/2003 12:00:00 a. m.</v>
      </c>
      <c r="AX395" t="str">
        <f>""</f>
        <v/>
      </c>
      <c r="AY395" t="str">
        <f t="shared" si="452"/>
        <v>30/04/2021 12:00:00 a. m.</v>
      </c>
      <c r="AZ395" t="str">
        <f>"1/12/2020 12:00:00 a. m."</f>
        <v>1/12/2020 12:00:00 a. m.</v>
      </c>
      <c r="BA395" t="str">
        <f>""</f>
        <v/>
      </c>
      <c r="BB395" t="str">
        <f>""</f>
        <v/>
      </c>
      <c r="BC395" t="str">
        <f>""</f>
        <v/>
      </c>
      <c r="BD395" t="str">
        <f t="shared" si="444"/>
        <v>1</v>
      </c>
      <c r="BE395" t="str">
        <f t="shared" si="444"/>
        <v>1</v>
      </c>
      <c r="BF395" t="str">
        <f t="shared" si="453"/>
        <v xml:space="preserve">3         </v>
      </c>
      <c r="BG395" t="str">
        <f t="shared" si="454"/>
        <v>Confirmado por laboratorio</v>
      </c>
      <c r="BH395" t="str">
        <f>"HOSPITAL INTERNACIONAL DE COLOMBIA"</f>
        <v>HOSPITAL INTERNACIONAL DE COLOMBIA</v>
      </c>
      <c r="BI395" t="str">
        <f t="shared" si="464"/>
        <v>COLOMBIA</v>
      </c>
      <c r="BJ395" t="str">
        <f t="shared" si="455"/>
        <v>CANCER INFANTIL</v>
      </c>
      <c r="BK395" t="str">
        <f>"SANTANDER"</f>
        <v>SANTANDER</v>
      </c>
      <c r="BL395" t="str">
        <f>"BUCARAMANGA"</f>
        <v>BUCARAMANGA</v>
      </c>
      <c r="BM395" t="str">
        <f t="shared" si="465"/>
        <v>COLOMBIA</v>
      </c>
      <c r="BN395" t="str">
        <f>"SANTANDER"</f>
        <v>SANTANDER</v>
      </c>
      <c r="BO395" t="str">
        <f>"BUCARAMANGA"</f>
        <v>BUCARAMANGA</v>
      </c>
      <c r="BP395" t="str">
        <f>"SANTANDER"</f>
        <v>SANTANDER</v>
      </c>
      <c r="BQ395" t="str">
        <f>"PIEDECUESTA"</f>
        <v>PIEDECUESTA</v>
      </c>
    </row>
    <row r="396" spans="1:69" x14ac:dyDescent="0.25">
      <c r="A396" t="str">
        <f>"7278927"</f>
        <v>7278927</v>
      </c>
      <c r="B396" t="str">
        <f t="shared" si="449"/>
        <v>459</v>
      </c>
      <c r="C396" t="str">
        <f>"5/04/2020 12:00:00 a. m."</f>
        <v>5/04/2020 12:00:00 a. m.</v>
      </c>
      <c r="D396" t="str">
        <f>"14"</f>
        <v>14</v>
      </c>
      <c r="E396" t="str">
        <f t="shared" si="450"/>
        <v>2020</v>
      </c>
      <c r="F396" t="str">
        <f>"1100105681"</f>
        <v>1100105681</v>
      </c>
      <c r="G396" t="str">
        <f t="shared" si="457"/>
        <v>01</v>
      </c>
      <c r="H396" t="str">
        <f>"6"</f>
        <v>6</v>
      </c>
      <c r="I396" t="str">
        <f t="shared" si="456"/>
        <v>1</v>
      </c>
      <c r="J396" t="str">
        <f>"M"</f>
        <v>M</v>
      </c>
      <c r="K396" t="str">
        <f t="shared" si="461"/>
        <v>170</v>
      </c>
      <c r="L396" t="str">
        <f>"25"</f>
        <v>25</v>
      </c>
      <c r="M396" t="str">
        <f>"745"</f>
        <v>745</v>
      </c>
      <c r="N396" t="str">
        <f t="shared" si="460"/>
        <v>1</v>
      </c>
      <c r="O396" t="str">
        <f>"9999"</f>
        <v>9999</v>
      </c>
      <c r="P396" t="str">
        <f>"C"</f>
        <v>C</v>
      </c>
      <c r="Q396" t="str">
        <f>"EPS005"</f>
        <v>EPS005</v>
      </c>
      <c r="R396" t="str">
        <f t="shared" si="425"/>
        <v>6</v>
      </c>
      <c r="S396" t="str">
        <f>""</f>
        <v/>
      </c>
      <c r="T396" t="str">
        <f t="shared" si="399"/>
        <v xml:space="preserve">                                                                                                    </v>
      </c>
      <c r="U396" t="str">
        <f>"2         "</f>
        <v xml:space="preserve">2         </v>
      </c>
      <c r="V396" t="str">
        <f t="shared" si="432"/>
        <v>2</v>
      </c>
      <c r="W396" t="str">
        <f t="shared" si="431"/>
        <v>2</v>
      </c>
      <c r="X396" t="str">
        <f t="shared" si="435"/>
        <v>2</v>
      </c>
      <c r="Y396" t="str">
        <f t="shared" si="437"/>
        <v>2</v>
      </c>
      <c r="Z396" t="str">
        <f t="shared" si="437"/>
        <v>2</v>
      </c>
      <c r="AA396" t="str">
        <f t="shared" si="451"/>
        <v xml:space="preserve">          </v>
      </c>
      <c r="AB396" t="str">
        <f t="shared" si="440"/>
        <v>2</v>
      </c>
      <c r="AC396" t="str">
        <f t="shared" si="443"/>
        <v>2</v>
      </c>
      <c r="AD396" t="str">
        <f t="shared" si="441"/>
        <v>2</v>
      </c>
      <c r="AE396" t="str">
        <f t="shared" si="441"/>
        <v>2</v>
      </c>
      <c r="AF396" t="str">
        <f t="shared" si="441"/>
        <v>2</v>
      </c>
      <c r="AG396" t="str">
        <f t="shared" si="441"/>
        <v>2</v>
      </c>
      <c r="AH396" t="str">
        <f t="shared" si="436"/>
        <v>1</v>
      </c>
      <c r="AI396" t="str">
        <f>"2         "</f>
        <v xml:space="preserve">2         </v>
      </c>
      <c r="AJ396" t="str">
        <f t="shared" si="462"/>
        <v>170</v>
      </c>
      <c r="AK396" t="str">
        <f>"25"</f>
        <v>25</v>
      </c>
      <c r="AL396" t="str">
        <f>"745"</f>
        <v>745</v>
      </c>
      <c r="AM396" t="str">
        <f>"11"</f>
        <v>11</v>
      </c>
      <c r="AN396" t="str">
        <f>"11001"</f>
        <v>11001</v>
      </c>
      <c r="AO396" t="str">
        <f>"2/04/2020 12:00:00 a. m."</f>
        <v>2/04/2020 12:00:00 a. m.</v>
      </c>
      <c r="AP396" t="str">
        <f>"1/03/2020 12:00:00 a. m."</f>
        <v>1/03/2020 12:00:00 a. m.</v>
      </c>
      <c r="AQ396" t="str">
        <f t="shared" si="463"/>
        <v>3</v>
      </c>
      <c r="AR396" t="str">
        <f t="shared" si="459"/>
        <v>1</v>
      </c>
      <c r="AS396" t="str">
        <f>"2/04/2020 12:00:00 a. m."</f>
        <v>2/04/2020 12:00:00 a. m.</v>
      </c>
      <c r="AT396" t="str">
        <f t="shared" si="466"/>
        <v>1</v>
      </c>
      <c r="AU396" t="str">
        <f>""</f>
        <v/>
      </c>
      <c r="AV396" t="str">
        <f>"0"</f>
        <v>0</v>
      </c>
      <c r="AW396" t="str">
        <f>"8/01/2014 12:00:00 a. m."</f>
        <v>8/01/2014 12:00:00 a. m.</v>
      </c>
      <c r="AX396" t="str">
        <f>""</f>
        <v/>
      </c>
      <c r="AY396" t="str">
        <f t="shared" si="452"/>
        <v>30/04/2021 12:00:00 a. m.</v>
      </c>
      <c r="AZ396" t="str">
        <f>"5/06/2020 12:00:00 a. m."</f>
        <v>5/06/2020 12:00:00 a. m.</v>
      </c>
      <c r="BA396" t="str">
        <f>""</f>
        <v/>
      </c>
      <c r="BB396" t="str">
        <f>""</f>
        <v/>
      </c>
      <c r="BC396" t="str">
        <f>""</f>
        <v/>
      </c>
      <c r="BD396" t="str">
        <f t="shared" si="444"/>
        <v>1</v>
      </c>
      <c r="BE396" t="str">
        <f t="shared" si="444"/>
        <v>1</v>
      </c>
      <c r="BF396" t="str">
        <f t="shared" si="453"/>
        <v xml:space="preserve">3         </v>
      </c>
      <c r="BG396" t="str">
        <f t="shared" si="454"/>
        <v>Confirmado por laboratorio</v>
      </c>
      <c r="BH396" t="str">
        <f>"FUNDACION HOSPITAL DE LA MISERICORDIA"</f>
        <v>FUNDACION HOSPITAL DE LA MISERICORDIA</v>
      </c>
      <c r="BI396" t="str">
        <f t="shared" si="464"/>
        <v>COLOMBIA</v>
      </c>
      <c r="BJ396" t="str">
        <f t="shared" si="455"/>
        <v>CANCER INFANTIL</v>
      </c>
      <c r="BK396" t="str">
        <f>"CUNDINAMARCA"</f>
        <v>CUNDINAMARCA</v>
      </c>
      <c r="BL396" t="str">
        <f>"SIMIJACA"</f>
        <v>SIMIJACA</v>
      </c>
      <c r="BM396" t="str">
        <f t="shared" si="465"/>
        <v>COLOMBIA</v>
      </c>
      <c r="BN396" t="str">
        <f>"CUNDINAMARCA"</f>
        <v>CUNDINAMARCA</v>
      </c>
      <c r="BO396" t="str">
        <f>"SIMIJACA"</f>
        <v>SIMIJACA</v>
      </c>
      <c r="BP396" t="str">
        <f t="shared" ref="BP396:BQ398" si="467">"BOGOTA"</f>
        <v>BOGOTA</v>
      </c>
      <c r="BQ396" t="str">
        <f t="shared" si="467"/>
        <v>BOGOTA</v>
      </c>
    </row>
    <row r="397" spans="1:69" x14ac:dyDescent="0.25">
      <c r="A397" t="str">
        <f>"7278922"</f>
        <v>7278922</v>
      </c>
      <c r="B397" t="str">
        <f t="shared" si="449"/>
        <v>459</v>
      </c>
      <c r="C397" t="str">
        <f>"26/11/2020 12:00:00 a. m."</f>
        <v>26/11/2020 12:00:00 a. m.</v>
      </c>
      <c r="D397" t="str">
        <f>"44"</f>
        <v>44</v>
      </c>
      <c r="E397" t="str">
        <f t="shared" si="450"/>
        <v>2020</v>
      </c>
      <c r="F397" t="str">
        <f>"1100109111"</f>
        <v>1100109111</v>
      </c>
      <c r="G397" t="str">
        <f t="shared" si="457"/>
        <v>01</v>
      </c>
      <c r="H397" t="str">
        <f>"3"</f>
        <v>3</v>
      </c>
      <c r="I397" t="str">
        <f>"2"</f>
        <v>2</v>
      </c>
      <c r="J397" t="str">
        <f>"M"</f>
        <v>M</v>
      </c>
      <c r="K397" t="str">
        <f t="shared" si="461"/>
        <v>170</v>
      </c>
      <c r="L397" t="str">
        <f>"25"</f>
        <v>25</v>
      </c>
      <c r="M397" t="str">
        <f>"430"</f>
        <v>430</v>
      </c>
      <c r="N397" t="str">
        <f t="shared" si="460"/>
        <v>1</v>
      </c>
      <c r="O397" t="str">
        <f>"9999"</f>
        <v>9999</v>
      </c>
      <c r="P397" t="str">
        <f>"C"</f>
        <v>C</v>
      </c>
      <c r="Q397" t="str">
        <f>"EPS005"</f>
        <v>EPS005</v>
      </c>
      <c r="R397" t="str">
        <f t="shared" si="425"/>
        <v>6</v>
      </c>
      <c r="S397" t="str">
        <f>""</f>
        <v/>
      </c>
      <c r="T397" t="str">
        <f t="shared" si="399"/>
        <v xml:space="preserve">                                                                                                    </v>
      </c>
      <c r="U397" t="str">
        <f>"3         "</f>
        <v xml:space="preserve">3         </v>
      </c>
      <c r="V397" t="str">
        <f t="shared" si="432"/>
        <v>2</v>
      </c>
      <c r="W397" t="str">
        <f t="shared" si="431"/>
        <v>2</v>
      </c>
      <c r="X397" t="str">
        <f t="shared" si="435"/>
        <v>2</v>
      </c>
      <c r="Y397" t="str">
        <f t="shared" si="437"/>
        <v>2</v>
      </c>
      <c r="Z397" t="str">
        <f t="shared" si="437"/>
        <v>2</v>
      </c>
      <c r="AA397" t="str">
        <f t="shared" si="451"/>
        <v xml:space="preserve">          </v>
      </c>
      <c r="AB397" t="str">
        <f t="shared" si="440"/>
        <v>2</v>
      </c>
      <c r="AC397" t="str">
        <f t="shared" si="443"/>
        <v>2</v>
      </c>
      <c r="AD397" t="str">
        <f t="shared" si="441"/>
        <v>2</v>
      </c>
      <c r="AE397" t="str">
        <f t="shared" si="441"/>
        <v>2</v>
      </c>
      <c r="AF397" t="str">
        <f t="shared" si="441"/>
        <v>2</v>
      </c>
      <c r="AG397" t="str">
        <f t="shared" si="441"/>
        <v>2</v>
      </c>
      <c r="AH397" t="str">
        <f t="shared" si="436"/>
        <v>1</v>
      </c>
      <c r="AI397" t="str">
        <f>"2         "</f>
        <v xml:space="preserve">2         </v>
      </c>
      <c r="AJ397" t="str">
        <f t="shared" si="462"/>
        <v>170</v>
      </c>
      <c r="AK397" t="str">
        <f>"25"</f>
        <v>25</v>
      </c>
      <c r="AL397" t="str">
        <f>"430"</f>
        <v>430</v>
      </c>
      <c r="AM397" t="str">
        <f>"11"</f>
        <v>11</v>
      </c>
      <c r="AN397" t="str">
        <f>"11001"</f>
        <v>11001</v>
      </c>
      <c r="AO397" t="str">
        <f>"27/10/2020 12:00:00 a. m."</f>
        <v>27/10/2020 12:00:00 a. m.</v>
      </c>
      <c r="AP397" t="str">
        <f>"7/10/2020 12:00:00 a. m."</f>
        <v>7/10/2020 12:00:00 a. m.</v>
      </c>
      <c r="AQ397" t="str">
        <f t="shared" si="463"/>
        <v>3</v>
      </c>
      <c r="AR397" t="str">
        <f t="shared" si="459"/>
        <v>1</v>
      </c>
      <c r="AS397" t="str">
        <f>"27/10/2020 12:00:00 a. m."</f>
        <v>27/10/2020 12:00:00 a. m.</v>
      </c>
      <c r="AT397" t="str">
        <f t="shared" si="466"/>
        <v>1</v>
      </c>
      <c r="AU397" t="str">
        <f>""</f>
        <v/>
      </c>
      <c r="AV397" t="str">
        <f>"0"</f>
        <v>0</v>
      </c>
      <c r="AW397" t="str">
        <f>"21/08/2020 12:00:00 a. m."</f>
        <v>21/08/2020 12:00:00 a. m.</v>
      </c>
      <c r="AX397" t="str">
        <f>""</f>
        <v/>
      </c>
      <c r="AY397" t="str">
        <f t="shared" si="452"/>
        <v>30/04/2021 12:00:00 a. m.</v>
      </c>
      <c r="AZ397" t="str">
        <f>"27/11/2020 12:00:00 a. m."</f>
        <v>27/11/2020 12:00:00 a. m.</v>
      </c>
      <c r="BA397" t="str">
        <f>""</f>
        <v/>
      </c>
      <c r="BB397" t="str">
        <f>""</f>
        <v/>
      </c>
      <c r="BC397" t="str">
        <f>""</f>
        <v/>
      </c>
      <c r="BD397" t="str">
        <f t="shared" si="444"/>
        <v>1</v>
      </c>
      <c r="BE397" t="str">
        <f t="shared" si="444"/>
        <v>1</v>
      </c>
      <c r="BF397" t="str">
        <f t="shared" si="453"/>
        <v xml:space="preserve">3         </v>
      </c>
      <c r="BG397" t="str">
        <f t="shared" si="454"/>
        <v>Confirmado por laboratorio</v>
      </c>
      <c r="BH397" t="str">
        <f>"FUNDACION CARDIOINFANTIL INSTITUTO DE CARDIOLOGIA"</f>
        <v>FUNDACION CARDIOINFANTIL INSTITUTO DE CARDIOLOGIA</v>
      </c>
      <c r="BI397" t="str">
        <f t="shared" si="464"/>
        <v>COLOMBIA</v>
      </c>
      <c r="BJ397" t="str">
        <f t="shared" si="455"/>
        <v>CANCER INFANTIL</v>
      </c>
      <c r="BK397" t="str">
        <f>"CUNDINAMARCA"</f>
        <v>CUNDINAMARCA</v>
      </c>
      <c r="BL397" t="str">
        <f>"MADRID"</f>
        <v>MADRID</v>
      </c>
      <c r="BM397" t="str">
        <f t="shared" si="465"/>
        <v>COLOMBIA</v>
      </c>
      <c r="BN397" t="str">
        <f>"CUNDINAMARCA"</f>
        <v>CUNDINAMARCA</v>
      </c>
      <c r="BO397" t="str">
        <f>"MADRID"</f>
        <v>MADRID</v>
      </c>
      <c r="BP397" t="str">
        <f t="shared" si="467"/>
        <v>BOGOTA</v>
      </c>
      <c r="BQ397" t="str">
        <f t="shared" si="467"/>
        <v>BOGOTA</v>
      </c>
    </row>
    <row r="398" spans="1:69" x14ac:dyDescent="0.25">
      <c r="A398" t="str">
        <f>"7285714"</f>
        <v>7285714</v>
      </c>
      <c r="B398" t="str">
        <f t="shared" si="449"/>
        <v>459</v>
      </c>
      <c r="C398" t="str">
        <f>"22/09/2020 12:00:00 a. m."</f>
        <v>22/09/2020 12:00:00 a. m.</v>
      </c>
      <c r="D398" t="str">
        <f>"35"</f>
        <v>35</v>
      </c>
      <c r="E398" t="str">
        <f t="shared" si="450"/>
        <v>2020</v>
      </c>
      <c r="F398" t="str">
        <f>"1100105681"</f>
        <v>1100105681</v>
      </c>
      <c r="G398" t="str">
        <f t="shared" si="457"/>
        <v>01</v>
      </c>
      <c r="H398" t="str">
        <f>"7"</f>
        <v>7</v>
      </c>
      <c r="I398" t="str">
        <f>"1"</f>
        <v>1</v>
      </c>
      <c r="J398" t="str">
        <f>"F"</f>
        <v>F</v>
      </c>
      <c r="K398" t="str">
        <f t="shared" si="461"/>
        <v>170</v>
      </c>
      <c r="L398" t="str">
        <f>"11"</f>
        <v>11</v>
      </c>
      <c r="M398" t="str">
        <f>"001"</f>
        <v>001</v>
      </c>
      <c r="N398" t="str">
        <f t="shared" si="460"/>
        <v>1</v>
      </c>
      <c r="O398" t="str">
        <f>"9997"</f>
        <v>9997</v>
      </c>
      <c r="P398" t="str">
        <f>"C"</f>
        <v>C</v>
      </c>
      <c r="Q398" t="str">
        <f>"EPS017"</f>
        <v>EPS017</v>
      </c>
      <c r="R398" t="str">
        <f t="shared" si="425"/>
        <v>6</v>
      </c>
      <c r="S398" t="str">
        <f>""</f>
        <v/>
      </c>
      <c r="T398" t="str">
        <f t="shared" si="399"/>
        <v xml:space="preserve">                                                                                                    </v>
      </c>
      <c r="U398" t="str">
        <f>"2         "</f>
        <v xml:space="preserve">2         </v>
      </c>
      <c r="V398" t="str">
        <f t="shared" si="432"/>
        <v>2</v>
      </c>
      <c r="W398" t="str">
        <f t="shared" si="431"/>
        <v>2</v>
      </c>
      <c r="X398" t="str">
        <f t="shared" si="435"/>
        <v>2</v>
      </c>
      <c r="Y398" t="str">
        <f t="shared" si="437"/>
        <v>2</v>
      </c>
      <c r="Z398" t="str">
        <f t="shared" si="437"/>
        <v>2</v>
      </c>
      <c r="AA398" t="str">
        <f t="shared" si="451"/>
        <v xml:space="preserve">          </v>
      </c>
      <c r="AB398" t="str">
        <f t="shared" si="440"/>
        <v>2</v>
      </c>
      <c r="AC398" t="str">
        <f t="shared" si="443"/>
        <v>2</v>
      </c>
      <c r="AD398" t="str">
        <f t="shared" si="441"/>
        <v>2</v>
      </c>
      <c r="AE398" t="str">
        <f t="shared" si="441"/>
        <v>2</v>
      </c>
      <c r="AF398" t="str">
        <f t="shared" si="441"/>
        <v>2</v>
      </c>
      <c r="AG398" t="str">
        <f t="shared" si="441"/>
        <v>2</v>
      </c>
      <c r="AH398" t="str">
        <f t="shared" si="436"/>
        <v>1</v>
      </c>
      <c r="AI398" t="str">
        <f>"1         "</f>
        <v xml:space="preserve">1         </v>
      </c>
      <c r="AJ398" t="str">
        <f t="shared" si="462"/>
        <v>170</v>
      </c>
      <c r="AK398" t="str">
        <f>"11"</f>
        <v>11</v>
      </c>
      <c r="AL398" t="str">
        <f>"001"</f>
        <v>001</v>
      </c>
      <c r="AM398" t="str">
        <f>"11"</f>
        <v>11</v>
      </c>
      <c r="AN398" t="str">
        <f>"11001"</f>
        <v>11001</v>
      </c>
      <c r="AO398" t="str">
        <f>"29/08/2020 12:00:00 a. m."</f>
        <v>29/08/2020 12:00:00 a. m.</v>
      </c>
      <c r="AP398" t="str">
        <f>"20/08/2020 12:00:00 a. m."</f>
        <v>20/08/2020 12:00:00 a. m.</v>
      </c>
      <c r="AQ398" t="str">
        <f t="shared" si="463"/>
        <v>3</v>
      </c>
      <c r="AR398" t="str">
        <f t="shared" si="459"/>
        <v>1</v>
      </c>
      <c r="AS398" t="str">
        <f>"29/08/2020 12:00:00 a. m."</f>
        <v>29/08/2020 12:00:00 a. m.</v>
      </c>
      <c r="AT398" t="str">
        <f t="shared" si="466"/>
        <v>1</v>
      </c>
      <c r="AU398" t="str">
        <f>""</f>
        <v/>
      </c>
      <c r="AV398" t="str">
        <f>"0"</f>
        <v>0</v>
      </c>
      <c r="AW398" t="str">
        <f>"10/12/2012 12:00:00 a. m."</f>
        <v>10/12/2012 12:00:00 a. m.</v>
      </c>
      <c r="AX398" t="str">
        <f>""</f>
        <v/>
      </c>
      <c r="AY398" t="str">
        <f t="shared" si="452"/>
        <v>30/04/2021 12:00:00 a. m.</v>
      </c>
      <c r="AZ398" t="str">
        <f>"28/09/2020 12:00:00 a. m."</f>
        <v>28/09/2020 12:00:00 a. m.</v>
      </c>
      <c r="BA398" t="str">
        <f>""</f>
        <v/>
      </c>
      <c r="BB398" t="str">
        <f>""</f>
        <v/>
      </c>
      <c r="BC398" t="str">
        <f>""</f>
        <v/>
      </c>
      <c r="BD398" t="str">
        <f t="shared" si="444"/>
        <v>1</v>
      </c>
      <c r="BE398" t="str">
        <f t="shared" si="444"/>
        <v>1</v>
      </c>
      <c r="BF398" t="str">
        <f t="shared" si="453"/>
        <v xml:space="preserve">3         </v>
      </c>
      <c r="BG398" t="str">
        <f t="shared" si="454"/>
        <v>Confirmado por laboratorio</v>
      </c>
      <c r="BH398" t="str">
        <f>"FUNDACION HOSPITAL DE LA MISERICORDIA"</f>
        <v>FUNDACION HOSPITAL DE LA MISERICORDIA</v>
      </c>
      <c r="BI398" t="str">
        <f t="shared" si="464"/>
        <v>COLOMBIA</v>
      </c>
      <c r="BJ398" t="str">
        <f t="shared" si="455"/>
        <v>CANCER INFANTIL</v>
      </c>
      <c r="BK398" t="str">
        <f>"BOGOTA"</f>
        <v>BOGOTA</v>
      </c>
      <c r="BL398" t="str">
        <f>"BOGOTA"</f>
        <v>BOGOTA</v>
      </c>
      <c r="BM398" t="str">
        <f t="shared" si="465"/>
        <v>COLOMBIA</v>
      </c>
      <c r="BN398" t="str">
        <f>"BOGOTA"</f>
        <v>BOGOTA</v>
      </c>
      <c r="BO398" t="str">
        <f>"BOGOTA"</f>
        <v>BOGOTA</v>
      </c>
      <c r="BP398" t="str">
        <f t="shared" si="467"/>
        <v>BOGOTA</v>
      </c>
      <c r="BQ398" t="str">
        <f t="shared" si="467"/>
        <v>BOGOTA</v>
      </c>
    </row>
    <row r="399" spans="1:69" x14ac:dyDescent="0.25">
      <c r="A399" t="str">
        <f>"7285818"</f>
        <v>7285818</v>
      </c>
      <c r="B399" t="str">
        <f t="shared" si="449"/>
        <v>459</v>
      </c>
      <c r="C399" t="str">
        <f>"20/10/2020 12:00:00 a. m."</f>
        <v>20/10/2020 12:00:00 a. m.</v>
      </c>
      <c r="D399" t="str">
        <f>"41"</f>
        <v>41</v>
      </c>
      <c r="E399" t="str">
        <f t="shared" si="450"/>
        <v>2020</v>
      </c>
      <c r="F399" t="str">
        <f>"0800100789"</f>
        <v>0800100789</v>
      </c>
      <c r="G399" t="str">
        <f t="shared" si="457"/>
        <v>01</v>
      </c>
      <c r="H399" t="str">
        <f>"11"</f>
        <v>11</v>
      </c>
      <c r="I399" t="str">
        <f>"1"</f>
        <v>1</v>
      </c>
      <c r="J399" t="str">
        <f>"F"</f>
        <v>F</v>
      </c>
      <c r="K399" t="str">
        <f t="shared" si="461"/>
        <v>170</v>
      </c>
      <c r="L399" t="str">
        <f>"08"</f>
        <v>08</v>
      </c>
      <c r="M399" t="str">
        <f>"758"</f>
        <v>758</v>
      </c>
      <c r="N399" t="str">
        <f t="shared" si="460"/>
        <v>1</v>
      </c>
      <c r="O399" t="str">
        <f>"9997"</f>
        <v>9997</v>
      </c>
      <c r="P399" t="str">
        <f>"S"</f>
        <v>S</v>
      </c>
      <c r="Q399" t="str">
        <f>"EPSS41"</f>
        <v>EPSS41</v>
      </c>
      <c r="R399" t="str">
        <f t="shared" ref="R399:R435" si="468">"6"</f>
        <v>6</v>
      </c>
      <c r="S399" t="str">
        <f>""</f>
        <v/>
      </c>
      <c r="T399" t="str">
        <f t="shared" si="399"/>
        <v xml:space="preserve">                                                                                                    </v>
      </c>
      <c r="U399" t="str">
        <f>"1         "</f>
        <v xml:space="preserve">1         </v>
      </c>
      <c r="V399" t="str">
        <f t="shared" si="432"/>
        <v>2</v>
      </c>
      <c r="W399" t="str">
        <f t="shared" si="431"/>
        <v>2</v>
      </c>
      <c r="X399" t="str">
        <f t="shared" si="435"/>
        <v>2</v>
      </c>
      <c r="Y399" t="str">
        <f t="shared" ref="Y399:Z418" si="469">"2"</f>
        <v>2</v>
      </c>
      <c r="Z399" t="str">
        <f t="shared" si="469"/>
        <v>2</v>
      </c>
      <c r="AA399" t="str">
        <f t="shared" si="451"/>
        <v xml:space="preserve">          </v>
      </c>
      <c r="AB399" t="str">
        <f t="shared" si="440"/>
        <v>2</v>
      </c>
      <c r="AC399" t="str">
        <f t="shared" si="443"/>
        <v>2</v>
      </c>
      <c r="AD399" t="str">
        <f t="shared" si="441"/>
        <v>2</v>
      </c>
      <c r="AE399" t="str">
        <f t="shared" si="441"/>
        <v>2</v>
      </c>
      <c r="AF399" t="str">
        <f t="shared" si="441"/>
        <v>2</v>
      </c>
      <c r="AG399" t="str">
        <f t="shared" si="441"/>
        <v>2</v>
      </c>
      <c r="AH399" t="str">
        <f t="shared" si="436"/>
        <v>1</v>
      </c>
      <c r="AI399" t="str">
        <f>"2         "</f>
        <v xml:space="preserve">2         </v>
      </c>
      <c r="AJ399" t="str">
        <f t="shared" si="462"/>
        <v>170</v>
      </c>
      <c r="AK399" t="str">
        <f>"08"</f>
        <v>08</v>
      </c>
      <c r="AL399" t="str">
        <f>"758"</f>
        <v>758</v>
      </c>
      <c r="AM399" t="str">
        <f>"08"</f>
        <v>08</v>
      </c>
      <c r="AN399" t="str">
        <f>"08001"</f>
        <v>08001</v>
      </c>
      <c r="AO399" t="str">
        <f>"5/10/2020 12:00:00 a. m."</f>
        <v>5/10/2020 12:00:00 a. m.</v>
      </c>
      <c r="AP399" t="str">
        <f>"3/10/2020 12:00:00 a. m."</f>
        <v>3/10/2020 12:00:00 a. m.</v>
      </c>
      <c r="AQ399" t="str">
        <f t="shared" si="463"/>
        <v>3</v>
      </c>
      <c r="AR399" t="str">
        <f t="shared" si="459"/>
        <v>1</v>
      </c>
      <c r="AS399" t="str">
        <f>"5/10/2020 12:00:00 a. m."</f>
        <v>5/10/2020 12:00:00 a. m.</v>
      </c>
      <c r="AT399" t="str">
        <f t="shared" si="466"/>
        <v>1</v>
      </c>
      <c r="AU399" t="str">
        <f>""</f>
        <v/>
      </c>
      <c r="AV399" t="str">
        <f>"3"</f>
        <v>3</v>
      </c>
      <c r="AW399" t="str">
        <f>"22/02/2009 12:00:00 a. m."</f>
        <v>22/02/2009 12:00:00 a. m.</v>
      </c>
      <c r="AX399" t="str">
        <f>""</f>
        <v/>
      </c>
      <c r="AY399" t="str">
        <f t="shared" si="452"/>
        <v>30/04/2021 12:00:00 a. m.</v>
      </c>
      <c r="AZ399" t="str">
        <f>"19/03/2021 12:00:00 a. m."</f>
        <v>19/03/2021 12:00:00 a. m.</v>
      </c>
      <c r="BA399" t="str">
        <f>""</f>
        <v/>
      </c>
      <c r="BB399" t="str">
        <f>""</f>
        <v/>
      </c>
      <c r="BC399" t="str">
        <f>""</f>
        <v/>
      </c>
      <c r="BD399" t="str">
        <f t="shared" si="444"/>
        <v>1</v>
      </c>
      <c r="BE399" t="str">
        <f t="shared" si="444"/>
        <v>1</v>
      </c>
      <c r="BF399" t="str">
        <f t="shared" si="453"/>
        <v xml:space="preserve">3         </v>
      </c>
      <c r="BG399" t="str">
        <f t="shared" si="454"/>
        <v>Confirmado por laboratorio</v>
      </c>
      <c r="BH399" t="str">
        <f>"IPS CLINICA REINA CATALINA &amp; CIA LTDA"</f>
        <v>IPS CLINICA REINA CATALINA &amp; CIA LTDA</v>
      </c>
      <c r="BI399" t="str">
        <f t="shared" si="464"/>
        <v>COLOMBIA</v>
      </c>
      <c r="BJ399" t="str">
        <f t="shared" si="455"/>
        <v>CANCER INFANTIL</v>
      </c>
      <c r="BK399" t="str">
        <f>"ATLANTICO"</f>
        <v>ATLANTICO</v>
      </c>
      <c r="BL399" t="str">
        <f>"SOLEDAD"</f>
        <v>SOLEDAD</v>
      </c>
      <c r="BM399" t="str">
        <f t="shared" si="465"/>
        <v>COLOMBIA</v>
      </c>
      <c r="BN399" t="str">
        <f>"ATLANTICO"</f>
        <v>ATLANTICO</v>
      </c>
      <c r="BO399" t="str">
        <f>"SOLEDAD"</f>
        <v>SOLEDAD</v>
      </c>
      <c r="BP399" t="str">
        <f>"ATLANTICO"</f>
        <v>ATLANTICO</v>
      </c>
      <c r="BQ399" t="str">
        <f>"BARRANQUILLA"</f>
        <v>BARRANQUILLA</v>
      </c>
    </row>
    <row r="400" spans="1:69" x14ac:dyDescent="0.25">
      <c r="A400" t="str">
        <f>"7285703"</f>
        <v>7285703</v>
      </c>
      <c r="B400" t="str">
        <f t="shared" si="449"/>
        <v>459</v>
      </c>
      <c r="C400" t="str">
        <f>"5/11/2020 12:00:00 a. m."</f>
        <v>5/11/2020 12:00:00 a. m.</v>
      </c>
      <c r="D400" t="str">
        <f>"45"</f>
        <v>45</v>
      </c>
      <c r="E400" t="str">
        <f t="shared" si="450"/>
        <v>2020</v>
      </c>
      <c r="F400" t="str">
        <f>"1100108171"</f>
        <v>1100108171</v>
      </c>
      <c r="G400" t="str">
        <f>"02"</f>
        <v>02</v>
      </c>
      <c r="H400" t="str">
        <f>"1"</f>
        <v>1</v>
      </c>
      <c r="I400" t="str">
        <f>"2"</f>
        <v>2</v>
      </c>
      <c r="J400" t="str">
        <f>"M"</f>
        <v>M</v>
      </c>
      <c r="K400" t="str">
        <f t="shared" si="461"/>
        <v>170</v>
      </c>
      <c r="L400" t="str">
        <f>"11"</f>
        <v>11</v>
      </c>
      <c r="M400" t="str">
        <f>"001"</f>
        <v>001</v>
      </c>
      <c r="N400" t="str">
        <f t="shared" si="460"/>
        <v>1</v>
      </c>
      <c r="O400" t="str">
        <f>"9999"</f>
        <v>9999</v>
      </c>
      <c r="P400" t="str">
        <f>"C"</f>
        <v>C</v>
      </c>
      <c r="Q400" t="str">
        <f>"EPS017"</f>
        <v>EPS017</v>
      </c>
      <c r="R400" t="str">
        <f t="shared" si="468"/>
        <v>6</v>
      </c>
      <c r="S400" t="str">
        <f>""</f>
        <v/>
      </c>
      <c r="T400" t="str">
        <f t="shared" si="399"/>
        <v xml:space="preserve">                                                                                                    </v>
      </c>
      <c r="U400" t="str">
        <f>"2         "</f>
        <v xml:space="preserve">2         </v>
      </c>
      <c r="V400" t="str">
        <f t="shared" si="432"/>
        <v>2</v>
      </c>
      <c r="W400" t="str">
        <f t="shared" si="431"/>
        <v>2</v>
      </c>
      <c r="X400" t="str">
        <f t="shared" si="435"/>
        <v>2</v>
      </c>
      <c r="Y400" t="str">
        <f t="shared" si="469"/>
        <v>2</v>
      </c>
      <c r="Z400" t="str">
        <f t="shared" si="469"/>
        <v>2</v>
      </c>
      <c r="AA400" t="str">
        <f t="shared" si="451"/>
        <v xml:space="preserve">          </v>
      </c>
      <c r="AB400" t="str">
        <f t="shared" si="440"/>
        <v>2</v>
      </c>
      <c r="AC400" t="str">
        <f t="shared" si="443"/>
        <v>2</v>
      </c>
      <c r="AD400" t="str">
        <f t="shared" ref="AD400:AG419" si="470">"2"</f>
        <v>2</v>
      </c>
      <c r="AE400" t="str">
        <f t="shared" si="470"/>
        <v>2</v>
      </c>
      <c r="AF400" t="str">
        <f t="shared" si="470"/>
        <v>2</v>
      </c>
      <c r="AG400" t="str">
        <f t="shared" si="470"/>
        <v>2</v>
      </c>
      <c r="AH400" t="str">
        <f t="shared" si="436"/>
        <v>1</v>
      </c>
      <c r="AI400" t="str">
        <f>"1         "</f>
        <v xml:space="preserve">1         </v>
      </c>
      <c r="AJ400" t="str">
        <f t="shared" si="462"/>
        <v>170</v>
      </c>
      <c r="AK400" t="str">
        <f>"11"</f>
        <v>11</v>
      </c>
      <c r="AL400" t="str">
        <f>"001"</f>
        <v>001</v>
      </c>
      <c r="AM400" t="str">
        <f>"11"</f>
        <v>11</v>
      </c>
      <c r="AN400" t="str">
        <f>"11001"</f>
        <v>11001</v>
      </c>
      <c r="AO400" t="str">
        <f>"3/11/2020 12:00:00 a. m."</f>
        <v>3/11/2020 12:00:00 a. m.</v>
      </c>
      <c r="AP400" t="str">
        <f>"23/10/2020 12:00:00 a. m."</f>
        <v>23/10/2020 12:00:00 a. m.</v>
      </c>
      <c r="AQ400" t="str">
        <f>"2"</f>
        <v>2</v>
      </c>
      <c r="AR400" t="str">
        <f t="shared" si="459"/>
        <v>1</v>
      </c>
      <c r="AS400" t="str">
        <f>"3/11/2020 12:00:00 a. m."</f>
        <v>3/11/2020 12:00:00 a. m.</v>
      </c>
      <c r="AT400" t="str">
        <f t="shared" si="466"/>
        <v>1</v>
      </c>
      <c r="AU400" t="str">
        <f>""</f>
        <v/>
      </c>
      <c r="AV400" t="str">
        <f>"3"</f>
        <v>3</v>
      </c>
      <c r="AW400" t="str">
        <f>"8/09/2020 12:00:00 a. m."</f>
        <v>8/09/2020 12:00:00 a. m.</v>
      </c>
      <c r="AX400" t="str">
        <f>""</f>
        <v/>
      </c>
      <c r="AY400" t="str">
        <f t="shared" si="452"/>
        <v>30/04/2021 12:00:00 a. m.</v>
      </c>
      <c r="AZ400" t="str">
        <f>"15/02/2021 12:00:00 a. m."</f>
        <v>15/02/2021 12:00:00 a. m.</v>
      </c>
      <c r="BA400" t="str">
        <f>""</f>
        <v/>
      </c>
      <c r="BB400" t="str">
        <f>""</f>
        <v/>
      </c>
      <c r="BC400" t="str">
        <f>""</f>
        <v/>
      </c>
      <c r="BD400" t="str">
        <f t="shared" si="444"/>
        <v>1</v>
      </c>
      <c r="BE400" t="str">
        <f t="shared" si="444"/>
        <v>1</v>
      </c>
      <c r="BF400" t="str">
        <f t="shared" si="453"/>
        <v xml:space="preserve">3         </v>
      </c>
      <c r="BG400" t="str">
        <f t="shared" si="454"/>
        <v>Confirmado por laboratorio</v>
      </c>
      <c r="BH400" t="str">
        <f>"CLINICA INFANTIL COLSUBSIDIO"</f>
        <v>CLINICA INFANTIL COLSUBSIDIO</v>
      </c>
      <c r="BI400" t="str">
        <f t="shared" si="464"/>
        <v>COLOMBIA</v>
      </c>
      <c r="BJ400" t="str">
        <f t="shared" si="455"/>
        <v>CANCER INFANTIL</v>
      </c>
      <c r="BK400" t="str">
        <f>"BOGOTA"</f>
        <v>BOGOTA</v>
      </c>
      <c r="BL400" t="str">
        <f>"BOGOTA"</f>
        <v>BOGOTA</v>
      </c>
      <c r="BM400" t="str">
        <f t="shared" si="465"/>
        <v>COLOMBIA</v>
      </c>
      <c r="BN400" t="str">
        <f>"BOGOTA"</f>
        <v>BOGOTA</v>
      </c>
      <c r="BO400" t="str">
        <f>"BOGOTA"</f>
        <v>BOGOTA</v>
      </c>
      <c r="BP400" t="str">
        <f>"BOGOTA"</f>
        <v>BOGOTA</v>
      </c>
      <c r="BQ400" t="str">
        <f>"BOGOTA"</f>
        <v>BOGOTA</v>
      </c>
    </row>
    <row r="401" spans="1:69" x14ac:dyDescent="0.25">
      <c r="A401" t="str">
        <f>"7278963"</f>
        <v>7278963</v>
      </c>
      <c r="B401" t="str">
        <f t="shared" si="449"/>
        <v>459</v>
      </c>
      <c r="C401" t="str">
        <f>"27/09/2020 12:00:00 a. m."</f>
        <v>27/09/2020 12:00:00 a. m.</v>
      </c>
      <c r="D401" t="str">
        <f>"24"</f>
        <v>24</v>
      </c>
      <c r="E401" t="str">
        <f t="shared" si="450"/>
        <v>2020</v>
      </c>
      <c r="F401" t="str">
        <f>"1100105681"</f>
        <v>1100105681</v>
      </c>
      <c r="G401" t="str">
        <f>"01"</f>
        <v>01</v>
      </c>
      <c r="H401" t="str">
        <f>"10"</f>
        <v>10</v>
      </c>
      <c r="I401" t="str">
        <f t="shared" ref="I401:I408" si="471">"1"</f>
        <v>1</v>
      </c>
      <c r="J401" t="str">
        <f>"M"</f>
        <v>M</v>
      </c>
      <c r="K401" t="str">
        <f t="shared" si="461"/>
        <v>170</v>
      </c>
      <c r="L401" t="str">
        <f>"25"</f>
        <v>25</v>
      </c>
      <c r="M401" t="str">
        <f>"843"</f>
        <v>843</v>
      </c>
      <c r="N401" t="str">
        <f t="shared" si="460"/>
        <v>1</v>
      </c>
      <c r="O401" t="str">
        <f>"9997"</f>
        <v>9997</v>
      </c>
      <c r="P401" t="str">
        <f>"C"</f>
        <v>C</v>
      </c>
      <c r="Q401" t="str">
        <f>"EPS037"</f>
        <v>EPS037</v>
      </c>
      <c r="R401" t="str">
        <f t="shared" si="468"/>
        <v>6</v>
      </c>
      <c r="S401" t="str">
        <f>""</f>
        <v/>
      </c>
      <c r="T401" t="str">
        <f t="shared" si="399"/>
        <v xml:space="preserve">                                                                                                    </v>
      </c>
      <c r="U401" t="str">
        <f>"2         "</f>
        <v xml:space="preserve">2         </v>
      </c>
      <c r="V401" t="str">
        <f t="shared" si="432"/>
        <v>2</v>
      </c>
      <c r="W401" t="str">
        <f t="shared" si="431"/>
        <v>2</v>
      </c>
      <c r="X401" t="str">
        <f t="shared" si="435"/>
        <v>2</v>
      </c>
      <c r="Y401" t="str">
        <f t="shared" si="469"/>
        <v>2</v>
      </c>
      <c r="Z401" t="str">
        <f t="shared" si="469"/>
        <v>2</v>
      </c>
      <c r="AA401" t="str">
        <f t="shared" si="451"/>
        <v xml:space="preserve">          </v>
      </c>
      <c r="AB401" t="str">
        <f t="shared" si="440"/>
        <v>2</v>
      </c>
      <c r="AC401" t="str">
        <f t="shared" si="443"/>
        <v>2</v>
      </c>
      <c r="AD401" t="str">
        <f t="shared" si="470"/>
        <v>2</v>
      </c>
      <c r="AE401" t="str">
        <f t="shared" si="470"/>
        <v>2</v>
      </c>
      <c r="AF401" t="str">
        <f t="shared" si="470"/>
        <v>2</v>
      </c>
      <c r="AG401" t="str">
        <f t="shared" si="470"/>
        <v>2</v>
      </c>
      <c r="AH401" t="str">
        <f t="shared" si="436"/>
        <v>1</v>
      </c>
      <c r="AI401" t="str">
        <f>"1         "</f>
        <v xml:space="preserve">1         </v>
      </c>
      <c r="AJ401" t="str">
        <f t="shared" si="462"/>
        <v>170</v>
      </c>
      <c r="AK401" t="str">
        <f>"25"</f>
        <v>25</v>
      </c>
      <c r="AL401" t="str">
        <f>"843"</f>
        <v>843</v>
      </c>
      <c r="AM401" t="str">
        <f>"11"</f>
        <v>11</v>
      </c>
      <c r="AN401" t="str">
        <f>"11001"</f>
        <v>11001</v>
      </c>
      <c r="AO401" t="str">
        <f>"13/06/2020 12:00:00 a. m."</f>
        <v>13/06/2020 12:00:00 a. m.</v>
      </c>
      <c r="AP401" t="str">
        <f>"12/06/2020 12:00:00 a. m."</f>
        <v>12/06/2020 12:00:00 a. m.</v>
      </c>
      <c r="AQ401" t="str">
        <f>"3"</f>
        <v>3</v>
      </c>
      <c r="AR401" t="str">
        <f t="shared" si="459"/>
        <v>1</v>
      </c>
      <c r="AS401" t="str">
        <f>"13/06/2020 12:00:00 a. m."</f>
        <v>13/06/2020 12:00:00 a. m.</v>
      </c>
      <c r="AT401" t="str">
        <f>"2"</f>
        <v>2</v>
      </c>
      <c r="AU401" t="str">
        <f>"6/08/2020 12:00:00 a. m."</f>
        <v>6/08/2020 12:00:00 a. m.</v>
      </c>
      <c r="AV401" t="str">
        <f>"7"</f>
        <v>7</v>
      </c>
      <c r="AW401" t="str">
        <f>"7/05/2010 12:00:00 a. m."</f>
        <v>7/05/2010 12:00:00 a. m.</v>
      </c>
      <c r="AX401" t="str">
        <f>"D431"</f>
        <v>D431</v>
      </c>
      <c r="AY401" t="str">
        <f t="shared" si="452"/>
        <v>30/04/2021 12:00:00 a. m.</v>
      </c>
      <c r="AZ401" t="str">
        <f>"2/02/2021 12:00:00 a. m."</f>
        <v>2/02/2021 12:00:00 a. m.</v>
      </c>
      <c r="BA401" t="str">
        <f>""</f>
        <v/>
      </c>
      <c r="BB401" t="str">
        <f>""</f>
        <v/>
      </c>
      <c r="BC401" t="str">
        <f>""</f>
        <v/>
      </c>
      <c r="BD401" t="str">
        <f t="shared" si="444"/>
        <v>1</v>
      </c>
      <c r="BE401" t="str">
        <f t="shared" si="444"/>
        <v>1</v>
      </c>
      <c r="BF401" t="str">
        <f t="shared" si="453"/>
        <v xml:space="preserve">3         </v>
      </c>
      <c r="BG401" t="str">
        <f t="shared" si="454"/>
        <v>Confirmado por laboratorio</v>
      </c>
      <c r="BH401" t="str">
        <f>"FUNDACION HOSPITAL DE LA MISERICORDIA"</f>
        <v>FUNDACION HOSPITAL DE LA MISERICORDIA</v>
      </c>
      <c r="BI401" t="str">
        <f t="shared" si="464"/>
        <v>COLOMBIA</v>
      </c>
      <c r="BJ401" t="str">
        <f t="shared" si="455"/>
        <v>CANCER INFANTIL</v>
      </c>
      <c r="BK401" t="str">
        <f>"CUNDINAMARCA"</f>
        <v>CUNDINAMARCA</v>
      </c>
      <c r="BL401" t="str">
        <f>"UBATE"</f>
        <v>UBATE</v>
      </c>
      <c r="BM401" t="str">
        <f t="shared" si="465"/>
        <v>COLOMBIA</v>
      </c>
      <c r="BN401" t="str">
        <f>"CUNDINAMARCA"</f>
        <v>CUNDINAMARCA</v>
      </c>
      <c r="BO401" t="str">
        <f>"UBATE"</f>
        <v>UBATE</v>
      </c>
      <c r="BP401" t="str">
        <f t="shared" ref="BP401:BQ403" si="472">"BOGOTA"</f>
        <v>BOGOTA</v>
      </c>
      <c r="BQ401" t="str">
        <f t="shared" si="472"/>
        <v>BOGOTA</v>
      </c>
    </row>
    <row r="402" spans="1:69" x14ac:dyDescent="0.25">
      <c r="A402" t="str">
        <f>"7278964"</f>
        <v>7278964</v>
      </c>
      <c r="B402" t="str">
        <f t="shared" si="449"/>
        <v>459</v>
      </c>
      <c r="C402" t="str">
        <f>"15/02/2020 12:00:00 a. m."</f>
        <v>15/02/2020 12:00:00 a. m.</v>
      </c>
      <c r="D402" t="str">
        <f>"07"</f>
        <v>07</v>
      </c>
      <c r="E402" t="str">
        <f t="shared" si="450"/>
        <v>2020</v>
      </c>
      <c r="F402" t="str">
        <f>"1100105668"</f>
        <v>1100105668</v>
      </c>
      <c r="G402" t="str">
        <f>"01"</f>
        <v>01</v>
      </c>
      <c r="H402" t="str">
        <f>"12"</f>
        <v>12</v>
      </c>
      <c r="I402" t="str">
        <f t="shared" si="471"/>
        <v>1</v>
      </c>
      <c r="J402" t="str">
        <f>"F"</f>
        <v>F</v>
      </c>
      <c r="K402" t="str">
        <f t="shared" si="461"/>
        <v>170</v>
      </c>
      <c r="L402" t="str">
        <f>"25"</f>
        <v>25</v>
      </c>
      <c r="M402" t="str">
        <f>"326"</f>
        <v>326</v>
      </c>
      <c r="N402" t="str">
        <f>"3"</f>
        <v>3</v>
      </c>
      <c r="O402" t="str">
        <f>"9997"</f>
        <v>9997</v>
      </c>
      <c r="P402" t="str">
        <f>"C"</f>
        <v>C</v>
      </c>
      <c r="Q402" t="str">
        <f>"EPS017"</f>
        <v>EPS017</v>
      </c>
      <c r="R402" t="str">
        <f t="shared" si="468"/>
        <v>6</v>
      </c>
      <c r="S402" t="str">
        <f>""</f>
        <v/>
      </c>
      <c r="T402" t="str">
        <f t="shared" si="399"/>
        <v xml:space="preserve">                                                                                                    </v>
      </c>
      <c r="U402" t="str">
        <f>"2         "</f>
        <v xml:space="preserve">2         </v>
      </c>
      <c r="V402" t="str">
        <f t="shared" si="432"/>
        <v>2</v>
      </c>
      <c r="W402" t="str">
        <f t="shared" si="431"/>
        <v>2</v>
      </c>
      <c r="X402" t="str">
        <f t="shared" si="435"/>
        <v>2</v>
      </c>
      <c r="Y402" t="str">
        <f t="shared" si="469"/>
        <v>2</v>
      </c>
      <c r="Z402" t="str">
        <f t="shared" si="469"/>
        <v>2</v>
      </c>
      <c r="AA402" t="str">
        <f t="shared" si="451"/>
        <v xml:space="preserve">          </v>
      </c>
      <c r="AB402" t="str">
        <f t="shared" si="440"/>
        <v>2</v>
      </c>
      <c r="AC402" t="str">
        <f t="shared" si="443"/>
        <v>2</v>
      </c>
      <c r="AD402" t="str">
        <f t="shared" si="470"/>
        <v>2</v>
      </c>
      <c r="AE402" t="str">
        <f t="shared" si="470"/>
        <v>2</v>
      </c>
      <c r="AF402" t="str">
        <f t="shared" si="470"/>
        <v>2</v>
      </c>
      <c r="AG402" t="str">
        <f t="shared" si="470"/>
        <v>2</v>
      </c>
      <c r="AH402" t="str">
        <f t="shared" si="436"/>
        <v>1</v>
      </c>
      <c r="AI402" t="str">
        <f>"1         "</f>
        <v xml:space="preserve">1         </v>
      </c>
      <c r="AJ402" t="str">
        <f t="shared" si="462"/>
        <v>170</v>
      </c>
      <c r="AK402" t="str">
        <f>"25"</f>
        <v>25</v>
      </c>
      <c r="AL402" t="str">
        <f>"326"</f>
        <v>326</v>
      </c>
      <c r="AM402" t="str">
        <f>"11"</f>
        <v>11</v>
      </c>
      <c r="AN402" t="str">
        <f>"11001"</f>
        <v>11001</v>
      </c>
      <c r="AO402" t="str">
        <f>"12/02/2020 12:00:00 a. m."</f>
        <v>12/02/2020 12:00:00 a. m.</v>
      </c>
      <c r="AP402" t="str">
        <f>"11/02/2020 12:00:00 a. m."</f>
        <v>11/02/2020 12:00:00 a. m.</v>
      </c>
      <c r="AQ402" t="str">
        <f>"2"</f>
        <v>2</v>
      </c>
      <c r="AR402" t="str">
        <f t="shared" si="459"/>
        <v>1</v>
      </c>
      <c r="AS402" t="str">
        <f>"12/02/2020 12:00:00 a. m."</f>
        <v>12/02/2020 12:00:00 a. m.</v>
      </c>
      <c r="AT402" t="str">
        <f t="shared" ref="AT402:AT414" si="473">"1"</f>
        <v>1</v>
      </c>
      <c r="AU402" t="str">
        <f>""</f>
        <v/>
      </c>
      <c r="AV402" t="str">
        <f>"3"</f>
        <v>3</v>
      </c>
      <c r="AW402" t="str">
        <f>"18/09/2007 12:00:00 a. m."</f>
        <v>18/09/2007 12:00:00 a. m.</v>
      </c>
      <c r="AX402" t="str">
        <f>""</f>
        <v/>
      </c>
      <c r="AY402" t="str">
        <f t="shared" si="452"/>
        <v>30/04/2021 12:00:00 a. m.</v>
      </c>
      <c r="AZ402" t="str">
        <f>"8/05/2020 12:00:00 a. m."</f>
        <v>8/05/2020 12:00:00 a. m.</v>
      </c>
      <c r="BA402" t="str">
        <f>""</f>
        <v/>
      </c>
      <c r="BB402" t="str">
        <f>""</f>
        <v/>
      </c>
      <c r="BC402" t="str">
        <f>""</f>
        <v/>
      </c>
      <c r="BD402" t="str">
        <f t="shared" ref="BD402:BE421" si="474">"1"</f>
        <v>1</v>
      </c>
      <c r="BE402" t="str">
        <f t="shared" si="474"/>
        <v>1</v>
      </c>
      <c r="BF402" t="str">
        <f t="shared" si="453"/>
        <v xml:space="preserve">3         </v>
      </c>
      <c r="BG402" t="str">
        <f t="shared" si="454"/>
        <v>Confirmado por laboratorio</v>
      </c>
      <c r="BH402" t="str">
        <f>"H UNIVERSITARIO CLINICA SAN RAFAEL - SAN CRISTOBA"</f>
        <v>H UNIVERSITARIO CLINICA SAN RAFAEL - SAN CRISTOBA</v>
      </c>
      <c r="BI402" t="str">
        <f t="shared" si="464"/>
        <v>COLOMBIA</v>
      </c>
      <c r="BJ402" t="str">
        <f t="shared" si="455"/>
        <v>CANCER INFANTIL</v>
      </c>
      <c r="BK402" t="str">
        <f>"CUNDINAMARCA"</f>
        <v>CUNDINAMARCA</v>
      </c>
      <c r="BL402" t="str">
        <f>"GUATAVITA"</f>
        <v>GUATAVITA</v>
      </c>
      <c r="BM402" t="str">
        <f t="shared" si="465"/>
        <v>COLOMBIA</v>
      </c>
      <c r="BN402" t="str">
        <f>"CUNDINAMARCA"</f>
        <v>CUNDINAMARCA</v>
      </c>
      <c r="BO402" t="str">
        <f>"GUATAVITA"</f>
        <v>GUATAVITA</v>
      </c>
      <c r="BP402" t="str">
        <f t="shared" si="472"/>
        <v>BOGOTA</v>
      </c>
      <c r="BQ402" t="str">
        <f t="shared" si="472"/>
        <v>BOGOTA</v>
      </c>
    </row>
    <row r="403" spans="1:69" x14ac:dyDescent="0.25">
      <c r="A403" t="str">
        <f>"7278947"</f>
        <v>7278947</v>
      </c>
      <c r="B403" t="str">
        <f t="shared" si="449"/>
        <v>459</v>
      </c>
      <c r="C403" t="str">
        <f>"25/09/2020 12:00:00 a. m."</f>
        <v>25/09/2020 12:00:00 a. m.</v>
      </c>
      <c r="D403" t="str">
        <f>"28"</f>
        <v>28</v>
      </c>
      <c r="E403" t="str">
        <f t="shared" si="450"/>
        <v>2020</v>
      </c>
      <c r="F403" t="str">
        <f>"1100106065"</f>
        <v>1100106065</v>
      </c>
      <c r="G403" t="str">
        <f>"01"</f>
        <v>01</v>
      </c>
      <c r="H403" t="str">
        <f>"1"</f>
        <v>1</v>
      </c>
      <c r="I403" t="str">
        <f t="shared" si="471"/>
        <v>1</v>
      </c>
      <c r="J403" t="str">
        <f>"M"</f>
        <v>M</v>
      </c>
      <c r="K403" t="str">
        <f t="shared" si="461"/>
        <v>170</v>
      </c>
      <c r="L403" t="str">
        <f>"25"</f>
        <v>25</v>
      </c>
      <c r="M403" t="str">
        <f>"754"</f>
        <v>754</v>
      </c>
      <c r="N403" t="str">
        <f t="shared" ref="N403:N418" si="475">"1"</f>
        <v>1</v>
      </c>
      <c r="O403" t="str">
        <f>"9999"</f>
        <v>9999</v>
      </c>
      <c r="P403" t="str">
        <f>"S"</f>
        <v>S</v>
      </c>
      <c r="Q403" t="str">
        <f>"ESS091"</f>
        <v>ESS091</v>
      </c>
      <c r="R403" t="str">
        <f t="shared" si="468"/>
        <v>6</v>
      </c>
      <c r="S403" t="str">
        <f>""</f>
        <v/>
      </c>
      <c r="T403" t="str">
        <f t="shared" ref="T403:T435" si="476">"                                                                                                    "</f>
        <v xml:space="preserve">                                                                                                    </v>
      </c>
      <c r="U403" t="str">
        <f>"1         "</f>
        <v xml:space="preserve">1         </v>
      </c>
      <c r="V403" t="str">
        <f t="shared" si="432"/>
        <v>2</v>
      </c>
      <c r="W403" t="str">
        <f t="shared" si="431"/>
        <v>2</v>
      </c>
      <c r="X403" t="str">
        <f t="shared" si="435"/>
        <v>2</v>
      </c>
      <c r="Y403" t="str">
        <f t="shared" si="469"/>
        <v>2</v>
      </c>
      <c r="Z403" t="str">
        <f t="shared" si="469"/>
        <v>2</v>
      </c>
      <c r="AA403" t="str">
        <f t="shared" si="451"/>
        <v xml:space="preserve">          </v>
      </c>
      <c r="AB403" t="str">
        <f t="shared" si="440"/>
        <v>2</v>
      </c>
      <c r="AC403" t="str">
        <f t="shared" si="443"/>
        <v>2</v>
      </c>
      <c r="AD403" t="str">
        <f t="shared" si="470"/>
        <v>2</v>
      </c>
      <c r="AE403" t="str">
        <f t="shared" si="470"/>
        <v>2</v>
      </c>
      <c r="AF403" t="str">
        <f t="shared" si="470"/>
        <v>2</v>
      </c>
      <c r="AG403" t="str">
        <f t="shared" si="470"/>
        <v>2</v>
      </c>
      <c r="AH403" t="str">
        <f t="shared" si="436"/>
        <v>1</v>
      </c>
      <c r="AI403" t="str">
        <f>"2         "</f>
        <v xml:space="preserve">2         </v>
      </c>
      <c r="AJ403" t="str">
        <f t="shared" si="462"/>
        <v>170</v>
      </c>
      <c r="AK403" t="str">
        <f>"25"</f>
        <v>25</v>
      </c>
      <c r="AL403" t="str">
        <f>"754"</f>
        <v>754</v>
      </c>
      <c r="AM403" t="str">
        <f>"11"</f>
        <v>11</v>
      </c>
      <c r="AN403" t="str">
        <f>"11001"</f>
        <v>11001</v>
      </c>
      <c r="AO403" t="str">
        <f>"10/07/2020 12:00:00 a. m."</f>
        <v>10/07/2020 12:00:00 a. m.</v>
      </c>
      <c r="AP403" t="str">
        <f>"10/05/2020 12:00:00 a. m."</f>
        <v>10/05/2020 12:00:00 a. m.</v>
      </c>
      <c r="AQ403" t="str">
        <f>"3"</f>
        <v>3</v>
      </c>
      <c r="AR403" t="str">
        <f t="shared" si="459"/>
        <v>1</v>
      </c>
      <c r="AS403" t="str">
        <f>"10/07/2020 12:00:00 a. m."</f>
        <v>10/07/2020 12:00:00 a. m.</v>
      </c>
      <c r="AT403" t="str">
        <f t="shared" si="473"/>
        <v>1</v>
      </c>
      <c r="AU403" t="str">
        <f>""</f>
        <v/>
      </c>
      <c r="AV403" t="str">
        <f>"0"</f>
        <v>0</v>
      </c>
      <c r="AW403" t="str">
        <f>"23/08/2019 12:00:00 a. m."</f>
        <v>23/08/2019 12:00:00 a. m.</v>
      </c>
      <c r="AX403" t="str">
        <f>""</f>
        <v/>
      </c>
      <c r="AY403" t="str">
        <f t="shared" si="452"/>
        <v>30/04/2021 12:00:00 a. m.</v>
      </c>
      <c r="AZ403" t="str">
        <f>"6/10/2020 12:00:00 a. m."</f>
        <v>6/10/2020 12:00:00 a. m.</v>
      </c>
      <c r="BA403" t="str">
        <f>""</f>
        <v/>
      </c>
      <c r="BB403" t="str">
        <f>""</f>
        <v/>
      </c>
      <c r="BC403" t="str">
        <f>""</f>
        <v/>
      </c>
      <c r="BD403" t="str">
        <f t="shared" si="474"/>
        <v>1</v>
      </c>
      <c r="BE403" t="str">
        <f t="shared" si="474"/>
        <v>1</v>
      </c>
      <c r="BF403" t="str">
        <f t="shared" si="453"/>
        <v xml:space="preserve">3         </v>
      </c>
      <c r="BG403" t="str">
        <f t="shared" si="454"/>
        <v>Confirmado por laboratorio</v>
      </c>
      <c r="BH403" t="str">
        <f>"ESE INSTITUTO NACIONAL DE CANCEROLOGIA"</f>
        <v>ESE INSTITUTO NACIONAL DE CANCEROLOGIA</v>
      </c>
      <c r="BI403" t="str">
        <f t="shared" si="464"/>
        <v>COLOMBIA</v>
      </c>
      <c r="BJ403" t="str">
        <f t="shared" si="455"/>
        <v>CANCER INFANTIL</v>
      </c>
      <c r="BK403" t="str">
        <f>"CUNDINAMARCA"</f>
        <v>CUNDINAMARCA</v>
      </c>
      <c r="BL403" t="str">
        <f>"SOACHA"</f>
        <v>SOACHA</v>
      </c>
      <c r="BM403" t="str">
        <f t="shared" si="465"/>
        <v>COLOMBIA</v>
      </c>
      <c r="BN403" t="str">
        <f>"CUNDINAMARCA"</f>
        <v>CUNDINAMARCA</v>
      </c>
      <c r="BO403" t="str">
        <f>"SOACHA"</f>
        <v>SOACHA</v>
      </c>
      <c r="BP403" t="str">
        <f t="shared" si="472"/>
        <v>BOGOTA</v>
      </c>
      <c r="BQ403" t="str">
        <f t="shared" si="472"/>
        <v>BOGOTA</v>
      </c>
    </row>
    <row r="404" spans="1:69" x14ac:dyDescent="0.25">
      <c r="A404" t="str">
        <f>"7291333"</f>
        <v>7291333</v>
      </c>
      <c r="B404" t="str">
        <f t="shared" si="449"/>
        <v>459</v>
      </c>
      <c r="C404" t="str">
        <f>"16/01/2020 12:00:00 a. m."</f>
        <v>16/01/2020 12:00:00 a. m.</v>
      </c>
      <c r="D404" t="str">
        <f>"03"</f>
        <v>03</v>
      </c>
      <c r="E404" t="str">
        <f t="shared" si="450"/>
        <v>2020</v>
      </c>
      <c r="F404" t="str">
        <f>"6668200787"</f>
        <v>6668200787</v>
      </c>
      <c r="G404" t="str">
        <f>"01"</f>
        <v>01</v>
      </c>
      <c r="H404" t="str">
        <f>"16"</f>
        <v>16</v>
      </c>
      <c r="I404" t="str">
        <f t="shared" si="471"/>
        <v>1</v>
      </c>
      <c r="J404" t="str">
        <f>"M"</f>
        <v>M</v>
      </c>
      <c r="K404" t="str">
        <f t="shared" si="461"/>
        <v>170</v>
      </c>
      <c r="L404" t="str">
        <f>"66"</f>
        <v>66</v>
      </c>
      <c r="M404" t="str">
        <f>"682"</f>
        <v>682</v>
      </c>
      <c r="N404" t="str">
        <f t="shared" si="475"/>
        <v>1</v>
      </c>
      <c r="O404" t="str">
        <f>"9999"</f>
        <v>9999</v>
      </c>
      <c r="P404" t="str">
        <f>"C"</f>
        <v>C</v>
      </c>
      <c r="Q404" t="str">
        <f>"EPS016"</f>
        <v>EPS016</v>
      </c>
      <c r="R404" t="str">
        <f t="shared" si="468"/>
        <v>6</v>
      </c>
      <c r="S404" t="str">
        <f>""</f>
        <v/>
      </c>
      <c r="T404" t="str">
        <f t="shared" si="476"/>
        <v xml:space="preserve">                                                                                                    </v>
      </c>
      <c r="U404" t="str">
        <f>"3         "</f>
        <v xml:space="preserve">3         </v>
      </c>
      <c r="V404" t="str">
        <f t="shared" si="432"/>
        <v>2</v>
      </c>
      <c r="W404" t="str">
        <f t="shared" si="431"/>
        <v>2</v>
      </c>
      <c r="X404" t="str">
        <f t="shared" si="435"/>
        <v>2</v>
      </c>
      <c r="Y404" t="str">
        <f t="shared" si="469"/>
        <v>2</v>
      </c>
      <c r="Z404" t="str">
        <f t="shared" si="469"/>
        <v>2</v>
      </c>
      <c r="AA404" t="str">
        <f t="shared" si="451"/>
        <v xml:space="preserve">          </v>
      </c>
      <c r="AB404" t="str">
        <f t="shared" si="440"/>
        <v>2</v>
      </c>
      <c r="AC404" t="str">
        <f t="shared" si="443"/>
        <v>2</v>
      </c>
      <c r="AD404" t="str">
        <f t="shared" si="470"/>
        <v>2</v>
      </c>
      <c r="AE404" t="str">
        <f t="shared" si="470"/>
        <v>2</v>
      </c>
      <c r="AF404" t="str">
        <f t="shared" si="470"/>
        <v>2</v>
      </c>
      <c r="AG404" t="str">
        <f t="shared" si="470"/>
        <v>2</v>
      </c>
      <c r="AH404" t="str">
        <f t="shared" si="436"/>
        <v>1</v>
      </c>
      <c r="AI404" t="str">
        <f>"1         "</f>
        <v xml:space="preserve">1         </v>
      </c>
      <c r="AJ404" t="str">
        <f t="shared" si="462"/>
        <v>170</v>
      </c>
      <c r="AK404" t="str">
        <f>"66"</f>
        <v>66</v>
      </c>
      <c r="AL404" t="str">
        <f>"682"</f>
        <v>682</v>
      </c>
      <c r="AM404" t="str">
        <f>"66"</f>
        <v>66</v>
      </c>
      <c r="AN404" t="str">
        <f>"66682"</f>
        <v>66682</v>
      </c>
      <c r="AO404" t="str">
        <f>"16/01/2020 12:00:00 a. m."</f>
        <v>16/01/2020 12:00:00 a. m.</v>
      </c>
      <c r="AP404" t="str">
        <f>"16/01/2020 12:00:00 a. m."</f>
        <v>16/01/2020 12:00:00 a. m.</v>
      </c>
      <c r="AQ404" t="str">
        <f>"3"</f>
        <v>3</v>
      </c>
      <c r="AR404" t="str">
        <f>"2"</f>
        <v>2</v>
      </c>
      <c r="AS404" t="str">
        <f>""</f>
        <v/>
      </c>
      <c r="AT404" t="str">
        <f t="shared" si="473"/>
        <v>1</v>
      </c>
      <c r="AU404" t="str">
        <f>""</f>
        <v/>
      </c>
      <c r="AV404" t="str">
        <f>"7"</f>
        <v>7</v>
      </c>
      <c r="AW404" t="str">
        <f>"10/01/2004 12:00:00 a. m."</f>
        <v>10/01/2004 12:00:00 a. m.</v>
      </c>
      <c r="AX404" t="str">
        <f>""</f>
        <v/>
      </c>
      <c r="AY404" t="str">
        <f t="shared" si="452"/>
        <v>30/04/2021 12:00:00 a. m.</v>
      </c>
      <c r="AZ404" t="str">
        <f>"24/07/2020 12:00:00 a. m."</f>
        <v>24/07/2020 12:00:00 a. m.</v>
      </c>
      <c r="BA404" t="str">
        <f>""</f>
        <v/>
      </c>
      <c r="BB404" t="str">
        <f>""</f>
        <v/>
      </c>
      <c r="BC404" t="str">
        <f>""</f>
        <v/>
      </c>
      <c r="BD404" t="str">
        <f t="shared" si="474"/>
        <v>1</v>
      </c>
      <c r="BE404" t="str">
        <f t="shared" si="474"/>
        <v>1</v>
      </c>
      <c r="BF404" t="str">
        <f t="shared" si="453"/>
        <v xml:space="preserve">3         </v>
      </c>
      <c r="BG404" t="str">
        <f t="shared" si="454"/>
        <v>Confirmado por laboratorio</v>
      </c>
      <c r="BH404" t="str">
        <f>"CLÍNICA SANTA CLARA LTDA"</f>
        <v>CLÍNICA SANTA CLARA LTDA</v>
      </c>
      <c r="BI404" t="str">
        <f t="shared" si="464"/>
        <v>COLOMBIA</v>
      </c>
      <c r="BJ404" t="str">
        <f t="shared" si="455"/>
        <v>CANCER INFANTIL</v>
      </c>
      <c r="BK404" t="str">
        <f>"RISARALDA"</f>
        <v>RISARALDA</v>
      </c>
      <c r="BL404" t="str">
        <f>"SANTA ROSA DE CABAL"</f>
        <v>SANTA ROSA DE CABAL</v>
      </c>
      <c r="BM404" t="str">
        <f t="shared" si="465"/>
        <v>COLOMBIA</v>
      </c>
      <c r="BN404" t="str">
        <f>"RISARALDA"</f>
        <v>RISARALDA</v>
      </c>
      <c r="BO404" t="str">
        <f>"SANTA ROSA DE CABAL"</f>
        <v>SANTA ROSA DE CABAL</v>
      </c>
      <c r="BP404" t="str">
        <f>"RISARALDA"</f>
        <v>RISARALDA</v>
      </c>
      <c r="BQ404" t="str">
        <f>"SANTA ROSA DE CABAL"</f>
        <v>SANTA ROSA DE CABAL</v>
      </c>
    </row>
    <row r="405" spans="1:69" x14ac:dyDescent="0.25">
      <c r="A405" t="str">
        <f>"7291346"</f>
        <v>7291346</v>
      </c>
      <c r="B405" t="str">
        <f t="shared" si="449"/>
        <v>459</v>
      </c>
      <c r="C405" t="str">
        <f>"16/09/2020 12:00:00 a. m."</f>
        <v>16/09/2020 12:00:00 a. m.</v>
      </c>
      <c r="D405" t="str">
        <f>"29"</f>
        <v>29</v>
      </c>
      <c r="E405" t="str">
        <f t="shared" si="450"/>
        <v>2020</v>
      </c>
      <c r="F405" t="str">
        <f>"1100105681"</f>
        <v>1100105681</v>
      </c>
      <c r="G405" t="str">
        <f>"01"</f>
        <v>01</v>
      </c>
      <c r="H405" t="str">
        <f>"1"</f>
        <v>1</v>
      </c>
      <c r="I405" t="str">
        <f t="shared" si="471"/>
        <v>1</v>
      </c>
      <c r="J405" t="str">
        <f>"M"</f>
        <v>M</v>
      </c>
      <c r="K405" t="str">
        <f t="shared" si="461"/>
        <v>170</v>
      </c>
      <c r="L405" t="str">
        <f>"25"</f>
        <v>25</v>
      </c>
      <c r="M405" t="str">
        <f>"320"</f>
        <v>320</v>
      </c>
      <c r="N405" t="str">
        <f t="shared" si="475"/>
        <v>1</v>
      </c>
      <c r="O405" t="str">
        <f>"9999"</f>
        <v>9999</v>
      </c>
      <c r="P405" t="str">
        <f>"C"</f>
        <v>C</v>
      </c>
      <c r="Q405" t="str">
        <f>"EPS005"</f>
        <v>EPS005</v>
      </c>
      <c r="R405" t="str">
        <f t="shared" si="468"/>
        <v>6</v>
      </c>
      <c r="S405" t="str">
        <f>""</f>
        <v/>
      </c>
      <c r="T405" t="str">
        <f t="shared" si="476"/>
        <v xml:space="preserve">                                                                                                    </v>
      </c>
      <c r="U405" t="str">
        <f>"2         "</f>
        <v xml:space="preserve">2         </v>
      </c>
      <c r="V405" t="str">
        <f t="shared" ref="V405:V413" si="477">"2"</f>
        <v>2</v>
      </c>
      <c r="W405" t="str">
        <f t="shared" si="431"/>
        <v>2</v>
      </c>
      <c r="X405" t="str">
        <f t="shared" si="435"/>
        <v>2</v>
      </c>
      <c r="Y405" t="str">
        <f t="shared" si="469"/>
        <v>2</v>
      </c>
      <c r="Z405" t="str">
        <f t="shared" si="469"/>
        <v>2</v>
      </c>
      <c r="AA405" t="str">
        <f t="shared" si="451"/>
        <v xml:space="preserve">          </v>
      </c>
      <c r="AB405" t="str">
        <f t="shared" si="440"/>
        <v>2</v>
      </c>
      <c r="AC405" t="str">
        <f t="shared" si="443"/>
        <v>2</v>
      </c>
      <c r="AD405" t="str">
        <f t="shared" si="470"/>
        <v>2</v>
      </c>
      <c r="AE405" t="str">
        <f t="shared" si="470"/>
        <v>2</v>
      </c>
      <c r="AF405" t="str">
        <f t="shared" si="470"/>
        <v>2</v>
      </c>
      <c r="AG405" t="str">
        <f t="shared" si="470"/>
        <v>2</v>
      </c>
      <c r="AH405" t="str">
        <f t="shared" si="436"/>
        <v>1</v>
      </c>
      <c r="AI405" t="str">
        <f>"1         "</f>
        <v xml:space="preserve">1         </v>
      </c>
      <c r="AJ405" t="str">
        <f t="shared" si="462"/>
        <v>170</v>
      </c>
      <c r="AK405" t="str">
        <f>"25"</f>
        <v>25</v>
      </c>
      <c r="AL405" t="str">
        <f>"320"</f>
        <v>320</v>
      </c>
      <c r="AM405" t="str">
        <f>"11"</f>
        <v>11</v>
      </c>
      <c r="AN405" t="str">
        <f>"11001"</f>
        <v>11001</v>
      </c>
      <c r="AO405" t="str">
        <f>"13/07/2020 12:00:00 a. m."</f>
        <v>13/07/2020 12:00:00 a. m.</v>
      </c>
      <c r="AP405" t="str">
        <f>"13/04/2020 12:00:00 a. m."</f>
        <v>13/04/2020 12:00:00 a. m.</v>
      </c>
      <c r="AQ405" t="str">
        <f>"3"</f>
        <v>3</v>
      </c>
      <c r="AR405" t="str">
        <f>"1"</f>
        <v>1</v>
      </c>
      <c r="AS405" t="str">
        <f>"13/07/2020 12:00:00 a. m."</f>
        <v>13/07/2020 12:00:00 a. m.</v>
      </c>
      <c r="AT405" t="str">
        <f t="shared" si="473"/>
        <v>1</v>
      </c>
      <c r="AU405" t="str">
        <f>""</f>
        <v/>
      </c>
      <c r="AV405" t="str">
        <f>"0"</f>
        <v>0</v>
      </c>
      <c r="AW405" t="str">
        <f>"19/12/2018 12:00:00 a. m."</f>
        <v>19/12/2018 12:00:00 a. m.</v>
      </c>
      <c r="AX405" t="str">
        <f>""</f>
        <v/>
      </c>
      <c r="AY405" t="str">
        <f t="shared" si="452"/>
        <v>30/04/2021 12:00:00 a. m.</v>
      </c>
      <c r="AZ405" t="str">
        <f>"25/09/2020 12:00:00 a. m."</f>
        <v>25/09/2020 12:00:00 a. m.</v>
      </c>
      <c r="BA405" t="str">
        <f>""</f>
        <v/>
      </c>
      <c r="BB405" t="str">
        <f>""</f>
        <v/>
      </c>
      <c r="BC405" t="str">
        <f>""</f>
        <v/>
      </c>
      <c r="BD405" t="str">
        <f t="shared" si="474"/>
        <v>1</v>
      </c>
      <c r="BE405" t="str">
        <f t="shared" si="474"/>
        <v>1</v>
      </c>
      <c r="BF405" t="str">
        <f t="shared" si="453"/>
        <v xml:space="preserve">3         </v>
      </c>
      <c r="BG405" t="str">
        <f t="shared" si="454"/>
        <v>Confirmado por laboratorio</v>
      </c>
      <c r="BH405" t="str">
        <f>"FUNDACION HOSPITAL DE LA MISERICORDIA"</f>
        <v>FUNDACION HOSPITAL DE LA MISERICORDIA</v>
      </c>
      <c r="BI405" t="str">
        <f t="shared" si="464"/>
        <v>COLOMBIA</v>
      </c>
      <c r="BJ405" t="str">
        <f t="shared" si="455"/>
        <v>CANCER INFANTIL</v>
      </c>
      <c r="BK405" t="str">
        <f>"CUNDINAMARCA"</f>
        <v>CUNDINAMARCA</v>
      </c>
      <c r="BL405" t="str">
        <f>"GUADUAS"</f>
        <v>GUADUAS</v>
      </c>
      <c r="BM405" t="str">
        <f t="shared" si="465"/>
        <v>COLOMBIA</v>
      </c>
      <c r="BN405" t="str">
        <f>"CUNDINAMARCA"</f>
        <v>CUNDINAMARCA</v>
      </c>
      <c r="BO405" t="str">
        <f>"GUADUAS"</f>
        <v>GUADUAS</v>
      </c>
      <c r="BP405" t="str">
        <f>"BOGOTA"</f>
        <v>BOGOTA</v>
      </c>
      <c r="BQ405" t="str">
        <f>"BOGOTA"</f>
        <v>BOGOTA</v>
      </c>
    </row>
    <row r="406" spans="1:69" x14ac:dyDescent="0.25">
      <c r="A406" t="str">
        <f>"7278700"</f>
        <v>7278700</v>
      </c>
      <c r="B406" t="str">
        <f t="shared" si="449"/>
        <v>459</v>
      </c>
      <c r="C406" t="str">
        <f>"20/03/2020 12:00:00 a. m."</f>
        <v>20/03/2020 12:00:00 a. m.</v>
      </c>
      <c r="D406" t="str">
        <f>"12"</f>
        <v>12</v>
      </c>
      <c r="E406" t="str">
        <f t="shared" si="450"/>
        <v>2020</v>
      </c>
      <c r="F406" t="str">
        <f>"1100121238"</f>
        <v>1100121238</v>
      </c>
      <c r="G406" t="str">
        <f>"07"</f>
        <v>07</v>
      </c>
      <c r="H406" t="str">
        <f>"13"</f>
        <v>13</v>
      </c>
      <c r="I406" t="str">
        <f t="shared" si="471"/>
        <v>1</v>
      </c>
      <c r="J406" t="str">
        <f>"M"</f>
        <v>M</v>
      </c>
      <c r="K406" t="str">
        <f t="shared" si="461"/>
        <v>170</v>
      </c>
      <c r="L406" t="str">
        <f>"11"</f>
        <v>11</v>
      </c>
      <c r="M406" t="str">
        <f>"001"</f>
        <v>001</v>
      </c>
      <c r="N406" t="str">
        <f t="shared" si="475"/>
        <v>1</v>
      </c>
      <c r="O406" t="str">
        <f>"9997"</f>
        <v>9997</v>
      </c>
      <c r="P406" t="str">
        <f>"C"</f>
        <v>C</v>
      </c>
      <c r="Q406" t="str">
        <f>"EPS037"</f>
        <v>EPS037</v>
      </c>
      <c r="R406" t="str">
        <f t="shared" si="468"/>
        <v>6</v>
      </c>
      <c r="S406" t="str">
        <f>""</f>
        <v/>
      </c>
      <c r="T406" t="str">
        <f t="shared" si="476"/>
        <v xml:space="preserve">                                                                                                    </v>
      </c>
      <c r="U406" t="str">
        <f>"2         "</f>
        <v xml:space="preserve">2         </v>
      </c>
      <c r="V406" t="str">
        <f t="shared" si="477"/>
        <v>2</v>
      </c>
      <c r="W406" t="str">
        <f t="shared" si="431"/>
        <v>2</v>
      </c>
      <c r="X406" t="str">
        <f t="shared" si="435"/>
        <v>2</v>
      </c>
      <c r="Y406" t="str">
        <f t="shared" si="469"/>
        <v>2</v>
      </c>
      <c r="Z406" t="str">
        <f t="shared" si="469"/>
        <v>2</v>
      </c>
      <c r="AA406" t="str">
        <f t="shared" si="451"/>
        <v xml:space="preserve">          </v>
      </c>
      <c r="AB406" t="str">
        <f t="shared" si="440"/>
        <v>2</v>
      </c>
      <c r="AC406" t="str">
        <f t="shared" si="443"/>
        <v>2</v>
      </c>
      <c r="AD406" t="str">
        <f t="shared" si="470"/>
        <v>2</v>
      </c>
      <c r="AE406" t="str">
        <f t="shared" si="470"/>
        <v>2</v>
      </c>
      <c r="AF406" t="str">
        <f t="shared" si="470"/>
        <v>2</v>
      </c>
      <c r="AG406" t="str">
        <f t="shared" si="470"/>
        <v>2</v>
      </c>
      <c r="AH406" t="str">
        <f t="shared" si="436"/>
        <v>1</v>
      </c>
      <c r="AI406" t="str">
        <f>"3         "</f>
        <v xml:space="preserve">3         </v>
      </c>
      <c r="AJ406" t="str">
        <f t="shared" si="462"/>
        <v>170</v>
      </c>
      <c r="AK406" t="str">
        <f>"11"</f>
        <v>11</v>
      </c>
      <c r="AL406" t="str">
        <f>"001"</f>
        <v>001</v>
      </c>
      <c r="AM406" t="str">
        <f>"11"</f>
        <v>11</v>
      </c>
      <c r="AN406" t="str">
        <f>"11001"</f>
        <v>11001</v>
      </c>
      <c r="AO406" t="str">
        <f>"16/03/2020 12:00:00 a. m."</f>
        <v>16/03/2020 12:00:00 a. m.</v>
      </c>
      <c r="AP406" t="str">
        <f>"27/12/2019 12:00:00 a. m."</f>
        <v>27/12/2019 12:00:00 a. m.</v>
      </c>
      <c r="AQ406" t="str">
        <f>"2"</f>
        <v>2</v>
      </c>
      <c r="AR406" t="str">
        <f>"2"</f>
        <v>2</v>
      </c>
      <c r="AS406" t="str">
        <f>""</f>
        <v/>
      </c>
      <c r="AT406" t="str">
        <f t="shared" si="473"/>
        <v>1</v>
      </c>
      <c r="AU406" t="str">
        <f>""</f>
        <v/>
      </c>
      <c r="AV406" t="str">
        <f>"3"</f>
        <v>3</v>
      </c>
      <c r="AW406" t="str">
        <f>"6/04/2006 12:00:00 a. m."</f>
        <v>6/04/2006 12:00:00 a. m.</v>
      </c>
      <c r="AX406" t="str">
        <f>""</f>
        <v/>
      </c>
      <c r="AY406" t="str">
        <f t="shared" si="452"/>
        <v>30/04/2021 12:00:00 a. m.</v>
      </c>
      <c r="AZ406" t="str">
        <f>"8/05/2020 12:00:00 a. m."</f>
        <v>8/05/2020 12:00:00 a. m.</v>
      </c>
      <c r="BA406" t="str">
        <f>""</f>
        <v/>
      </c>
      <c r="BB406" t="str">
        <f>""</f>
        <v/>
      </c>
      <c r="BC406" t="str">
        <f>""</f>
        <v/>
      </c>
      <c r="BD406" t="str">
        <f t="shared" si="474"/>
        <v>1</v>
      </c>
      <c r="BE406" t="str">
        <f t="shared" si="474"/>
        <v>1</v>
      </c>
      <c r="BF406" t="str">
        <f t="shared" si="453"/>
        <v xml:space="preserve">3         </v>
      </c>
      <c r="BG406" t="str">
        <f t="shared" si="454"/>
        <v>Confirmado por laboratorio</v>
      </c>
      <c r="BH406" t="str">
        <f>"BIENESTAR IPS SAS SEDE CENTENARIO"</f>
        <v>BIENESTAR IPS SAS SEDE CENTENARIO</v>
      </c>
      <c r="BI406" t="str">
        <f t="shared" si="464"/>
        <v>COLOMBIA</v>
      </c>
      <c r="BJ406" t="str">
        <f t="shared" si="455"/>
        <v>CANCER INFANTIL</v>
      </c>
      <c r="BK406" t="str">
        <f>"BOGOTA"</f>
        <v>BOGOTA</v>
      </c>
      <c r="BL406" t="str">
        <f>"BOGOTA"</f>
        <v>BOGOTA</v>
      </c>
      <c r="BM406" t="str">
        <f t="shared" si="465"/>
        <v>COLOMBIA</v>
      </c>
      <c r="BN406" t="str">
        <f>"BOGOTA"</f>
        <v>BOGOTA</v>
      </c>
      <c r="BO406" t="str">
        <f>"BOGOTA"</f>
        <v>BOGOTA</v>
      </c>
      <c r="BP406" t="str">
        <f>"BOGOTA"</f>
        <v>BOGOTA</v>
      </c>
      <c r="BQ406" t="str">
        <f>"BOGOTA"</f>
        <v>BOGOTA</v>
      </c>
    </row>
    <row r="407" spans="1:69" x14ac:dyDescent="0.25">
      <c r="A407" t="str">
        <f>"7291629"</f>
        <v>7291629</v>
      </c>
      <c r="B407" t="str">
        <f t="shared" si="449"/>
        <v>459</v>
      </c>
      <c r="C407" t="str">
        <f>"28/08/2020 12:00:00 a. m."</f>
        <v>28/08/2020 12:00:00 a. m.</v>
      </c>
      <c r="D407" t="str">
        <f>"23"</f>
        <v>23</v>
      </c>
      <c r="E407" t="str">
        <f t="shared" si="450"/>
        <v>2020</v>
      </c>
      <c r="F407" t="str">
        <f>"6827601666"</f>
        <v>6827601666</v>
      </c>
      <c r="G407" t="str">
        <f>"01"</f>
        <v>01</v>
      </c>
      <c r="H407" t="str">
        <f>"8"</f>
        <v>8</v>
      </c>
      <c r="I407" t="str">
        <f t="shared" si="471"/>
        <v>1</v>
      </c>
      <c r="J407" t="str">
        <f>"M"</f>
        <v>M</v>
      </c>
      <c r="K407" t="str">
        <f t="shared" si="461"/>
        <v>170</v>
      </c>
      <c r="L407" t="str">
        <f>"20"</f>
        <v>20</v>
      </c>
      <c r="M407" t="str">
        <f>"013"</f>
        <v>013</v>
      </c>
      <c r="N407" t="str">
        <f t="shared" si="475"/>
        <v>1</v>
      </c>
      <c r="O407" t="str">
        <f>"9999"</f>
        <v>9999</v>
      </c>
      <c r="P407" t="str">
        <f>"P"</f>
        <v>P</v>
      </c>
      <c r="Q407" t="str">
        <f>"RES004"</f>
        <v>RES004</v>
      </c>
      <c r="R407" t="str">
        <f t="shared" si="468"/>
        <v>6</v>
      </c>
      <c r="S407" t="str">
        <f>""</f>
        <v/>
      </c>
      <c r="T407" t="str">
        <f t="shared" si="476"/>
        <v xml:space="preserve">                                                                                                    </v>
      </c>
      <c r="U407" t="str">
        <f>"3         "</f>
        <v xml:space="preserve">3         </v>
      </c>
      <c r="V407" t="str">
        <f t="shared" si="477"/>
        <v>2</v>
      </c>
      <c r="W407" t="str">
        <f t="shared" si="431"/>
        <v>2</v>
      </c>
      <c r="X407" t="str">
        <f t="shared" si="435"/>
        <v>2</v>
      </c>
      <c r="Y407" t="str">
        <f t="shared" si="469"/>
        <v>2</v>
      </c>
      <c r="Z407" t="str">
        <f t="shared" si="469"/>
        <v>2</v>
      </c>
      <c r="AA407" t="str">
        <f t="shared" si="451"/>
        <v xml:space="preserve">          </v>
      </c>
      <c r="AB407" t="str">
        <f t="shared" si="440"/>
        <v>2</v>
      </c>
      <c r="AC407" t="str">
        <f t="shared" si="443"/>
        <v>2</v>
      </c>
      <c r="AD407" t="str">
        <f t="shared" si="470"/>
        <v>2</v>
      </c>
      <c r="AE407" t="str">
        <f t="shared" si="470"/>
        <v>2</v>
      </c>
      <c r="AF407" t="str">
        <f t="shared" si="470"/>
        <v>2</v>
      </c>
      <c r="AG407" t="str">
        <f t="shared" si="470"/>
        <v>2</v>
      </c>
      <c r="AH407" t="str">
        <f t="shared" si="436"/>
        <v>1</v>
      </c>
      <c r="AI407" t="str">
        <f>"2         "</f>
        <v xml:space="preserve">2         </v>
      </c>
      <c r="AJ407" t="str">
        <f t="shared" si="462"/>
        <v>170</v>
      </c>
      <c r="AK407" t="str">
        <f>"20"</f>
        <v>20</v>
      </c>
      <c r="AL407" t="str">
        <f>"013"</f>
        <v>013</v>
      </c>
      <c r="AM407" t="str">
        <f>"68"</f>
        <v>68</v>
      </c>
      <c r="AN407" t="str">
        <f>"68276"</f>
        <v>68276</v>
      </c>
      <c r="AO407" t="str">
        <f>"6/06/2020 12:00:00 a. m."</f>
        <v>6/06/2020 12:00:00 a. m.</v>
      </c>
      <c r="AP407" t="str">
        <f>"6/02/2020 12:00:00 a. m."</f>
        <v>6/02/2020 12:00:00 a. m.</v>
      </c>
      <c r="AQ407" t="str">
        <f>"3"</f>
        <v>3</v>
      </c>
      <c r="AR407" t="str">
        <f>"1"</f>
        <v>1</v>
      </c>
      <c r="AS407" t="str">
        <f>"6/06/2020 12:00:00 a. m."</f>
        <v>6/06/2020 12:00:00 a. m.</v>
      </c>
      <c r="AT407" t="str">
        <f t="shared" si="473"/>
        <v>1</v>
      </c>
      <c r="AU407" t="str">
        <f>""</f>
        <v/>
      </c>
      <c r="AV407" t="str">
        <f>"0"</f>
        <v>0</v>
      </c>
      <c r="AW407" t="str">
        <f>"21/01/2012 12:00:00 a. m."</f>
        <v>21/01/2012 12:00:00 a. m.</v>
      </c>
      <c r="AX407" t="str">
        <f>""</f>
        <v/>
      </c>
      <c r="AY407" t="str">
        <f t="shared" si="452"/>
        <v>30/04/2021 12:00:00 a. m.</v>
      </c>
      <c r="AZ407" t="str">
        <f>"31/08/2020 12:00:00 a. m."</f>
        <v>31/08/2020 12:00:00 a. m.</v>
      </c>
      <c r="BA407" t="str">
        <f>""</f>
        <v/>
      </c>
      <c r="BB407" t="str">
        <f>""</f>
        <v/>
      </c>
      <c r="BC407" t="str">
        <f>""</f>
        <v/>
      </c>
      <c r="BD407" t="str">
        <f t="shared" si="474"/>
        <v>1</v>
      </c>
      <c r="BE407" t="str">
        <f t="shared" si="474"/>
        <v>1</v>
      </c>
      <c r="BF407" t="str">
        <f t="shared" si="453"/>
        <v xml:space="preserve">3         </v>
      </c>
      <c r="BG407" t="str">
        <f t="shared" si="454"/>
        <v>Confirmado por laboratorio</v>
      </c>
      <c r="BH407" t="str">
        <f>"FUNDACION OFTALMOLOGICA DE SDER FOSCAL"</f>
        <v>FUNDACION OFTALMOLOGICA DE SDER FOSCAL</v>
      </c>
      <c r="BI407" t="str">
        <f t="shared" si="464"/>
        <v>COLOMBIA</v>
      </c>
      <c r="BJ407" t="str">
        <f t="shared" si="455"/>
        <v>CANCER INFANTIL</v>
      </c>
      <c r="BK407" t="str">
        <f>"CESAR"</f>
        <v>CESAR</v>
      </c>
      <c r="BL407" t="str">
        <f>"AGUSTIN CODAZZI"</f>
        <v>AGUSTIN CODAZZI</v>
      </c>
      <c r="BM407" t="str">
        <f t="shared" si="465"/>
        <v>COLOMBIA</v>
      </c>
      <c r="BN407" t="str">
        <f>"CESAR"</f>
        <v>CESAR</v>
      </c>
      <c r="BO407" t="str">
        <f>"AGUSTIN CODAZZI"</f>
        <v>AGUSTIN CODAZZI</v>
      </c>
      <c r="BP407" t="str">
        <f>"SANTANDER"</f>
        <v>SANTANDER</v>
      </c>
      <c r="BQ407" t="str">
        <f>"FLORIDABLANCA"</f>
        <v>FLORIDABLANCA</v>
      </c>
    </row>
    <row r="408" spans="1:69" x14ac:dyDescent="0.25">
      <c r="A408" t="str">
        <f>"7278882"</f>
        <v>7278882</v>
      </c>
      <c r="B408" t="str">
        <f t="shared" si="449"/>
        <v>459</v>
      </c>
      <c r="C408" t="str">
        <f>"2/09/2020 12:00:00 a. m."</f>
        <v>2/09/2020 12:00:00 a. m.</v>
      </c>
      <c r="D408" t="str">
        <f>"32"</f>
        <v>32</v>
      </c>
      <c r="E408" t="str">
        <f t="shared" si="450"/>
        <v>2020</v>
      </c>
      <c r="F408" t="str">
        <f>"1100108679"</f>
        <v>1100108679</v>
      </c>
      <c r="G408" t="str">
        <f>"01"</f>
        <v>01</v>
      </c>
      <c r="H408" t="str">
        <f>"14"</f>
        <v>14</v>
      </c>
      <c r="I408" t="str">
        <f t="shared" si="471"/>
        <v>1</v>
      </c>
      <c r="J408" t="str">
        <f>"F"</f>
        <v>F</v>
      </c>
      <c r="K408" t="str">
        <f t="shared" si="461"/>
        <v>170</v>
      </c>
      <c r="L408" t="str">
        <f>"11"</f>
        <v>11</v>
      </c>
      <c r="M408" t="str">
        <f>"001"</f>
        <v>001</v>
      </c>
      <c r="N408" t="str">
        <f t="shared" si="475"/>
        <v>1</v>
      </c>
      <c r="O408" t="str">
        <f>"9997"</f>
        <v>9997</v>
      </c>
      <c r="P408" t="str">
        <f>"C"</f>
        <v>C</v>
      </c>
      <c r="Q408" t="str">
        <f>"EPS002"</f>
        <v>EPS002</v>
      </c>
      <c r="R408" t="str">
        <f t="shared" si="468"/>
        <v>6</v>
      </c>
      <c r="S408" t="str">
        <f>""</f>
        <v/>
      </c>
      <c r="T408" t="str">
        <f t="shared" si="476"/>
        <v xml:space="preserve">                                                                                                    </v>
      </c>
      <c r="U408" t="str">
        <f>"3         "</f>
        <v xml:space="preserve">3         </v>
      </c>
      <c r="V408" t="str">
        <f t="shared" si="477"/>
        <v>2</v>
      </c>
      <c r="W408" t="str">
        <f t="shared" si="431"/>
        <v>2</v>
      </c>
      <c r="X408" t="str">
        <f t="shared" si="435"/>
        <v>2</v>
      </c>
      <c r="Y408" t="str">
        <f t="shared" si="469"/>
        <v>2</v>
      </c>
      <c r="Z408" t="str">
        <f t="shared" si="469"/>
        <v>2</v>
      </c>
      <c r="AA408" t="str">
        <f t="shared" si="451"/>
        <v xml:space="preserve">          </v>
      </c>
      <c r="AB408" t="str">
        <f t="shared" si="440"/>
        <v>2</v>
      </c>
      <c r="AC408" t="str">
        <f t="shared" si="443"/>
        <v>2</v>
      </c>
      <c r="AD408" t="str">
        <f t="shared" si="470"/>
        <v>2</v>
      </c>
      <c r="AE408" t="str">
        <f t="shared" si="470"/>
        <v>2</v>
      </c>
      <c r="AF408" t="str">
        <f t="shared" si="470"/>
        <v>2</v>
      </c>
      <c r="AG408" t="str">
        <f t="shared" si="470"/>
        <v>2</v>
      </c>
      <c r="AH408" t="str">
        <f t="shared" si="436"/>
        <v>1</v>
      </c>
      <c r="AI408" t="str">
        <f>"1         "</f>
        <v xml:space="preserve">1         </v>
      </c>
      <c r="AJ408" t="str">
        <f t="shared" si="462"/>
        <v>170</v>
      </c>
      <c r="AK408" t="str">
        <f>"11"</f>
        <v>11</v>
      </c>
      <c r="AL408" t="str">
        <f>"001"</f>
        <v>001</v>
      </c>
      <c r="AM408" t="str">
        <f>"11"</f>
        <v>11</v>
      </c>
      <c r="AN408" t="str">
        <f>"11001"</f>
        <v>11001</v>
      </c>
      <c r="AO408" t="str">
        <f>"5/08/2020 12:00:00 a. m."</f>
        <v>5/08/2020 12:00:00 a. m.</v>
      </c>
      <c r="AP408" t="str">
        <f>"5/08/2020 12:00:00 a. m."</f>
        <v>5/08/2020 12:00:00 a. m.</v>
      </c>
      <c r="AQ408" t="str">
        <f>"3"</f>
        <v>3</v>
      </c>
      <c r="AR408" t="str">
        <f>"1"</f>
        <v>1</v>
      </c>
      <c r="AS408" t="str">
        <f>"22/08/2020 12:00:00 a. m."</f>
        <v>22/08/2020 12:00:00 a. m.</v>
      </c>
      <c r="AT408" t="str">
        <f t="shared" si="473"/>
        <v>1</v>
      </c>
      <c r="AU408" t="str">
        <f>""</f>
        <v/>
      </c>
      <c r="AV408" t="str">
        <f>"0"</f>
        <v>0</v>
      </c>
      <c r="AW408" t="str">
        <f>"17/03/2006 12:00:00 a. m."</f>
        <v>17/03/2006 12:00:00 a. m.</v>
      </c>
      <c r="AX408" t="str">
        <f>""</f>
        <v/>
      </c>
      <c r="AY408" t="str">
        <f t="shared" si="452"/>
        <v>30/04/2021 12:00:00 a. m.</v>
      </c>
      <c r="AZ408" t="str">
        <f>"3/09/2020 12:00:00 a. m."</f>
        <v>3/09/2020 12:00:00 a. m.</v>
      </c>
      <c r="BA408" t="str">
        <f>""</f>
        <v/>
      </c>
      <c r="BB408" t="str">
        <f>""</f>
        <v/>
      </c>
      <c r="BC408" t="str">
        <f>""</f>
        <v/>
      </c>
      <c r="BD408" t="str">
        <f t="shared" si="474"/>
        <v>1</v>
      </c>
      <c r="BE408" t="str">
        <f t="shared" si="474"/>
        <v>1</v>
      </c>
      <c r="BF408" t="str">
        <f t="shared" si="453"/>
        <v xml:space="preserve">3         </v>
      </c>
      <c r="BG408" t="str">
        <f t="shared" si="454"/>
        <v>Confirmado por laboratorio</v>
      </c>
      <c r="BH408" t="str">
        <f>"SOCIEDAD DE CIRUGIA DE BOGOTA HOSPITAL DE SAN JOSE"</f>
        <v>SOCIEDAD DE CIRUGIA DE BOGOTA HOSPITAL DE SAN JOSE</v>
      </c>
      <c r="BI408" t="str">
        <f t="shared" si="464"/>
        <v>COLOMBIA</v>
      </c>
      <c r="BJ408" t="str">
        <f t="shared" si="455"/>
        <v>CANCER INFANTIL</v>
      </c>
      <c r="BK408" t="str">
        <f>"BOGOTA"</f>
        <v>BOGOTA</v>
      </c>
      <c r="BL408" t="str">
        <f>"BOGOTA"</f>
        <v>BOGOTA</v>
      </c>
      <c r="BM408" t="str">
        <f t="shared" si="465"/>
        <v>COLOMBIA</v>
      </c>
      <c r="BN408" t="str">
        <f t="shared" ref="BN408:BQ409" si="478">"BOGOTA"</f>
        <v>BOGOTA</v>
      </c>
      <c r="BO408" t="str">
        <f t="shared" si="478"/>
        <v>BOGOTA</v>
      </c>
      <c r="BP408" t="str">
        <f t="shared" si="478"/>
        <v>BOGOTA</v>
      </c>
      <c r="BQ408" t="str">
        <f t="shared" si="478"/>
        <v>BOGOTA</v>
      </c>
    </row>
    <row r="409" spans="1:69" x14ac:dyDescent="0.25">
      <c r="A409" t="str">
        <f>"7278835"</f>
        <v>7278835</v>
      </c>
      <c r="B409" t="str">
        <f t="shared" si="449"/>
        <v>459</v>
      </c>
      <c r="C409" t="str">
        <f>"20/05/2020 12:00:00 a. m."</f>
        <v>20/05/2020 12:00:00 a. m.</v>
      </c>
      <c r="D409" t="str">
        <f>"21"</f>
        <v>21</v>
      </c>
      <c r="E409" t="str">
        <f t="shared" si="450"/>
        <v>2020</v>
      </c>
      <c r="F409" t="str">
        <f>"1100108171"</f>
        <v>1100108171</v>
      </c>
      <c r="G409" t="str">
        <f>"02"</f>
        <v>02</v>
      </c>
      <c r="H409" t="str">
        <f>"6"</f>
        <v>6</v>
      </c>
      <c r="I409" t="str">
        <f>"2"</f>
        <v>2</v>
      </c>
      <c r="J409" t="str">
        <f>"F"</f>
        <v>F</v>
      </c>
      <c r="K409" t="str">
        <f t="shared" si="461"/>
        <v>170</v>
      </c>
      <c r="L409" t="str">
        <f>"11"</f>
        <v>11</v>
      </c>
      <c r="M409" t="str">
        <f>"001"</f>
        <v>001</v>
      </c>
      <c r="N409" t="str">
        <f t="shared" si="475"/>
        <v>1</v>
      </c>
      <c r="O409" t="str">
        <f>"9999"</f>
        <v>9999</v>
      </c>
      <c r="P409" t="str">
        <f>"C"</f>
        <v>C</v>
      </c>
      <c r="Q409" t="str">
        <f>"EPS010"</f>
        <v>EPS010</v>
      </c>
      <c r="R409" t="str">
        <f t="shared" si="468"/>
        <v>6</v>
      </c>
      <c r="S409" t="str">
        <f>""</f>
        <v/>
      </c>
      <c r="T409" t="str">
        <f t="shared" si="476"/>
        <v xml:space="preserve">                                                                                                    </v>
      </c>
      <c r="U409" t="str">
        <f>"2         "</f>
        <v xml:space="preserve">2         </v>
      </c>
      <c r="V409" t="str">
        <f t="shared" si="477"/>
        <v>2</v>
      </c>
      <c r="W409" t="str">
        <f t="shared" si="431"/>
        <v>2</v>
      </c>
      <c r="X409" t="str">
        <f t="shared" si="435"/>
        <v>2</v>
      </c>
      <c r="Y409" t="str">
        <f t="shared" si="469"/>
        <v>2</v>
      </c>
      <c r="Z409" t="str">
        <f t="shared" si="469"/>
        <v>2</v>
      </c>
      <c r="AA409" t="str">
        <f t="shared" si="451"/>
        <v xml:space="preserve">          </v>
      </c>
      <c r="AB409" t="str">
        <f t="shared" si="440"/>
        <v>2</v>
      </c>
      <c r="AC409" t="str">
        <f t="shared" si="443"/>
        <v>2</v>
      </c>
      <c r="AD409" t="str">
        <f t="shared" si="470"/>
        <v>2</v>
      </c>
      <c r="AE409" t="str">
        <f t="shared" si="470"/>
        <v>2</v>
      </c>
      <c r="AF409" t="str">
        <f t="shared" si="470"/>
        <v>2</v>
      </c>
      <c r="AG409" t="str">
        <f t="shared" si="470"/>
        <v>2</v>
      </c>
      <c r="AH409" t="str">
        <f t="shared" si="436"/>
        <v>1</v>
      </c>
      <c r="AI409" t="str">
        <f>"1         "</f>
        <v xml:space="preserve">1         </v>
      </c>
      <c r="AJ409" t="str">
        <f t="shared" si="462"/>
        <v>170</v>
      </c>
      <c r="AK409" t="str">
        <f>"11"</f>
        <v>11</v>
      </c>
      <c r="AL409" t="str">
        <f>"001"</f>
        <v>001</v>
      </c>
      <c r="AM409" t="str">
        <f>"11"</f>
        <v>11</v>
      </c>
      <c r="AN409" t="str">
        <f>"11001"</f>
        <v>11001</v>
      </c>
      <c r="AO409" t="str">
        <f>"19/05/2020 12:00:00 a. m."</f>
        <v>19/05/2020 12:00:00 a. m.</v>
      </c>
      <c r="AP409" t="str">
        <f>"14/05/2020 12:00:00 a. m."</f>
        <v>14/05/2020 12:00:00 a. m.</v>
      </c>
      <c r="AQ409" t="str">
        <f>"2"</f>
        <v>2</v>
      </c>
      <c r="AR409" t="str">
        <f>"1"</f>
        <v>1</v>
      </c>
      <c r="AS409" t="str">
        <f>"19/05/2020 12:00:00 a. m."</f>
        <v>19/05/2020 12:00:00 a. m.</v>
      </c>
      <c r="AT409" t="str">
        <f t="shared" si="473"/>
        <v>1</v>
      </c>
      <c r="AU409" t="str">
        <f>""</f>
        <v/>
      </c>
      <c r="AV409" t="str">
        <f>"3"</f>
        <v>3</v>
      </c>
      <c r="AW409" t="str">
        <f>"12/11/2019 12:00:00 a. m."</f>
        <v>12/11/2019 12:00:00 a. m.</v>
      </c>
      <c r="AX409" t="str">
        <f>""</f>
        <v/>
      </c>
      <c r="AY409" t="str">
        <f t="shared" si="452"/>
        <v>30/04/2021 12:00:00 a. m.</v>
      </c>
      <c r="AZ409" t="str">
        <f>"23/06/2020 12:00:00 a. m."</f>
        <v>23/06/2020 12:00:00 a. m.</v>
      </c>
      <c r="BA409" t="str">
        <f>""</f>
        <v/>
      </c>
      <c r="BB409" t="str">
        <f>""</f>
        <v/>
      </c>
      <c r="BC409" t="str">
        <f>""</f>
        <v/>
      </c>
      <c r="BD409" t="str">
        <f t="shared" si="474"/>
        <v>1</v>
      </c>
      <c r="BE409" t="str">
        <f t="shared" si="474"/>
        <v>1</v>
      </c>
      <c r="BF409" t="str">
        <f t="shared" si="453"/>
        <v xml:space="preserve">3         </v>
      </c>
      <c r="BG409" t="str">
        <f t="shared" si="454"/>
        <v>Confirmado por laboratorio</v>
      </c>
      <c r="BH409" t="str">
        <f>"CLINICA INFANTIL COLSUBSIDIO"</f>
        <v>CLINICA INFANTIL COLSUBSIDIO</v>
      </c>
      <c r="BI409" t="str">
        <f t="shared" si="464"/>
        <v>COLOMBIA</v>
      </c>
      <c r="BJ409" t="str">
        <f t="shared" si="455"/>
        <v>CANCER INFANTIL</v>
      </c>
      <c r="BK409" t="str">
        <f>"BOGOTA"</f>
        <v>BOGOTA</v>
      </c>
      <c r="BL409" t="str">
        <f>"BOGOTA"</f>
        <v>BOGOTA</v>
      </c>
      <c r="BM409" t="str">
        <f t="shared" si="465"/>
        <v>COLOMBIA</v>
      </c>
      <c r="BN409" t="str">
        <f t="shared" si="478"/>
        <v>BOGOTA</v>
      </c>
      <c r="BO409" t="str">
        <f t="shared" si="478"/>
        <v>BOGOTA</v>
      </c>
      <c r="BP409" t="str">
        <f t="shared" si="478"/>
        <v>BOGOTA</v>
      </c>
      <c r="BQ409" t="str">
        <f t="shared" si="478"/>
        <v>BOGOTA</v>
      </c>
    </row>
    <row r="410" spans="1:69" x14ac:dyDescent="0.25">
      <c r="A410" t="str">
        <f>"7285841"</f>
        <v>7285841</v>
      </c>
      <c r="B410" t="str">
        <f t="shared" si="449"/>
        <v>459</v>
      </c>
      <c r="C410" t="str">
        <f>"22/04/2020 12:00:00 a. m."</f>
        <v>22/04/2020 12:00:00 a. m.</v>
      </c>
      <c r="D410" t="str">
        <f>"15"</f>
        <v>15</v>
      </c>
      <c r="E410" t="str">
        <f t="shared" si="450"/>
        <v>2020</v>
      </c>
      <c r="F410" t="str">
        <f>"0800103250"</f>
        <v>0800103250</v>
      </c>
      <c r="G410" t="str">
        <f t="shared" ref="G410:G426" si="479">"01"</f>
        <v>01</v>
      </c>
      <c r="H410" t="str">
        <f>"16"</f>
        <v>16</v>
      </c>
      <c r="I410" t="str">
        <f t="shared" ref="I410:I423" si="480">"1"</f>
        <v>1</v>
      </c>
      <c r="J410" t="str">
        <f>"F"</f>
        <v>F</v>
      </c>
      <c r="K410" t="str">
        <f t="shared" si="461"/>
        <v>170</v>
      </c>
      <c r="L410" t="str">
        <f>"08"</f>
        <v>08</v>
      </c>
      <c r="M410" t="str">
        <f>"433"</f>
        <v>433</v>
      </c>
      <c r="N410" t="str">
        <f t="shared" si="475"/>
        <v>1</v>
      </c>
      <c r="O410" t="str">
        <f>"9997"</f>
        <v>9997</v>
      </c>
      <c r="P410" t="str">
        <f>"S"</f>
        <v>S</v>
      </c>
      <c r="Q410" t="str">
        <f>"ESS207"</f>
        <v>ESS207</v>
      </c>
      <c r="R410" t="str">
        <f t="shared" si="468"/>
        <v>6</v>
      </c>
      <c r="S410" t="str">
        <f>""</f>
        <v/>
      </c>
      <c r="T410" t="str">
        <f t="shared" si="476"/>
        <v xml:space="preserve">                                                                                                    </v>
      </c>
      <c r="U410" t="str">
        <f>"2         "</f>
        <v xml:space="preserve">2         </v>
      </c>
      <c r="V410" t="str">
        <f t="shared" si="477"/>
        <v>2</v>
      </c>
      <c r="W410" t="str">
        <f t="shared" si="431"/>
        <v>2</v>
      </c>
      <c r="X410" t="str">
        <f t="shared" si="435"/>
        <v>2</v>
      </c>
      <c r="Y410" t="str">
        <f t="shared" si="469"/>
        <v>2</v>
      </c>
      <c r="Z410" t="str">
        <f t="shared" si="469"/>
        <v>2</v>
      </c>
      <c r="AA410" t="str">
        <f t="shared" si="451"/>
        <v xml:space="preserve">          </v>
      </c>
      <c r="AB410" t="str">
        <f t="shared" si="440"/>
        <v>2</v>
      </c>
      <c r="AC410" t="str">
        <f t="shared" si="443"/>
        <v>2</v>
      </c>
      <c r="AD410" t="str">
        <f t="shared" si="470"/>
        <v>2</v>
      </c>
      <c r="AE410" t="str">
        <f t="shared" si="470"/>
        <v>2</v>
      </c>
      <c r="AF410" t="str">
        <f t="shared" si="470"/>
        <v>2</v>
      </c>
      <c r="AG410" t="str">
        <f t="shared" si="470"/>
        <v>2</v>
      </c>
      <c r="AH410" t="str">
        <f t="shared" si="436"/>
        <v>1</v>
      </c>
      <c r="AI410" t="str">
        <f>"2         "</f>
        <v xml:space="preserve">2         </v>
      </c>
      <c r="AJ410" t="str">
        <f t="shared" si="462"/>
        <v>170</v>
      </c>
      <c r="AK410" t="str">
        <f>"08"</f>
        <v>08</v>
      </c>
      <c r="AL410" t="str">
        <f>"433"</f>
        <v>433</v>
      </c>
      <c r="AM410" t="str">
        <f>"08"</f>
        <v>08</v>
      </c>
      <c r="AN410" t="str">
        <f>"08001"</f>
        <v>08001</v>
      </c>
      <c r="AO410" t="str">
        <f>"7/04/2020 12:00:00 a. m."</f>
        <v>7/04/2020 12:00:00 a. m.</v>
      </c>
      <c r="AP410" t="str">
        <f>"5/01/2020 12:00:00 a. m."</f>
        <v>5/01/2020 12:00:00 a. m.</v>
      </c>
      <c r="AQ410" t="str">
        <f>"3"</f>
        <v>3</v>
      </c>
      <c r="AR410" t="str">
        <f>"1"</f>
        <v>1</v>
      </c>
      <c r="AS410" t="str">
        <f>"7/04/2020 12:00:00 a. m."</f>
        <v>7/04/2020 12:00:00 a. m.</v>
      </c>
      <c r="AT410" t="str">
        <f t="shared" si="473"/>
        <v>1</v>
      </c>
      <c r="AU410" t="str">
        <f>""</f>
        <v/>
      </c>
      <c r="AV410" t="str">
        <f>"0"</f>
        <v>0</v>
      </c>
      <c r="AW410" t="str">
        <f>"17/03/2004 12:00:00 a. m."</f>
        <v>17/03/2004 12:00:00 a. m.</v>
      </c>
      <c r="AX410" t="str">
        <f>""</f>
        <v/>
      </c>
      <c r="AY410" t="str">
        <f t="shared" si="452"/>
        <v>30/04/2021 12:00:00 a. m.</v>
      </c>
      <c r="AZ410" t="str">
        <f>"25/04/2020 12:00:00 a. m."</f>
        <v>25/04/2020 12:00:00 a. m.</v>
      </c>
      <c r="BA410" t="str">
        <f>""</f>
        <v/>
      </c>
      <c r="BB410" t="str">
        <f>""</f>
        <v/>
      </c>
      <c r="BC410" t="str">
        <f>""</f>
        <v/>
      </c>
      <c r="BD410" t="str">
        <f t="shared" si="474"/>
        <v>1</v>
      </c>
      <c r="BE410" t="str">
        <f t="shared" si="474"/>
        <v>1</v>
      </c>
      <c r="BF410" t="str">
        <f t="shared" si="453"/>
        <v xml:space="preserve">3         </v>
      </c>
      <c r="BG410" t="str">
        <f t="shared" si="454"/>
        <v>Confirmado por laboratorio</v>
      </c>
      <c r="BH410" t="str">
        <f>"CLINICA SAN MARTIN BARRANQUILLA"</f>
        <v>CLINICA SAN MARTIN BARRANQUILLA</v>
      </c>
      <c r="BI410" t="str">
        <f t="shared" si="464"/>
        <v>COLOMBIA</v>
      </c>
      <c r="BJ410" t="str">
        <f t="shared" si="455"/>
        <v>CANCER INFANTIL</v>
      </c>
      <c r="BK410" t="str">
        <f>"ATLANTICO"</f>
        <v>ATLANTICO</v>
      </c>
      <c r="BL410" t="str">
        <f>"MALAMBO"</f>
        <v>MALAMBO</v>
      </c>
      <c r="BM410" t="str">
        <f t="shared" si="465"/>
        <v>COLOMBIA</v>
      </c>
      <c r="BN410" t="str">
        <f>"ATLANTICO"</f>
        <v>ATLANTICO</v>
      </c>
      <c r="BO410" t="str">
        <f>"MALAMBO"</f>
        <v>MALAMBO</v>
      </c>
      <c r="BP410" t="str">
        <f>"ATLANTICO"</f>
        <v>ATLANTICO</v>
      </c>
      <c r="BQ410" t="str">
        <f>"BARRANQUILLA"</f>
        <v>BARRANQUILLA</v>
      </c>
    </row>
    <row r="411" spans="1:69" x14ac:dyDescent="0.25">
      <c r="A411" t="str">
        <f>"7285770"</f>
        <v>7285770</v>
      </c>
      <c r="B411" t="str">
        <f t="shared" si="449"/>
        <v>459</v>
      </c>
      <c r="C411" t="str">
        <f>"20/09/2020 12:00:00 a. m."</f>
        <v>20/09/2020 12:00:00 a. m.</v>
      </c>
      <c r="D411" t="str">
        <f>"06"</f>
        <v>06</v>
      </c>
      <c r="E411" t="str">
        <f t="shared" si="450"/>
        <v>2020</v>
      </c>
      <c r="F411" t="str">
        <f>"1100106065"</f>
        <v>1100106065</v>
      </c>
      <c r="G411" t="str">
        <f t="shared" si="479"/>
        <v>01</v>
      </c>
      <c r="H411" t="str">
        <f>"6"</f>
        <v>6</v>
      </c>
      <c r="I411" t="str">
        <f t="shared" si="480"/>
        <v>1</v>
      </c>
      <c r="J411" t="str">
        <f>"F"</f>
        <v>F</v>
      </c>
      <c r="K411" t="str">
        <f t="shared" si="461"/>
        <v>170</v>
      </c>
      <c r="L411" t="str">
        <f>"11"</f>
        <v>11</v>
      </c>
      <c r="M411" t="str">
        <f>"001"</f>
        <v>001</v>
      </c>
      <c r="N411" t="str">
        <f t="shared" si="475"/>
        <v>1</v>
      </c>
      <c r="O411" t="str">
        <f>"9998"</f>
        <v>9998</v>
      </c>
      <c r="P411" t="str">
        <f>"N"</f>
        <v>N</v>
      </c>
      <c r="Q411" t="str">
        <f>""</f>
        <v/>
      </c>
      <c r="R411" t="str">
        <f t="shared" si="468"/>
        <v>6</v>
      </c>
      <c r="S411" t="str">
        <f>""</f>
        <v/>
      </c>
      <c r="T411" t="str">
        <f t="shared" si="476"/>
        <v xml:space="preserve">                                                                                                    </v>
      </c>
      <c r="U411" t="str">
        <f>"2         "</f>
        <v xml:space="preserve">2         </v>
      </c>
      <c r="V411" t="str">
        <f t="shared" si="477"/>
        <v>2</v>
      </c>
      <c r="W411" t="str">
        <f t="shared" si="431"/>
        <v>2</v>
      </c>
      <c r="X411" t="str">
        <f>"1"</f>
        <v>1</v>
      </c>
      <c r="Y411" t="str">
        <f t="shared" si="469"/>
        <v>2</v>
      </c>
      <c r="Z411" t="str">
        <f t="shared" si="469"/>
        <v>2</v>
      </c>
      <c r="AA411" t="str">
        <f t="shared" si="451"/>
        <v xml:space="preserve">          </v>
      </c>
      <c r="AB411" t="str">
        <f t="shared" si="440"/>
        <v>2</v>
      </c>
      <c r="AC411" t="str">
        <f t="shared" si="443"/>
        <v>2</v>
      </c>
      <c r="AD411" t="str">
        <f t="shared" si="470"/>
        <v>2</v>
      </c>
      <c r="AE411" t="str">
        <f t="shared" si="470"/>
        <v>2</v>
      </c>
      <c r="AF411" t="str">
        <f t="shared" si="470"/>
        <v>2</v>
      </c>
      <c r="AG411" t="str">
        <f t="shared" si="470"/>
        <v>2</v>
      </c>
      <c r="AH411" t="str">
        <f>"2"</f>
        <v>2</v>
      </c>
      <c r="AI411" t="str">
        <f>"2         "</f>
        <v xml:space="preserve">2         </v>
      </c>
      <c r="AJ411" t="str">
        <f t="shared" si="462"/>
        <v>170</v>
      </c>
      <c r="AK411" t="str">
        <f>"11"</f>
        <v>11</v>
      </c>
      <c r="AL411" t="str">
        <f>"001"</f>
        <v>001</v>
      </c>
      <c r="AM411" t="str">
        <f>"11"</f>
        <v>11</v>
      </c>
      <c r="AN411" t="str">
        <f>"11001"</f>
        <v>11001</v>
      </c>
      <c r="AO411" t="str">
        <f>"3/02/2020 12:00:00 a. m."</f>
        <v>3/02/2020 12:00:00 a. m.</v>
      </c>
      <c r="AP411" t="str">
        <f>"28/01/2020 12:00:00 a. m."</f>
        <v>28/01/2020 12:00:00 a. m.</v>
      </c>
      <c r="AQ411" t="str">
        <f>"3"</f>
        <v>3</v>
      </c>
      <c r="AR411" t="str">
        <f>"1"</f>
        <v>1</v>
      </c>
      <c r="AS411" t="str">
        <f>"3/02/2020 12:00:00 a. m."</f>
        <v>3/02/2020 12:00:00 a. m.</v>
      </c>
      <c r="AT411" t="str">
        <f t="shared" si="473"/>
        <v>1</v>
      </c>
      <c r="AU411" t="str">
        <f>""</f>
        <v/>
      </c>
      <c r="AV411" t="str">
        <f>"0"</f>
        <v>0</v>
      </c>
      <c r="AW411" t="str">
        <f>"14/03/2014 12:00:00 a. m."</f>
        <v>14/03/2014 12:00:00 a. m.</v>
      </c>
      <c r="AX411" t="str">
        <f>""</f>
        <v/>
      </c>
      <c r="AY411" t="str">
        <f t="shared" si="452"/>
        <v>30/04/2021 12:00:00 a. m.</v>
      </c>
      <c r="AZ411" t="str">
        <f>"2/10/2020 12:00:00 a. m."</f>
        <v>2/10/2020 12:00:00 a. m.</v>
      </c>
      <c r="BA411" t="str">
        <f>""</f>
        <v/>
      </c>
      <c r="BB411" t="str">
        <f>""</f>
        <v/>
      </c>
      <c r="BC411" t="str">
        <f>""</f>
        <v/>
      </c>
      <c r="BD411" t="str">
        <f t="shared" si="474"/>
        <v>1</v>
      </c>
      <c r="BE411" t="str">
        <f t="shared" si="474"/>
        <v>1</v>
      </c>
      <c r="BF411" t="str">
        <f t="shared" si="453"/>
        <v xml:space="preserve">3         </v>
      </c>
      <c r="BG411" t="str">
        <f t="shared" si="454"/>
        <v>Confirmado por laboratorio</v>
      </c>
      <c r="BH411" t="str">
        <f>"ESE INSTITUTO NACIONAL DE CANCEROLOGIA"</f>
        <v>ESE INSTITUTO NACIONAL DE CANCEROLOGIA</v>
      </c>
      <c r="BI411" t="str">
        <f t="shared" si="464"/>
        <v>COLOMBIA</v>
      </c>
      <c r="BJ411" t="str">
        <f t="shared" si="455"/>
        <v>CANCER INFANTIL</v>
      </c>
      <c r="BK411" t="str">
        <f>"BOGOTA"</f>
        <v>BOGOTA</v>
      </c>
      <c r="BL411" t="str">
        <f>"BOGOTA"</f>
        <v>BOGOTA</v>
      </c>
      <c r="BM411" t="str">
        <f t="shared" si="465"/>
        <v>COLOMBIA</v>
      </c>
      <c r="BN411" t="str">
        <f t="shared" ref="BN411:BQ412" si="481">"BOGOTA"</f>
        <v>BOGOTA</v>
      </c>
      <c r="BO411" t="str">
        <f t="shared" si="481"/>
        <v>BOGOTA</v>
      </c>
      <c r="BP411" t="str">
        <f t="shared" si="481"/>
        <v>BOGOTA</v>
      </c>
      <c r="BQ411" t="str">
        <f t="shared" si="481"/>
        <v>BOGOTA</v>
      </c>
    </row>
    <row r="412" spans="1:69" x14ac:dyDescent="0.25">
      <c r="A412" t="str">
        <f>"7285774"</f>
        <v>7285774</v>
      </c>
      <c r="B412" t="str">
        <f t="shared" si="449"/>
        <v>459</v>
      </c>
      <c r="C412" t="str">
        <f>"10/09/2020 12:00:00 a. m."</f>
        <v>10/09/2020 12:00:00 a. m.</v>
      </c>
      <c r="D412" t="str">
        <f>"16"</f>
        <v>16</v>
      </c>
      <c r="E412" t="str">
        <f t="shared" si="450"/>
        <v>2020</v>
      </c>
      <c r="F412" t="str">
        <f>"1100106065"</f>
        <v>1100106065</v>
      </c>
      <c r="G412" t="str">
        <f t="shared" si="479"/>
        <v>01</v>
      </c>
      <c r="H412" t="str">
        <f>"8"</f>
        <v>8</v>
      </c>
      <c r="I412" t="str">
        <f t="shared" si="480"/>
        <v>1</v>
      </c>
      <c r="J412" t="str">
        <f t="shared" ref="J412:J421" si="482">"M"</f>
        <v>M</v>
      </c>
      <c r="K412" t="str">
        <f t="shared" si="461"/>
        <v>170</v>
      </c>
      <c r="L412" t="str">
        <f>"11"</f>
        <v>11</v>
      </c>
      <c r="M412" t="str">
        <f>"001"</f>
        <v>001</v>
      </c>
      <c r="N412" t="str">
        <f t="shared" si="475"/>
        <v>1</v>
      </c>
      <c r="O412" t="str">
        <f>"9997"</f>
        <v>9997</v>
      </c>
      <c r="P412" t="str">
        <f>"S"</f>
        <v>S</v>
      </c>
      <c r="Q412" t="str">
        <f>"EPSS34"</f>
        <v>EPSS34</v>
      </c>
      <c r="R412" t="str">
        <f t="shared" si="468"/>
        <v>6</v>
      </c>
      <c r="S412" t="str">
        <f>""</f>
        <v/>
      </c>
      <c r="T412" t="str">
        <f t="shared" si="476"/>
        <v xml:space="preserve">                                                                                                    </v>
      </c>
      <c r="U412" t="str">
        <f>"2         "</f>
        <v xml:space="preserve">2         </v>
      </c>
      <c r="V412" t="str">
        <f t="shared" si="477"/>
        <v>2</v>
      </c>
      <c r="W412" t="str">
        <f t="shared" si="431"/>
        <v>2</v>
      </c>
      <c r="X412" t="str">
        <f t="shared" ref="X412:X422" si="483">"2"</f>
        <v>2</v>
      </c>
      <c r="Y412" t="str">
        <f t="shared" si="469"/>
        <v>2</v>
      </c>
      <c r="Z412" t="str">
        <f t="shared" si="469"/>
        <v>2</v>
      </c>
      <c r="AA412" t="str">
        <f t="shared" si="451"/>
        <v xml:space="preserve">          </v>
      </c>
      <c r="AB412" t="str">
        <f t="shared" si="440"/>
        <v>2</v>
      </c>
      <c r="AC412" t="str">
        <f t="shared" si="443"/>
        <v>2</v>
      </c>
      <c r="AD412" t="str">
        <f t="shared" si="470"/>
        <v>2</v>
      </c>
      <c r="AE412" t="str">
        <f t="shared" si="470"/>
        <v>2</v>
      </c>
      <c r="AF412" t="str">
        <f t="shared" si="470"/>
        <v>2</v>
      </c>
      <c r="AG412" t="str">
        <f t="shared" si="470"/>
        <v>2</v>
      </c>
      <c r="AH412" t="str">
        <f t="shared" ref="AH412:AH430" si="484">"1"</f>
        <v>1</v>
      </c>
      <c r="AI412" t="str">
        <f>"2         "</f>
        <v xml:space="preserve">2         </v>
      </c>
      <c r="AJ412" t="str">
        <f t="shared" si="462"/>
        <v>170</v>
      </c>
      <c r="AK412" t="str">
        <f>"11"</f>
        <v>11</v>
      </c>
      <c r="AL412" t="str">
        <f>"001"</f>
        <v>001</v>
      </c>
      <c r="AM412" t="str">
        <f>"11"</f>
        <v>11</v>
      </c>
      <c r="AN412" t="str">
        <f>"11001"</f>
        <v>11001</v>
      </c>
      <c r="AO412" t="str">
        <f>"15/04/2020 12:00:00 a. m."</f>
        <v>15/04/2020 12:00:00 a. m.</v>
      </c>
      <c r="AP412" t="str">
        <f>"15/04/2020 12:00:00 a. m."</f>
        <v>15/04/2020 12:00:00 a. m.</v>
      </c>
      <c r="AQ412" t="str">
        <f>"3"</f>
        <v>3</v>
      </c>
      <c r="AR412" t="str">
        <f>"2"</f>
        <v>2</v>
      </c>
      <c r="AS412" t="str">
        <f>""</f>
        <v/>
      </c>
      <c r="AT412" t="str">
        <f t="shared" si="473"/>
        <v>1</v>
      </c>
      <c r="AU412" t="str">
        <f>""</f>
        <v/>
      </c>
      <c r="AV412" t="str">
        <f>"0"</f>
        <v>0</v>
      </c>
      <c r="AW412" t="str">
        <f>"11/06/2012 12:00:00 a. m."</f>
        <v>11/06/2012 12:00:00 a. m.</v>
      </c>
      <c r="AX412" t="str">
        <f>""</f>
        <v/>
      </c>
      <c r="AY412" t="str">
        <f t="shared" si="452"/>
        <v>30/04/2021 12:00:00 a. m.</v>
      </c>
      <c r="AZ412" t="str">
        <f>"28/09/2020 12:00:00 a. m."</f>
        <v>28/09/2020 12:00:00 a. m.</v>
      </c>
      <c r="BA412" t="str">
        <f>""</f>
        <v/>
      </c>
      <c r="BB412" t="str">
        <f>""</f>
        <v/>
      </c>
      <c r="BC412" t="str">
        <f>""</f>
        <v/>
      </c>
      <c r="BD412" t="str">
        <f t="shared" si="474"/>
        <v>1</v>
      </c>
      <c r="BE412" t="str">
        <f t="shared" si="474"/>
        <v>1</v>
      </c>
      <c r="BF412" t="str">
        <f t="shared" si="453"/>
        <v xml:space="preserve">3         </v>
      </c>
      <c r="BG412" t="str">
        <f t="shared" si="454"/>
        <v>Confirmado por laboratorio</v>
      </c>
      <c r="BH412" t="str">
        <f>"ESE INSTITUTO NACIONAL DE CANCEROLOGIA"</f>
        <v>ESE INSTITUTO NACIONAL DE CANCEROLOGIA</v>
      </c>
      <c r="BI412" t="str">
        <f t="shared" si="464"/>
        <v>COLOMBIA</v>
      </c>
      <c r="BJ412" t="str">
        <f t="shared" si="455"/>
        <v>CANCER INFANTIL</v>
      </c>
      <c r="BK412" t="str">
        <f>"BOGOTA"</f>
        <v>BOGOTA</v>
      </c>
      <c r="BL412" t="str">
        <f>"BOGOTA"</f>
        <v>BOGOTA</v>
      </c>
      <c r="BM412" t="str">
        <f t="shared" si="465"/>
        <v>COLOMBIA</v>
      </c>
      <c r="BN412" t="str">
        <f t="shared" si="481"/>
        <v>BOGOTA</v>
      </c>
      <c r="BO412" t="str">
        <f t="shared" si="481"/>
        <v>BOGOTA</v>
      </c>
      <c r="BP412" t="str">
        <f t="shared" si="481"/>
        <v>BOGOTA</v>
      </c>
      <c r="BQ412" t="str">
        <f t="shared" si="481"/>
        <v>BOGOTA</v>
      </c>
    </row>
    <row r="413" spans="1:69" x14ac:dyDescent="0.25">
      <c r="A413" t="str">
        <f>"7285462"</f>
        <v>7285462</v>
      </c>
      <c r="B413" t="str">
        <f t="shared" si="449"/>
        <v>459</v>
      </c>
      <c r="C413" t="str">
        <f>"31/05/2020 12:00:00 a. m."</f>
        <v>31/05/2020 12:00:00 a. m.</v>
      </c>
      <c r="D413" t="str">
        <f>"16"</f>
        <v>16</v>
      </c>
      <c r="E413" t="str">
        <f t="shared" si="450"/>
        <v>2020</v>
      </c>
      <c r="F413" t="str">
        <f>"5400102349"</f>
        <v>5400102349</v>
      </c>
      <c r="G413" t="str">
        <f t="shared" si="479"/>
        <v>01</v>
      </c>
      <c r="H413" t="str">
        <f>"15"</f>
        <v>15</v>
      </c>
      <c r="I413" t="str">
        <f t="shared" si="480"/>
        <v>1</v>
      </c>
      <c r="J413" t="str">
        <f t="shared" si="482"/>
        <v>M</v>
      </c>
      <c r="K413" t="str">
        <f t="shared" si="461"/>
        <v>170</v>
      </c>
      <c r="L413" t="str">
        <f>"54"</f>
        <v>54</v>
      </c>
      <c r="M413" t="str">
        <f>"261"</f>
        <v>261</v>
      </c>
      <c r="N413" t="str">
        <f t="shared" si="475"/>
        <v>1</v>
      </c>
      <c r="O413" t="str">
        <f>"9997"</f>
        <v>9997</v>
      </c>
      <c r="P413" t="str">
        <f>"S"</f>
        <v>S</v>
      </c>
      <c r="Q413" t="str">
        <f>"CCF050"</f>
        <v>CCF050</v>
      </c>
      <c r="R413" t="str">
        <f t="shared" si="468"/>
        <v>6</v>
      </c>
      <c r="S413" t="str">
        <f>""</f>
        <v/>
      </c>
      <c r="T413" t="str">
        <f t="shared" si="476"/>
        <v xml:space="preserve">                                                                                                    </v>
      </c>
      <c r="U413" t="str">
        <f>"1         "</f>
        <v xml:space="preserve">1         </v>
      </c>
      <c r="V413" t="str">
        <f t="shared" si="477"/>
        <v>2</v>
      </c>
      <c r="W413" t="str">
        <f t="shared" si="431"/>
        <v>2</v>
      </c>
      <c r="X413" t="str">
        <f t="shared" si="483"/>
        <v>2</v>
      </c>
      <c r="Y413" t="str">
        <f t="shared" si="469"/>
        <v>2</v>
      </c>
      <c r="Z413" t="str">
        <f t="shared" si="469"/>
        <v>2</v>
      </c>
      <c r="AA413" t="str">
        <f t="shared" si="451"/>
        <v xml:space="preserve">          </v>
      </c>
      <c r="AB413" t="str">
        <f t="shared" si="440"/>
        <v>2</v>
      </c>
      <c r="AC413" t="str">
        <f t="shared" si="443"/>
        <v>2</v>
      </c>
      <c r="AD413" t="str">
        <f t="shared" si="470"/>
        <v>2</v>
      </c>
      <c r="AE413" t="str">
        <f t="shared" si="470"/>
        <v>2</v>
      </c>
      <c r="AF413" t="str">
        <f t="shared" si="470"/>
        <v>2</v>
      </c>
      <c r="AG413" t="str">
        <f t="shared" si="470"/>
        <v>2</v>
      </c>
      <c r="AH413" t="str">
        <f t="shared" si="484"/>
        <v>1</v>
      </c>
      <c r="AI413" t="str">
        <f>"2         "</f>
        <v xml:space="preserve">2         </v>
      </c>
      <c r="AJ413" t="str">
        <f t="shared" si="462"/>
        <v>170</v>
      </c>
      <c r="AK413" t="str">
        <f>"54"</f>
        <v>54</v>
      </c>
      <c r="AL413" t="str">
        <f>"261"</f>
        <v>261</v>
      </c>
      <c r="AM413" t="str">
        <f>"54"</f>
        <v>54</v>
      </c>
      <c r="AN413" t="str">
        <f>"54001"</f>
        <v>54001</v>
      </c>
      <c r="AO413" t="str">
        <f>"13/04/2020 12:00:00 a. m."</f>
        <v>13/04/2020 12:00:00 a. m.</v>
      </c>
      <c r="AP413" t="str">
        <f>"12/12/2018 12:00:00 a. m."</f>
        <v>12/12/2018 12:00:00 a. m.</v>
      </c>
      <c r="AQ413" t="str">
        <f>"3"</f>
        <v>3</v>
      </c>
      <c r="AR413" t="str">
        <f>"1"</f>
        <v>1</v>
      </c>
      <c r="AS413" t="str">
        <f>"13/04/2020 12:00:00 a. m."</f>
        <v>13/04/2020 12:00:00 a. m.</v>
      </c>
      <c r="AT413" t="str">
        <f t="shared" si="473"/>
        <v>1</v>
      </c>
      <c r="AU413" t="str">
        <f>""</f>
        <v/>
      </c>
      <c r="AV413" t="str">
        <f>"0"</f>
        <v>0</v>
      </c>
      <c r="AW413" t="str">
        <f>"14/04/2005 12:00:00 a. m."</f>
        <v>14/04/2005 12:00:00 a. m.</v>
      </c>
      <c r="AX413" t="str">
        <f>""</f>
        <v/>
      </c>
      <c r="AY413" t="str">
        <f t="shared" si="452"/>
        <v>30/04/2021 12:00:00 a. m.</v>
      </c>
      <c r="AZ413" t="str">
        <f>"11/06/2020 12:00:00 a. m."</f>
        <v>11/06/2020 12:00:00 a. m.</v>
      </c>
      <c r="BA413" t="str">
        <f>""</f>
        <v/>
      </c>
      <c r="BB413" t="str">
        <f>""</f>
        <v/>
      </c>
      <c r="BC413" t="str">
        <f>""</f>
        <v/>
      </c>
      <c r="BD413" t="str">
        <f t="shared" si="474"/>
        <v>1</v>
      </c>
      <c r="BE413" t="str">
        <f t="shared" si="474"/>
        <v>1</v>
      </c>
      <c r="BF413" t="str">
        <f t="shared" si="453"/>
        <v xml:space="preserve">3         </v>
      </c>
      <c r="BG413" t="str">
        <f t="shared" si="454"/>
        <v>Confirmado por laboratorio</v>
      </c>
      <c r="BH413" t="str">
        <f>"CLINICA MEDICAL DUARTE"</f>
        <v>CLINICA MEDICAL DUARTE</v>
      </c>
      <c r="BI413" t="str">
        <f t="shared" si="464"/>
        <v>COLOMBIA</v>
      </c>
      <c r="BJ413" t="str">
        <f t="shared" si="455"/>
        <v>CANCER INFANTIL</v>
      </c>
      <c r="BK413" t="str">
        <f>"NORTE SANTANDER"</f>
        <v>NORTE SANTANDER</v>
      </c>
      <c r="BL413" t="str">
        <f>"EL ZULIA"</f>
        <v>EL ZULIA</v>
      </c>
      <c r="BM413" t="str">
        <f t="shared" si="465"/>
        <v>COLOMBIA</v>
      </c>
      <c r="BN413" t="str">
        <f>"NORTE SANTANDER"</f>
        <v>NORTE SANTANDER</v>
      </c>
      <c r="BO413" t="str">
        <f>"EL ZULIA"</f>
        <v>EL ZULIA</v>
      </c>
      <c r="BP413" t="str">
        <f>"NORTE SANTANDER"</f>
        <v>NORTE SANTANDER</v>
      </c>
      <c r="BQ413" t="str">
        <f>"CUCUTA"</f>
        <v>CUCUTA</v>
      </c>
    </row>
    <row r="414" spans="1:69" x14ac:dyDescent="0.25">
      <c r="A414" t="str">
        <f>"7291771"</f>
        <v>7291771</v>
      </c>
      <c r="B414" t="str">
        <f t="shared" si="449"/>
        <v>459</v>
      </c>
      <c r="C414" t="str">
        <f>"14/03/2020 12:00:00 a. m."</f>
        <v>14/03/2020 12:00:00 a. m.</v>
      </c>
      <c r="D414" t="str">
        <f>"11"</f>
        <v>11</v>
      </c>
      <c r="E414" t="str">
        <f t="shared" si="450"/>
        <v>2020</v>
      </c>
      <c r="F414" t="str">
        <f>"5000100529"</f>
        <v>5000100529</v>
      </c>
      <c r="G414" t="str">
        <f t="shared" si="479"/>
        <v>01</v>
      </c>
      <c r="H414" t="str">
        <f>"10"</f>
        <v>10</v>
      </c>
      <c r="I414" t="str">
        <f t="shared" si="480"/>
        <v>1</v>
      </c>
      <c r="J414" t="str">
        <f t="shared" si="482"/>
        <v>M</v>
      </c>
      <c r="K414" t="str">
        <f t="shared" si="461"/>
        <v>170</v>
      </c>
      <c r="L414" t="str">
        <f>"50"</f>
        <v>50</v>
      </c>
      <c r="M414" t="str">
        <f>"001"</f>
        <v>001</v>
      </c>
      <c r="N414" t="str">
        <f t="shared" si="475"/>
        <v>1</v>
      </c>
      <c r="O414" t="str">
        <f>"9997"</f>
        <v>9997</v>
      </c>
      <c r="P414" t="str">
        <f>"S"</f>
        <v>S</v>
      </c>
      <c r="Q414" t="str">
        <f>"EPSS34"</f>
        <v>EPSS34</v>
      </c>
      <c r="R414" t="str">
        <f t="shared" si="468"/>
        <v>6</v>
      </c>
      <c r="S414" t="str">
        <f>""</f>
        <v/>
      </c>
      <c r="T414" t="str">
        <f t="shared" si="476"/>
        <v xml:space="preserve">                                                                                                    </v>
      </c>
      <c r="U414" t="str">
        <f>"2         "</f>
        <v xml:space="preserve">2         </v>
      </c>
      <c r="V414" t="str">
        <f>"1"</f>
        <v>1</v>
      </c>
      <c r="W414" t="str">
        <f t="shared" si="431"/>
        <v>2</v>
      </c>
      <c r="X414" t="str">
        <f t="shared" si="483"/>
        <v>2</v>
      </c>
      <c r="Y414" t="str">
        <f t="shared" si="469"/>
        <v>2</v>
      </c>
      <c r="Z414" t="str">
        <f t="shared" si="469"/>
        <v>2</v>
      </c>
      <c r="AA414" t="str">
        <f t="shared" si="451"/>
        <v xml:space="preserve">          </v>
      </c>
      <c r="AB414" t="str">
        <f t="shared" si="440"/>
        <v>2</v>
      </c>
      <c r="AC414" t="str">
        <f t="shared" si="443"/>
        <v>2</v>
      </c>
      <c r="AD414" t="str">
        <f t="shared" si="470"/>
        <v>2</v>
      </c>
      <c r="AE414" t="str">
        <f t="shared" si="470"/>
        <v>2</v>
      </c>
      <c r="AF414" t="str">
        <f t="shared" si="470"/>
        <v>2</v>
      </c>
      <c r="AG414" t="str">
        <f t="shared" si="470"/>
        <v>2</v>
      </c>
      <c r="AH414" t="str">
        <f t="shared" si="484"/>
        <v>1</v>
      </c>
      <c r="AI414" t="str">
        <f>"1         "</f>
        <v xml:space="preserve">1         </v>
      </c>
      <c r="AJ414" t="str">
        <f t="shared" si="462"/>
        <v>170</v>
      </c>
      <c r="AK414" t="str">
        <f>"50"</f>
        <v>50</v>
      </c>
      <c r="AL414" t="str">
        <f>"001"</f>
        <v>001</v>
      </c>
      <c r="AM414" t="str">
        <f>"50"</f>
        <v>50</v>
      </c>
      <c r="AN414" t="str">
        <f>"50001"</f>
        <v>50001</v>
      </c>
      <c r="AO414" t="str">
        <f>"12/03/2020 12:00:00 a. m."</f>
        <v>12/03/2020 12:00:00 a. m.</v>
      </c>
      <c r="AP414" t="str">
        <f>"12/02/2020 12:00:00 a. m."</f>
        <v>12/02/2020 12:00:00 a. m.</v>
      </c>
      <c r="AQ414" t="str">
        <f>"2"</f>
        <v>2</v>
      </c>
      <c r="AR414" t="str">
        <f>"1"</f>
        <v>1</v>
      </c>
      <c r="AS414" t="str">
        <f>"12/03/2020 12:00:00 a. m."</f>
        <v>12/03/2020 12:00:00 a. m.</v>
      </c>
      <c r="AT414" t="str">
        <f t="shared" si="473"/>
        <v>1</v>
      </c>
      <c r="AU414" t="str">
        <f>""</f>
        <v/>
      </c>
      <c r="AV414" t="str">
        <f>"3"</f>
        <v>3</v>
      </c>
      <c r="AW414" t="str">
        <f>"23/11/2009 12:00:00 a. m."</f>
        <v>23/11/2009 12:00:00 a. m.</v>
      </c>
      <c r="AX414" t="str">
        <f>""</f>
        <v/>
      </c>
      <c r="AY414" t="str">
        <f t="shared" si="452"/>
        <v>30/04/2021 12:00:00 a. m.</v>
      </c>
      <c r="AZ414" t="str">
        <f>"27/04/2020 12:00:00 a. m."</f>
        <v>27/04/2020 12:00:00 a. m.</v>
      </c>
      <c r="BA414" t="str">
        <f>""</f>
        <v/>
      </c>
      <c r="BB414" t="str">
        <f>""</f>
        <v/>
      </c>
      <c r="BC414" t="str">
        <f>""</f>
        <v/>
      </c>
      <c r="BD414" t="str">
        <f t="shared" si="474"/>
        <v>1</v>
      </c>
      <c r="BE414" t="str">
        <f t="shared" si="474"/>
        <v>1</v>
      </c>
      <c r="BF414" t="str">
        <f t="shared" si="453"/>
        <v xml:space="preserve">3         </v>
      </c>
      <c r="BG414" t="str">
        <f t="shared" si="454"/>
        <v>Confirmado por laboratorio</v>
      </c>
      <c r="BH414" t="str">
        <f>"HOSPITAL DEPARTAMENTAL DE VILLAVICENCIO"</f>
        <v>HOSPITAL DEPARTAMENTAL DE VILLAVICENCIO</v>
      </c>
      <c r="BI414" t="str">
        <f t="shared" si="464"/>
        <v>COLOMBIA</v>
      </c>
      <c r="BJ414" t="str">
        <f t="shared" si="455"/>
        <v>CANCER INFANTIL</v>
      </c>
      <c r="BK414" t="str">
        <f>"META"</f>
        <v>META</v>
      </c>
      <c r="BL414" t="str">
        <f>"VILLAVICENCIO"</f>
        <v>VILLAVICENCIO</v>
      </c>
      <c r="BM414" t="str">
        <f t="shared" si="465"/>
        <v>COLOMBIA</v>
      </c>
      <c r="BN414" t="str">
        <f>"META"</f>
        <v>META</v>
      </c>
      <c r="BO414" t="str">
        <f>"VILLAVICENCIO"</f>
        <v>VILLAVICENCIO</v>
      </c>
      <c r="BP414" t="str">
        <f>"META"</f>
        <v>META</v>
      </c>
      <c r="BQ414" t="str">
        <f>"VILLAVICENCIO"</f>
        <v>VILLAVICENCIO</v>
      </c>
    </row>
    <row r="415" spans="1:69" x14ac:dyDescent="0.25">
      <c r="A415" t="str">
        <f>"7291780"</f>
        <v>7291780</v>
      </c>
      <c r="B415" t="str">
        <f t="shared" si="449"/>
        <v>459</v>
      </c>
      <c r="C415" t="str">
        <f>"29/09/2020 12:00:00 a. m."</f>
        <v>29/09/2020 12:00:00 a. m.</v>
      </c>
      <c r="D415" t="str">
        <f>"40"</f>
        <v>40</v>
      </c>
      <c r="E415" t="str">
        <f t="shared" si="450"/>
        <v>2020</v>
      </c>
      <c r="F415" t="str">
        <f>"5000100529"</f>
        <v>5000100529</v>
      </c>
      <c r="G415" t="str">
        <f t="shared" si="479"/>
        <v>01</v>
      </c>
      <c r="H415" t="str">
        <f>"13"</f>
        <v>13</v>
      </c>
      <c r="I415" t="str">
        <f t="shared" si="480"/>
        <v>1</v>
      </c>
      <c r="J415" t="str">
        <f t="shared" si="482"/>
        <v>M</v>
      </c>
      <c r="K415" t="str">
        <f t="shared" si="461"/>
        <v>170</v>
      </c>
      <c r="L415" t="str">
        <f>"50"</f>
        <v>50</v>
      </c>
      <c r="M415" t="str">
        <f>"001"</f>
        <v>001</v>
      </c>
      <c r="N415" t="str">
        <f t="shared" si="475"/>
        <v>1</v>
      </c>
      <c r="O415" t="str">
        <f>"9997"</f>
        <v>9997</v>
      </c>
      <c r="P415" t="str">
        <f>"C"</f>
        <v>C</v>
      </c>
      <c r="Q415" t="str">
        <f>"EPS044"</f>
        <v>EPS044</v>
      </c>
      <c r="R415" t="str">
        <f t="shared" si="468"/>
        <v>6</v>
      </c>
      <c r="S415" t="str">
        <f>""</f>
        <v/>
      </c>
      <c r="T415" t="str">
        <f t="shared" si="476"/>
        <v xml:space="preserve">                                                                                                    </v>
      </c>
      <c r="U415" t="str">
        <f>"2         "</f>
        <v xml:space="preserve">2         </v>
      </c>
      <c r="V415" t="str">
        <f t="shared" ref="V415:V446" si="485">"2"</f>
        <v>2</v>
      </c>
      <c r="W415" t="str">
        <f t="shared" si="431"/>
        <v>2</v>
      </c>
      <c r="X415" t="str">
        <f t="shared" si="483"/>
        <v>2</v>
      </c>
      <c r="Y415" t="str">
        <f t="shared" si="469"/>
        <v>2</v>
      </c>
      <c r="Z415" t="str">
        <f t="shared" si="469"/>
        <v>2</v>
      </c>
      <c r="AA415" t="str">
        <f t="shared" si="451"/>
        <v xml:space="preserve">          </v>
      </c>
      <c r="AB415" t="str">
        <f t="shared" si="440"/>
        <v>2</v>
      </c>
      <c r="AC415" t="str">
        <f t="shared" si="443"/>
        <v>2</v>
      </c>
      <c r="AD415" t="str">
        <f t="shared" si="470"/>
        <v>2</v>
      </c>
      <c r="AE415" t="str">
        <f t="shared" si="470"/>
        <v>2</v>
      </c>
      <c r="AF415" t="str">
        <f t="shared" si="470"/>
        <v>2</v>
      </c>
      <c r="AG415" t="str">
        <f t="shared" si="470"/>
        <v>2</v>
      </c>
      <c r="AH415" t="str">
        <f t="shared" si="484"/>
        <v>1</v>
      </c>
      <c r="AI415" t="str">
        <f>"1         "</f>
        <v xml:space="preserve">1         </v>
      </c>
      <c r="AJ415" t="str">
        <f t="shared" si="462"/>
        <v>170</v>
      </c>
      <c r="AK415" t="str">
        <f>"50"</f>
        <v>50</v>
      </c>
      <c r="AL415" t="str">
        <f>"001"</f>
        <v>001</v>
      </c>
      <c r="AM415" t="str">
        <f>"50"</f>
        <v>50</v>
      </c>
      <c r="AN415" t="str">
        <f>"50001"</f>
        <v>50001</v>
      </c>
      <c r="AO415" t="str">
        <f>"28/09/2020 12:00:00 a. m."</f>
        <v>28/09/2020 12:00:00 a. m.</v>
      </c>
      <c r="AP415" t="str">
        <f>"28/08/2020 12:00:00 a. m."</f>
        <v>28/08/2020 12:00:00 a. m.</v>
      </c>
      <c r="AQ415" t="str">
        <f>"2"</f>
        <v>2</v>
      </c>
      <c r="AR415" t="str">
        <f>"1"</f>
        <v>1</v>
      </c>
      <c r="AS415" t="str">
        <f>"28/09/2020 12:00:00 a. m."</f>
        <v>28/09/2020 12:00:00 a. m.</v>
      </c>
      <c r="AT415" t="str">
        <f>"2"</f>
        <v>2</v>
      </c>
      <c r="AU415" t="str">
        <f>"6/10/2020 12:00:00 a. m."</f>
        <v>6/10/2020 12:00:00 a. m.</v>
      </c>
      <c r="AV415" t="str">
        <f>"3"</f>
        <v>3</v>
      </c>
      <c r="AW415" t="str">
        <f>"9/03/2007 12:00:00 a. m."</f>
        <v>9/03/2007 12:00:00 a. m.</v>
      </c>
      <c r="AX415" t="str">
        <f>"C859"</f>
        <v>C859</v>
      </c>
      <c r="AY415" t="str">
        <f t="shared" si="452"/>
        <v>30/04/2021 12:00:00 a. m.</v>
      </c>
      <c r="AZ415" t="str">
        <f>"11/10/2020 12:00:00 a. m."</f>
        <v>11/10/2020 12:00:00 a. m.</v>
      </c>
      <c r="BA415" t="str">
        <f>""</f>
        <v/>
      </c>
      <c r="BB415" t="str">
        <f>""</f>
        <v/>
      </c>
      <c r="BC415" t="str">
        <f>""</f>
        <v/>
      </c>
      <c r="BD415" t="str">
        <f t="shared" si="474"/>
        <v>1</v>
      </c>
      <c r="BE415" t="str">
        <f t="shared" si="474"/>
        <v>1</v>
      </c>
      <c r="BF415" t="str">
        <f t="shared" si="453"/>
        <v xml:space="preserve">3         </v>
      </c>
      <c r="BG415" t="str">
        <f t="shared" si="454"/>
        <v>Confirmado por laboratorio</v>
      </c>
      <c r="BH415" t="str">
        <f>"HOSPITAL DEPARTAMENTAL DE VILLAVICENCIO"</f>
        <v>HOSPITAL DEPARTAMENTAL DE VILLAVICENCIO</v>
      </c>
      <c r="BI415" t="str">
        <f t="shared" si="464"/>
        <v>COLOMBIA</v>
      </c>
      <c r="BJ415" t="str">
        <f t="shared" si="455"/>
        <v>CANCER INFANTIL</v>
      </c>
      <c r="BK415" t="str">
        <f>"META"</f>
        <v>META</v>
      </c>
      <c r="BL415" t="str">
        <f>"VILLAVICENCIO"</f>
        <v>VILLAVICENCIO</v>
      </c>
      <c r="BM415" t="str">
        <f t="shared" si="465"/>
        <v>COLOMBIA</v>
      </c>
      <c r="BN415" t="str">
        <f>"META"</f>
        <v>META</v>
      </c>
      <c r="BO415" t="str">
        <f>"VILLAVICENCIO"</f>
        <v>VILLAVICENCIO</v>
      </c>
      <c r="BP415" t="str">
        <f>"META"</f>
        <v>META</v>
      </c>
      <c r="BQ415" t="str">
        <f>"VILLAVICENCIO"</f>
        <v>VILLAVICENCIO</v>
      </c>
    </row>
    <row r="416" spans="1:69" x14ac:dyDescent="0.25">
      <c r="A416" t="str">
        <f>"7291463"</f>
        <v>7291463</v>
      </c>
      <c r="B416" t="str">
        <f t="shared" si="449"/>
        <v>459</v>
      </c>
      <c r="C416" t="str">
        <f>"27/08/2020 12:00:00 a. m."</f>
        <v>27/08/2020 12:00:00 a. m.</v>
      </c>
      <c r="D416" t="str">
        <f>"35"</f>
        <v>35</v>
      </c>
      <c r="E416" t="str">
        <f t="shared" si="450"/>
        <v>2020</v>
      </c>
      <c r="F416" t="str">
        <f>"1100109111"</f>
        <v>1100109111</v>
      </c>
      <c r="G416" t="str">
        <f t="shared" si="479"/>
        <v>01</v>
      </c>
      <c r="H416" t="str">
        <f>"11"</f>
        <v>11</v>
      </c>
      <c r="I416" t="str">
        <f t="shared" si="480"/>
        <v>1</v>
      </c>
      <c r="J416" t="str">
        <f t="shared" si="482"/>
        <v>M</v>
      </c>
      <c r="K416" t="str">
        <f t="shared" si="461"/>
        <v>170</v>
      </c>
      <c r="L416" t="str">
        <f>"25"</f>
        <v>25</v>
      </c>
      <c r="M416" t="str">
        <f>"777"</f>
        <v>777</v>
      </c>
      <c r="N416" t="str">
        <f t="shared" si="475"/>
        <v>1</v>
      </c>
      <c r="O416" t="str">
        <f>"9997"</f>
        <v>9997</v>
      </c>
      <c r="P416" t="str">
        <f>"C"</f>
        <v>C</v>
      </c>
      <c r="Q416" t="str">
        <f>"EPS008"</f>
        <v>EPS008</v>
      </c>
      <c r="R416" t="str">
        <f t="shared" si="468"/>
        <v>6</v>
      </c>
      <c r="S416" t="str">
        <f>""</f>
        <v/>
      </c>
      <c r="T416" t="str">
        <f t="shared" si="476"/>
        <v xml:space="preserve">                                                                                                    </v>
      </c>
      <c r="U416" t="str">
        <f>"2         "</f>
        <v xml:space="preserve">2         </v>
      </c>
      <c r="V416" t="str">
        <f t="shared" si="485"/>
        <v>2</v>
      </c>
      <c r="W416" t="str">
        <f t="shared" si="431"/>
        <v>2</v>
      </c>
      <c r="X416" t="str">
        <f t="shared" si="483"/>
        <v>2</v>
      </c>
      <c r="Y416" t="str">
        <f t="shared" si="469"/>
        <v>2</v>
      </c>
      <c r="Z416" t="str">
        <f t="shared" si="469"/>
        <v>2</v>
      </c>
      <c r="AA416" t="str">
        <f t="shared" si="451"/>
        <v xml:space="preserve">          </v>
      </c>
      <c r="AB416" t="str">
        <f t="shared" si="440"/>
        <v>2</v>
      </c>
      <c r="AC416" t="str">
        <f t="shared" si="443"/>
        <v>2</v>
      </c>
      <c r="AD416" t="str">
        <f t="shared" si="470"/>
        <v>2</v>
      </c>
      <c r="AE416" t="str">
        <f t="shared" si="470"/>
        <v>2</v>
      </c>
      <c r="AF416" t="str">
        <f t="shared" si="470"/>
        <v>2</v>
      </c>
      <c r="AG416" t="str">
        <f t="shared" si="470"/>
        <v>2</v>
      </c>
      <c r="AH416" t="str">
        <f t="shared" si="484"/>
        <v>1</v>
      </c>
      <c r="AI416" t="str">
        <f>"1         "</f>
        <v xml:space="preserve">1         </v>
      </c>
      <c r="AJ416" t="str">
        <f t="shared" si="462"/>
        <v>170</v>
      </c>
      <c r="AK416" t="str">
        <f>"25"</f>
        <v>25</v>
      </c>
      <c r="AL416" t="str">
        <f>"777"</f>
        <v>777</v>
      </c>
      <c r="AM416" t="str">
        <f>"11"</f>
        <v>11</v>
      </c>
      <c r="AN416" t="str">
        <f>"11001"</f>
        <v>11001</v>
      </c>
      <c r="AO416" t="str">
        <f>"23/08/2020 12:00:00 a. m."</f>
        <v>23/08/2020 12:00:00 a. m.</v>
      </c>
      <c r="AP416" t="str">
        <f>"1/07/2020 12:00:00 a. m."</f>
        <v>1/07/2020 12:00:00 a. m.</v>
      </c>
      <c r="AQ416" t="str">
        <f>"3"</f>
        <v>3</v>
      </c>
      <c r="AR416" t="str">
        <f>"1"</f>
        <v>1</v>
      </c>
      <c r="AS416" t="str">
        <f>"23/08/2020 12:00:00 a. m."</f>
        <v>23/08/2020 12:00:00 a. m.</v>
      </c>
      <c r="AT416" t="str">
        <f>"1"</f>
        <v>1</v>
      </c>
      <c r="AU416" t="str">
        <f>""</f>
        <v/>
      </c>
      <c r="AV416" t="str">
        <f>"0"</f>
        <v>0</v>
      </c>
      <c r="AW416" t="str">
        <f>"22/04/2009 12:00:00 a. m."</f>
        <v>22/04/2009 12:00:00 a. m.</v>
      </c>
      <c r="AX416" t="str">
        <f>""</f>
        <v/>
      </c>
      <c r="AY416" t="str">
        <f t="shared" si="452"/>
        <v>30/04/2021 12:00:00 a. m.</v>
      </c>
      <c r="AZ416" t="str">
        <f>"31/08/2020 12:00:00 a. m."</f>
        <v>31/08/2020 12:00:00 a. m.</v>
      </c>
      <c r="BA416" t="str">
        <f>""</f>
        <v/>
      </c>
      <c r="BB416" t="str">
        <f>""</f>
        <v/>
      </c>
      <c r="BC416" t="str">
        <f>""</f>
        <v/>
      </c>
      <c r="BD416" t="str">
        <f t="shared" si="474"/>
        <v>1</v>
      </c>
      <c r="BE416" t="str">
        <f t="shared" si="474"/>
        <v>1</v>
      </c>
      <c r="BF416" t="str">
        <f t="shared" si="453"/>
        <v xml:space="preserve">3         </v>
      </c>
      <c r="BG416" t="str">
        <f t="shared" si="454"/>
        <v>Confirmado por laboratorio</v>
      </c>
      <c r="BH416" t="str">
        <f>"FUNDACION CARDIOINFANTIL INSTITUTO DE CARDIOLOGIA"</f>
        <v>FUNDACION CARDIOINFANTIL INSTITUTO DE CARDIOLOGIA</v>
      </c>
      <c r="BI416" t="str">
        <f t="shared" si="464"/>
        <v>COLOMBIA</v>
      </c>
      <c r="BJ416" t="str">
        <f t="shared" si="455"/>
        <v>CANCER INFANTIL</v>
      </c>
      <c r="BK416" t="str">
        <f>"CUNDINAMARCA"</f>
        <v>CUNDINAMARCA</v>
      </c>
      <c r="BL416" t="str">
        <f>"SUPATA"</f>
        <v>SUPATA</v>
      </c>
      <c r="BM416" t="str">
        <f t="shared" si="465"/>
        <v>COLOMBIA</v>
      </c>
      <c r="BN416" t="str">
        <f>"CUNDINAMARCA"</f>
        <v>CUNDINAMARCA</v>
      </c>
      <c r="BO416" t="str">
        <f>"SUPATA"</f>
        <v>SUPATA</v>
      </c>
      <c r="BP416" t="str">
        <f>"BOGOTA"</f>
        <v>BOGOTA</v>
      </c>
      <c r="BQ416" t="str">
        <f>"BOGOTA"</f>
        <v>BOGOTA</v>
      </c>
    </row>
    <row r="417" spans="1:69" x14ac:dyDescent="0.25">
      <c r="A417" t="str">
        <f>"7291561"</f>
        <v>7291561</v>
      </c>
      <c r="B417" t="str">
        <f t="shared" si="449"/>
        <v>459</v>
      </c>
      <c r="C417" t="str">
        <f>"30/10/2020 12:00:00 a. m."</f>
        <v>30/10/2020 12:00:00 a. m.</v>
      </c>
      <c r="D417" t="str">
        <f>"44"</f>
        <v>44</v>
      </c>
      <c r="E417" t="str">
        <f t="shared" si="450"/>
        <v>2020</v>
      </c>
      <c r="F417" t="str">
        <f>"7600102870"</f>
        <v>7600102870</v>
      </c>
      <c r="G417" t="str">
        <f t="shared" si="479"/>
        <v>01</v>
      </c>
      <c r="H417" t="str">
        <f>"7"</f>
        <v>7</v>
      </c>
      <c r="I417" t="str">
        <f t="shared" si="480"/>
        <v>1</v>
      </c>
      <c r="J417" t="str">
        <f t="shared" si="482"/>
        <v>M</v>
      </c>
      <c r="K417" t="str">
        <f t="shared" si="461"/>
        <v>170</v>
      </c>
      <c r="L417" t="str">
        <f>"19"</f>
        <v>19</v>
      </c>
      <c r="M417" t="str">
        <f>"585"</f>
        <v>585</v>
      </c>
      <c r="N417" t="str">
        <f t="shared" si="475"/>
        <v>1</v>
      </c>
      <c r="O417" t="str">
        <f>"9999"</f>
        <v>9999</v>
      </c>
      <c r="P417" t="str">
        <f>"S"</f>
        <v>S</v>
      </c>
      <c r="Q417" t="str">
        <f>"ESS062"</f>
        <v>ESS062</v>
      </c>
      <c r="R417" t="str">
        <f t="shared" si="468"/>
        <v>6</v>
      </c>
      <c r="S417" t="str">
        <f>""</f>
        <v/>
      </c>
      <c r="T417" t="str">
        <f t="shared" si="476"/>
        <v xml:space="preserve">                                                                                                    </v>
      </c>
      <c r="U417" t="str">
        <f>"          "</f>
        <v xml:space="preserve">          </v>
      </c>
      <c r="V417" t="str">
        <f t="shared" si="485"/>
        <v>2</v>
      </c>
      <c r="W417" t="str">
        <f t="shared" si="431"/>
        <v>2</v>
      </c>
      <c r="X417" t="str">
        <f t="shared" si="483"/>
        <v>2</v>
      </c>
      <c r="Y417" t="str">
        <f t="shared" si="469"/>
        <v>2</v>
      </c>
      <c r="Z417" t="str">
        <f t="shared" si="469"/>
        <v>2</v>
      </c>
      <c r="AA417" t="str">
        <f t="shared" si="451"/>
        <v xml:space="preserve">          </v>
      </c>
      <c r="AB417" t="str">
        <f t="shared" si="440"/>
        <v>2</v>
      </c>
      <c r="AC417" t="str">
        <f t="shared" si="443"/>
        <v>2</v>
      </c>
      <c r="AD417" t="str">
        <f t="shared" si="470"/>
        <v>2</v>
      </c>
      <c r="AE417" t="str">
        <f t="shared" si="470"/>
        <v>2</v>
      </c>
      <c r="AF417" t="str">
        <f t="shared" si="470"/>
        <v>2</v>
      </c>
      <c r="AG417" t="str">
        <f t="shared" si="470"/>
        <v>2</v>
      </c>
      <c r="AH417" t="str">
        <f t="shared" si="484"/>
        <v>1</v>
      </c>
      <c r="AI417" t="str">
        <f>"1         "</f>
        <v xml:space="preserve">1         </v>
      </c>
      <c r="AJ417" t="str">
        <f t="shared" si="462"/>
        <v>170</v>
      </c>
      <c r="AK417" t="str">
        <f>"19"</f>
        <v>19</v>
      </c>
      <c r="AL417" t="str">
        <f>"585"</f>
        <v>585</v>
      </c>
      <c r="AM417" t="str">
        <f>"76"</f>
        <v>76</v>
      </c>
      <c r="AN417" t="str">
        <f>"76001"</f>
        <v>76001</v>
      </c>
      <c r="AO417" t="str">
        <f>"29/10/2020 12:00:00 a. m."</f>
        <v>29/10/2020 12:00:00 a. m.</v>
      </c>
      <c r="AP417" t="str">
        <f>"19/10/2020 12:00:00 a. m."</f>
        <v>19/10/2020 12:00:00 a. m.</v>
      </c>
      <c r="AQ417" t="str">
        <f>"3"</f>
        <v>3</v>
      </c>
      <c r="AR417" t="str">
        <f>"2"</f>
        <v>2</v>
      </c>
      <c r="AS417" t="str">
        <f>""</f>
        <v/>
      </c>
      <c r="AT417" t="str">
        <f>"1"</f>
        <v>1</v>
      </c>
      <c r="AU417" t="str">
        <f>""</f>
        <v/>
      </c>
      <c r="AV417" t="str">
        <f>"0"</f>
        <v>0</v>
      </c>
      <c r="AW417" t="str">
        <f>"28/01/2013 12:00:00 a. m."</f>
        <v>28/01/2013 12:00:00 a. m.</v>
      </c>
      <c r="AX417" t="str">
        <f>""</f>
        <v/>
      </c>
      <c r="AY417" t="str">
        <f t="shared" si="452"/>
        <v>30/04/2021 12:00:00 a. m.</v>
      </c>
      <c r="AZ417" t="str">
        <f>"30/10/2020 12:00:00 a. m."</f>
        <v>30/10/2020 12:00:00 a. m.</v>
      </c>
      <c r="BA417" t="str">
        <f>""</f>
        <v/>
      </c>
      <c r="BB417" t="str">
        <f>""</f>
        <v/>
      </c>
      <c r="BC417" t="str">
        <f>""</f>
        <v/>
      </c>
      <c r="BD417" t="str">
        <f t="shared" si="474"/>
        <v>1</v>
      </c>
      <c r="BE417" t="str">
        <f t="shared" si="474"/>
        <v>1</v>
      </c>
      <c r="BF417" t="str">
        <f t="shared" si="453"/>
        <v xml:space="preserve">3         </v>
      </c>
      <c r="BG417" t="str">
        <f t="shared" si="454"/>
        <v>Confirmado por laboratorio</v>
      </c>
      <c r="BH417" t="str">
        <f>"FUNDACION VALLE DEL LILI"</f>
        <v>FUNDACION VALLE DEL LILI</v>
      </c>
      <c r="BI417" t="str">
        <f t="shared" si="464"/>
        <v>COLOMBIA</v>
      </c>
      <c r="BJ417" t="str">
        <f t="shared" si="455"/>
        <v>CANCER INFANTIL</v>
      </c>
      <c r="BK417" t="str">
        <f>"CAUCA"</f>
        <v>CAUCA</v>
      </c>
      <c r="BL417" t="str">
        <f>"PURACE"</f>
        <v>PURACE</v>
      </c>
      <c r="BM417" t="str">
        <f t="shared" si="465"/>
        <v>COLOMBIA</v>
      </c>
      <c r="BN417" t="str">
        <f>"CAUCA"</f>
        <v>CAUCA</v>
      </c>
      <c r="BO417" t="str">
        <f>"PURACE"</f>
        <v>PURACE</v>
      </c>
      <c r="BP417" t="str">
        <f>"VALLE"</f>
        <v>VALLE</v>
      </c>
      <c r="BQ417" t="str">
        <f>"CALI"</f>
        <v>CALI</v>
      </c>
    </row>
    <row r="418" spans="1:69" x14ac:dyDescent="0.25">
      <c r="A418" t="str">
        <f>"7279000"</f>
        <v>7279000</v>
      </c>
      <c r="B418" t="str">
        <f t="shared" si="449"/>
        <v>459</v>
      </c>
      <c r="C418" t="str">
        <f>"21/10/2020 12:00:00 a. m."</f>
        <v>21/10/2020 12:00:00 a. m.</v>
      </c>
      <c r="D418" t="str">
        <f>"41"</f>
        <v>41</v>
      </c>
      <c r="E418" t="str">
        <f t="shared" si="450"/>
        <v>2020</v>
      </c>
      <c r="F418" t="str">
        <f>"4100100562"</f>
        <v>4100100562</v>
      </c>
      <c r="G418" t="str">
        <f t="shared" si="479"/>
        <v>01</v>
      </c>
      <c r="H418" t="str">
        <f>"16"</f>
        <v>16</v>
      </c>
      <c r="I418" t="str">
        <f t="shared" si="480"/>
        <v>1</v>
      </c>
      <c r="J418" t="str">
        <f t="shared" si="482"/>
        <v>M</v>
      </c>
      <c r="K418" t="str">
        <f t="shared" si="461"/>
        <v>170</v>
      </c>
      <c r="L418" t="str">
        <f>"41"</f>
        <v>41</v>
      </c>
      <c r="M418" t="str">
        <f>"885"</f>
        <v>885</v>
      </c>
      <c r="N418" t="str">
        <f t="shared" si="475"/>
        <v>1</v>
      </c>
      <c r="O418" t="str">
        <f>"9999"</f>
        <v>9999</v>
      </c>
      <c r="P418" t="str">
        <f>"S"</f>
        <v>S</v>
      </c>
      <c r="Q418" t="str">
        <f>"ESS062"</f>
        <v>ESS062</v>
      </c>
      <c r="R418" t="str">
        <f t="shared" si="468"/>
        <v>6</v>
      </c>
      <c r="S418" t="str">
        <f>""</f>
        <v/>
      </c>
      <c r="T418" t="str">
        <f t="shared" si="476"/>
        <v xml:space="preserve">                                                                                                    </v>
      </c>
      <c r="U418" t="str">
        <f>"2         "</f>
        <v xml:space="preserve">2         </v>
      </c>
      <c r="V418" t="str">
        <f t="shared" si="485"/>
        <v>2</v>
      </c>
      <c r="W418" t="str">
        <f t="shared" si="431"/>
        <v>2</v>
      </c>
      <c r="X418" t="str">
        <f t="shared" si="483"/>
        <v>2</v>
      </c>
      <c r="Y418" t="str">
        <f t="shared" si="469"/>
        <v>2</v>
      </c>
      <c r="Z418" t="str">
        <f t="shared" si="469"/>
        <v>2</v>
      </c>
      <c r="AA418" t="str">
        <f t="shared" si="451"/>
        <v xml:space="preserve">          </v>
      </c>
      <c r="AB418" t="str">
        <f t="shared" si="440"/>
        <v>2</v>
      </c>
      <c r="AC418" t="str">
        <f t="shared" si="443"/>
        <v>2</v>
      </c>
      <c r="AD418" t="str">
        <f t="shared" si="470"/>
        <v>2</v>
      </c>
      <c r="AE418" t="str">
        <f t="shared" si="470"/>
        <v>2</v>
      </c>
      <c r="AF418" t="str">
        <f t="shared" si="470"/>
        <v>2</v>
      </c>
      <c r="AG418" t="str">
        <f t="shared" si="470"/>
        <v>2</v>
      </c>
      <c r="AH418" t="str">
        <f t="shared" si="484"/>
        <v>1</v>
      </c>
      <c r="AI418" t="str">
        <f>"1         "</f>
        <v xml:space="preserve">1         </v>
      </c>
      <c r="AJ418" t="str">
        <f t="shared" si="462"/>
        <v>170</v>
      </c>
      <c r="AK418" t="str">
        <f>"41"</f>
        <v>41</v>
      </c>
      <c r="AL418" t="str">
        <f>"885"</f>
        <v>885</v>
      </c>
      <c r="AM418" t="str">
        <f>"41"</f>
        <v>41</v>
      </c>
      <c r="AN418" t="str">
        <f>"41001"</f>
        <v>41001</v>
      </c>
      <c r="AO418" t="str">
        <f>"9/10/2020 12:00:00 a. m."</f>
        <v>9/10/2020 12:00:00 a. m.</v>
      </c>
      <c r="AP418" t="str">
        <f>"9/10/2020 12:00:00 a. m."</f>
        <v>9/10/2020 12:00:00 a. m.</v>
      </c>
      <c r="AQ418" t="str">
        <f>"3"</f>
        <v>3</v>
      </c>
      <c r="AR418" t="str">
        <f t="shared" ref="AR418:AR423" si="486">"1"</f>
        <v>1</v>
      </c>
      <c r="AS418" t="str">
        <f>"9/10/2020 12:00:00 a. m."</f>
        <v>9/10/2020 12:00:00 a. m.</v>
      </c>
      <c r="AT418" t="str">
        <f>"2"</f>
        <v>2</v>
      </c>
      <c r="AU418" t="str">
        <f>"21/10/2020 12:00:00 a. m."</f>
        <v>21/10/2020 12:00:00 a. m.</v>
      </c>
      <c r="AV418" t="str">
        <f>"0"</f>
        <v>0</v>
      </c>
      <c r="AW418" t="str">
        <f>"13/06/2004 12:00:00 a. m."</f>
        <v>13/06/2004 12:00:00 a. m.</v>
      </c>
      <c r="AX418" t="str">
        <f>"P833"</f>
        <v>P833</v>
      </c>
      <c r="AY418" t="str">
        <f t="shared" si="452"/>
        <v>30/04/2021 12:00:00 a. m.</v>
      </c>
      <c r="AZ418" t="str">
        <f>"22/10/2020 12:00:00 a. m."</f>
        <v>22/10/2020 12:00:00 a. m.</v>
      </c>
      <c r="BA418" t="str">
        <f>""</f>
        <v/>
      </c>
      <c r="BB418" t="str">
        <f>""</f>
        <v/>
      </c>
      <c r="BC418" t="str">
        <f>""</f>
        <v/>
      </c>
      <c r="BD418" t="str">
        <f t="shared" si="474"/>
        <v>1</v>
      </c>
      <c r="BE418" t="str">
        <f t="shared" si="474"/>
        <v>1</v>
      </c>
      <c r="BF418" t="str">
        <f t="shared" si="453"/>
        <v xml:space="preserve">3         </v>
      </c>
      <c r="BG418" t="str">
        <f t="shared" si="454"/>
        <v>Confirmado por laboratorio</v>
      </c>
      <c r="BH418" t="str">
        <f>"HOSPITAL UNIVERSITARIO HERNANDO MONCALEANO PERDOMO"</f>
        <v>HOSPITAL UNIVERSITARIO HERNANDO MONCALEANO PERDOMO</v>
      </c>
      <c r="BI418" t="str">
        <f t="shared" si="464"/>
        <v>COLOMBIA</v>
      </c>
      <c r="BJ418" t="str">
        <f t="shared" si="455"/>
        <v>CANCER INFANTIL</v>
      </c>
      <c r="BK418" t="str">
        <f>"HUILA"</f>
        <v>HUILA</v>
      </c>
      <c r="BL418" t="str">
        <f>"YAGUARA"</f>
        <v>YAGUARA</v>
      </c>
      <c r="BM418" t="str">
        <f t="shared" si="465"/>
        <v>COLOMBIA</v>
      </c>
      <c r="BN418" t="str">
        <f>"HUILA"</f>
        <v>HUILA</v>
      </c>
      <c r="BO418" t="str">
        <f>"YAGUARA"</f>
        <v>YAGUARA</v>
      </c>
      <c r="BP418" t="str">
        <f>"HUILA"</f>
        <v>HUILA</v>
      </c>
      <c r="BQ418" t="str">
        <f>"NEIVA"</f>
        <v>NEIVA</v>
      </c>
    </row>
    <row r="419" spans="1:69" x14ac:dyDescent="0.25">
      <c r="A419" t="str">
        <f>"7291580"</f>
        <v>7291580</v>
      </c>
      <c r="B419" t="str">
        <f t="shared" si="449"/>
        <v>459</v>
      </c>
      <c r="C419" t="str">
        <f>"15/10/2020 12:00:00 a. m."</f>
        <v>15/10/2020 12:00:00 a. m.</v>
      </c>
      <c r="D419" t="str">
        <f>"34"</f>
        <v>34</v>
      </c>
      <c r="E419" t="str">
        <f t="shared" si="450"/>
        <v>2020</v>
      </c>
      <c r="F419" t="str">
        <f>"2300101090"</f>
        <v>2300101090</v>
      </c>
      <c r="G419" t="str">
        <f t="shared" si="479"/>
        <v>01</v>
      </c>
      <c r="H419" t="str">
        <f>"12"</f>
        <v>12</v>
      </c>
      <c r="I419" t="str">
        <f t="shared" si="480"/>
        <v>1</v>
      </c>
      <c r="J419" t="str">
        <f t="shared" si="482"/>
        <v>M</v>
      </c>
      <c r="K419" t="str">
        <f t="shared" si="461"/>
        <v>170</v>
      </c>
      <c r="L419" t="str">
        <f>"23"</f>
        <v>23</v>
      </c>
      <c r="M419" t="str">
        <f>"574"</f>
        <v>574</v>
      </c>
      <c r="N419" t="str">
        <f>"3"</f>
        <v>3</v>
      </c>
      <c r="O419" t="str">
        <f>"9997"</f>
        <v>9997</v>
      </c>
      <c r="P419" t="str">
        <f>"S"</f>
        <v>S</v>
      </c>
      <c r="Q419" t="str">
        <f>"EPSS02"</f>
        <v>EPSS02</v>
      </c>
      <c r="R419" t="str">
        <f t="shared" si="468"/>
        <v>6</v>
      </c>
      <c r="S419" t="str">
        <f>""</f>
        <v/>
      </c>
      <c r="T419" t="str">
        <f t="shared" si="476"/>
        <v xml:space="preserve">                                                                                                    </v>
      </c>
      <c r="U419" t="str">
        <f>"1         "</f>
        <v xml:space="preserve">1         </v>
      </c>
      <c r="V419" t="str">
        <f t="shared" si="485"/>
        <v>2</v>
      </c>
      <c r="W419" t="str">
        <f t="shared" si="431"/>
        <v>2</v>
      </c>
      <c r="X419" t="str">
        <f t="shared" si="483"/>
        <v>2</v>
      </c>
      <c r="Y419" t="str">
        <f t="shared" ref="Y419:Z438" si="487">"2"</f>
        <v>2</v>
      </c>
      <c r="Z419" t="str">
        <f t="shared" si="487"/>
        <v>2</v>
      </c>
      <c r="AA419" t="str">
        <f t="shared" si="451"/>
        <v xml:space="preserve">          </v>
      </c>
      <c r="AB419" t="str">
        <f t="shared" si="440"/>
        <v>2</v>
      </c>
      <c r="AC419" t="str">
        <f t="shared" si="443"/>
        <v>2</v>
      </c>
      <c r="AD419" t="str">
        <f t="shared" si="470"/>
        <v>2</v>
      </c>
      <c r="AE419" t="str">
        <f t="shared" si="470"/>
        <v>2</v>
      </c>
      <c r="AF419" t="str">
        <f t="shared" si="470"/>
        <v>2</v>
      </c>
      <c r="AG419" t="str">
        <f t="shared" si="470"/>
        <v>2</v>
      </c>
      <c r="AH419" t="str">
        <f t="shared" si="484"/>
        <v>1</v>
      </c>
      <c r="AI419" t="str">
        <f>"2         "</f>
        <v xml:space="preserve">2         </v>
      </c>
      <c r="AJ419" t="str">
        <f t="shared" si="462"/>
        <v>170</v>
      </c>
      <c r="AK419" t="str">
        <f>"23"</f>
        <v>23</v>
      </c>
      <c r="AL419" t="str">
        <f>"574"</f>
        <v>574</v>
      </c>
      <c r="AM419" t="str">
        <f>"23"</f>
        <v>23</v>
      </c>
      <c r="AN419" t="str">
        <f>"23001"</f>
        <v>23001</v>
      </c>
      <c r="AO419" t="str">
        <f>"20/08/2020 12:00:00 a. m."</f>
        <v>20/08/2020 12:00:00 a. m.</v>
      </c>
      <c r="AP419" t="str">
        <f>"10/08/2020 12:00:00 a. m."</f>
        <v>10/08/2020 12:00:00 a. m.</v>
      </c>
      <c r="AQ419" t="str">
        <f>"2"</f>
        <v>2</v>
      </c>
      <c r="AR419" t="str">
        <f t="shared" si="486"/>
        <v>1</v>
      </c>
      <c r="AS419" t="str">
        <f>"20/08/2020 12:00:00 a. m."</f>
        <v>20/08/2020 12:00:00 a. m.</v>
      </c>
      <c r="AT419" t="str">
        <f t="shared" ref="AT419:AT432" si="488">"1"</f>
        <v>1</v>
      </c>
      <c r="AU419" t="str">
        <f>""</f>
        <v/>
      </c>
      <c r="AV419" t="str">
        <f>"3"</f>
        <v>3</v>
      </c>
      <c r="AW419" t="str">
        <f>"24/12/2008 12:00:00 a. m."</f>
        <v>24/12/2008 12:00:00 a. m.</v>
      </c>
      <c r="AX419" t="str">
        <f>""</f>
        <v/>
      </c>
      <c r="AY419" t="str">
        <f t="shared" si="452"/>
        <v>30/04/2021 12:00:00 a. m.</v>
      </c>
      <c r="AZ419" t="str">
        <f>"7/12/2020 12:00:00 a. m."</f>
        <v>7/12/2020 12:00:00 a. m.</v>
      </c>
      <c r="BA419" t="str">
        <f>""</f>
        <v/>
      </c>
      <c r="BB419" t="str">
        <f>""</f>
        <v/>
      </c>
      <c r="BC419" t="str">
        <f>""</f>
        <v/>
      </c>
      <c r="BD419" t="str">
        <f t="shared" si="474"/>
        <v>1</v>
      </c>
      <c r="BE419" t="str">
        <f t="shared" si="474"/>
        <v>1</v>
      </c>
      <c r="BF419" t="str">
        <f t="shared" si="453"/>
        <v xml:space="preserve">3         </v>
      </c>
      <c r="BG419" t="str">
        <f t="shared" si="454"/>
        <v>Confirmado por laboratorio</v>
      </c>
      <c r="BH419" t="str">
        <f>"CLINICA CENTRAL OHL LTDA"</f>
        <v>CLINICA CENTRAL OHL LTDA</v>
      </c>
      <c r="BI419" t="str">
        <f t="shared" si="464"/>
        <v>COLOMBIA</v>
      </c>
      <c r="BJ419" t="str">
        <f t="shared" si="455"/>
        <v>CANCER INFANTIL</v>
      </c>
      <c r="BK419" t="str">
        <f>"CORDOBA"</f>
        <v>CORDOBA</v>
      </c>
      <c r="BL419" t="str">
        <f>"PUERTO ESCONDIDO"</f>
        <v>PUERTO ESCONDIDO</v>
      </c>
      <c r="BM419" t="str">
        <f t="shared" si="465"/>
        <v>COLOMBIA</v>
      </c>
      <c r="BN419" t="str">
        <f>"CORDOBA"</f>
        <v>CORDOBA</v>
      </c>
      <c r="BO419" t="str">
        <f>"PUERTO ESCONDIDO"</f>
        <v>PUERTO ESCONDIDO</v>
      </c>
      <c r="BP419" t="str">
        <f>"CORDOBA"</f>
        <v>CORDOBA</v>
      </c>
      <c r="BQ419" t="str">
        <f>"MONTERIA"</f>
        <v>MONTERIA</v>
      </c>
    </row>
    <row r="420" spans="1:69" x14ac:dyDescent="0.25">
      <c r="A420" t="str">
        <f>"7291550"</f>
        <v>7291550</v>
      </c>
      <c r="B420" t="str">
        <f t="shared" si="449"/>
        <v>459</v>
      </c>
      <c r="C420" t="str">
        <f>"11/09/2020 12:00:00 a. m."</f>
        <v>11/09/2020 12:00:00 a. m.</v>
      </c>
      <c r="D420" t="str">
        <f>"20"</f>
        <v>20</v>
      </c>
      <c r="E420" t="str">
        <f t="shared" si="450"/>
        <v>2020</v>
      </c>
      <c r="F420" t="str">
        <f>"1100105681"</f>
        <v>1100105681</v>
      </c>
      <c r="G420" t="str">
        <f t="shared" si="479"/>
        <v>01</v>
      </c>
      <c r="H420" t="str">
        <f>"16"</f>
        <v>16</v>
      </c>
      <c r="I420" t="str">
        <f t="shared" si="480"/>
        <v>1</v>
      </c>
      <c r="J420" t="str">
        <f t="shared" si="482"/>
        <v>M</v>
      </c>
      <c r="K420" t="str">
        <f t="shared" si="461"/>
        <v>170</v>
      </c>
      <c r="L420" t="str">
        <f>"25"</f>
        <v>25</v>
      </c>
      <c r="M420" t="str">
        <f>"754"</f>
        <v>754</v>
      </c>
      <c r="N420" t="str">
        <f t="shared" ref="N420:N429" si="489">"1"</f>
        <v>1</v>
      </c>
      <c r="O420" t="str">
        <f>"9997"</f>
        <v>9997</v>
      </c>
      <c r="P420" t="str">
        <f>"C"</f>
        <v>C</v>
      </c>
      <c r="Q420" t="str">
        <f>"EPS002"</f>
        <v>EPS002</v>
      </c>
      <c r="R420" t="str">
        <f t="shared" si="468"/>
        <v>6</v>
      </c>
      <c r="S420" t="str">
        <f>""</f>
        <v/>
      </c>
      <c r="T420" t="str">
        <f t="shared" si="476"/>
        <v xml:space="preserve">                                                                                                    </v>
      </c>
      <c r="U420" t="str">
        <f>"2         "</f>
        <v xml:space="preserve">2         </v>
      </c>
      <c r="V420" t="str">
        <f t="shared" si="485"/>
        <v>2</v>
      </c>
      <c r="W420" t="str">
        <f t="shared" si="431"/>
        <v>2</v>
      </c>
      <c r="X420" t="str">
        <f t="shared" si="483"/>
        <v>2</v>
      </c>
      <c r="Y420" t="str">
        <f t="shared" si="487"/>
        <v>2</v>
      </c>
      <c r="Z420" t="str">
        <f t="shared" si="487"/>
        <v>2</v>
      </c>
      <c r="AA420" t="str">
        <f t="shared" si="451"/>
        <v xml:space="preserve">          </v>
      </c>
      <c r="AB420" t="str">
        <f t="shared" si="440"/>
        <v>2</v>
      </c>
      <c r="AC420" t="str">
        <f t="shared" si="443"/>
        <v>2</v>
      </c>
      <c r="AD420" t="str">
        <f t="shared" ref="AD420:AG439" si="490">"2"</f>
        <v>2</v>
      </c>
      <c r="AE420" t="str">
        <f t="shared" si="490"/>
        <v>2</v>
      </c>
      <c r="AF420" t="str">
        <f t="shared" si="490"/>
        <v>2</v>
      </c>
      <c r="AG420" t="str">
        <f t="shared" si="490"/>
        <v>2</v>
      </c>
      <c r="AH420" t="str">
        <f t="shared" si="484"/>
        <v>1</v>
      </c>
      <c r="AI420" t="str">
        <f>"2         "</f>
        <v xml:space="preserve">2         </v>
      </c>
      <c r="AJ420" t="str">
        <f t="shared" si="462"/>
        <v>170</v>
      </c>
      <c r="AK420" t="str">
        <f>"25"</f>
        <v>25</v>
      </c>
      <c r="AL420" t="str">
        <f>"754"</f>
        <v>754</v>
      </c>
      <c r="AM420" t="str">
        <f>"11"</f>
        <v>11</v>
      </c>
      <c r="AN420" t="str">
        <f>"11001"</f>
        <v>11001</v>
      </c>
      <c r="AO420" t="str">
        <f>"12/05/2020 12:00:00 a. m."</f>
        <v>12/05/2020 12:00:00 a. m.</v>
      </c>
      <c r="AP420" t="str">
        <f>"4/05/2020 12:00:00 a. m."</f>
        <v>4/05/2020 12:00:00 a. m.</v>
      </c>
      <c r="AQ420" t="str">
        <f t="shared" ref="AQ420:AQ426" si="491">"3"</f>
        <v>3</v>
      </c>
      <c r="AR420" t="str">
        <f t="shared" si="486"/>
        <v>1</v>
      </c>
      <c r="AS420" t="str">
        <f>"12/05/2020 12:00:00 a. m."</f>
        <v>12/05/2020 12:00:00 a. m.</v>
      </c>
      <c r="AT420" t="str">
        <f t="shared" si="488"/>
        <v>1</v>
      </c>
      <c r="AU420" t="str">
        <f>""</f>
        <v/>
      </c>
      <c r="AV420" t="str">
        <f>"0"</f>
        <v>0</v>
      </c>
      <c r="AW420" t="str">
        <f>"24/05/2004 12:00:00 a. m."</f>
        <v>24/05/2004 12:00:00 a. m.</v>
      </c>
      <c r="AX420" t="str">
        <f>""</f>
        <v/>
      </c>
      <c r="AY420" t="str">
        <f t="shared" si="452"/>
        <v>30/04/2021 12:00:00 a. m.</v>
      </c>
      <c r="AZ420" t="str">
        <f>"11/09/2020 12:00:00 a. m."</f>
        <v>11/09/2020 12:00:00 a. m.</v>
      </c>
      <c r="BA420" t="str">
        <f>""</f>
        <v/>
      </c>
      <c r="BB420" t="str">
        <f>""</f>
        <v/>
      </c>
      <c r="BC420" t="str">
        <f>""</f>
        <v/>
      </c>
      <c r="BD420" t="str">
        <f t="shared" si="474"/>
        <v>1</v>
      </c>
      <c r="BE420" t="str">
        <f t="shared" si="474"/>
        <v>1</v>
      </c>
      <c r="BF420" t="str">
        <f t="shared" si="453"/>
        <v xml:space="preserve">3         </v>
      </c>
      <c r="BG420" t="str">
        <f t="shared" si="454"/>
        <v>Confirmado por laboratorio</v>
      </c>
      <c r="BH420" t="str">
        <f>"FUNDACION HOSPITAL DE LA MISERICORDIA"</f>
        <v>FUNDACION HOSPITAL DE LA MISERICORDIA</v>
      </c>
      <c r="BI420" t="str">
        <f t="shared" si="464"/>
        <v>COLOMBIA</v>
      </c>
      <c r="BJ420" t="str">
        <f t="shared" si="455"/>
        <v>CANCER INFANTIL</v>
      </c>
      <c r="BK420" t="str">
        <f>"CUNDINAMARCA"</f>
        <v>CUNDINAMARCA</v>
      </c>
      <c r="BL420" t="str">
        <f>"SOACHA"</f>
        <v>SOACHA</v>
      </c>
      <c r="BM420" t="str">
        <f t="shared" si="465"/>
        <v>COLOMBIA</v>
      </c>
      <c r="BN420" t="str">
        <f>"CUNDINAMARCA"</f>
        <v>CUNDINAMARCA</v>
      </c>
      <c r="BO420" t="str">
        <f>"SOACHA"</f>
        <v>SOACHA</v>
      </c>
      <c r="BP420" t="str">
        <f>"BOGOTA"</f>
        <v>BOGOTA</v>
      </c>
      <c r="BQ420" t="str">
        <f>"BOGOTA"</f>
        <v>BOGOTA</v>
      </c>
    </row>
    <row r="421" spans="1:69" x14ac:dyDescent="0.25">
      <c r="A421" t="str">
        <f>"7279255"</f>
        <v>7279255</v>
      </c>
      <c r="B421" t="str">
        <f t="shared" si="449"/>
        <v>459</v>
      </c>
      <c r="C421" t="str">
        <f>"5/09/2020 12:00:00 a. m."</f>
        <v>5/09/2020 12:00:00 a. m.</v>
      </c>
      <c r="D421" t="str">
        <f>"36"</f>
        <v>36</v>
      </c>
      <c r="E421" t="str">
        <f t="shared" si="450"/>
        <v>2020</v>
      </c>
      <c r="F421" t="str">
        <f>"1700101096"</f>
        <v>1700101096</v>
      </c>
      <c r="G421" t="str">
        <f t="shared" si="479"/>
        <v>01</v>
      </c>
      <c r="H421" t="str">
        <f>"12"</f>
        <v>12</v>
      </c>
      <c r="I421" t="str">
        <f t="shared" si="480"/>
        <v>1</v>
      </c>
      <c r="J421" t="str">
        <f t="shared" si="482"/>
        <v>M</v>
      </c>
      <c r="K421" t="str">
        <f t="shared" si="461"/>
        <v>170</v>
      </c>
      <c r="L421" t="str">
        <f>"17"</f>
        <v>17</v>
      </c>
      <c r="M421" t="str">
        <f>"001"</f>
        <v>001</v>
      </c>
      <c r="N421" t="str">
        <f t="shared" si="489"/>
        <v>1</v>
      </c>
      <c r="O421" t="str">
        <f>"9997"</f>
        <v>9997</v>
      </c>
      <c r="P421" t="str">
        <f>"C"</f>
        <v>C</v>
      </c>
      <c r="Q421" t="str">
        <f>"EPS002"</f>
        <v>EPS002</v>
      </c>
      <c r="R421" t="str">
        <f t="shared" si="468"/>
        <v>6</v>
      </c>
      <c r="S421" t="str">
        <f>""</f>
        <v/>
      </c>
      <c r="T421" t="str">
        <f t="shared" si="476"/>
        <v xml:space="preserve">                                                                                                    </v>
      </c>
      <c r="U421" t="str">
        <f>"1         "</f>
        <v xml:space="preserve">1         </v>
      </c>
      <c r="V421" t="str">
        <f t="shared" si="485"/>
        <v>2</v>
      </c>
      <c r="W421" t="str">
        <f t="shared" si="431"/>
        <v>2</v>
      </c>
      <c r="X421" t="str">
        <f t="shared" si="483"/>
        <v>2</v>
      </c>
      <c r="Y421" t="str">
        <f t="shared" si="487"/>
        <v>2</v>
      </c>
      <c r="Z421" t="str">
        <f t="shared" si="487"/>
        <v>2</v>
      </c>
      <c r="AA421" t="str">
        <f t="shared" si="451"/>
        <v xml:space="preserve">          </v>
      </c>
      <c r="AB421" t="str">
        <f t="shared" si="440"/>
        <v>2</v>
      </c>
      <c r="AC421" t="str">
        <f t="shared" si="443"/>
        <v>2</v>
      </c>
      <c r="AD421" t="str">
        <f t="shared" si="490"/>
        <v>2</v>
      </c>
      <c r="AE421" t="str">
        <f t="shared" si="490"/>
        <v>2</v>
      </c>
      <c r="AF421" t="str">
        <f t="shared" si="490"/>
        <v>2</v>
      </c>
      <c r="AG421" t="str">
        <f t="shared" si="490"/>
        <v>2</v>
      </c>
      <c r="AH421" t="str">
        <f t="shared" si="484"/>
        <v>1</v>
      </c>
      <c r="AI421" t="str">
        <f t="shared" ref="AI421:AI435" si="492">"1         "</f>
        <v xml:space="preserve">1         </v>
      </c>
      <c r="AJ421" t="str">
        <f t="shared" si="462"/>
        <v>170</v>
      </c>
      <c r="AK421" t="str">
        <f>"17"</f>
        <v>17</v>
      </c>
      <c r="AL421" t="str">
        <f>"001"</f>
        <v>001</v>
      </c>
      <c r="AM421" t="str">
        <f>"17"</f>
        <v>17</v>
      </c>
      <c r="AN421" t="str">
        <f>"17001"</f>
        <v>17001</v>
      </c>
      <c r="AO421" t="str">
        <f>"31/08/2020 12:00:00 a. m."</f>
        <v>31/08/2020 12:00:00 a. m.</v>
      </c>
      <c r="AP421" t="str">
        <f>"20/07/2020 12:00:00 a. m."</f>
        <v>20/07/2020 12:00:00 a. m.</v>
      </c>
      <c r="AQ421" t="str">
        <f t="shared" si="491"/>
        <v>3</v>
      </c>
      <c r="AR421" t="str">
        <f t="shared" si="486"/>
        <v>1</v>
      </c>
      <c r="AS421" t="str">
        <f>"4/09/2020 12:00:00 a. m."</f>
        <v>4/09/2020 12:00:00 a. m.</v>
      </c>
      <c r="AT421" t="str">
        <f t="shared" si="488"/>
        <v>1</v>
      </c>
      <c r="AU421" t="str">
        <f>""</f>
        <v/>
      </c>
      <c r="AV421" t="str">
        <f>"0"</f>
        <v>0</v>
      </c>
      <c r="AW421" t="str">
        <f>"8/02/2008 12:00:00 a. m."</f>
        <v>8/02/2008 12:00:00 a. m.</v>
      </c>
      <c r="AX421" t="str">
        <f>""</f>
        <v/>
      </c>
      <c r="AY421" t="str">
        <f t="shared" si="452"/>
        <v>30/04/2021 12:00:00 a. m.</v>
      </c>
      <c r="AZ421" t="str">
        <f>"7/09/2020 12:00:00 a. m."</f>
        <v>7/09/2020 12:00:00 a. m.</v>
      </c>
      <c r="BA421" t="str">
        <f>""</f>
        <v/>
      </c>
      <c r="BB421" t="str">
        <f>""</f>
        <v/>
      </c>
      <c r="BC421" t="str">
        <f>""</f>
        <v/>
      </c>
      <c r="BD421" t="str">
        <f t="shared" si="474"/>
        <v>1</v>
      </c>
      <c r="BE421" t="str">
        <f t="shared" si="474"/>
        <v>1</v>
      </c>
      <c r="BF421" t="str">
        <f t="shared" si="453"/>
        <v xml:space="preserve">3         </v>
      </c>
      <c r="BG421" t="str">
        <f t="shared" si="454"/>
        <v>Confirmado por laboratorio</v>
      </c>
      <c r="BH421" t="str">
        <f>"ONCOLOGOS DE OCCIDENTE SA"</f>
        <v>ONCOLOGOS DE OCCIDENTE SA</v>
      </c>
      <c r="BI421" t="str">
        <f t="shared" si="464"/>
        <v>COLOMBIA</v>
      </c>
      <c r="BJ421" t="str">
        <f t="shared" si="455"/>
        <v>CANCER INFANTIL</v>
      </c>
      <c r="BK421" t="str">
        <f>"CALDAS"</f>
        <v>CALDAS</v>
      </c>
      <c r="BL421" t="str">
        <f>"MANIZALES"</f>
        <v>MANIZALES</v>
      </c>
      <c r="BM421" t="str">
        <f t="shared" si="465"/>
        <v>COLOMBIA</v>
      </c>
      <c r="BN421" t="str">
        <f>"CALDAS"</f>
        <v>CALDAS</v>
      </c>
      <c r="BO421" t="str">
        <f>"MANIZALES"</f>
        <v>MANIZALES</v>
      </c>
      <c r="BP421" t="str">
        <f>"CALDAS"</f>
        <v>CALDAS</v>
      </c>
      <c r="BQ421" t="str">
        <f>"MANIZALES"</f>
        <v>MANIZALES</v>
      </c>
    </row>
    <row r="422" spans="1:69" x14ac:dyDescent="0.25">
      <c r="A422" t="str">
        <f>"7279246"</f>
        <v>7279246</v>
      </c>
      <c r="B422" t="str">
        <f t="shared" si="449"/>
        <v>459</v>
      </c>
      <c r="C422" t="str">
        <f>"31/03/2020 12:00:00 a. m."</f>
        <v>31/03/2020 12:00:00 a. m.</v>
      </c>
      <c r="D422" t="str">
        <f>"12"</f>
        <v>12</v>
      </c>
      <c r="E422" t="str">
        <f t="shared" si="450"/>
        <v>2020</v>
      </c>
      <c r="F422" t="str">
        <f>"0500102144"</f>
        <v>0500102144</v>
      </c>
      <c r="G422" t="str">
        <f t="shared" si="479"/>
        <v>01</v>
      </c>
      <c r="H422" t="str">
        <f>"6"</f>
        <v>6</v>
      </c>
      <c r="I422" t="str">
        <f t="shared" si="480"/>
        <v>1</v>
      </c>
      <c r="J422" t="str">
        <f>"F"</f>
        <v>F</v>
      </c>
      <c r="K422" t="str">
        <f t="shared" si="461"/>
        <v>170</v>
      </c>
      <c r="L422" t="str">
        <f>"05"</f>
        <v>05</v>
      </c>
      <c r="M422" t="str">
        <f>"631"</f>
        <v>631</v>
      </c>
      <c r="N422" t="str">
        <f t="shared" si="489"/>
        <v>1</v>
      </c>
      <c r="O422" t="str">
        <f>"9999"</f>
        <v>9999</v>
      </c>
      <c r="P422" t="str">
        <f>"N"</f>
        <v>N</v>
      </c>
      <c r="Q422" t="str">
        <f>""</f>
        <v/>
      </c>
      <c r="R422" t="str">
        <f t="shared" si="468"/>
        <v>6</v>
      </c>
      <c r="S422" t="str">
        <f>""</f>
        <v/>
      </c>
      <c r="T422" t="str">
        <f t="shared" si="476"/>
        <v xml:space="preserve">                                                                                                    </v>
      </c>
      <c r="U422" t="str">
        <f>"          "</f>
        <v xml:space="preserve">          </v>
      </c>
      <c r="V422" t="str">
        <f t="shared" si="485"/>
        <v>2</v>
      </c>
      <c r="W422" t="str">
        <f t="shared" si="431"/>
        <v>2</v>
      </c>
      <c r="X422" t="str">
        <f t="shared" si="483"/>
        <v>2</v>
      </c>
      <c r="Y422" t="str">
        <f t="shared" si="487"/>
        <v>2</v>
      </c>
      <c r="Z422" t="str">
        <f t="shared" si="487"/>
        <v>2</v>
      </c>
      <c r="AA422" t="str">
        <f t="shared" si="451"/>
        <v xml:space="preserve">          </v>
      </c>
      <c r="AB422" t="str">
        <f t="shared" si="440"/>
        <v>2</v>
      </c>
      <c r="AC422" t="str">
        <f t="shared" si="443"/>
        <v>2</v>
      </c>
      <c r="AD422" t="str">
        <f t="shared" si="490"/>
        <v>2</v>
      </c>
      <c r="AE422" t="str">
        <f t="shared" si="490"/>
        <v>2</v>
      </c>
      <c r="AF422" t="str">
        <f t="shared" si="490"/>
        <v>2</v>
      </c>
      <c r="AG422" t="str">
        <f t="shared" si="490"/>
        <v>2</v>
      </c>
      <c r="AH422" t="str">
        <f t="shared" si="484"/>
        <v>1</v>
      </c>
      <c r="AI422" t="str">
        <f t="shared" si="492"/>
        <v xml:space="preserve">1         </v>
      </c>
      <c r="AJ422" t="str">
        <f t="shared" si="462"/>
        <v>170</v>
      </c>
      <c r="AK422" t="str">
        <f>"05"</f>
        <v>05</v>
      </c>
      <c r="AL422" t="str">
        <f>"631"</f>
        <v>631</v>
      </c>
      <c r="AM422" t="str">
        <f>"05"</f>
        <v>05</v>
      </c>
      <c r="AN422" t="str">
        <f>"05001"</f>
        <v>05001</v>
      </c>
      <c r="AO422" t="str">
        <f>"19/03/2020 12:00:00 a. m."</f>
        <v>19/03/2020 12:00:00 a. m.</v>
      </c>
      <c r="AP422" t="str">
        <f>"30/12/2019 12:00:00 a. m."</f>
        <v>30/12/2019 12:00:00 a. m.</v>
      </c>
      <c r="AQ422" t="str">
        <f t="shared" si="491"/>
        <v>3</v>
      </c>
      <c r="AR422" t="str">
        <f t="shared" si="486"/>
        <v>1</v>
      </c>
      <c r="AS422" t="str">
        <f>"19/03/2020 12:00:00 a. m."</f>
        <v>19/03/2020 12:00:00 a. m.</v>
      </c>
      <c r="AT422" t="str">
        <f t="shared" si="488"/>
        <v>1</v>
      </c>
      <c r="AU422" t="str">
        <f>""</f>
        <v/>
      </c>
      <c r="AV422" t="str">
        <f>"0"</f>
        <v>0</v>
      </c>
      <c r="AW422" t="str">
        <f>"11/03/2014 12:00:00 a. m."</f>
        <v>11/03/2014 12:00:00 a. m.</v>
      </c>
      <c r="AX422" t="str">
        <f>""</f>
        <v/>
      </c>
      <c r="AY422" t="str">
        <f t="shared" si="452"/>
        <v>30/04/2021 12:00:00 a. m.</v>
      </c>
      <c r="AZ422" t="str">
        <f>"31/03/2020 12:00:00 a. m."</f>
        <v>31/03/2020 12:00:00 a. m.</v>
      </c>
      <c r="BA422" t="str">
        <f>""</f>
        <v/>
      </c>
      <c r="BB422" t="str">
        <f>""</f>
        <v/>
      </c>
      <c r="BC422" t="str">
        <f>""</f>
        <v/>
      </c>
      <c r="BD422" t="str">
        <f t="shared" ref="BD422:BE441" si="493">"1"</f>
        <v>1</v>
      </c>
      <c r="BE422" t="str">
        <f t="shared" si="493"/>
        <v>1</v>
      </c>
      <c r="BF422" t="str">
        <f t="shared" si="453"/>
        <v xml:space="preserve">3         </v>
      </c>
      <c r="BG422" t="str">
        <f t="shared" si="454"/>
        <v>Confirmado por laboratorio</v>
      </c>
      <c r="BH422" t="str">
        <f>"HOSPITAL GENERAL DE MEDELLIN - LUZ CASTRO DE GUTIE"</f>
        <v>HOSPITAL GENERAL DE MEDELLIN - LUZ CASTRO DE GUTIE</v>
      </c>
      <c r="BI422" t="str">
        <f t="shared" si="464"/>
        <v>COLOMBIA</v>
      </c>
      <c r="BJ422" t="str">
        <f t="shared" si="455"/>
        <v>CANCER INFANTIL</v>
      </c>
      <c r="BK422" t="str">
        <f>"ANTIOQUIA"</f>
        <v>ANTIOQUIA</v>
      </c>
      <c r="BL422" t="str">
        <f>"SABANETA"</f>
        <v>SABANETA</v>
      </c>
      <c r="BM422" t="str">
        <f t="shared" si="465"/>
        <v>COLOMBIA</v>
      </c>
      <c r="BN422" t="str">
        <f>"ANTIOQUIA"</f>
        <v>ANTIOQUIA</v>
      </c>
      <c r="BO422" t="str">
        <f>"SABANETA"</f>
        <v>SABANETA</v>
      </c>
      <c r="BP422" t="str">
        <f>"ANTIOQUIA"</f>
        <v>ANTIOQUIA</v>
      </c>
      <c r="BQ422" t="str">
        <f>"MEDELLIN"</f>
        <v>MEDELLIN</v>
      </c>
    </row>
    <row r="423" spans="1:69" x14ac:dyDescent="0.25">
      <c r="A423" t="str">
        <f>"7279253"</f>
        <v>7279253</v>
      </c>
      <c r="B423" t="str">
        <f t="shared" si="449"/>
        <v>459</v>
      </c>
      <c r="C423" t="str">
        <f>"24/04/2020 12:00:00 a. m."</f>
        <v>24/04/2020 12:00:00 a. m.</v>
      </c>
      <c r="D423" t="str">
        <f>"16"</f>
        <v>16</v>
      </c>
      <c r="E423" t="str">
        <f t="shared" si="450"/>
        <v>2020</v>
      </c>
      <c r="F423" t="str">
        <f>"0500102144"</f>
        <v>0500102144</v>
      </c>
      <c r="G423" t="str">
        <f t="shared" si="479"/>
        <v>01</v>
      </c>
      <c r="H423" t="str">
        <f>"14"</f>
        <v>14</v>
      </c>
      <c r="I423" t="str">
        <f t="shared" si="480"/>
        <v>1</v>
      </c>
      <c r="J423" t="str">
        <f>"M"</f>
        <v>M</v>
      </c>
      <c r="K423" t="str">
        <f t="shared" si="461"/>
        <v>170</v>
      </c>
      <c r="L423" t="str">
        <f>"05"</f>
        <v>05</v>
      </c>
      <c r="M423" t="str">
        <f t="shared" ref="M423:M432" si="494">"001"</f>
        <v>001</v>
      </c>
      <c r="N423" t="str">
        <f t="shared" si="489"/>
        <v>1</v>
      </c>
      <c r="O423" t="str">
        <f>"9999"</f>
        <v>9999</v>
      </c>
      <c r="P423" t="str">
        <f>"N"</f>
        <v>N</v>
      </c>
      <c r="Q423" t="str">
        <f>""</f>
        <v/>
      </c>
      <c r="R423" t="str">
        <f t="shared" si="468"/>
        <v>6</v>
      </c>
      <c r="S423" t="str">
        <f>""</f>
        <v/>
      </c>
      <c r="T423" t="str">
        <f t="shared" si="476"/>
        <v xml:space="preserve">                                                                                                    </v>
      </c>
      <c r="U423" t="str">
        <f>"          "</f>
        <v xml:space="preserve">          </v>
      </c>
      <c r="V423" t="str">
        <f t="shared" si="485"/>
        <v>2</v>
      </c>
      <c r="W423" t="str">
        <f t="shared" si="431"/>
        <v>2</v>
      </c>
      <c r="X423" t="str">
        <f>"1"</f>
        <v>1</v>
      </c>
      <c r="Y423" t="str">
        <f t="shared" si="487"/>
        <v>2</v>
      </c>
      <c r="Z423" t="str">
        <f t="shared" si="487"/>
        <v>2</v>
      </c>
      <c r="AA423" t="str">
        <f t="shared" si="451"/>
        <v xml:space="preserve">          </v>
      </c>
      <c r="AB423" t="str">
        <f t="shared" si="440"/>
        <v>2</v>
      </c>
      <c r="AC423" t="str">
        <f t="shared" si="443"/>
        <v>2</v>
      </c>
      <c r="AD423" t="str">
        <f t="shared" si="490"/>
        <v>2</v>
      </c>
      <c r="AE423" t="str">
        <f t="shared" si="490"/>
        <v>2</v>
      </c>
      <c r="AF423" t="str">
        <f t="shared" si="490"/>
        <v>2</v>
      </c>
      <c r="AG423" t="str">
        <f t="shared" si="490"/>
        <v>2</v>
      </c>
      <c r="AH423" t="str">
        <f t="shared" si="484"/>
        <v>1</v>
      </c>
      <c r="AI423" t="str">
        <f t="shared" si="492"/>
        <v xml:space="preserve">1         </v>
      </c>
      <c r="AJ423" t="str">
        <f t="shared" si="462"/>
        <v>170</v>
      </c>
      <c r="AK423" t="str">
        <f>"05"</f>
        <v>05</v>
      </c>
      <c r="AL423" t="str">
        <f t="shared" ref="AL423:AL432" si="495">"001"</f>
        <v>001</v>
      </c>
      <c r="AM423" t="str">
        <f>"05"</f>
        <v>05</v>
      </c>
      <c r="AN423" t="str">
        <f>"05001"</f>
        <v>05001</v>
      </c>
      <c r="AO423" t="str">
        <f>"17/04/2020 12:00:00 a. m."</f>
        <v>17/04/2020 12:00:00 a. m.</v>
      </c>
      <c r="AP423" t="str">
        <f>"11/04/2020 12:00:00 a. m."</f>
        <v>11/04/2020 12:00:00 a. m.</v>
      </c>
      <c r="AQ423" t="str">
        <f t="shared" si="491"/>
        <v>3</v>
      </c>
      <c r="AR423" t="str">
        <f t="shared" si="486"/>
        <v>1</v>
      </c>
      <c r="AS423" t="str">
        <f>"17/04/2020 12:00:00 a. m."</f>
        <v>17/04/2020 12:00:00 a. m.</v>
      </c>
      <c r="AT423" t="str">
        <f t="shared" si="488"/>
        <v>1</v>
      </c>
      <c r="AU423" t="str">
        <f>""</f>
        <v/>
      </c>
      <c r="AV423" t="str">
        <f>"0"</f>
        <v>0</v>
      </c>
      <c r="AW423" t="str">
        <f>"18/08/2005 12:00:00 a. m."</f>
        <v>18/08/2005 12:00:00 a. m.</v>
      </c>
      <c r="AX423" t="str">
        <f>""</f>
        <v/>
      </c>
      <c r="AY423" t="str">
        <f t="shared" si="452"/>
        <v>30/04/2021 12:00:00 a. m.</v>
      </c>
      <c r="AZ423" t="str">
        <f>"24/04/2020 12:00:00 a. m."</f>
        <v>24/04/2020 12:00:00 a. m.</v>
      </c>
      <c r="BA423" t="str">
        <f>""</f>
        <v/>
      </c>
      <c r="BB423" t="str">
        <f>""</f>
        <v/>
      </c>
      <c r="BC423" t="str">
        <f>""</f>
        <v/>
      </c>
      <c r="BD423" t="str">
        <f t="shared" si="493"/>
        <v>1</v>
      </c>
      <c r="BE423" t="str">
        <f t="shared" si="493"/>
        <v>1</v>
      </c>
      <c r="BF423" t="str">
        <f t="shared" si="453"/>
        <v xml:space="preserve">3         </v>
      </c>
      <c r="BG423" t="str">
        <f t="shared" si="454"/>
        <v>Confirmado por laboratorio</v>
      </c>
      <c r="BH423" t="str">
        <f>"HOSPITAL GENERAL DE MEDELLIN - LUZ CASTRO DE GUTIE"</f>
        <v>HOSPITAL GENERAL DE MEDELLIN - LUZ CASTRO DE GUTIE</v>
      </c>
      <c r="BI423" t="str">
        <f t="shared" si="464"/>
        <v>COLOMBIA</v>
      </c>
      <c r="BJ423" t="str">
        <f t="shared" si="455"/>
        <v>CANCER INFANTIL</v>
      </c>
      <c r="BK423" t="str">
        <f>"ANTIOQUIA"</f>
        <v>ANTIOQUIA</v>
      </c>
      <c r="BL423" t="str">
        <f>"MEDELLIN"</f>
        <v>MEDELLIN</v>
      </c>
      <c r="BM423" t="str">
        <f t="shared" si="465"/>
        <v>COLOMBIA</v>
      </c>
      <c r="BN423" t="str">
        <f>"ANTIOQUIA"</f>
        <v>ANTIOQUIA</v>
      </c>
      <c r="BO423" t="str">
        <f>"MEDELLIN"</f>
        <v>MEDELLIN</v>
      </c>
      <c r="BP423" t="str">
        <f>"ANTIOQUIA"</f>
        <v>ANTIOQUIA</v>
      </c>
      <c r="BQ423" t="str">
        <f>"MEDELLIN"</f>
        <v>MEDELLIN</v>
      </c>
    </row>
    <row r="424" spans="1:69" x14ac:dyDescent="0.25">
      <c r="A424" t="str">
        <f>"7279244"</f>
        <v>7279244</v>
      </c>
      <c r="B424" t="str">
        <f t="shared" si="449"/>
        <v>459</v>
      </c>
      <c r="C424" t="str">
        <f>"4/09/2020 12:00:00 a. m."</f>
        <v>4/09/2020 12:00:00 a. m.</v>
      </c>
      <c r="D424" t="str">
        <f>"21"</f>
        <v>21</v>
      </c>
      <c r="E424" t="str">
        <f t="shared" si="450"/>
        <v>2020</v>
      </c>
      <c r="F424" t="str">
        <f>"0800100623"</f>
        <v>0800100623</v>
      </c>
      <c r="G424" t="str">
        <f t="shared" si="479"/>
        <v>01</v>
      </c>
      <c r="H424" t="str">
        <f>"8"</f>
        <v>8</v>
      </c>
      <c r="I424" t="str">
        <f>"2"</f>
        <v>2</v>
      </c>
      <c r="J424" t="str">
        <f>"F"</f>
        <v>F</v>
      </c>
      <c r="K424" t="str">
        <f t="shared" si="461"/>
        <v>170</v>
      </c>
      <c r="L424" t="str">
        <f>"08"</f>
        <v>08</v>
      </c>
      <c r="M424" t="str">
        <f t="shared" si="494"/>
        <v>001</v>
      </c>
      <c r="N424" t="str">
        <f t="shared" si="489"/>
        <v>1</v>
      </c>
      <c r="O424" t="str">
        <f>"9999"</f>
        <v>9999</v>
      </c>
      <c r="P424" t="str">
        <f>"S"</f>
        <v>S</v>
      </c>
      <c r="Q424" t="str">
        <f>"ESS207"</f>
        <v>ESS207</v>
      </c>
      <c r="R424" t="str">
        <f t="shared" si="468"/>
        <v>6</v>
      </c>
      <c r="S424" t="str">
        <f>""</f>
        <v/>
      </c>
      <c r="T424" t="str">
        <f t="shared" si="476"/>
        <v xml:space="preserve">                                                                                                    </v>
      </c>
      <c r="U424" t="str">
        <f>"1         "</f>
        <v xml:space="preserve">1         </v>
      </c>
      <c r="V424" t="str">
        <f t="shared" si="485"/>
        <v>2</v>
      </c>
      <c r="W424" t="str">
        <f t="shared" si="431"/>
        <v>2</v>
      </c>
      <c r="X424" t="str">
        <f t="shared" ref="X424:X430" si="496">"2"</f>
        <v>2</v>
      </c>
      <c r="Y424" t="str">
        <f t="shared" si="487"/>
        <v>2</v>
      </c>
      <c r="Z424" t="str">
        <f t="shared" si="487"/>
        <v>2</v>
      </c>
      <c r="AA424" t="str">
        <f t="shared" si="451"/>
        <v xml:space="preserve">          </v>
      </c>
      <c r="AB424" t="str">
        <f t="shared" si="440"/>
        <v>2</v>
      </c>
      <c r="AC424" t="str">
        <f t="shared" si="443"/>
        <v>2</v>
      </c>
      <c r="AD424" t="str">
        <f t="shared" si="490"/>
        <v>2</v>
      </c>
      <c r="AE424" t="str">
        <f t="shared" si="490"/>
        <v>2</v>
      </c>
      <c r="AF424" t="str">
        <f t="shared" si="490"/>
        <v>2</v>
      </c>
      <c r="AG424" t="str">
        <f t="shared" si="490"/>
        <v>2</v>
      </c>
      <c r="AH424" t="str">
        <f t="shared" si="484"/>
        <v>1</v>
      </c>
      <c r="AI424" t="str">
        <f t="shared" si="492"/>
        <v xml:space="preserve">1         </v>
      </c>
      <c r="AJ424" t="str">
        <f t="shared" si="462"/>
        <v>170</v>
      </c>
      <c r="AK424" t="str">
        <f>"08"</f>
        <v>08</v>
      </c>
      <c r="AL424" t="str">
        <f t="shared" si="495"/>
        <v>001</v>
      </c>
      <c r="AM424" t="str">
        <f>"08"</f>
        <v>08</v>
      </c>
      <c r="AN424" t="str">
        <f>"08001"</f>
        <v>08001</v>
      </c>
      <c r="AO424" t="str">
        <f>"21/05/2020 12:00:00 a. m."</f>
        <v>21/05/2020 12:00:00 a. m.</v>
      </c>
      <c r="AP424" t="str">
        <f>"27/04/2020 12:00:00 a. m."</f>
        <v>27/04/2020 12:00:00 a. m.</v>
      </c>
      <c r="AQ424" t="str">
        <f t="shared" si="491"/>
        <v>3</v>
      </c>
      <c r="AR424" t="str">
        <f>"2"</f>
        <v>2</v>
      </c>
      <c r="AS424" t="str">
        <f>""</f>
        <v/>
      </c>
      <c r="AT424" t="str">
        <f t="shared" si="488"/>
        <v>1</v>
      </c>
      <c r="AU424" t="str">
        <f>""</f>
        <v/>
      </c>
      <c r="AV424" t="str">
        <f>"7"</f>
        <v>7</v>
      </c>
      <c r="AW424" t="str">
        <f>"10/12/2019 12:00:00 a. m."</f>
        <v>10/12/2019 12:00:00 a. m.</v>
      </c>
      <c r="AX424" t="str">
        <f>""</f>
        <v/>
      </c>
      <c r="AY424" t="str">
        <f t="shared" si="452"/>
        <v>30/04/2021 12:00:00 a. m.</v>
      </c>
      <c r="AZ424" t="str">
        <f>"20/01/2021 12:00:00 a. m."</f>
        <v>20/01/2021 12:00:00 a. m.</v>
      </c>
      <c r="BA424" t="str">
        <f>""</f>
        <v/>
      </c>
      <c r="BB424" t="str">
        <f>""</f>
        <v/>
      </c>
      <c r="BC424" t="str">
        <f>""</f>
        <v/>
      </c>
      <c r="BD424" t="str">
        <f t="shared" si="493"/>
        <v>1</v>
      </c>
      <c r="BE424" t="str">
        <f t="shared" si="493"/>
        <v>1</v>
      </c>
      <c r="BF424" t="str">
        <f t="shared" si="453"/>
        <v xml:space="preserve">3         </v>
      </c>
      <c r="BG424" t="str">
        <f t="shared" si="454"/>
        <v>Confirmado por laboratorio</v>
      </c>
      <c r="BH424" t="str">
        <f>"CENTRO CANCEROLOGICO DEL CARIBE CECAC LTDA"</f>
        <v>CENTRO CANCEROLOGICO DEL CARIBE CECAC LTDA</v>
      </c>
      <c r="BI424" t="str">
        <f t="shared" si="464"/>
        <v>COLOMBIA</v>
      </c>
      <c r="BJ424" t="str">
        <f t="shared" si="455"/>
        <v>CANCER INFANTIL</v>
      </c>
      <c r="BK424" t="str">
        <f>"ATLANTICO"</f>
        <v>ATLANTICO</v>
      </c>
      <c r="BL424" t="str">
        <f>"BARRANQUILLA"</f>
        <v>BARRANQUILLA</v>
      </c>
      <c r="BM424" t="str">
        <f t="shared" si="465"/>
        <v>COLOMBIA</v>
      </c>
      <c r="BN424" t="str">
        <f>"ATLANTICO"</f>
        <v>ATLANTICO</v>
      </c>
      <c r="BO424" t="str">
        <f>"BARRANQUILLA"</f>
        <v>BARRANQUILLA</v>
      </c>
      <c r="BP424" t="str">
        <f>"ATLANTICO"</f>
        <v>ATLANTICO</v>
      </c>
      <c r="BQ424" t="str">
        <f>"BARRANQUILLA"</f>
        <v>BARRANQUILLA</v>
      </c>
    </row>
    <row r="425" spans="1:69" x14ac:dyDescent="0.25">
      <c r="A425" t="str">
        <f>"7278917"</f>
        <v>7278917</v>
      </c>
      <c r="B425" t="str">
        <f t="shared" si="449"/>
        <v>459</v>
      </c>
      <c r="C425" t="str">
        <f>"5/10/2020 12:00:00 a. m."</f>
        <v>5/10/2020 12:00:00 a. m.</v>
      </c>
      <c r="D425" t="str">
        <f>"37"</f>
        <v>37</v>
      </c>
      <c r="E425" t="str">
        <f t="shared" si="450"/>
        <v>2020</v>
      </c>
      <c r="F425" t="str">
        <f>"1100130296"</f>
        <v>1100130296</v>
      </c>
      <c r="G425" t="str">
        <f t="shared" si="479"/>
        <v>01</v>
      </c>
      <c r="H425" t="str">
        <f>"16"</f>
        <v>16</v>
      </c>
      <c r="I425" t="str">
        <f t="shared" ref="I425:I438" si="497">"1"</f>
        <v>1</v>
      </c>
      <c r="J425" t="str">
        <f>"M"</f>
        <v>M</v>
      </c>
      <c r="K425" t="str">
        <f t="shared" si="461"/>
        <v>170</v>
      </c>
      <c r="L425" t="str">
        <f>"11"</f>
        <v>11</v>
      </c>
      <c r="M425" t="str">
        <f t="shared" si="494"/>
        <v>001</v>
      </c>
      <c r="N425" t="str">
        <f t="shared" si="489"/>
        <v>1</v>
      </c>
      <c r="O425" t="str">
        <f>"9999"</f>
        <v>9999</v>
      </c>
      <c r="P425" t="str">
        <f>"S"</f>
        <v>S</v>
      </c>
      <c r="Q425" t="str">
        <f>"CCF053"</f>
        <v>CCF053</v>
      </c>
      <c r="R425" t="str">
        <f t="shared" si="468"/>
        <v>6</v>
      </c>
      <c r="S425" t="str">
        <f>""</f>
        <v/>
      </c>
      <c r="T425" t="str">
        <f t="shared" si="476"/>
        <v xml:space="preserve">                                                                                                    </v>
      </c>
      <c r="U425" t="str">
        <f>"2         "</f>
        <v xml:space="preserve">2         </v>
      </c>
      <c r="V425" t="str">
        <f t="shared" si="485"/>
        <v>2</v>
      </c>
      <c r="W425" t="str">
        <f t="shared" si="431"/>
        <v>2</v>
      </c>
      <c r="X425" t="str">
        <f t="shared" si="496"/>
        <v>2</v>
      </c>
      <c r="Y425" t="str">
        <f t="shared" si="487"/>
        <v>2</v>
      </c>
      <c r="Z425" t="str">
        <f t="shared" si="487"/>
        <v>2</v>
      </c>
      <c r="AA425" t="str">
        <f t="shared" si="451"/>
        <v xml:space="preserve">          </v>
      </c>
      <c r="AB425" t="str">
        <f t="shared" si="440"/>
        <v>2</v>
      </c>
      <c r="AC425" t="str">
        <f t="shared" si="443"/>
        <v>2</v>
      </c>
      <c r="AD425" t="str">
        <f t="shared" si="490"/>
        <v>2</v>
      </c>
      <c r="AE425" t="str">
        <f t="shared" si="490"/>
        <v>2</v>
      </c>
      <c r="AF425" t="str">
        <f t="shared" si="490"/>
        <v>2</v>
      </c>
      <c r="AG425" t="str">
        <f t="shared" si="490"/>
        <v>2</v>
      </c>
      <c r="AH425" t="str">
        <f t="shared" si="484"/>
        <v>1</v>
      </c>
      <c r="AI425" t="str">
        <f t="shared" si="492"/>
        <v xml:space="preserve">1         </v>
      </c>
      <c r="AJ425" t="str">
        <f t="shared" si="462"/>
        <v>170</v>
      </c>
      <c r="AK425" t="str">
        <f>"11"</f>
        <v>11</v>
      </c>
      <c r="AL425" t="str">
        <f t="shared" si="495"/>
        <v>001</v>
      </c>
      <c r="AM425" t="str">
        <f t="shared" ref="AM425:AM433" si="498">"11"</f>
        <v>11</v>
      </c>
      <c r="AN425" t="str">
        <f t="shared" ref="AN425:AN433" si="499">"11001"</f>
        <v>11001</v>
      </c>
      <c r="AO425" t="str">
        <f>"11/09/2020 12:00:00 a. m."</f>
        <v>11/09/2020 12:00:00 a. m.</v>
      </c>
      <c r="AP425" t="str">
        <f>"6/06/2020 12:00:00 a. m."</f>
        <v>6/06/2020 12:00:00 a. m.</v>
      </c>
      <c r="AQ425" t="str">
        <f t="shared" si="491"/>
        <v>3</v>
      </c>
      <c r="AR425" t="str">
        <f t="shared" ref="AR425:AR470" si="500">"1"</f>
        <v>1</v>
      </c>
      <c r="AS425" t="str">
        <f>"11/09/2020 12:00:00 a. m."</f>
        <v>11/09/2020 12:00:00 a. m.</v>
      </c>
      <c r="AT425" t="str">
        <f t="shared" si="488"/>
        <v>1</v>
      </c>
      <c r="AU425" t="str">
        <f>""</f>
        <v/>
      </c>
      <c r="AV425" t="str">
        <f>"7"</f>
        <v>7</v>
      </c>
      <c r="AW425" t="str">
        <f>"13/05/2004 12:00:00 a. m."</f>
        <v>13/05/2004 12:00:00 a. m.</v>
      </c>
      <c r="AX425" t="str">
        <f>""</f>
        <v/>
      </c>
      <c r="AY425" t="str">
        <f t="shared" si="452"/>
        <v>30/04/2021 12:00:00 a. m.</v>
      </c>
      <c r="AZ425" t="str">
        <f>"26/03/2021 12:00:00 a. m."</f>
        <v>26/03/2021 12:00:00 a. m.</v>
      </c>
      <c r="BA425" t="str">
        <f>""</f>
        <v/>
      </c>
      <c r="BB425" t="str">
        <f>""</f>
        <v/>
      </c>
      <c r="BC425" t="str">
        <f>""</f>
        <v/>
      </c>
      <c r="BD425" t="str">
        <f t="shared" si="493"/>
        <v>1</v>
      </c>
      <c r="BE425" t="str">
        <f t="shared" si="493"/>
        <v>1</v>
      </c>
      <c r="BF425" t="str">
        <f t="shared" si="453"/>
        <v xml:space="preserve">3         </v>
      </c>
      <c r="BG425" t="str">
        <f t="shared" si="454"/>
        <v>Confirmado por laboratorio</v>
      </c>
      <c r="BH425" t="str">
        <f>"UNIDAD DE SERVICIOS DE SALUD OCCIDENTE DE KENNEDY"</f>
        <v>UNIDAD DE SERVICIOS DE SALUD OCCIDENTE DE KENNEDY</v>
      </c>
      <c r="BI425" t="str">
        <f t="shared" si="464"/>
        <v>COLOMBIA</v>
      </c>
      <c r="BJ425" t="str">
        <f t="shared" si="455"/>
        <v>CANCER INFANTIL</v>
      </c>
      <c r="BK425" t="str">
        <f t="shared" ref="BK425:BL429" si="501">"BOGOTA"</f>
        <v>BOGOTA</v>
      </c>
      <c r="BL425" t="str">
        <f t="shared" si="501"/>
        <v>BOGOTA</v>
      </c>
      <c r="BM425" t="str">
        <f t="shared" si="465"/>
        <v>COLOMBIA</v>
      </c>
      <c r="BN425" t="str">
        <f t="shared" ref="BN425:BQ429" si="502">"BOGOTA"</f>
        <v>BOGOTA</v>
      </c>
      <c r="BO425" t="str">
        <f t="shared" si="502"/>
        <v>BOGOTA</v>
      </c>
      <c r="BP425" t="str">
        <f t="shared" si="502"/>
        <v>BOGOTA</v>
      </c>
      <c r="BQ425" t="str">
        <f t="shared" si="502"/>
        <v>BOGOTA</v>
      </c>
    </row>
    <row r="426" spans="1:69" x14ac:dyDescent="0.25">
      <c r="A426" t="str">
        <f>"7278883"</f>
        <v>7278883</v>
      </c>
      <c r="B426" t="str">
        <f t="shared" si="449"/>
        <v>459</v>
      </c>
      <c r="C426" t="str">
        <f>"1/06/2020 12:00:00 a. m."</f>
        <v>1/06/2020 12:00:00 a. m.</v>
      </c>
      <c r="D426" t="str">
        <f>"22"</f>
        <v>22</v>
      </c>
      <c r="E426" t="str">
        <f t="shared" si="450"/>
        <v>2020</v>
      </c>
      <c r="F426" t="str">
        <f>"1100105681"</f>
        <v>1100105681</v>
      </c>
      <c r="G426" t="str">
        <f t="shared" si="479"/>
        <v>01</v>
      </c>
      <c r="H426" t="str">
        <f>"8"</f>
        <v>8</v>
      </c>
      <c r="I426" t="str">
        <f t="shared" si="497"/>
        <v>1</v>
      </c>
      <c r="J426" t="str">
        <f>"F"</f>
        <v>F</v>
      </c>
      <c r="K426" t="str">
        <f t="shared" si="461"/>
        <v>170</v>
      </c>
      <c r="L426" t="str">
        <f>"11"</f>
        <v>11</v>
      </c>
      <c r="M426" t="str">
        <f t="shared" si="494"/>
        <v>001</v>
      </c>
      <c r="N426" t="str">
        <f t="shared" si="489"/>
        <v>1</v>
      </c>
      <c r="O426" t="str">
        <f>"9997"</f>
        <v>9997</v>
      </c>
      <c r="P426" t="str">
        <f>"C"</f>
        <v>C</v>
      </c>
      <c r="Q426" t="str">
        <f>"EPS017"</f>
        <v>EPS017</v>
      </c>
      <c r="R426" t="str">
        <f t="shared" si="468"/>
        <v>6</v>
      </c>
      <c r="S426" t="str">
        <f>""</f>
        <v/>
      </c>
      <c r="T426" t="str">
        <f t="shared" si="476"/>
        <v xml:space="preserve">                                                                                                    </v>
      </c>
      <c r="U426" t="str">
        <f>"2         "</f>
        <v xml:space="preserve">2         </v>
      </c>
      <c r="V426" t="str">
        <f t="shared" si="485"/>
        <v>2</v>
      </c>
      <c r="W426" t="str">
        <f t="shared" si="431"/>
        <v>2</v>
      </c>
      <c r="X426" t="str">
        <f t="shared" si="496"/>
        <v>2</v>
      </c>
      <c r="Y426" t="str">
        <f t="shared" si="487"/>
        <v>2</v>
      </c>
      <c r="Z426" t="str">
        <f t="shared" si="487"/>
        <v>2</v>
      </c>
      <c r="AA426" t="str">
        <f t="shared" si="451"/>
        <v xml:space="preserve">          </v>
      </c>
      <c r="AB426" t="str">
        <f t="shared" si="440"/>
        <v>2</v>
      </c>
      <c r="AC426" t="str">
        <f t="shared" si="443"/>
        <v>2</v>
      </c>
      <c r="AD426" t="str">
        <f t="shared" si="490"/>
        <v>2</v>
      </c>
      <c r="AE426" t="str">
        <f t="shared" si="490"/>
        <v>2</v>
      </c>
      <c r="AF426" t="str">
        <f t="shared" si="490"/>
        <v>2</v>
      </c>
      <c r="AG426" t="str">
        <f t="shared" si="490"/>
        <v>2</v>
      </c>
      <c r="AH426" t="str">
        <f t="shared" si="484"/>
        <v>1</v>
      </c>
      <c r="AI426" t="str">
        <f t="shared" si="492"/>
        <v xml:space="preserve">1         </v>
      </c>
      <c r="AJ426" t="str">
        <f t="shared" si="462"/>
        <v>170</v>
      </c>
      <c r="AK426" t="str">
        <f>"11"</f>
        <v>11</v>
      </c>
      <c r="AL426" t="str">
        <f t="shared" si="495"/>
        <v>001</v>
      </c>
      <c r="AM426" t="str">
        <f t="shared" si="498"/>
        <v>11</v>
      </c>
      <c r="AN426" t="str">
        <f t="shared" si="499"/>
        <v>11001</v>
      </c>
      <c r="AO426" t="str">
        <f>"30/05/2020 12:00:00 a. m."</f>
        <v>30/05/2020 12:00:00 a. m.</v>
      </c>
      <c r="AP426" t="str">
        <f>"30/03/2020 12:00:00 a. m."</f>
        <v>30/03/2020 12:00:00 a. m.</v>
      </c>
      <c r="AQ426" t="str">
        <f t="shared" si="491"/>
        <v>3</v>
      </c>
      <c r="AR426" t="str">
        <f t="shared" si="500"/>
        <v>1</v>
      </c>
      <c r="AS426" t="str">
        <f>"30/05/2020 12:00:00 a. m."</f>
        <v>30/05/2020 12:00:00 a. m.</v>
      </c>
      <c r="AT426" t="str">
        <f t="shared" si="488"/>
        <v>1</v>
      </c>
      <c r="AU426" t="str">
        <f>""</f>
        <v/>
      </c>
      <c r="AV426" t="str">
        <f>"0"</f>
        <v>0</v>
      </c>
      <c r="AW426" t="str">
        <f>"30/06/2011 12:00:00 a. m."</f>
        <v>30/06/2011 12:00:00 a. m.</v>
      </c>
      <c r="AX426" t="str">
        <f>""</f>
        <v/>
      </c>
      <c r="AY426" t="str">
        <f t="shared" si="452"/>
        <v>30/04/2021 12:00:00 a. m.</v>
      </c>
      <c r="AZ426" t="str">
        <f>"17/06/2020 12:00:00 a. m."</f>
        <v>17/06/2020 12:00:00 a. m.</v>
      </c>
      <c r="BA426" t="str">
        <f>""</f>
        <v/>
      </c>
      <c r="BB426" t="str">
        <f>""</f>
        <v/>
      </c>
      <c r="BC426" t="str">
        <f>""</f>
        <v/>
      </c>
      <c r="BD426" t="str">
        <f t="shared" si="493"/>
        <v>1</v>
      </c>
      <c r="BE426" t="str">
        <f t="shared" si="493"/>
        <v>1</v>
      </c>
      <c r="BF426" t="str">
        <f t="shared" si="453"/>
        <v xml:space="preserve">3         </v>
      </c>
      <c r="BG426" t="str">
        <f t="shared" si="454"/>
        <v>Confirmado por laboratorio</v>
      </c>
      <c r="BH426" t="str">
        <f>"FUNDACION HOSPITAL DE LA MISERICORDIA"</f>
        <v>FUNDACION HOSPITAL DE LA MISERICORDIA</v>
      </c>
      <c r="BI426" t="str">
        <f t="shared" si="464"/>
        <v>COLOMBIA</v>
      </c>
      <c r="BJ426" t="str">
        <f t="shared" si="455"/>
        <v>CANCER INFANTIL</v>
      </c>
      <c r="BK426" t="str">
        <f t="shared" si="501"/>
        <v>BOGOTA</v>
      </c>
      <c r="BL426" t="str">
        <f t="shared" si="501"/>
        <v>BOGOTA</v>
      </c>
      <c r="BM426" t="str">
        <f t="shared" si="465"/>
        <v>COLOMBIA</v>
      </c>
      <c r="BN426" t="str">
        <f t="shared" si="502"/>
        <v>BOGOTA</v>
      </c>
      <c r="BO426" t="str">
        <f t="shared" si="502"/>
        <v>BOGOTA</v>
      </c>
      <c r="BP426" t="str">
        <f t="shared" si="502"/>
        <v>BOGOTA</v>
      </c>
      <c r="BQ426" t="str">
        <f t="shared" si="502"/>
        <v>BOGOTA</v>
      </c>
    </row>
    <row r="427" spans="1:69" x14ac:dyDescent="0.25">
      <c r="A427" t="str">
        <f>"7278920"</f>
        <v>7278920</v>
      </c>
      <c r="B427" t="str">
        <f t="shared" si="449"/>
        <v>459</v>
      </c>
      <c r="C427" t="str">
        <f>"5/11/2020 12:00:00 a. m."</f>
        <v>5/11/2020 12:00:00 a. m.</v>
      </c>
      <c r="D427" t="str">
        <f>"45"</f>
        <v>45</v>
      </c>
      <c r="E427" t="str">
        <f t="shared" si="450"/>
        <v>2020</v>
      </c>
      <c r="F427" t="str">
        <f>"1100116338"</f>
        <v>1100116338</v>
      </c>
      <c r="G427" t="str">
        <f>"83"</f>
        <v>83</v>
      </c>
      <c r="H427" t="str">
        <f>"14"</f>
        <v>14</v>
      </c>
      <c r="I427" t="str">
        <f t="shared" si="497"/>
        <v>1</v>
      </c>
      <c r="J427" t="str">
        <f>"M"</f>
        <v>M</v>
      </c>
      <c r="K427" t="str">
        <f t="shared" si="461"/>
        <v>170</v>
      </c>
      <c r="L427" t="str">
        <f>"11"</f>
        <v>11</v>
      </c>
      <c r="M427" t="str">
        <f t="shared" si="494"/>
        <v>001</v>
      </c>
      <c r="N427" t="str">
        <f t="shared" si="489"/>
        <v>1</v>
      </c>
      <c r="O427" t="str">
        <f>"9997"</f>
        <v>9997</v>
      </c>
      <c r="P427" t="str">
        <f>"P"</f>
        <v>P</v>
      </c>
      <c r="Q427" t="str">
        <f>"RES003"</f>
        <v>RES003</v>
      </c>
      <c r="R427" t="str">
        <f t="shared" si="468"/>
        <v>6</v>
      </c>
      <c r="S427" t="str">
        <f>""</f>
        <v/>
      </c>
      <c r="T427" t="str">
        <f t="shared" si="476"/>
        <v xml:space="preserve">                                                                                                    </v>
      </c>
      <c r="U427" t="str">
        <f>"2         "</f>
        <v xml:space="preserve">2         </v>
      </c>
      <c r="V427" t="str">
        <f t="shared" si="485"/>
        <v>2</v>
      </c>
      <c r="W427" t="str">
        <f t="shared" si="431"/>
        <v>2</v>
      </c>
      <c r="X427" t="str">
        <f t="shared" si="496"/>
        <v>2</v>
      </c>
      <c r="Y427" t="str">
        <f t="shared" si="487"/>
        <v>2</v>
      </c>
      <c r="Z427" t="str">
        <f t="shared" si="487"/>
        <v>2</v>
      </c>
      <c r="AA427" t="str">
        <f t="shared" si="451"/>
        <v xml:space="preserve">          </v>
      </c>
      <c r="AB427" t="str">
        <f t="shared" si="440"/>
        <v>2</v>
      </c>
      <c r="AC427" t="str">
        <f t="shared" si="443"/>
        <v>2</v>
      </c>
      <c r="AD427" t="str">
        <f t="shared" si="490"/>
        <v>2</v>
      </c>
      <c r="AE427" t="str">
        <f t="shared" si="490"/>
        <v>2</v>
      </c>
      <c r="AF427" t="str">
        <f t="shared" si="490"/>
        <v>2</v>
      </c>
      <c r="AG427" t="str">
        <f t="shared" si="490"/>
        <v>2</v>
      </c>
      <c r="AH427" t="str">
        <f t="shared" si="484"/>
        <v>1</v>
      </c>
      <c r="AI427" t="str">
        <f t="shared" si="492"/>
        <v xml:space="preserve">1         </v>
      </c>
      <c r="AJ427" t="str">
        <f t="shared" si="462"/>
        <v>170</v>
      </c>
      <c r="AK427" t="str">
        <f>"11"</f>
        <v>11</v>
      </c>
      <c r="AL427" t="str">
        <f t="shared" si="495"/>
        <v>001</v>
      </c>
      <c r="AM427" t="str">
        <f t="shared" si="498"/>
        <v>11</v>
      </c>
      <c r="AN427" t="str">
        <f t="shared" si="499"/>
        <v>11001</v>
      </c>
      <c r="AO427" t="str">
        <f>"5/11/2020 12:00:00 a. m."</f>
        <v>5/11/2020 12:00:00 a. m.</v>
      </c>
      <c r="AP427" t="str">
        <f>"4/04/2020 12:00:00 a. m."</f>
        <v>4/04/2020 12:00:00 a. m.</v>
      </c>
      <c r="AQ427" t="str">
        <f>"2"</f>
        <v>2</v>
      </c>
      <c r="AR427" t="str">
        <f t="shared" si="500"/>
        <v>1</v>
      </c>
      <c r="AS427" t="str">
        <f>"5/11/2020 12:00:00 a. m."</f>
        <v>5/11/2020 12:00:00 a. m.</v>
      </c>
      <c r="AT427" t="str">
        <f t="shared" si="488"/>
        <v>1</v>
      </c>
      <c r="AU427" t="str">
        <f>""</f>
        <v/>
      </c>
      <c r="AV427" t="str">
        <f>"3"</f>
        <v>3</v>
      </c>
      <c r="AW427" t="str">
        <f>"26/12/2005 12:00:00 a. m."</f>
        <v>26/12/2005 12:00:00 a. m.</v>
      </c>
      <c r="AX427" t="str">
        <f>""</f>
        <v/>
      </c>
      <c r="AY427" t="str">
        <f t="shared" si="452"/>
        <v>30/04/2021 12:00:00 a. m.</v>
      </c>
      <c r="AZ427" t="str">
        <f>"27/11/2020 12:00:00 a. m."</f>
        <v>27/11/2020 12:00:00 a. m.</v>
      </c>
      <c r="BA427" t="str">
        <f>""</f>
        <v/>
      </c>
      <c r="BB427" t="str">
        <f>""</f>
        <v/>
      </c>
      <c r="BC427" t="str">
        <f>""</f>
        <v/>
      </c>
      <c r="BD427" t="str">
        <f t="shared" si="493"/>
        <v>1</v>
      </c>
      <c r="BE427" t="str">
        <f t="shared" si="493"/>
        <v>1</v>
      </c>
      <c r="BF427" t="str">
        <f t="shared" si="453"/>
        <v xml:space="preserve">3         </v>
      </c>
      <c r="BG427" t="str">
        <f t="shared" si="454"/>
        <v>Confirmado por laboratorio</v>
      </c>
      <c r="BH427" t="str">
        <f>"HOSPITAL MILITAR CENTRAL CHAPINERO"</f>
        <v>HOSPITAL MILITAR CENTRAL CHAPINERO</v>
      </c>
      <c r="BI427" t="str">
        <f t="shared" si="464"/>
        <v>COLOMBIA</v>
      </c>
      <c r="BJ427" t="str">
        <f t="shared" si="455"/>
        <v>CANCER INFANTIL</v>
      </c>
      <c r="BK427" t="str">
        <f t="shared" si="501"/>
        <v>BOGOTA</v>
      </c>
      <c r="BL427" t="str">
        <f t="shared" si="501"/>
        <v>BOGOTA</v>
      </c>
      <c r="BM427" t="str">
        <f t="shared" si="465"/>
        <v>COLOMBIA</v>
      </c>
      <c r="BN427" t="str">
        <f t="shared" si="502"/>
        <v>BOGOTA</v>
      </c>
      <c r="BO427" t="str">
        <f t="shared" si="502"/>
        <v>BOGOTA</v>
      </c>
      <c r="BP427" t="str">
        <f t="shared" si="502"/>
        <v>BOGOTA</v>
      </c>
      <c r="BQ427" t="str">
        <f t="shared" si="502"/>
        <v>BOGOTA</v>
      </c>
    </row>
    <row r="428" spans="1:69" x14ac:dyDescent="0.25">
      <c r="A428" t="str">
        <f>"7278884"</f>
        <v>7278884</v>
      </c>
      <c r="B428" t="str">
        <f t="shared" si="449"/>
        <v>459</v>
      </c>
      <c r="C428" t="str">
        <f>"18/02/2020 12:00:00 a. m."</f>
        <v>18/02/2020 12:00:00 a. m.</v>
      </c>
      <c r="D428" t="str">
        <f>"07"</f>
        <v>07</v>
      </c>
      <c r="E428" t="str">
        <f t="shared" si="450"/>
        <v>2020</v>
      </c>
      <c r="F428" t="str">
        <f>"1100106065"</f>
        <v>1100106065</v>
      </c>
      <c r="G428" t="str">
        <f t="shared" ref="G428:G436" si="503">"01"</f>
        <v>01</v>
      </c>
      <c r="H428" t="str">
        <f>"4"</f>
        <v>4</v>
      </c>
      <c r="I428" t="str">
        <f t="shared" si="497"/>
        <v>1</v>
      </c>
      <c r="J428" t="str">
        <f>"M"</f>
        <v>M</v>
      </c>
      <c r="K428" t="str">
        <f t="shared" si="461"/>
        <v>170</v>
      </c>
      <c r="L428" t="str">
        <f>"11"</f>
        <v>11</v>
      </c>
      <c r="M428" t="str">
        <f t="shared" si="494"/>
        <v>001</v>
      </c>
      <c r="N428" t="str">
        <f t="shared" si="489"/>
        <v>1</v>
      </c>
      <c r="O428" t="str">
        <f>"9999"</f>
        <v>9999</v>
      </c>
      <c r="P428" t="str">
        <f>"S"</f>
        <v>S</v>
      </c>
      <c r="Q428" t="str">
        <f>"EPSS34"</f>
        <v>EPSS34</v>
      </c>
      <c r="R428" t="str">
        <f t="shared" si="468"/>
        <v>6</v>
      </c>
      <c r="S428" t="str">
        <f>""</f>
        <v/>
      </c>
      <c r="T428" t="str">
        <f t="shared" si="476"/>
        <v xml:space="preserve">                                                                                                    </v>
      </c>
      <c r="U428" t="str">
        <f>"2         "</f>
        <v xml:space="preserve">2         </v>
      </c>
      <c r="V428" t="str">
        <f t="shared" si="485"/>
        <v>2</v>
      </c>
      <c r="W428" t="str">
        <f t="shared" si="431"/>
        <v>2</v>
      </c>
      <c r="X428" t="str">
        <f t="shared" si="496"/>
        <v>2</v>
      </c>
      <c r="Y428" t="str">
        <f t="shared" si="487"/>
        <v>2</v>
      </c>
      <c r="Z428" t="str">
        <f t="shared" si="487"/>
        <v>2</v>
      </c>
      <c r="AA428" t="str">
        <f t="shared" si="451"/>
        <v xml:space="preserve">          </v>
      </c>
      <c r="AB428" t="str">
        <f t="shared" si="440"/>
        <v>2</v>
      </c>
      <c r="AC428" t="str">
        <f t="shared" si="443"/>
        <v>2</v>
      </c>
      <c r="AD428" t="str">
        <f t="shared" si="490"/>
        <v>2</v>
      </c>
      <c r="AE428" t="str">
        <f t="shared" si="490"/>
        <v>2</v>
      </c>
      <c r="AF428" t="str">
        <f t="shared" si="490"/>
        <v>2</v>
      </c>
      <c r="AG428" t="str">
        <f t="shared" si="490"/>
        <v>2</v>
      </c>
      <c r="AH428" t="str">
        <f t="shared" si="484"/>
        <v>1</v>
      </c>
      <c r="AI428" t="str">
        <f t="shared" si="492"/>
        <v xml:space="preserve">1         </v>
      </c>
      <c r="AJ428" t="str">
        <f t="shared" si="462"/>
        <v>170</v>
      </c>
      <c r="AK428" t="str">
        <f>"11"</f>
        <v>11</v>
      </c>
      <c r="AL428" t="str">
        <f t="shared" si="495"/>
        <v>001</v>
      </c>
      <c r="AM428" t="str">
        <f t="shared" si="498"/>
        <v>11</v>
      </c>
      <c r="AN428" t="str">
        <f t="shared" si="499"/>
        <v>11001</v>
      </c>
      <c r="AO428" t="str">
        <f>"11/02/2020 12:00:00 a. m."</f>
        <v>11/02/2020 12:00:00 a. m.</v>
      </c>
      <c r="AP428" t="str">
        <f>"5/02/2020 12:00:00 a. m."</f>
        <v>5/02/2020 12:00:00 a. m.</v>
      </c>
      <c r="AQ428" t="str">
        <f>"2"</f>
        <v>2</v>
      </c>
      <c r="AR428" t="str">
        <f t="shared" si="500"/>
        <v>1</v>
      </c>
      <c r="AS428" t="str">
        <f>"12/02/2020 12:00:00 a. m."</f>
        <v>12/02/2020 12:00:00 a. m.</v>
      </c>
      <c r="AT428" t="str">
        <f t="shared" si="488"/>
        <v>1</v>
      </c>
      <c r="AU428" t="str">
        <f>""</f>
        <v/>
      </c>
      <c r="AV428" t="str">
        <f>"3"</f>
        <v>3</v>
      </c>
      <c r="AW428" t="str">
        <f>"10/06/2015 12:00:00 a. m."</f>
        <v>10/06/2015 12:00:00 a. m.</v>
      </c>
      <c r="AX428" t="str">
        <f>""</f>
        <v/>
      </c>
      <c r="AY428" t="str">
        <f t="shared" si="452"/>
        <v>30/04/2021 12:00:00 a. m.</v>
      </c>
      <c r="AZ428" t="str">
        <f>"26/02/2020 12:00:00 a. m."</f>
        <v>26/02/2020 12:00:00 a. m.</v>
      </c>
      <c r="BA428" t="str">
        <f>""</f>
        <v/>
      </c>
      <c r="BB428" t="str">
        <f>""</f>
        <v/>
      </c>
      <c r="BC428" t="str">
        <f>""</f>
        <v/>
      </c>
      <c r="BD428" t="str">
        <f t="shared" si="493"/>
        <v>1</v>
      </c>
      <c r="BE428" t="str">
        <f t="shared" si="493"/>
        <v>1</v>
      </c>
      <c r="BF428" t="str">
        <f t="shared" si="453"/>
        <v xml:space="preserve">3         </v>
      </c>
      <c r="BG428" t="str">
        <f t="shared" si="454"/>
        <v>Confirmado por laboratorio</v>
      </c>
      <c r="BH428" t="str">
        <f>"ESE INSTITUTO NACIONAL DE CANCEROLOGIA"</f>
        <v>ESE INSTITUTO NACIONAL DE CANCEROLOGIA</v>
      </c>
      <c r="BI428" t="str">
        <f t="shared" si="464"/>
        <v>COLOMBIA</v>
      </c>
      <c r="BJ428" t="str">
        <f t="shared" si="455"/>
        <v>CANCER INFANTIL</v>
      </c>
      <c r="BK428" t="str">
        <f t="shared" si="501"/>
        <v>BOGOTA</v>
      </c>
      <c r="BL428" t="str">
        <f t="shared" si="501"/>
        <v>BOGOTA</v>
      </c>
      <c r="BM428" t="str">
        <f t="shared" si="465"/>
        <v>COLOMBIA</v>
      </c>
      <c r="BN428" t="str">
        <f t="shared" si="502"/>
        <v>BOGOTA</v>
      </c>
      <c r="BO428" t="str">
        <f t="shared" si="502"/>
        <v>BOGOTA</v>
      </c>
      <c r="BP428" t="str">
        <f t="shared" si="502"/>
        <v>BOGOTA</v>
      </c>
      <c r="BQ428" t="str">
        <f t="shared" si="502"/>
        <v>BOGOTA</v>
      </c>
    </row>
    <row r="429" spans="1:69" x14ac:dyDescent="0.25">
      <c r="A429" t="str">
        <f>"7278849"</f>
        <v>7278849</v>
      </c>
      <c r="B429" t="str">
        <f t="shared" si="449"/>
        <v>459</v>
      </c>
      <c r="C429" t="str">
        <f>"7/11/2020 12:00:00 a. m."</f>
        <v>7/11/2020 12:00:00 a. m.</v>
      </c>
      <c r="D429" t="str">
        <f>"45"</f>
        <v>45</v>
      </c>
      <c r="E429" t="str">
        <f t="shared" si="450"/>
        <v>2020</v>
      </c>
      <c r="F429" t="str">
        <f>"1100106065"</f>
        <v>1100106065</v>
      </c>
      <c r="G429" t="str">
        <f t="shared" si="503"/>
        <v>01</v>
      </c>
      <c r="H429" t="str">
        <f>"15"</f>
        <v>15</v>
      </c>
      <c r="I429" t="str">
        <f t="shared" si="497"/>
        <v>1</v>
      </c>
      <c r="J429" t="str">
        <f>"F"</f>
        <v>F</v>
      </c>
      <c r="K429" t="str">
        <f t="shared" si="461"/>
        <v>170</v>
      </c>
      <c r="L429" t="str">
        <f>"11"</f>
        <v>11</v>
      </c>
      <c r="M429" t="str">
        <f t="shared" si="494"/>
        <v>001</v>
      </c>
      <c r="N429" t="str">
        <f t="shared" si="489"/>
        <v>1</v>
      </c>
      <c r="O429" t="str">
        <f>"9997"</f>
        <v>9997</v>
      </c>
      <c r="P429" t="str">
        <f>"C"</f>
        <v>C</v>
      </c>
      <c r="Q429" t="str">
        <f>"EPS008"</f>
        <v>EPS008</v>
      </c>
      <c r="R429" t="str">
        <f t="shared" si="468"/>
        <v>6</v>
      </c>
      <c r="S429" t="str">
        <f>""</f>
        <v/>
      </c>
      <c r="T429" t="str">
        <f t="shared" si="476"/>
        <v xml:space="preserve">                                                                                                    </v>
      </c>
      <c r="U429" t="str">
        <f>"2         "</f>
        <v xml:space="preserve">2         </v>
      </c>
      <c r="V429" t="str">
        <f t="shared" si="485"/>
        <v>2</v>
      </c>
      <c r="W429" t="str">
        <f t="shared" si="431"/>
        <v>2</v>
      </c>
      <c r="X429" t="str">
        <f t="shared" si="496"/>
        <v>2</v>
      </c>
      <c r="Y429" t="str">
        <f t="shared" si="487"/>
        <v>2</v>
      </c>
      <c r="Z429" t="str">
        <f t="shared" si="487"/>
        <v>2</v>
      </c>
      <c r="AA429" t="str">
        <f t="shared" si="451"/>
        <v xml:space="preserve">          </v>
      </c>
      <c r="AB429" t="str">
        <f t="shared" si="440"/>
        <v>2</v>
      </c>
      <c r="AC429" t="str">
        <f t="shared" si="443"/>
        <v>2</v>
      </c>
      <c r="AD429" t="str">
        <f t="shared" si="490"/>
        <v>2</v>
      </c>
      <c r="AE429" t="str">
        <f t="shared" si="490"/>
        <v>2</v>
      </c>
      <c r="AF429" t="str">
        <f t="shared" si="490"/>
        <v>2</v>
      </c>
      <c r="AG429" t="str">
        <f t="shared" si="490"/>
        <v>2</v>
      </c>
      <c r="AH429" t="str">
        <f t="shared" si="484"/>
        <v>1</v>
      </c>
      <c r="AI429" t="str">
        <f t="shared" si="492"/>
        <v xml:space="preserve">1         </v>
      </c>
      <c r="AJ429" t="str">
        <f t="shared" si="462"/>
        <v>170</v>
      </c>
      <c r="AK429" t="str">
        <f>"11"</f>
        <v>11</v>
      </c>
      <c r="AL429" t="str">
        <f t="shared" si="495"/>
        <v>001</v>
      </c>
      <c r="AM429" t="str">
        <f t="shared" si="498"/>
        <v>11</v>
      </c>
      <c r="AN429" t="str">
        <f t="shared" si="499"/>
        <v>11001</v>
      </c>
      <c r="AO429" t="str">
        <f>"6/11/2020 12:00:00 a. m."</f>
        <v>6/11/2020 12:00:00 a. m.</v>
      </c>
      <c r="AP429" t="str">
        <f>"15/09/2020 12:00:00 a. m."</f>
        <v>15/09/2020 12:00:00 a. m.</v>
      </c>
      <c r="AQ429" t="str">
        <f>"2"</f>
        <v>2</v>
      </c>
      <c r="AR429" t="str">
        <f t="shared" si="500"/>
        <v>1</v>
      </c>
      <c r="AS429" t="str">
        <f>"6/11/2020 12:00:00 a. m."</f>
        <v>6/11/2020 12:00:00 a. m.</v>
      </c>
      <c r="AT429" t="str">
        <f t="shared" si="488"/>
        <v>1</v>
      </c>
      <c r="AU429" t="str">
        <f>""</f>
        <v/>
      </c>
      <c r="AV429" t="str">
        <f>"3"</f>
        <v>3</v>
      </c>
      <c r="AW429" t="str">
        <f>"22/02/2005 12:00:00 a. m."</f>
        <v>22/02/2005 12:00:00 a. m.</v>
      </c>
      <c r="AX429" t="str">
        <f>""</f>
        <v/>
      </c>
      <c r="AY429" t="str">
        <f t="shared" si="452"/>
        <v>30/04/2021 12:00:00 a. m.</v>
      </c>
      <c r="AZ429" t="str">
        <f>"7/12/2020 12:00:00 a. m."</f>
        <v>7/12/2020 12:00:00 a. m.</v>
      </c>
      <c r="BA429" t="str">
        <f>""</f>
        <v/>
      </c>
      <c r="BB429" t="str">
        <f>""</f>
        <v/>
      </c>
      <c r="BC429" t="str">
        <f>""</f>
        <v/>
      </c>
      <c r="BD429" t="str">
        <f t="shared" si="493"/>
        <v>1</v>
      </c>
      <c r="BE429" t="str">
        <f t="shared" si="493"/>
        <v>1</v>
      </c>
      <c r="BF429" t="str">
        <f t="shared" si="453"/>
        <v xml:space="preserve">3         </v>
      </c>
      <c r="BG429" t="str">
        <f t="shared" si="454"/>
        <v>Confirmado por laboratorio</v>
      </c>
      <c r="BH429" t="str">
        <f>"ESE INSTITUTO NACIONAL DE CANCEROLOGIA"</f>
        <v>ESE INSTITUTO NACIONAL DE CANCEROLOGIA</v>
      </c>
      <c r="BI429" t="str">
        <f t="shared" si="464"/>
        <v>COLOMBIA</v>
      </c>
      <c r="BJ429" t="str">
        <f t="shared" si="455"/>
        <v>CANCER INFANTIL</v>
      </c>
      <c r="BK429" t="str">
        <f t="shared" si="501"/>
        <v>BOGOTA</v>
      </c>
      <c r="BL429" t="str">
        <f t="shared" si="501"/>
        <v>BOGOTA</v>
      </c>
      <c r="BM429" t="str">
        <f t="shared" si="465"/>
        <v>COLOMBIA</v>
      </c>
      <c r="BN429" t="str">
        <f t="shared" si="502"/>
        <v>BOGOTA</v>
      </c>
      <c r="BO429" t="str">
        <f t="shared" si="502"/>
        <v>BOGOTA</v>
      </c>
      <c r="BP429" t="str">
        <f t="shared" si="502"/>
        <v>BOGOTA</v>
      </c>
      <c r="BQ429" t="str">
        <f t="shared" si="502"/>
        <v>BOGOTA</v>
      </c>
    </row>
    <row r="430" spans="1:69" x14ac:dyDescent="0.25">
      <c r="A430" t="str">
        <f>"7278853"</f>
        <v>7278853</v>
      </c>
      <c r="B430" t="str">
        <f t="shared" si="449"/>
        <v>459</v>
      </c>
      <c r="C430" t="str">
        <f>"21/12/2020 12:00:00 a. m."</f>
        <v>21/12/2020 12:00:00 a. m.</v>
      </c>
      <c r="D430" t="str">
        <f>"52"</f>
        <v>52</v>
      </c>
      <c r="E430" t="str">
        <f t="shared" si="450"/>
        <v>2020</v>
      </c>
      <c r="F430" t="str">
        <f>"1100106065"</f>
        <v>1100106065</v>
      </c>
      <c r="G430" t="str">
        <f t="shared" si="503"/>
        <v>01</v>
      </c>
      <c r="H430" t="str">
        <f>"6"</f>
        <v>6</v>
      </c>
      <c r="I430" t="str">
        <f t="shared" si="497"/>
        <v>1</v>
      </c>
      <c r="J430" t="str">
        <f>"F"</f>
        <v>F</v>
      </c>
      <c r="K430" t="str">
        <f t="shared" si="461"/>
        <v>170</v>
      </c>
      <c r="L430" t="str">
        <f>"23"</f>
        <v>23</v>
      </c>
      <c r="M430" t="str">
        <f t="shared" si="494"/>
        <v>001</v>
      </c>
      <c r="N430" t="str">
        <f>"3"</f>
        <v>3</v>
      </c>
      <c r="O430" t="str">
        <f>"9997"</f>
        <v>9997</v>
      </c>
      <c r="P430" t="str">
        <f>"S"</f>
        <v>S</v>
      </c>
      <c r="Q430" t="str">
        <f>"ESS207"</f>
        <v>ESS207</v>
      </c>
      <c r="R430" t="str">
        <f t="shared" si="468"/>
        <v>6</v>
      </c>
      <c r="S430" t="str">
        <f>""</f>
        <v/>
      </c>
      <c r="T430" t="str">
        <f t="shared" si="476"/>
        <v xml:space="preserve">                                                                                                    </v>
      </c>
      <c r="U430" t="str">
        <f>"1         "</f>
        <v xml:space="preserve">1         </v>
      </c>
      <c r="V430" t="str">
        <f t="shared" si="485"/>
        <v>2</v>
      </c>
      <c r="W430" t="str">
        <f t="shared" si="431"/>
        <v>2</v>
      </c>
      <c r="X430" t="str">
        <f t="shared" si="496"/>
        <v>2</v>
      </c>
      <c r="Y430" t="str">
        <f t="shared" si="487"/>
        <v>2</v>
      </c>
      <c r="Z430" t="str">
        <f t="shared" si="487"/>
        <v>2</v>
      </c>
      <c r="AA430" t="str">
        <f t="shared" si="451"/>
        <v xml:space="preserve">          </v>
      </c>
      <c r="AB430" t="str">
        <f t="shared" si="440"/>
        <v>2</v>
      </c>
      <c r="AC430" t="str">
        <f t="shared" si="443"/>
        <v>2</v>
      </c>
      <c r="AD430" t="str">
        <f t="shared" si="490"/>
        <v>2</v>
      </c>
      <c r="AE430" t="str">
        <f t="shared" si="490"/>
        <v>2</v>
      </c>
      <c r="AF430" t="str">
        <f t="shared" si="490"/>
        <v>2</v>
      </c>
      <c r="AG430" t="str">
        <f t="shared" si="490"/>
        <v>2</v>
      </c>
      <c r="AH430" t="str">
        <f t="shared" si="484"/>
        <v>1</v>
      </c>
      <c r="AI430" t="str">
        <f t="shared" si="492"/>
        <v xml:space="preserve">1         </v>
      </c>
      <c r="AJ430" t="str">
        <f t="shared" si="462"/>
        <v>170</v>
      </c>
      <c r="AK430" t="str">
        <f>"23"</f>
        <v>23</v>
      </c>
      <c r="AL430" t="str">
        <f t="shared" si="495"/>
        <v>001</v>
      </c>
      <c r="AM430" t="str">
        <f t="shared" si="498"/>
        <v>11</v>
      </c>
      <c r="AN430" t="str">
        <f t="shared" si="499"/>
        <v>11001</v>
      </c>
      <c r="AO430" t="str">
        <f>"21/12/2020 12:00:00 a. m."</f>
        <v>21/12/2020 12:00:00 a. m.</v>
      </c>
      <c r="AP430" t="str">
        <f>"4/12/2020 12:00:00 a. m."</f>
        <v>4/12/2020 12:00:00 a. m.</v>
      </c>
      <c r="AQ430" t="str">
        <f>"3"</f>
        <v>3</v>
      </c>
      <c r="AR430" t="str">
        <f t="shared" si="500"/>
        <v>1</v>
      </c>
      <c r="AS430" t="str">
        <f>"21/12/2020 12:00:00 a. m."</f>
        <v>21/12/2020 12:00:00 a. m.</v>
      </c>
      <c r="AT430" t="str">
        <f t="shared" si="488"/>
        <v>1</v>
      </c>
      <c r="AU430" t="str">
        <f>""</f>
        <v/>
      </c>
      <c r="AV430" t="str">
        <f>"0"</f>
        <v>0</v>
      </c>
      <c r="AW430" t="str">
        <f>"25/08/2014 12:00:00 a. m."</f>
        <v>25/08/2014 12:00:00 a. m.</v>
      </c>
      <c r="AX430" t="str">
        <f>""</f>
        <v/>
      </c>
      <c r="AY430" t="str">
        <f t="shared" si="452"/>
        <v>30/04/2021 12:00:00 a. m.</v>
      </c>
      <c r="AZ430" t="str">
        <f>"28/12/2020 12:00:00 a. m."</f>
        <v>28/12/2020 12:00:00 a. m.</v>
      </c>
      <c r="BA430" t="str">
        <f>""</f>
        <v/>
      </c>
      <c r="BB430" t="str">
        <f>""</f>
        <v/>
      </c>
      <c r="BC430" t="str">
        <f>""</f>
        <v/>
      </c>
      <c r="BD430" t="str">
        <f t="shared" si="493"/>
        <v>1</v>
      </c>
      <c r="BE430" t="str">
        <f t="shared" si="493"/>
        <v>1</v>
      </c>
      <c r="BF430" t="str">
        <f t="shared" si="453"/>
        <v xml:space="preserve">3         </v>
      </c>
      <c r="BG430" t="str">
        <f t="shared" si="454"/>
        <v>Confirmado por laboratorio</v>
      </c>
      <c r="BH430" t="str">
        <f>"ESE INSTITUTO NACIONAL DE CANCEROLOGIA"</f>
        <v>ESE INSTITUTO NACIONAL DE CANCEROLOGIA</v>
      </c>
      <c r="BI430" t="str">
        <f t="shared" si="464"/>
        <v>COLOMBIA</v>
      </c>
      <c r="BJ430" t="str">
        <f t="shared" si="455"/>
        <v>CANCER INFANTIL</v>
      </c>
      <c r="BK430" t="str">
        <f>"CORDOBA"</f>
        <v>CORDOBA</v>
      </c>
      <c r="BL430" t="str">
        <f>"MONTERIA"</f>
        <v>MONTERIA</v>
      </c>
      <c r="BM430" t="str">
        <f t="shared" si="465"/>
        <v>COLOMBIA</v>
      </c>
      <c r="BN430" t="str">
        <f>"CORDOBA"</f>
        <v>CORDOBA</v>
      </c>
      <c r="BO430" t="str">
        <f>"MONTERIA"</f>
        <v>MONTERIA</v>
      </c>
      <c r="BP430" t="str">
        <f t="shared" ref="BP430:BQ433" si="504">"BOGOTA"</f>
        <v>BOGOTA</v>
      </c>
      <c r="BQ430" t="str">
        <f t="shared" si="504"/>
        <v>BOGOTA</v>
      </c>
    </row>
    <row r="431" spans="1:69" x14ac:dyDescent="0.25">
      <c r="A431" t="str">
        <f>"7285787"</f>
        <v>7285787</v>
      </c>
      <c r="B431" t="str">
        <f t="shared" si="449"/>
        <v>459</v>
      </c>
      <c r="C431" t="str">
        <f>"21/10/2020 12:00:00 a. m."</f>
        <v>21/10/2020 12:00:00 a. m.</v>
      </c>
      <c r="D431" t="str">
        <f>"42"</f>
        <v>42</v>
      </c>
      <c r="E431" t="str">
        <f t="shared" si="450"/>
        <v>2020</v>
      </c>
      <c r="F431" t="str">
        <f>"1100106065"</f>
        <v>1100106065</v>
      </c>
      <c r="G431" t="str">
        <f t="shared" si="503"/>
        <v>01</v>
      </c>
      <c r="H431" t="str">
        <f>"7"</f>
        <v>7</v>
      </c>
      <c r="I431" t="str">
        <f t="shared" si="497"/>
        <v>1</v>
      </c>
      <c r="J431" t="str">
        <f>"M"</f>
        <v>M</v>
      </c>
      <c r="K431" t="str">
        <f t="shared" si="461"/>
        <v>170</v>
      </c>
      <c r="L431" t="str">
        <f>"11"</f>
        <v>11</v>
      </c>
      <c r="M431" t="str">
        <f t="shared" si="494"/>
        <v>001</v>
      </c>
      <c r="N431" t="str">
        <f>"1"</f>
        <v>1</v>
      </c>
      <c r="O431" t="str">
        <f>"9998"</f>
        <v>9998</v>
      </c>
      <c r="P431" t="str">
        <f>"N"</f>
        <v>N</v>
      </c>
      <c r="Q431" t="str">
        <f>""</f>
        <v/>
      </c>
      <c r="R431" t="str">
        <f t="shared" si="468"/>
        <v>6</v>
      </c>
      <c r="S431" t="str">
        <f>""</f>
        <v/>
      </c>
      <c r="T431" t="str">
        <f t="shared" si="476"/>
        <v xml:space="preserve">                                                                                                    </v>
      </c>
      <c r="U431" t="str">
        <f>"2         "</f>
        <v xml:space="preserve">2         </v>
      </c>
      <c r="V431" t="str">
        <f t="shared" si="485"/>
        <v>2</v>
      </c>
      <c r="W431" t="str">
        <f t="shared" si="431"/>
        <v>2</v>
      </c>
      <c r="X431" t="str">
        <f>"1"</f>
        <v>1</v>
      </c>
      <c r="Y431" t="str">
        <f t="shared" si="487"/>
        <v>2</v>
      </c>
      <c r="Z431" t="str">
        <f t="shared" si="487"/>
        <v>2</v>
      </c>
      <c r="AA431" t="str">
        <f t="shared" si="451"/>
        <v xml:space="preserve">          </v>
      </c>
      <c r="AB431" t="str">
        <f t="shared" si="440"/>
        <v>2</v>
      </c>
      <c r="AC431" t="str">
        <f t="shared" si="443"/>
        <v>2</v>
      </c>
      <c r="AD431" t="str">
        <f t="shared" si="490"/>
        <v>2</v>
      </c>
      <c r="AE431" t="str">
        <f t="shared" si="490"/>
        <v>2</v>
      </c>
      <c r="AF431" t="str">
        <f t="shared" si="490"/>
        <v>2</v>
      </c>
      <c r="AG431" t="str">
        <f t="shared" si="490"/>
        <v>2</v>
      </c>
      <c r="AH431" t="str">
        <f>"2"</f>
        <v>2</v>
      </c>
      <c r="AI431" t="str">
        <f t="shared" si="492"/>
        <v xml:space="preserve">1         </v>
      </c>
      <c r="AJ431" t="str">
        <f t="shared" si="462"/>
        <v>170</v>
      </c>
      <c r="AK431" t="str">
        <f>"11"</f>
        <v>11</v>
      </c>
      <c r="AL431" t="str">
        <f t="shared" si="495"/>
        <v>001</v>
      </c>
      <c r="AM431" t="str">
        <f t="shared" si="498"/>
        <v>11</v>
      </c>
      <c r="AN431" t="str">
        <f t="shared" si="499"/>
        <v>11001</v>
      </c>
      <c r="AO431" t="str">
        <f>"14/10/2020 12:00:00 a. m."</f>
        <v>14/10/2020 12:00:00 a. m.</v>
      </c>
      <c r="AP431" t="str">
        <f>"26/10/2019 12:00:00 a. m."</f>
        <v>26/10/2019 12:00:00 a. m.</v>
      </c>
      <c r="AQ431" t="str">
        <f>"3"</f>
        <v>3</v>
      </c>
      <c r="AR431" t="str">
        <f t="shared" si="500"/>
        <v>1</v>
      </c>
      <c r="AS431" t="str">
        <f>"14/10/2020 12:00:00 a. m."</f>
        <v>14/10/2020 12:00:00 a. m.</v>
      </c>
      <c r="AT431" t="str">
        <f t="shared" si="488"/>
        <v>1</v>
      </c>
      <c r="AU431" t="str">
        <f>""</f>
        <v/>
      </c>
      <c r="AV431" t="str">
        <f>"7"</f>
        <v>7</v>
      </c>
      <c r="AW431" t="str">
        <f>"26/05/2013 12:00:00 a. m."</f>
        <v>26/05/2013 12:00:00 a. m.</v>
      </c>
      <c r="AX431" t="str">
        <f>""</f>
        <v/>
      </c>
      <c r="AY431" t="str">
        <f t="shared" si="452"/>
        <v>30/04/2021 12:00:00 a. m.</v>
      </c>
      <c r="AZ431" t="str">
        <f>"13/11/2020 12:00:00 a. m."</f>
        <v>13/11/2020 12:00:00 a. m.</v>
      </c>
      <c r="BA431" t="str">
        <f>""</f>
        <v/>
      </c>
      <c r="BB431" t="str">
        <f>""</f>
        <v/>
      </c>
      <c r="BC431" t="str">
        <f>""</f>
        <v/>
      </c>
      <c r="BD431" t="str">
        <f t="shared" si="493"/>
        <v>1</v>
      </c>
      <c r="BE431" t="str">
        <f t="shared" si="493"/>
        <v>1</v>
      </c>
      <c r="BF431" t="str">
        <f t="shared" si="453"/>
        <v xml:space="preserve">3         </v>
      </c>
      <c r="BG431" t="str">
        <f t="shared" si="454"/>
        <v>Confirmado por laboratorio</v>
      </c>
      <c r="BH431" t="str">
        <f>"ESE INSTITUTO NACIONAL DE CANCEROLOGIA"</f>
        <v>ESE INSTITUTO NACIONAL DE CANCEROLOGIA</v>
      </c>
      <c r="BI431" t="str">
        <f t="shared" si="464"/>
        <v>COLOMBIA</v>
      </c>
      <c r="BJ431" t="str">
        <f t="shared" si="455"/>
        <v>CANCER INFANTIL</v>
      </c>
      <c r="BK431" t="str">
        <f>"BOGOTA"</f>
        <v>BOGOTA</v>
      </c>
      <c r="BL431" t="str">
        <f>"BOGOTA"</f>
        <v>BOGOTA</v>
      </c>
      <c r="BM431" t="str">
        <f t="shared" si="465"/>
        <v>COLOMBIA</v>
      </c>
      <c r="BN431" t="str">
        <f>"BOGOTA"</f>
        <v>BOGOTA</v>
      </c>
      <c r="BO431" t="str">
        <f>"BOGOTA"</f>
        <v>BOGOTA</v>
      </c>
      <c r="BP431" t="str">
        <f t="shared" si="504"/>
        <v>BOGOTA</v>
      </c>
      <c r="BQ431" t="str">
        <f t="shared" si="504"/>
        <v>BOGOTA</v>
      </c>
    </row>
    <row r="432" spans="1:69" x14ac:dyDescent="0.25">
      <c r="A432" t="str">
        <f>"7285767"</f>
        <v>7285767</v>
      </c>
      <c r="B432" t="str">
        <f t="shared" si="449"/>
        <v>459</v>
      </c>
      <c r="C432" t="str">
        <f>"7/01/2021 12:00:00 a. m."</f>
        <v>7/01/2021 12:00:00 a. m.</v>
      </c>
      <c r="D432" t="str">
        <f>"53"</f>
        <v>53</v>
      </c>
      <c r="E432" t="str">
        <f t="shared" si="450"/>
        <v>2020</v>
      </c>
      <c r="F432" t="str">
        <f>"1100130296"</f>
        <v>1100130296</v>
      </c>
      <c r="G432" t="str">
        <f t="shared" si="503"/>
        <v>01</v>
      </c>
      <c r="H432" t="str">
        <f>"13"</f>
        <v>13</v>
      </c>
      <c r="I432" t="str">
        <f t="shared" si="497"/>
        <v>1</v>
      </c>
      <c r="J432" t="str">
        <f>"M"</f>
        <v>M</v>
      </c>
      <c r="K432" t="str">
        <f t="shared" si="461"/>
        <v>170</v>
      </c>
      <c r="L432" t="str">
        <f>"11"</f>
        <v>11</v>
      </c>
      <c r="M432" t="str">
        <f t="shared" si="494"/>
        <v>001</v>
      </c>
      <c r="N432" t="str">
        <f>"1"</f>
        <v>1</v>
      </c>
      <c r="O432" t="str">
        <f>"9998"</f>
        <v>9998</v>
      </c>
      <c r="P432" t="str">
        <f>"N"</f>
        <v>N</v>
      </c>
      <c r="Q432" t="str">
        <f>""</f>
        <v/>
      </c>
      <c r="R432" t="str">
        <f t="shared" si="468"/>
        <v>6</v>
      </c>
      <c r="S432" t="str">
        <f>""</f>
        <v/>
      </c>
      <c r="T432" t="str">
        <f t="shared" si="476"/>
        <v xml:space="preserve">                                                                                                    </v>
      </c>
      <c r="U432" t="str">
        <f>"2         "</f>
        <v xml:space="preserve">2         </v>
      </c>
      <c r="V432" t="str">
        <f t="shared" si="485"/>
        <v>2</v>
      </c>
      <c r="W432" t="str">
        <f t="shared" si="431"/>
        <v>2</v>
      </c>
      <c r="X432" t="str">
        <f>"1"</f>
        <v>1</v>
      </c>
      <c r="Y432" t="str">
        <f t="shared" si="487"/>
        <v>2</v>
      </c>
      <c r="Z432" t="str">
        <f t="shared" si="487"/>
        <v>2</v>
      </c>
      <c r="AA432" t="str">
        <f t="shared" si="451"/>
        <v xml:space="preserve">          </v>
      </c>
      <c r="AB432" t="str">
        <f t="shared" si="440"/>
        <v>2</v>
      </c>
      <c r="AC432" t="str">
        <f t="shared" si="443"/>
        <v>2</v>
      </c>
      <c r="AD432" t="str">
        <f t="shared" si="490"/>
        <v>2</v>
      </c>
      <c r="AE432" t="str">
        <f t="shared" si="490"/>
        <v>2</v>
      </c>
      <c r="AF432" t="str">
        <f t="shared" si="490"/>
        <v>2</v>
      </c>
      <c r="AG432" t="str">
        <f t="shared" si="490"/>
        <v>2</v>
      </c>
      <c r="AH432" t="str">
        <f>"2"</f>
        <v>2</v>
      </c>
      <c r="AI432" t="str">
        <f t="shared" si="492"/>
        <v xml:space="preserve">1         </v>
      </c>
      <c r="AJ432" t="str">
        <f t="shared" si="462"/>
        <v>170</v>
      </c>
      <c r="AK432" t="str">
        <f>"11"</f>
        <v>11</v>
      </c>
      <c r="AL432" t="str">
        <f t="shared" si="495"/>
        <v>001</v>
      </c>
      <c r="AM432" t="str">
        <f t="shared" si="498"/>
        <v>11</v>
      </c>
      <c r="AN432" t="str">
        <f t="shared" si="499"/>
        <v>11001</v>
      </c>
      <c r="AO432" t="str">
        <f>"2/01/2021 12:00:00 a. m."</f>
        <v>2/01/2021 12:00:00 a. m.</v>
      </c>
      <c r="AP432" t="str">
        <f>"1/01/2021 12:00:00 a. m."</f>
        <v>1/01/2021 12:00:00 a. m.</v>
      </c>
      <c r="AQ432" t="str">
        <f>"2"</f>
        <v>2</v>
      </c>
      <c r="AR432" t="str">
        <f t="shared" si="500"/>
        <v>1</v>
      </c>
      <c r="AS432" t="str">
        <f>"2/01/2021 12:00:00 a. m."</f>
        <v>2/01/2021 12:00:00 a. m.</v>
      </c>
      <c r="AT432" t="str">
        <f t="shared" si="488"/>
        <v>1</v>
      </c>
      <c r="AU432" t="str">
        <f>""</f>
        <v/>
      </c>
      <c r="AV432" t="str">
        <f>"3"</f>
        <v>3</v>
      </c>
      <c r="AW432" t="str">
        <f>"25/02/2007 12:00:00 a. m."</f>
        <v>25/02/2007 12:00:00 a. m.</v>
      </c>
      <c r="AX432" t="str">
        <f>""</f>
        <v/>
      </c>
      <c r="AY432" t="str">
        <f t="shared" si="452"/>
        <v>30/04/2021 12:00:00 a. m.</v>
      </c>
      <c r="AZ432" t="str">
        <f>"25/01/2021 12:00:00 a. m."</f>
        <v>25/01/2021 12:00:00 a. m.</v>
      </c>
      <c r="BA432" t="str">
        <f>""</f>
        <v/>
      </c>
      <c r="BB432" t="str">
        <f>""</f>
        <v/>
      </c>
      <c r="BC432" t="str">
        <f>""</f>
        <v/>
      </c>
      <c r="BD432" t="str">
        <f t="shared" si="493"/>
        <v>1</v>
      </c>
      <c r="BE432" t="str">
        <f t="shared" si="493"/>
        <v>1</v>
      </c>
      <c r="BF432" t="str">
        <f t="shared" si="453"/>
        <v xml:space="preserve">3         </v>
      </c>
      <c r="BG432" t="str">
        <f t="shared" si="454"/>
        <v>Confirmado por laboratorio</v>
      </c>
      <c r="BH432" t="str">
        <f>"UNIDAD DE SERVICIOS DE SALUD OCCIDENTE DE KENNEDY"</f>
        <v>UNIDAD DE SERVICIOS DE SALUD OCCIDENTE DE KENNEDY</v>
      </c>
      <c r="BI432" t="str">
        <f t="shared" si="464"/>
        <v>COLOMBIA</v>
      </c>
      <c r="BJ432" t="str">
        <f t="shared" si="455"/>
        <v>CANCER INFANTIL</v>
      </c>
      <c r="BK432" t="str">
        <f>"BOGOTA"</f>
        <v>BOGOTA</v>
      </c>
      <c r="BL432" t="str">
        <f>"BOGOTA"</f>
        <v>BOGOTA</v>
      </c>
      <c r="BM432" t="str">
        <f t="shared" si="465"/>
        <v>COLOMBIA</v>
      </c>
      <c r="BN432" t="str">
        <f>"BOGOTA"</f>
        <v>BOGOTA</v>
      </c>
      <c r="BO432" t="str">
        <f>"BOGOTA"</f>
        <v>BOGOTA</v>
      </c>
      <c r="BP432" t="str">
        <f t="shared" si="504"/>
        <v>BOGOTA</v>
      </c>
      <c r="BQ432" t="str">
        <f t="shared" si="504"/>
        <v>BOGOTA</v>
      </c>
    </row>
    <row r="433" spans="1:69" x14ac:dyDescent="0.25">
      <c r="A433" t="str">
        <f>"7291798"</f>
        <v>7291798</v>
      </c>
      <c r="B433" t="str">
        <f t="shared" si="449"/>
        <v>459</v>
      </c>
      <c r="C433" t="str">
        <f>"13/02/2020 12:00:00 a. m."</f>
        <v>13/02/2020 12:00:00 a. m.</v>
      </c>
      <c r="D433" t="str">
        <f>"05"</f>
        <v>05</v>
      </c>
      <c r="E433" t="str">
        <f t="shared" si="450"/>
        <v>2020</v>
      </c>
      <c r="F433" t="str">
        <f>"1100106065"</f>
        <v>1100106065</v>
      </c>
      <c r="G433" t="str">
        <f t="shared" si="503"/>
        <v>01</v>
      </c>
      <c r="H433" t="str">
        <f>"3"</f>
        <v>3</v>
      </c>
      <c r="I433" t="str">
        <f t="shared" si="497"/>
        <v>1</v>
      </c>
      <c r="J433" t="str">
        <f>"F"</f>
        <v>F</v>
      </c>
      <c r="K433" t="str">
        <f t="shared" si="461"/>
        <v>170</v>
      </c>
      <c r="L433" t="str">
        <f>"99"</f>
        <v>99</v>
      </c>
      <c r="M433" t="str">
        <f>"524"</f>
        <v>524</v>
      </c>
      <c r="N433" t="str">
        <f>"1"</f>
        <v>1</v>
      </c>
      <c r="O433" t="str">
        <f>"9999"</f>
        <v>9999</v>
      </c>
      <c r="P433" t="str">
        <f>"S"</f>
        <v>S</v>
      </c>
      <c r="Q433" t="str">
        <f>"EPSS37"</f>
        <v>EPSS37</v>
      </c>
      <c r="R433" t="str">
        <f t="shared" si="468"/>
        <v>6</v>
      </c>
      <c r="S433" t="str">
        <f>""</f>
        <v/>
      </c>
      <c r="T433" t="str">
        <f t="shared" si="476"/>
        <v xml:space="preserve">                                                                                                    </v>
      </c>
      <c r="U433" t="str">
        <f>"1         "</f>
        <v xml:space="preserve">1         </v>
      </c>
      <c r="V433" t="str">
        <f t="shared" si="485"/>
        <v>2</v>
      </c>
      <c r="W433" t="str">
        <f t="shared" si="431"/>
        <v>2</v>
      </c>
      <c r="X433" t="str">
        <f t="shared" ref="X433:X472" si="505">"2"</f>
        <v>2</v>
      </c>
      <c r="Y433" t="str">
        <f t="shared" si="487"/>
        <v>2</v>
      </c>
      <c r="Z433" t="str">
        <f t="shared" si="487"/>
        <v>2</v>
      </c>
      <c r="AA433" t="str">
        <f t="shared" si="451"/>
        <v xml:space="preserve">          </v>
      </c>
      <c r="AB433" t="str">
        <f t="shared" si="440"/>
        <v>2</v>
      </c>
      <c r="AC433" t="str">
        <f t="shared" si="443"/>
        <v>2</v>
      </c>
      <c r="AD433" t="str">
        <f t="shared" si="490"/>
        <v>2</v>
      </c>
      <c r="AE433" t="str">
        <f t="shared" si="490"/>
        <v>2</v>
      </c>
      <c r="AF433" t="str">
        <f t="shared" si="490"/>
        <v>2</v>
      </c>
      <c r="AG433" t="str">
        <f t="shared" si="490"/>
        <v>2</v>
      </c>
      <c r="AH433" t="str">
        <f t="shared" ref="AH433:AH472" si="506">"1"</f>
        <v>1</v>
      </c>
      <c r="AI433" t="str">
        <f t="shared" si="492"/>
        <v xml:space="preserve">1         </v>
      </c>
      <c r="AJ433" t="str">
        <f t="shared" si="462"/>
        <v>170</v>
      </c>
      <c r="AK433" t="str">
        <f>"99"</f>
        <v>99</v>
      </c>
      <c r="AL433" t="str">
        <f>"524"</f>
        <v>524</v>
      </c>
      <c r="AM433" t="str">
        <f t="shared" si="498"/>
        <v>11</v>
      </c>
      <c r="AN433" t="str">
        <f t="shared" si="499"/>
        <v>11001</v>
      </c>
      <c r="AO433" t="str">
        <f>"30/01/2020 12:00:00 a. m."</f>
        <v>30/01/2020 12:00:00 a. m.</v>
      </c>
      <c r="AP433" t="str">
        <f>"24/05/2019 12:00:00 a. m."</f>
        <v>24/05/2019 12:00:00 a. m.</v>
      </c>
      <c r="AQ433" t="str">
        <f>"3"</f>
        <v>3</v>
      </c>
      <c r="AR433" t="str">
        <f t="shared" si="500"/>
        <v>1</v>
      </c>
      <c r="AS433" t="str">
        <f>"30/01/2020 12:00:00 a. m."</f>
        <v>30/01/2020 12:00:00 a. m.</v>
      </c>
      <c r="AT433" t="str">
        <f>"2"</f>
        <v>2</v>
      </c>
      <c r="AU433" t="str">
        <f>"14/09/2020 12:00:00 a. m."</f>
        <v>14/09/2020 12:00:00 a. m.</v>
      </c>
      <c r="AV433" t="str">
        <f>"7"</f>
        <v>7</v>
      </c>
      <c r="AW433" t="str">
        <f>"17/06/2016 12:00:00 a. m."</f>
        <v>17/06/2016 12:00:00 a. m.</v>
      </c>
      <c r="AX433" t="str">
        <f>"C692"</f>
        <v>C692</v>
      </c>
      <c r="AY433" t="str">
        <f t="shared" si="452"/>
        <v>30/04/2021 12:00:00 a. m.</v>
      </c>
      <c r="AZ433" t="str">
        <f>"1/02/2021 12:00:00 a. m."</f>
        <v>1/02/2021 12:00:00 a. m.</v>
      </c>
      <c r="BA433" t="str">
        <f>""</f>
        <v/>
      </c>
      <c r="BB433" t="str">
        <f>""</f>
        <v/>
      </c>
      <c r="BC433" t="str">
        <f>""</f>
        <v/>
      </c>
      <c r="BD433" t="str">
        <f t="shared" si="493"/>
        <v>1</v>
      </c>
      <c r="BE433" t="str">
        <f t="shared" si="493"/>
        <v>1</v>
      </c>
      <c r="BF433" t="str">
        <f t="shared" si="453"/>
        <v xml:space="preserve">3         </v>
      </c>
      <c r="BG433" t="str">
        <f t="shared" si="454"/>
        <v>Confirmado por laboratorio</v>
      </c>
      <c r="BH433" t="str">
        <f>"ESE INSTITUTO NACIONAL DE CANCEROLOGIA"</f>
        <v>ESE INSTITUTO NACIONAL DE CANCEROLOGIA</v>
      </c>
      <c r="BI433" t="str">
        <f t="shared" si="464"/>
        <v>COLOMBIA</v>
      </c>
      <c r="BJ433" t="str">
        <f t="shared" si="455"/>
        <v>CANCER INFANTIL</v>
      </c>
      <c r="BK433" t="str">
        <f>"VICHADA"</f>
        <v>VICHADA</v>
      </c>
      <c r="BL433" t="str">
        <f>"LA PRIMAVERA"</f>
        <v>LA PRIMAVERA</v>
      </c>
      <c r="BM433" t="str">
        <f t="shared" si="465"/>
        <v>COLOMBIA</v>
      </c>
      <c r="BN433" t="str">
        <f>"VICHADA"</f>
        <v>VICHADA</v>
      </c>
      <c r="BO433" t="str">
        <f>"LA PRIMAVERA"</f>
        <v>LA PRIMAVERA</v>
      </c>
      <c r="BP433" t="str">
        <f t="shared" si="504"/>
        <v>BOGOTA</v>
      </c>
      <c r="BQ433" t="str">
        <f t="shared" si="504"/>
        <v>BOGOTA</v>
      </c>
    </row>
    <row r="434" spans="1:69" x14ac:dyDescent="0.25">
      <c r="A434" t="str">
        <f>"7279032"</f>
        <v>7279032</v>
      </c>
      <c r="B434" t="str">
        <f t="shared" si="449"/>
        <v>459</v>
      </c>
      <c r="C434" t="str">
        <f>"21/07/2020 12:00:00 a. m."</f>
        <v>21/07/2020 12:00:00 a. m.</v>
      </c>
      <c r="D434" t="str">
        <f>"24"</f>
        <v>24</v>
      </c>
      <c r="E434" t="str">
        <f t="shared" si="450"/>
        <v>2020</v>
      </c>
      <c r="F434" t="str">
        <f>"5200100283"</f>
        <v>5200100283</v>
      </c>
      <c r="G434" t="str">
        <f t="shared" si="503"/>
        <v>01</v>
      </c>
      <c r="H434" t="str">
        <f>"12"</f>
        <v>12</v>
      </c>
      <c r="I434" t="str">
        <f t="shared" si="497"/>
        <v>1</v>
      </c>
      <c r="J434" t="str">
        <f>"M"</f>
        <v>M</v>
      </c>
      <c r="K434" t="str">
        <f t="shared" si="461"/>
        <v>170</v>
      </c>
      <c r="L434" t="str">
        <f>"52"</f>
        <v>52</v>
      </c>
      <c r="M434" t="str">
        <f>"687"</f>
        <v>687</v>
      </c>
      <c r="N434" t="str">
        <f>"3"</f>
        <v>3</v>
      </c>
      <c r="O434" t="str">
        <f>"9999"</f>
        <v>9999</v>
      </c>
      <c r="P434" t="str">
        <f>"S"</f>
        <v>S</v>
      </c>
      <c r="Q434" t="str">
        <f>"CCF027"</f>
        <v>CCF027</v>
      </c>
      <c r="R434" t="str">
        <f t="shared" si="468"/>
        <v>6</v>
      </c>
      <c r="S434" t="str">
        <f>""</f>
        <v/>
      </c>
      <c r="T434" t="str">
        <f t="shared" si="476"/>
        <v xml:space="preserve">                                                                                                    </v>
      </c>
      <c r="U434" t="str">
        <f>"1         "</f>
        <v xml:space="preserve">1         </v>
      </c>
      <c r="V434" t="str">
        <f t="shared" si="485"/>
        <v>2</v>
      </c>
      <c r="W434" t="str">
        <f t="shared" si="431"/>
        <v>2</v>
      </c>
      <c r="X434" t="str">
        <f t="shared" si="505"/>
        <v>2</v>
      </c>
      <c r="Y434" t="str">
        <f t="shared" si="487"/>
        <v>2</v>
      </c>
      <c r="Z434" t="str">
        <f t="shared" si="487"/>
        <v>2</v>
      </c>
      <c r="AA434" t="str">
        <f t="shared" si="451"/>
        <v xml:space="preserve">          </v>
      </c>
      <c r="AB434" t="str">
        <f t="shared" si="440"/>
        <v>2</v>
      </c>
      <c r="AC434" t="str">
        <f t="shared" si="443"/>
        <v>2</v>
      </c>
      <c r="AD434" t="str">
        <f t="shared" si="490"/>
        <v>2</v>
      </c>
      <c r="AE434" t="str">
        <f t="shared" si="490"/>
        <v>2</v>
      </c>
      <c r="AF434" t="str">
        <f t="shared" si="490"/>
        <v>2</v>
      </c>
      <c r="AG434" t="str">
        <f t="shared" si="490"/>
        <v>2</v>
      </c>
      <c r="AH434" t="str">
        <f t="shared" si="506"/>
        <v>1</v>
      </c>
      <c r="AI434" t="str">
        <f t="shared" si="492"/>
        <v xml:space="preserve">1         </v>
      </c>
      <c r="AJ434" t="str">
        <f t="shared" si="462"/>
        <v>170</v>
      </c>
      <c r="AK434" t="str">
        <f>"52"</f>
        <v>52</v>
      </c>
      <c r="AL434" t="str">
        <f>"687"</f>
        <v>687</v>
      </c>
      <c r="AM434" t="str">
        <f>"52"</f>
        <v>52</v>
      </c>
      <c r="AN434" t="str">
        <f>"52001"</f>
        <v>52001</v>
      </c>
      <c r="AO434" t="str">
        <f>"11/06/2020 12:00:00 a. m."</f>
        <v>11/06/2020 12:00:00 a. m.</v>
      </c>
      <c r="AP434" t="str">
        <f>"11/08/2019 12:00:00 a. m."</f>
        <v>11/08/2019 12:00:00 a. m.</v>
      </c>
      <c r="AQ434" t="str">
        <f>"3"</f>
        <v>3</v>
      </c>
      <c r="AR434" t="str">
        <f t="shared" si="500"/>
        <v>1</v>
      </c>
      <c r="AS434" t="str">
        <f>"11/06/2020 12:00:00 a. m."</f>
        <v>11/06/2020 12:00:00 a. m.</v>
      </c>
      <c r="AT434" t="str">
        <f t="shared" ref="AT434:AT441" si="507">"1"</f>
        <v>1</v>
      </c>
      <c r="AU434" t="str">
        <f>""</f>
        <v/>
      </c>
      <c r="AV434" t="str">
        <f>"3"</f>
        <v>3</v>
      </c>
      <c r="AW434" t="str">
        <f>"9/10/2007 12:00:00 a. m."</f>
        <v>9/10/2007 12:00:00 a. m.</v>
      </c>
      <c r="AX434" t="str">
        <f>""</f>
        <v/>
      </c>
      <c r="AY434" t="str">
        <f t="shared" si="452"/>
        <v>30/04/2021 12:00:00 a. m.</v>
      </c>
      <c r="AZ434" t="str">
        <f>"14/09/2020 12:00:00 a. m."</f>
        <v>14/09/2020 12:00:00 a. m.</v>
      </c>
      <c r="BA434" t="str">
        <f>""</f>
        <v/>
      </c>
      <c r="BB434" t="str">
        <f>""</f>
        <v/>
      </c>
      <c r="BC434" t="str">
        <f>""</f>
        <v/>
      </c>
      <c r="BD434" t="str">
        <f t="shared" si="493"/>
        <v>1</v>
      </c>
      <c r="BE434" t="str">
        <f t="shared" si="493"/>
        <v>1</v>
      </c>
      <c r="BF434" t="str">
        <f t="shared" si="453"/>
        <v xml:space="preserve">3         </v>
      </c>
      <c r="BG434" t="str">
        <f t="shared" si="454"/>
        <v>Confirmado por laboratorio</v>
      </c>
      <c r="BH434" t="str">
        <f>"HOSPITAL INFANTIL LOS ANGELES"</f>
        <v>HOSPITAL INFANTIL LOS ANGELES</v>
      </c>
      <c r="BI434" t="str">
        <f t="shared" si="464"/>
        <v>COLOMBIA</v>
      </c>
      <c r="BJ434" t="str">
        <f t="shared" si="455"/>
        <v>CANCER INFANTIL</v>
      </c>
      <c r="BK434" t="str">
        <f>"NARIÑO"</f>
        <v>NARIÑO</v>
      </c>
      <c r="BL434" t="str">
        <f>"SAN LORENZO"</f>
        <v>SAN LORENZO</v>
      </c>
      <c r="BM434" t="str">
        <f t="shared" si="465"/>
        <v>COLOMBIA</v>
      </c>
      <c r="BN434" t="str">
        <f>"NARIÑO"</f>
        <v>NARIÑO</v>
      </c>
      <c r="BO434" t="str">
        <f>"SAN LORENZO"</f>
        <v>SAN LORENZO</v>
      </c>
      <c r="BP434" t="str">
        <f>"NARIÑO"</f>
        <v>NARIÑO</v>
      </c>
      <c r="BQ434" t="str">
        <f>"PASTO"</f>
        <v>PASTO</v>
      </c>
    </row>
    <row r="435" spans="1:69" x14ac:dyDescent="0.25">
      <c r="A435" t="str">
        <f>"7279003"</f>
        <v>7279003</v>
      </c>
      <c r="B435" t="str">
        <f t="shared" si="449"/>
        <v>459</v>
      </c>
      <c r="C435" t="str">
        <f>"3/10/2020 12:00:00 a. m."</f>
        <v>3/10/2020 12:00:00 a. m.</v>
      </c>
      <c r="D435" t="str">
        <f>"39"</f>
        <v>39</v>
      </c>
      <c r="E435" t="str">
        <f t="shared" si="450"/>
        <v>2020</v>
      </c>
      <c r="F435" t="str">
        <f>"1700101096"</f>
        <v>1700101096</v>
      </c>
      <c r="G435" t="str">
        <f t="shared" si="503"/>
        <v>01</v>
      </c>
      <c r="H435" t="str">
        <f>"1"</f>
        <v>1</v>
      </c>
      <c r="I435" t="str">
        <f t="shared" si="497"/>
        <v>1</v>
      </c>
      <c r="J435" t="str">
        <f>"F"</f>
        <v>F</v>
      </c>
      <c r="K435" t="str">
        <f t="shared" si="461"/>
        <v>170</v>
      </c>
      <c r="L435" t="str">
        <f>"17"</f>
        <v>17</v>
      </c>
      <c r="M435" t="str">
        <f>"001"</f>
        <v>001</v>
      </c>
      <c r="N435" t="str">
        <f>"1"</f>
        <v>1</v>
      </c>
      <c r="O435" t="str">
        <f>"9999"</f>
        <v>9999</v>
      </c>
      <c r="P435" t="str">
        <f>"S"</f>
        <v>S</v>
      </c>
      <c r="Q435" t="str">
        <f>"ESS062"</f>
        <v>ESS062</v>
      </c>
      <c r="R435" t="str">
        <f t="shared" si="468"/>
        <v>6</v>
      </c>
      <c r="S435" t="str">
        <f>""</f>
        <v/>
      </c>
      <c r="T435" t="str">
        <f t="shared" si="476"/>
        <v xml:space="preserve">                                                                                                    </v>
      </c>
      <c r="U435" t="str">
        <f>"2         "</f>
        <v xml:space="preserve">2         </v>
      </c>
      <c r="V435" t="str">
        <f t="shared" si="485"/>
        <v>2</v>
      </c>
      <c r="W435" t="str">
        <f t="shared" si="431"/>
        <v>2</v>
      </c>
      <c r="X435" t="str">
        <f t="shared" si="505"/>
        <v>2</v>
      </c>
      <c r="Y435" t="str">
        <f t="shared" si="487"/>
        <v>2</v>
      </c>
      <c r="Z435" t="str">
        <f t="shared" si="487"/>
        <v>2</v>
      </c>
      <c r="AA435" t="str">
        <f t="shared" si="451"/>
        <v xml:space="preserve">          </v>
      </c>
      <c r="AB435" t="str">
        <f t="shared" si="440"/>
        <v>2</v>
      </c>
      <c r="AC435" t="str">
        <f t="shared" si="443"/>
        <v>2</v>
      </c>
      <c r="AD435" t="str">
        <f t="shared" si="490"/>
        <v>2</v>
      </c>
      <c r="AE435" t="str">
        <f t="shared" si="490"/>
        <v>2</v>
      </c>
      <c r="AF435" t="str">
        <f t="shared" si="490"/>
        <v>2</v>
      </c>
      <c r="AG435" t="str">
        <f t="shared" si="490"/>
        <v>2</v>
      </c>
      <c r="AH435" t="str">
        <f t="shared" si="506"/>
        <v>1</v>
      </c>
      <c r="AI435" t="str">
        <f t="shared" si="492"/>
        <v xml:space="preserve">1         </v>
      </c>
      <c r="AJ435" t="str">
        <f t="shared" si="462"/>
        <v>170</v>
      </c>
      <c r="AK435" t="str">
        <f>"17"</f>
        <v>17</v>
      </c>
      <c r="AL435" t="str">
        <f>"001"</f>
        <v>001</v>
      </c>
      <c r="AM435" t="str">
        <f>"17"</f>
        <v>17</v>
      </c>
      <c r="AN435" t="str">
        <f>"17001"</f>
        <v>17001</v>
      </c>
      <c r="AO435" t="str">
        <f>"20/09/2020 12:00:00 a. m."</f>
        <v>20/09/2020 12:00:00 a. m.</v>
      </c>
      <c r="AP435" t="str">
        <f>"20/09/2020 12:00:00 a. m."</f>
        <v>20/09/2020 12:00:00 a. m.</v>
      </c>
      <c r="AQ435" t="str">
        <f>"3"</f>
        <v>3</v>
      </c>
      <c r="AR435" t="str">
        <f t="shared" si="500"/>
        <v>1</v>
      </c>
      <c r="AS435" t="str">
        <f>"26/09/2020 12:00:00 a. m."</f>
        <v>26/09/2020 12:00:00 a. m.</v>
      </c>
      <c r="AT435" t="str">
        <f t="shared" si="507"/>
        <v>1</v>
      </c>
      <c r="AU435" t="str">
        <f>""</f>
        <v/>
      </c>
      <c r="AV435" t="str">
        <f>"0"</f>
        <v>0</v>
      </c>
      <c r="AW435" t="str">
        <f>"7/12/2018 12:00:00 a. m."</f>
        <v>7/12/2018 12:00:00 a. m.</v>
      </c>
      <c r="AX435" t="str">
        <f>""</f>
        <v/>
      </c>
      <c r="AY435" t="str">
        <f t="shared" si="452"/>
        <v>30/04/2021 12:00:00 a. m.</v>
      </c>
      <c r="AZ435" t="str">
        <f>"5/10/2020 12:00:00 a. m."</f>
        <v>5/10/2020 12:00:00 a. m.</v>
      </c>
      <c r="BA435" t="str">
        <f>""</f>
        <v/>
      </c>
      <c r="BB435" t="str">
        <f>""</f>
        <v/>
      </c>
      <c r="BC435" t="str">
        <f>""</f>
        <v/>
      </c>
      <c r="BD435" t="str">
        <f t="shared" si="493"/>
        <v>1</v>
      </c>
      <c r="BE435" t="str">
        <f t="shared" si="493"/>
        <v>1</v>
      </c>
      <c r="BF435" t="str">
        <f t="shared" si="453"/>
        <v xml:space="preserve">3         </v>
      </c>
      <c r="BG435" t="str">
        <f t="shared" si="454"/>
        <v>Confirmado por laboratorio</v>
      </c>
      <c r="BH435" t="str">
        <f>"ONCOLOGOS DE OCCIDENTE SA"</f>
        <v>ONCOLOGOS DE OCCIDENTE SA</v>
      </c>
      <c r="BI435" t="str">
        <f t="shared" si="464"/>
        <v>COLOMBIA</v>
      </c>
      <c r="BJ435" t="str">
        <f t="shared" si="455"/>
        <v>CANCER INFANTIL</v>
      </c>
      <c r="BK435" t="str">
        <f>"CALDAS"</f>
        <v>CALDAS</v>
      </c>
      <c r="BL435" t="str">
        <f>"MANIZALES"</f>
        <v>MANIZALES</v>
      </c>
      <c r="BM435" t="str">
        <f t="shared" si="465"/>
        <v>COLOMBIA</v>
      </c>
      <c r="BN435" t="str">
        <f>"CALDAS"</f>
        <v>CALDAS</v>
      </c>
      <c r="BO435" t="str">
        <f>"MANIZALES"</f>
        <v>MANIZALES</v>
      </c>
      <c r="BP435" t="str">
        <f>"CALDAS"</f>
        <v>CALDAS</v>
      </c>
      <c r="BQ435" t="str">
        <f>"MANIZALES"</f>
        <v>MANIZALES</v>
      </c>
    </row>
    <row r="436" spans="1:69" x14ac:dyDescent="0.25">
      <c r="A436" t="str">
        <f>"7279059"</f>
        <v>7279059</v>
      </c>
      <c r="B436" t="str">
        <f t="shared" si="449"/>
        <v>459</v>
      </c>
      <c r="C436" t="str">
        <f>"9/11/2020 12:00:00 a. m."</f>
        <v>9/11/2020 12:00:00 a. m.</v>
      </c>
      <c r="D436" t="str">
        <f>"34"</f>
        <v>34</v>
      </c>
      <c r="E436" t="str">
        <f t="shared" si="450"/>
        <v>2020</v>
      </c>
      <c r="F436" t="str">
        <f>"2300100949"</f>
        <v>2300100949</v>
      </c>
      <c r="G436" t="str">
        <f t="shared" si="503"/>
        <v>01</v>
      </c>
      <c r="H436" t="str">
        <f>"9"</f>
        <v>9</v>
      </c>
      <c r="I436" t="str">
        <f t="shared" si="497"/>
        <v>1</v>
      </c>
      <c r="J436" t="str">
        <f>"F"</f>
        <v>F</v>
      </c>
      <c r="K436" t="str">
        <f t="shared" si="461"/>
        <v>170</v>
      </c>
      <c r="L436" t="str">
        <f>"27"</f>
        <v>27</v>
      </c>
      <c r="M436" t="str">
        <f>"099"</f>
        <v>099</v>
      </c>
      <c r="N436" t="str">
        <f>"2"</f>
        <v>2</v>
      </c>
      <c r="O436" t="str">
        <f>"9998"</f>
        <v>9998</v>
      </c>
      <c r="P436" t="str">
        <f>"S"</f>
        <v>S</v>
      </c>
      <c r="Q436" t="str">
        <f>"ESS076"</f>
        <v>ESS076</v>
      </c>
      <c r="R436" t="str">
        <f>"1"</f>
        <v>1</v>
      </c>
      <c r="S436" t="str">
        <f>""</f>
        <v/>
      </c>
      <c r="T43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36" t="str">
        <f>"1         "</f>
        <v xml:space="preserve">1         </v>
      </c>
      <c r="V436" t="str">
        <f t="shared" si="485"/>
        <v>2</v>
      </c>
      <c r="W436" t="str">
        <f t="shared" ref="W436:W493" si="508">"2"</f>
        <v>2</v>
      </c>
      <c r="X436" t="str">
        <f t="shared" si="505"/>
        <v>2</v>
      </c>
      <c r="Y436" t="str">
        <f t="shared" si="487"/>
        <v>2</v>
      </c>
      <c r="Z436" t="str">
        <f t="shared" si="487"/>
        <v>2</v>
      </c>
      <c r="AA436" t="str">
        <f t="shared" si="451"/>
        <v xml:space="preserve">          </v>
      </c>
      <c r="AB436" t="str">
        <f t="shared" si="440"/>
        <v>2</v>
      </c>
      <c r="AC436" t="str">
        <f t="shared" si="443"/>
        <v>2</v>
      </c>
      <c r="AD436" t="str">
        <f t="shared" si="490"/>
        <v>2</v>
      </c>
      <c r="AE436" t="str">
        <f t="shared" si="490"/>
        <v>2</v>
      </c>
      <c r="AF436" t="str">
        <f t="shared" si="490"/>
        <v>2</v>
      </c>
      <c r="AG436" t="str">
        <f t="shared" si="490"/>
        <v>2</v>
      </c>
      <c r="AH436" t="str">
        <f t="shared" si="506"/>
        <v>1</v>
      </c>
      <c r="AI436" t="str">
        <f>"2         "</f>
        <v xml:space="preserve">2         </v>
      </c>
      <c r="AJ436" t="str">
        <f t="shared" si="462"/>
        <v>170</v>
      </c>
      <c r="AK436" t="str">
        <f>"27"</f>
        <v>27</v>
      </c>
      <c r="AL436" t="str">
        <f>"099"</f>
        <v>099</v>
      </c>
      <c r="AM436" t="str">
        <f>"23"</f>
        <v>23</v>
      </c>
      <c r="AN436" t="str">
        <f>"23001"</f>
        <v>23001</v>
      </c>
      <c r="AO436" t="str">
        <f>"19/08/2020 12:00:00 a. m."</f>
        <v>19/08/2020 12:00:00 a. m.</v>
      </c>
      <c r="AP436" t="str">
        <f>"21/07/2020 12:00:00 a. m."</f>
        <v>21/07/2020 12:00:00 a. m.</v>
      </c>
      <c r="AQ436" t="str">
        <f>"3"</f>
        <v>3</v>
      </c>
      <c r="AR436" t="str">
        <f t="shared" si="500"/>
        <v>1</v>
      </c>
      <c r="AS436" t="str">
        <f>"19/08/2020 12:00:00 a. m."</f>
        <v>19/08/2020 12:00:00 a. m.</v>
      </c>
      <c r="AT436" t="str">
        <f t="shared" si="507"/>
        <v>1</v>
      </c>
      <c r="AU436" t="str">
        <f>""</f>
        <v/>
      </c>
      <c r="AV436" t="str">
        <f>"7"</f>
        <v>7</v>
      </c>
      <c r="AW436" t="str">
        <f>"29/10/2011 12:00:00 a. m."</f>
        <v>29/10/2011 12:00:00 a. m.</v>
      </c>
      <c r="AX436" t="str">
        <f>""</f>
        <v/>
      </c>
      <c r="AY436" t="str">
        <f t="shared" si="452"/>
        <v>30/04/2021 12:00:00 a. m.</v>
      </c>
      <c r="AZ436" t="str">
        <f>"4/12/2020 12:00:00 a. m."</f>
        <v>4/12/2020 12:00:00 a. m.</v>
      </c>
      <c r="BA436" t="str">
        <f>""</f>
        <v/>
      </c>
      <c r="BB436" t="str">
        <f>""</f>
        <v/>
      </c>
      <c r="BC436" t="str">
        <f>""</f>
        <v/>
      </c>
      <c r="BD436" t="str">
        <f t="shared" si="493"/>
        <v>1</v>
      </c>
      <c r="BE436" t="str">
        <f t="shared" si="493"/>
        <v>1</v>
      </c>
      <c r="BF436" t="str">
        <f t="shared" si="453"/>
        <v xml:space="preserve">3         </v>
      </c>
      <c r="BG436" t="str">
        <f t="shared" si="454"/>
        <v>Confirmado por laboratorio</v>
      </c>
      <c r="BH436" t="str">
        <f>"ONCOMEDICA S A"</f>
        <v>ONCOMEDICA S A</v>
      </c>
      <c r="BI436" t="str">
        <f t="shared" si="464"/>
        <v>COLOMBIA</v>
      </c>
      <c r="BJ436" t="str">
        <f t="shared" si="455"/>
        <v>CANCER INFANTIL</v>
      </c>
      <c r="BK436" t="str">
        <f>"CHOCO"</f>
        <v>CHOCO</v>
      </c>
      <c r="BL436" t="str">
        <f>"BOJAYA (BELLAVISTA)"</f>
        <v>BOJAYA (BELLAVISTA)</v>
      </c>
      <c r="BM436" t="str">
        <f t="shared" si="465"/>
        <v>COLOMBIA</v>
      </c>
      <c r="BN436" t="str">
        <f>"CHOCO"</f>
        <v>CHOCO</v>
      </c>
      <c r="BO436" t="str">
        <f>"BOJAYA (BELLAVISTA)"</f>
        <v>BOJAYA (BELLAVISTA)</v>
      </c>
      <c r="BP436" t="str">
        <f>"CORDOBA"</f>
        <v>CORDOBA</v>
      </c>
      <c r="BQ436" t="str">
        <f>"MONTERIA"</f>
        <v>MONTERIA</v>
      </c>
    </row>
    <row r="437" spans="1:69" x14ac:dyDescent="0.25">
      <c r="A437" t="str">
        <f>"7278962"</f>
        <v>7278962</v>
      </c>
      <c r="B437" t="str">
        <f t="shared" si="449"/>
        <v>459</v>
      </c>
      <c r="C437" t="str">
        <f>"8/05/2020 12:00:00 a. m."</f>
        <v>8/05/2020 12:00:00 a. m.</v>
      </c>
      <c r="D437" t="str">
        <f>"19"</f>
        <v>19</v>
      </c>
      <c r="E437" t="str">
        <f t="shared" si="450"/>
        <v>2020</v>
      </c>
      <c r="F437" t="str">
        <f>"1100116338"</f>
        <v>1100116338</v>
      </c>
      <c r="G437" t="str">
        <f>"83"</f>
        <v>83</v>
      </c>
      <c r="H437" t="str">
        <f>"3"</f>
        <v>3</v>
      </c>
      <c r="I437" t="str">
        <f t="shared" si="497"/>
        <v>1</v>
      </c>
      <c r="J437" t="str">
        <f>"F"</f>
        <v>F</v>
      </c>
      <c r="K437" t="str">
        <f t="shared" si="461"/>
        <v>170</v>
      </c>
      <c r="L437" t="str">
        <f>"15"</f>
        <v>15</v>
      </c>
      <c r="M437" t="str">
        <f>"238"</f>
        <v>238</v>
      </c>
      <c r="N437" t="str">
        <f>"1"</f>
        <v>1</v>
      </c>
      <c r="O437" t="str">
        <f>"9999"</f>
        <v>9999</v>
      </c>
      <c r="P437" t="str">
        <f>"P"</f>
        <v>P</v>
      </c>
      <c r="Q437" t="str">
        <f>"RES003"</f>
        <v>RES003</v>
      </c>
      <c r="R437" t="str">
        <f t="shared" ref="R437:R473" si="509">"6"</f>
        <v>6</v>
      </c>
      <c r="S437" t="str">
        <f>""</f>
        <v/>
      </c>
      <c r="T437" t="str">
        <f t="shared" ref="T437:T500" si="510">"                                                                                                    "</f>
        <v xml:space="preserve">                                                                                                    </v>
      </c>
      <c r="U437" t="str">
        <f>"4         "</f>
        <v xml:space="preserve">4         </v>
      </c>
      <c r="V437" t="str">
        <f t="shared" si="485"/>
        <v>2</v>
      </c>
      <c r="W437" t="str">
        <f t="shared" si="508"/>
        <v>2</v>
      </c>
      <c r="X437" t="str">
        <f t="shared" si="505"/>
        <v>2</v>
      </c>
      <c r="Y437" t="str">
        <f t="shared" si="487"/>
        <v>2</v>
      </c>
      <c r="Z437" t="str">
        <f t="shared" si="487"/>
        <v>2</v>
      </c>
      <c r="AA437" t="str">
        <f t="shared" si="451"/>
        <v xml:space="preserve">          </v>
      </c>
      <c r="AB437" t="str">
        <f t="shared" si="440"/>
        <v>2</v>
      </c>
      <c r="AC437" t="str">
        <f t="shared" si="443"/>
        <v>2</v>
      </c>
      <c r="AD437" t="str">
        <f t="shared" si="490"/>
        <v>2</v>
      </c>
      <c r="AE437" t="str">
        <f t="shared" si="490"/>
        <v>2</v>
      </c>
      <c r="AF437" t="str">
        <f t="shared" si="490"/>
        <v>2</v>
      </c>
      <c r="AG437" t="str">
        <f t="shared" si="490"/>
        <v>2</v>
      </c>
      <c r="AH437" t="str">
        <f t="shared" si="506"/>
        <v>1</v>
      </c>
      <c r="AI437" t="str">
        <f>"1         "</f>
        <v xml:space="preserve">1         </v>
      </c>
      <c r="AJ437" t="str">
        <f t="shared" si="462"/>
        <v>170</v>
      </c>
      <c r="AK437" t="str">
        <f>"15"</f>
        <v>15</v>
      </c>
      <c r="AL437" t="str">
        <f>"238"</f>
        <v>238</v>
      </c>
      <c r="AM437" t="str">
        <f>"11"</f>
        <v>11</v>
      </c>
      <c r="AN437" t="str">
        <f>"11001"</f>
        <v>11001</v>
      </c>
      <c r="AO437" t="str">
        <f>"6/05/2020 12:00:00 a. m."</f>
        <v>6/05/2020 12:00:00 a. m.</v>
      </c>
      <c r="AP437" t="str">
        <f>"21/04/2020 12:00:00 a. m."</f>
        <v>21/04/2020 12:00:00 a. m.</v>
      </c>
      <c r="AQ437" t="str">
        <f>"2"</f>
        <v>2</v>
      </c>
      <c r="AR437" t="str">
        <f t="shared" si="500"/>
        <v>1</v>
      </c>
      <c r="AS437" t="str">
        <f>"6/05/2020 12:00:00 a. m."</f>
        <v>6/05/2020 12:00:00 a. m.</v>
      </c>
      <c r="AT437" t="str">
        <f t="shared" si="507"/>
        <v>1</v>
      </c>
      <c r="AU437" t="str">
        <f>""</f>
        <v/>
      </c>
      <c r="AV437" t="str">
        <f>"3"</f>
        <v>3</v>
      </c>
      <c r="AW437" t="str">
        <f>"20/08/2016 12:00:00 a. m."</f>
        <v>20/08/2016 12:00:00 a. m.</v>
      </c>
      <c r="AX437" t="str">
        <f>""</f>
        <v/>
      </c>
      <c r="AY437" t="str">
        <f t="shared" si="452"/>
        <v>30/04/2021 12:00:00 a. m.</v>
      </c>
      <c r="AZ437" t="str">
        <f>"10/08/2020 12:00:00 a. m."</f>
        <v>10/08/2020 12:00:00 a. m.</v>
      </c>
      <c r="BA437" t="str">
        <f>""</f>
        <v/>
      </c>
      <c r="BB437" t="str">
        <f>""</f>
        <v/>
      </c>
      <c r="BC437" t="str">
        <f>""</f>
        <v/>
      </c>
      <c r="BD437" t="str">
        <f t="shared" si="493"/>
        <v>1</v>
      </c>
      <c r="BE437" t="str">
        <f t="shared" si="493"/>
        <v>1</v>
      </c>
      <c r="BF437" t="str">
        <f t="shared" si="453"/>
        <v xml:space="preserve">3         </v>
      </c>
      <c r="BG437" t="str">
        <f t="shared" si="454"/>
        <v>Confirmado por laboratorio</v>
      </c>
      <c r="BH437" t="str">
        <f>"HOSPITAL MILITAR CENTRAL CHAPINERO"</f>
        <v>HOSPITAL MILITAR CENTRAL CHAPINERO</v>
      </c>
      <c r="BI437" t="str">
        <f t="shared" si="464"/>
        <v>COLOMBIA</v>
      </c>
      <c r="BJ437" t="str">
        <f t="shared" si="455"/>
        <v>CANCER INFANTIL</v>
      </c>
      <c r="BK437" t="str">
        <f>"BOYACA"</f>
        <v>BOYACA</v>
      </c>
      <c r="BL437" t="str">
        <f>"DUITAMA"</f>
        <v>DUITAMA</v>
      </c>
      <c r="BM437" t="str">
        <f t="shared" si="465"/>
        <v>COLOMBIA</v>
      </c>
      <c r="BN437" t="str">
        <f>"BOYACA"</f>
        <v>BOYACA</v>
      </c>
      <c r="BO437" t="str">
        <f>"DUITAMA"</f>
        <v>DUITAMA</v>
      </c>
      <c r="BP437" t="str">
        <f>"BOGOTA"</f>
        <v>BOGOTA</v>
      </c>
      <c r="BQ437" t="str">
        <f>"BOGOTA"</f>
        <v>BOGOTA</v>
      </c>
    </row>
    <row r="438" spans="1:69" x14ac:dyDescent="0.25">
      <c r="A438" t="str">
        <f>"7279019"</f>
        <v>7279019</v>
      </c>
      <c r="B438" t="str">
        <f t="shared" si="449"/>
        <v>459</v>
      </c>
      <c r="C438" t="str">
        <f>"27/04/2020 12:00:00 a. m."</f>
        <v>27/04/2020 12:00:00 a. m.</v>
      </c>
      <c r="D438" t="str">
        <f>"10"</f>
        <v>10</v>
      </c>
      <c r="E438" t="str">
        <f t="shared" si="450"/>
        <v>2020</v>
      </c>
      <c r="F438" t="str">
        <f>"0500102175"</f>
        <v>0500102175</v>
      </c>
      <c r="G438" t="str">
        <f t="shared" ref="G438:G444" si="511">"01"</f>
        <v>01</v>
      </c>
      <c r="H438" t="str">
        <f>"12"</f>
        <v>12</v>
      </c>
      <c r="I438" t="str">
        <f t="shared" si="497"/>
        <v>1</v>
      </c>
      <c r="J438" t="str">
        <f>"M"</f>
        <v>M</v>
      </c>
      <c r="K438" t="str">
        <f t="shared" si="461"/>
        <v>170</v>
      </c>
      <c r="L438" t="str">
        <f>"05"</f>
        <v>05</v>
      </c>
      <c r="M438" t="str">
        <f>"837"</f>
        <v>837</v>
      </c>
      <c r="N438" t="str">
        <f>"1"</f>
        <v>1</v>
      </c>
      <c r="O438" t="str">
        <f>"9997"</f>
        <v>9997</v>
      </c>
      <c r="P438" t="str">
        <f>"C"</f>
        <v>C</v>
      </c>
      <c r="Q438" t="str">
        <f>"EPS037"</f>
        <v>EPS037</v>
      </c>
      <c r="R438" t="str">
        <f t="shared" si="509"/>
        <v>6</v>
      </c>
      <c r="S438" t="str">
        <f>""</f>
        <v/>
      </c>
      <c r="T438" t="str">
        <f t="shared" si="510"/>
        <v xml:space="preserve">                                                                                                    </v>
      </c>
      <c r="U438" t="str">
        <f>"2         "</f>
        <v xml:space="preserve">2         </v>
      </c>
      <c r="V438" t="str">
        <f t="shared" si="485"/>
        <v>2</v>
      </c>
      <c r="W438" t="str">
        <f t="shared" si="508"/>
        <v>2</v>
      </c>
      <c r="X438" t="str">
        <f t="shared" si="505"/>
        <v>2</v>
      </c>
      <c r="Y438" t="str">
        <f t="shared" si="487"/>
        <v>2</v>
      </c>
      <c r="Z438" t="str">
        <f t="shared" si="487"/>
        <v>2</v>
      </c>
      <c r="AA438" t="str">
        <f t="shared" si="451"/>
        <v xml:space="preserve">          </v>
      </c>
      <c r="AB438" t="str">
        <f t="shared" si="440"/>
        <v>2</v>
      </c>
      <c r="AC438" t="str">
        <f t="shared" si="443"/>
        <v>2</v>
      </c>
      <c r="AD438" t="str">
        <f t="shared" si="490"/>
        <v>2</v>
      </c>
      <c r="AE438" t="str">
        <f t="shared" si="490"/>
        <v>2</v>
      </c>
      <c r="AF438" t="str">
        <f t="shared" si="490"/>
        <v>2</v>
      </c>
      <c r="AG438" t="str">
        <f t="shared" si="490"/>
        <v>2</v>
      </c>
      <c r="AH438" t="str">
        <f t="shared" si="506"/>
        <v>1</v>
      </c>
      <c r="AI438" t="str">
        <f>"1         "</f>
        <v xml:space="preserve">1         </v>
      </c>
      <c r="AJ438" t="str">
        <f t="shared" si="462"/>
        <v>170</v>
      </c>
      <c r="AK438" t="str">
        <f>"05"</f>
        <v>05</v>
      </c>
      <c r="AL438" t="str">
        <f>"837"</f>
        <v>837</v>
      </c>
      <c r="AM438" t="str">
        <f>"05"</f>
        <v>05</v>
      </c>
      <c r="AN438" t="str">
        <f>"05001"</f>
        <v>05001</v>
      </c>
      <c r="AO438" t="str">
        <f>"7/03/2020 12:00:00 a. m."</f>
        <v>7/03/2020 12:00:00 a. m.</v>
      </c>
      <c r="AP438" t="str">
        <f>"1/03/2020 12:00:00 a. m."</f>
        <v>1/03/2020 12:00:00 a. m.</v>
      </c>
      <c r="AQ438" t="str">
        <f>"3"</f>
        <v>3</v>
      </c>
      <c r="AR438" t="str">
        <f t="shared" si="500"/>
        <v>1</v>
      </c>
      <c r="AS438" t="str">
        <f>"7/03/2020 12:00:00 a. m."</f>
        <v>7/03/2020 12:00:00 a. m.</v>
      </c>
      <c r="AT438" t="str">
        <f t="shared" si="507"/>
        <v>1</v>
      </c>
      <c r="AU438" t="str">
        <f>""</f>
        <v/>
      </c>
      <c r="AV438" t="str">
        <f>"0"</f>
        <v>0</v>
      </c>
      <c r="AW438" t="str">
        <f>"10/05/2007 12:00:00 a. m."</f>
        <v>10/05/2007 12:00:00 a. m.</v>
      </c>
      <c r="AX438" t="str">
        <f>""</f>
        <v/>
      </c>
      <c r="AY438" t="str">
        <f t="shared" si="452"/>
        <v>30/04/2021 12:00:00 a. m.</v>
      </c>
      <c r="AZ438" t="str">
        <f>"27/04/2020 12:00:00 a. m."</f>
        <v>27/04/2020 12:00:00 a. m.</v>
      </c>
      <c r="BA438" t="str">
        <f>""</f>
        <v/>
      </c>
      <c r="BB438" t="str">
        <f>""</f>
        <v/>
      </c>
      <c r="BC438" t="str">
        <f>""</f>
        <v/>
      </c>
      <c r="BD438" t="str">
        <f t="shared" si="493"/>
        <v>1</v>
      </c>
      <c r="BE438" t="str">
        <f t="shared" si="493"/>
        <v>1</v>
      </c>
      <c r="BF438" t="str">
        <f t="shared" si="453"/>
        <v xml:space="preserve">3         </v>
      </c>
      <c r="BG438" t="str">
        <f t="shared" si="454"/>
        <v>Confirmado por laboratorio</v>
      </c>
      <c r="BH438" t="str">
        <f>"FUNDACION HOSPITALARIA SAN VICENTE DE PAUL"</f>
        <v>FUNDACION HOSPITALARIA SAN VICENTE DE PAUL</v>
      </c>
      <c r="BI438" t="str">
        <f t="shared" si="464"/>
        <v>COLOMBIA</v>
      </c>
      <c r="BJ438" t="str">
        <f t="shared" si="455"/>
        <v>CANCER INFANTIL</v>
      </c>
      <c r="BK438" t="str">
        <f>"ANTIOQUIA"</f>
        <v>ANTIOQUIA</v>
      </c>
      <c r="BL438" t="str">
        <f>"TURBO"</f>
        <v>TURBO</v>
      </c>
      <c r="BM438" t="str">
        <f t="shared" si="465"/>
        <v>COLOMBIA</v>
      </c>
      <c r="BN438" t="str">
        <f>"ANTIOQUIA"</f>
        <v>ANTIOQUIA</v>
      </c>
      <c r="BO438" t="str">
        <f>"TURBO"</f>
        <v>TURBO</v>
      </c>
      <c r="BP438" t="str">
        <f>"ANTIOQUIA"</f>
        <v>ANTIOQUIA</v>
      </c>
      <c r="BQ438" t="str">
        <f>"MEDELLIN"</f>
        <v>MEDELLIN</v>
      </c>
    </row>
    <row r="439" spans="1:69" x14ac:dyDescent="0.25">
      <c r="A439" t="str">
        <f>"7279042"</f>
        <v>7279042</v>
      </c>
      <c r="B439" t="str">
        <f t="shared" si="449"/>
        <v>459</v>
      </c>
      <c r="C439" t="str">
        <f>"27/04/2020 12:00:00 a. m."</f>
        <v>27/04/2020 12:00:00 a. m.</v>
      </c>
      <c r="D439" t="str">
        <f>"10"</f>
        <v>10</v>
      </c>
      <c r="E439" t="str">
        <f t="shared" si="450"/>
        <v>2020</v>
      </c>
      <c r="F439" t="str">
        <f>"0500102175"</f>
        <v>0500102175</v>
      </c>
      <c r="G439" t="str">
        <f t="shared" si="511"/>
        <v>01</v>
      </c>
      <c r="H439" t="str">
        <f>"11"</f>
        <v>11</v>
      </c>
      <c r="I439" t="str">
        <f>"2"</f>
        <v>2</v>
      </c>
      <c r="J439" t="str">
        <f>"F"</f>
        <v>F</v>
      </c>
      <c r="K439" t="str">
        <f t="shared" si="461"/>
        <v>170</v>
      </c>
      <c r="L439" t="str">
        <f>"05"</f>
        <v>05</v>
      </c>
      <c r="M439" t="str">
        <f>"001"</f>
        <v>001</v>
      </c>
      <c r="N439" t="str">
        <f>"1"</f>
        <v>1</v>
      </c>
      <c r="O439" t="str">
        <f>"9999"</f>
        <v>9999</v>
      </c>
      <c r="P439" t="str">
        <f>"C"</f>
        <v>C</v>
      </c>
      <c r="Q439" t="str">
        <f>"EPS005"</f>
        <v>EPS005</v>
      </c>
      <c r="R439" t="str">
        <f t="shared" si="509"/>
        <v>6</v>
      </c>
      <c r="S439" t="str">
        <f>""</f>
        <v/>
      </c>
      <c r="T439" t="str">
        <f t="shared" si="510"/>
        <v xml:space="preserve">                                                                                                    </v>
      </c>
      <c r="U439" t="str">
        <f>"2         "</f>
        <v xml:space="preserve">2         </v>
      </c>
      <c r="V439" t="str">
        <f t="shared" si="485"/>
        <v>2</v>
      </c>
      <c r="W439" t="str">
        <f t="shared" si="508"/>
        <v>2</v>
      </c>
      <c r="X439" t="str">
        <f t="shared" si="505"/>
        <v>2</v>
      </c>
      <c r="Y439" t="str">
        <f t="shared" ref="Y439:Z458" si="512">"2"</f>
        <v>2</v>
      </c>
      <c r="Z439" t="str">
        <f t="shared" si="512"/>
        <v>2</v>
      </c>
      <c r="AA439" t="str">
        <f t="shared" si="451"/>
        <v xml:space="preserve">          </v>
      </c>
      <c r="AB439" t="str">
        <f t="shared" si="440"/>
        <v>2</v>
      </c>
      <c r="AC439" t="str">
        <f t="shared" si="443"/>
        <v>2</v>
      </c>
      <c r="AD439" t="str">
        <f t="shared" si="490"/>
        <v>2</v>
      </c>
      <c r="AE439" t="str">
        <f t="shared" si="490"/>
        <v>2</v>
      </c>
      <c r="AF439" t="str">
        <f t="shared" si="490"/>
        <v>2</v>
      </c>
      <c r="AG439" t="str">
        <f t="shared" si="490"/>
        <v>2</v>
      </c>
      <c r="AH439" t="str">
        <f t="shared" si="506"/>
        <v>1</v>
      </c>
      <c r="AI439" t="str">
        <f>"2         "</f>
        <v xml:space="preserve">2         </v>
      </c>
      <c r="AJ439" t="str">
        <f t="shared" si="462"/>
        <v>170</v>
      </c>
      <c r="AK439" t="str">
        <f>"05"</f>
        <v>05</v>
      </c>
      <c r="AL439" t="str">
        <f>"001"</f>
        <v>001</v>
      </c>
      <c r="AM439" t="str">
        <f>"05"</f>
        <v>05</v>
      </c>
      <c r="AN439" t="str">
        <f>"05001"</f>
        <v>05001</v>
      </c>
      <c r="AO439" t="str">
        <f>"6/03/2020 12:00:00 a. m."</f>
        <v>6/03/2020 12:00:00 a. m.</v>
      </c>
      <c r="AP439" t="str">
        <f>"25/02/2020 12:00:00 a. m."</f>
        <v>25/02/2020 12:00:00 a. m.</v>
      </c>
      <c r="AQ439" t="str">
        <f>"3"</f>
        <v>3</v>
      </c>
      <c r="AR439" t="str">
        <f t="shared" si="500"/>
        <v>1</v>
      </c>
      <c r="AS439" t="str">
        <f>"6/03/2020 12:00:00 a. m."</f>
        <v>6/03/2020 12:00:00 a. m.</v>
      </c>
      <c r="AT439" t="str">
        <f t="shared" si="507"/>
        <v>1</v>
      </c>
      <c r="AU439" t="str">
        <f>""</f>
        <v/>
      </c>
      <c r="AV439" t="str">
        <f>"0"</f>
        <v>0</v>
      </c>
      <c r="AW439" t="str">
        <f>"30/04/2019 12:00:00 a. m."</f>
        <v>30/04/2019 12:00:00 a. m.</v>
      </c>
      <c r="AX439" t="str">
        <f>""</f>
        <v/>
      </c>
      <c r="AY439" t="str">
        <f t="shared" si="452"/>
        <v>30/04/2021 12:00:00 a. m.</v>
      </c>
      <c r="AZ439" t="str">
        <f>"27/04/2020 12:00:00 a. m."</f>
        <v>27/04/2020 12:00:00 a. m.</v>
      </c>
      <c r="BA439" t="str">
        <f>""</f>
        <v/>
      </c>
      <c r="BB439" t="str">
        <f>""</f>
        <v/>
      </c>
      <c r="BC439" t="str">
        <f>""</f>
        <v/>
      </c>
      <c r="BD439" t="str">
        <f t="shared" si="493"/>
        <v>1</v>
      </c>
      <c r="BE439" t="str">
        <f t="shared" si="493"/>
        <v>1</v>
      </c>
      <c r="BF439" t="str">
        <f t="shared" si="453"/>
        <v xml:space="preserve">3         </v>
      </c>
      <c r="BG439" t="str">
        <f t="shared" si="454"/>
        <v>Confirmado por laboratorio</v>
      </c>
      <c r="BH439" t="str">
        <f>"FUNDACION HOSPITALARIA SAN VICENTE DE PAUL"</f>
        <v>FUNDACION HOSPITALARIA SAN VICENTE DE PAUL</v>
      </c>
      <c r="BI439" t="str">
        <f t="shared" si="464"/>
        <v>COLOMBIA</v>
      </c>
      <c r="BJ439" t="str">
        <f t="shared" si="455"/>
        <v>CANCER INFANTIL</v>
      </c>
      <c r="BK439" t="str">
        <f>"ANTIOQUIA"</f>
        <v>ANTIOQUIA</v>
      </c>
      <c r="BL439" t="str">
        <f>"MEDELLIN"</f>
        <v>MEDELLIN</v>
      </c>
      <c r="BM439" t="str">
        <f t="shared" si="465"/>
        <v>COLOMBIA</v>
      </c>
      <c r="BN439" t="str">
        <f>"ANTIOQUIA"</f>
        <v>ANTIOQUIA</v>
      </c>
      <c r="BO439" t="str">
        <f>"MEDELLIN"</f>
        <v>MEDELLIN</v>
      </c>
      <c r="BP439" t="str">
        <f>"ANTIOQUIA"</f>
        <v>ANTIOQUIA</v>
      </c>
      <c r="BQ439" t="str">
        <f>"MEDELLIN"</f>
        <v>MEDELLIN</v>
      </c>
    </row>
    <row r="440" spans="1:69" x14ac:dyDescent="0.25">
      <c r="A440" t="str">
        <f>"7291779"</f>
        <v>7291779</v>
      </c>
      <c r="B440" t="str">
        <f t="shared" si="449"/>
        <v>459</v>
      </c>
      <c r="C440" t="str">
        <f>"2/03/2020 12:00:00 a. m."</f>
        <v>2/03/2020 12:00:00 a. m.</v>
      </c>
      <c r="D440" t="str">
        <f>"09"</f>
        <v>09</v>
      </c>
      <c r="E440" t="str">
        <f t="shared" si="450"/>
        <v>2020</v>
      </c>
      <c r="F440" t="str">
        <f>"1100123118"</f>
        <v>1100123118</v>
      </c>
      <c r="G440" t="str">
        <f t="shared" si="511"/>
        <v>01</v>
      </c>
      <c r="H440" t="str">
        <f>"13"</f>
        <v>13</v>
      </c>
      <c r="I440" t="str">
        <f t="shared" ref="I440:I453" si="513">"1"</f>
        <v>1</v>
      </c>
      <c r="J440" t="str">
        <f>"M"</f>
        <v>M</v>
      </c>
      <c r="K440" t="str">
        <f t="shared" si="461"/>
        <v>170</v>
      </c>
      <c r="L440" t="str">
        <f>"95"</f>
        <v>95</v>
      </c>
      <c r="M440" t="str">
        <f>"001"</f>
        <v>001</v>
      </c>
      <c r="N440" t="str">
        <f>"2"</f>
        <v>2</v>
      </c>
      <c r="O440" t="str">
        <f>"9997"</f>
        <v>9997</v>
      </c>
      <c r="P440" t="str">
        <f>"P"</f>
        <v>P</v>
      </c>
      <c r="Q440" t="str">
        <f>"RES001"</f>
        <v>RES001</v>
      </c>
      <c r="R440" t="str">
        <f t="shared" si="509"/>
        <v>6</v>
      </c>
      <c r="S440" t="str">
        <f>""</f>
        <v/>
      </c>
      <c r="T440" t="str">
        <f t="shared" si="510"/>
        <v xml:space="preserve">                                                                                                    </v>
      </c>
      <c r="U440" t="str">
        <f>"2         "</f>
        <v xml:space="preserve">2         </v>
      </c>
      <c r="V440" t="str">
        <f t="shared" si="485"/>
        <v>2</v>
      </c>
      <c r="W440" t="str">
        <f t="shared" si="508"/>
        <v>2</v>
      </c>
      <c r="X440" t="str">
        <f t="shared" si="505"/>
        <v>2</v>
      </c>
      <c r="Y440" t="str">
        <f t="shared" si="512"/>
        <v>2</v>
      </c>
      <c r="Z440" t="str">
        <f t="shared" si="512"/>
        <v>2</v>
      </c>
      <c r="AA440" t="str">
        <f t="shared" si="451"/>
        <v xml:space="preserve">          </v>
      </c>
      <c r="AB440" t="str">
        <f t="shared" si="440"/>
        <v>2</v>
      </c>
      <c r="AC440" t="str">
        <f t="shared" si="443"/>
        <v>2</v>
      </c>
      <c r="AD440" t="str">
        <f t="shared" ref="AD440:AG459" si="514">"2"</f>
        <v>2</v>
      </c>
      <c r="AE440" t="str">
        <f t="shared" si="514"/>
        <v>2</v>
      </c>
      <c r="AF440" t="str">
        <f t="shared" si="514"/>
        <v>2</v>
      </c>
      <c r="AG440" t="str">
        <f t="shared" si="514"/>
        <v>2</v>
      </c>
      <c r="AH440" t="str">
        <f t="shared" si="506"/>
        <v>1</v>
      </c>
      <c r="AI440" t="str">
        <f>"1         "</f>
        <v xml:space="preserve">1         </v>
      </c>
      <c r="AJ440" t="str">
        <f t="shared" si="462"/>
        <v>170</v>
      </c>
      <c r="AK440" t="str">
        <f>"95"</f>
        <v>95</v>
      </c>
      <c r="AL440" t="str">
        <f>"001"</f>
        <v>001</v>
      </c>
      <c r="AM440" t="str">
        <f>"11"</f>
        <v>11</v>
      </c>
      <c r="AN440" t="str">
        <f>"11001"</f>
        <v>11001</v>
      </c>
      <c r="AO440" t="str">
        <f>"25/02/2020 12:00:00 a. m."</f>
        <v>25/02/2020 12:00:00 a. m.</v>
      </c>
      <c r="AP440" t="str">
        <f>"15/02/2020 12:00:00 a. m."</f>
        <v>15/02/2020 12:00:00 a. m.</v>
      </c>
      <c r="AQ440" t="str">
        <f>"2"</f>
        <v>2</v>
      </c>
      <c r="AR440" t="str">
        <f t="shared" si="500"/>
        <v>1</v>
      </c>
      <c r="AS440" t="str">
        <f>"25/02/2020 12:00:00 a. m."</f>
        <v>25/02/2020 12:00:00 a. m.</v>
      </c>
      <c r="AT440" t="str">
        <f t="shared" si="507"/>
        <v>1</v>
      </c>
      <c r="AU440" t="str">
        <f>""</f>
        <v/>
      </c>
      <c r="AV440" t="str">
        <f>"3"</f>
        <v>3</v>
      </c>
      <c r="AW440" t="str">
        <f>"1/03/2007 12:00:00 a. m."</f>
        <v>1/03/2007 12:00:00 a. m.</v>
      </c>
      <c r="AX440" t="str">
        <f>""</f>
        <v/>
      </c>
      <c r="AY440" t="str">
        <f t="shared" si="452"/>
        <v>30/04/2021 12:00:00 a. m.</v>
      </c>
      <c r="AZ440" t="str">
        <f>"4/05/2020 12:00:00 a. m."</f>
        <v>4/05/2020 12:00:00 a. m.</v>
      </c>
      <c r="BA440" t="str">
        <f>""</f>
        <v/>
      </c>
      <c r="BB440" t="str">
        <f>""</f>
        <v/>
      </c>
      <c r="BC440" t="str">
        <f>""</f>
        <v/>
      </c>
      <c r="BD440" t="str">
        <f t="shared" si="493"/>
        <v>1</v>
      </c>
      <c r="BE440" t="str">
        <f t="shared" si="493"/>
        <v>1</v>
      </c>
      <c r="BF440" t="str">
        <f t="shared" si="453"/>
        <v xml:space="preserve">3         </v>
      </c>
      <c r="BG440" t="str">
        <f t="shared" si="454"/>
        <v>Confirmado por laboratorio</v>
      </c>
      <c r="BH440" t="str">
        <f>"HOSPITAL CENTRAL POLICIA"</f>
        <v>HOSPITAL CENTRAL POLICIA</v>
      </c>
      <c r="BI440" t="str">
        <f t="shared" si="464"/>
        <v>COLOMBIA</v>
      </c>
      <c r="BJ440" t="str">
        <f t="shared" si="455"/>
        <v>CANCER INFANTIL</v>
      </c>
      <c r="BK440" t="str">
        <f>"GUAVIARE"</f>
        <v>GUAVIARE</v>
      </c>
      <c r="BL440" t="str">
        <f>"SAN JOSE DEL GUAVIARE"</f>
        <v>SAN JOSE DEL GUAVIARE</v>
      </c>
      <c r="BM440" t="str">
        <f t="shared" si="465"/>
        <v>COLOMBIA</v>
      </c>
      <c r="BN440" t="str">
        <f>"GUAVIARE"</f>
        <v>GUAVIARE</v>
      </c>
      <c r="BO440" t="str">
        <f>"SAN JOSE DEL GUAVIARE"</f>
        <v>SAN JOSE DEL GUAVIARE</v>
      </c>
      <c r="BP440" t="str">
        <f>"BOGOTA"</f>
        <v>BOGOTA</v>
      </c>
      <c r="BQ440" t="str">
        <f>"BOGOTA"</f>
        <v>BOGOTA</v>
      </c>
    </row>
    <row r="441" spans="1:69" x14ac:dyDescent="0.25">
      <c r="A441" t="str">
        <f>"7291787"</f>
        <v>7291787</v>
      </c>
      <c r="B441" t="str">
        <f t="shared" si="449"/>
        <v>459</v>
      </c>
      <c r="C441" t="str">
        <f>"19/01/2021 12:00:00 a. m."</f>
        <v>19/01/2021 12:00:00 a. m.</v>
      </c>
      <c r="D441" t="str">
        <f>"47"</f>
        <v>47</v>
      </c>
      <c r="E441" t="str">
        <f t="shared" si="450"/>
        <v>2020</v>
      </c>
      <c r="F441" t="str">
        <f>"0800100544"</f>
        <v>0800100544</v>
      </c>
      <c r="G441" t="str">
        <f t="shared" si="511"/>
        <v>01</v>
      </c>
      <c r="H441" t="str">
        <f>"2"</f>
        <v>2</v>
      </c>
      <c r="I441" t="str">
        <f t="shared" si="513"/>
        <v>1</v>
      </c>
      <c r="J441" t="str">
        <f>"M"</f>
        <v>M</v>
      </c>
      <c r="K441" t="str">
        <f t="shared" si="461"/>
        <v>170</v>
      </c>
      <c r="L441" t="str">
        <f>"44"</f>
        <v>44</v>
      </c>
      <c r="M441" t="str">
        <f>"430"</f>
        <v>430</v>
      </c>
      <c r="N441" t="str">
        <f>"1"</f>
        <v>1</v>
      </c>
      <c r="O441" t="str">
        <f>"9999"</f>
        <v>9999</v>
      </c>
      <c r="P441" t="str">
        <f>"S"</f>
        <v>S</v>
      </c>
      <c r="Q441" t="str">
        <f>"CCF023"</f>
        <v>CCF023</v>
      </c>
      <c r="R441" t="str">
        <f t="shared" si="509"/>
        <v>6</v>
      </c>
      <c r="S441" t="str">
        <f>""</f>
        <v/>
      </c>
      <c r="T441" t="str">
        <f t="shared" si="510"/>
        <v xml:space="preserve">                                                                                                    </v>
      </c>
      <c r="U441" t="str">
        <f>"2         "</f>
        <v xml:space="preserve">2         </v>
      </c>
      <c r="V441" t="str">
        <f t="shared" si="485"/>
        <v>2</v>
      </c>
      <c r="W441" t="str">
        <f t="shared" si="508"/>
        <v>2</v>
      </c>
      <c r="X441" t="str">
        <f t="shared" si="505"/>
        <v>2</v>
      </c>
      <c r="Y441" t="str">
        <f t="shared" si="512"/>
        <v>2</v>
      </c>
      <c r="Z441" t="str">
        <f t="shared" si="512"/>
        <v>2</v>
      </c>
      <c r="AA441" t="str">
        <f t="shared" si="451"/>
        <v xml:space="preserve">          </v>
      </c>
      <c r="AB441" t="str">
        <f t="shared" si="440"/>
        <v>2</v>
      </c>
      <c r="AC441" t="str">
        <f t="shared" si="443"/>
        <v>2</v>
      </c>
      <c r="AD441" t="str">
        <f t="shared" si="514"/>
        <v>2</v>
      </c>
      <c r="AE441" t="str">
        <f t="shared" si="514"/>
        <v>2</v>
      </c>
      <c r="AF441" t="str">
        <f t="shared" si="514"/>
        <v>2</v>
      </c>
      <c r="AG441" t="str">
        <f t="shared" si="514"/>
        <v>2</v>
      </c>
      <c r="AH441" t="str">
        <f t="shared" si="506"/>
        <v>1</v>
      </c>
      <c r="AI441" t="str">
        <f>"1         "</f>
        <v xml:space="preserve">1         </v>
      </c>
      <c r="AJ441" t="str">
        <f t="shared" si="462"/>
        <v>170</v>
      </c>
      <c r="AK441" t="str">
        <f>"44"</f>
        <v>44</v>
      </c>
      <c r="AL441" t="str">
        <f>"430"</f>
        <v>430</v>
      </c>
      <c r="AM441" t="str">
        <f>"08"</f>
        <v>08</v>
      </c>
      <c r="AN441" t="str">
        <f>"08001"</f>
        <v>08001</v>
      </c>
      <c r="AO441" t="str">
        <f>"19/11/2020 12:00:00 a. m."</f>
        <v>19/11/2020 12:00:00 a. m.</v>
      </c>
      <c r="AP441" t="str">
        <f>"30/10/2020 12:00:00 a. m."</f>
        <v>30/10/2020 12:00:00 a. m.</v>
      </c>
      <c r="AQ441" t="str">
        <f>"3"</f>
        <v>3</v>
      </c>
      <c r="AR441" t="str">
        <f t="shared" si="500"/>
        <v>1</v>
      </c>
      <c r="AS441" t="str">
        <f>"19/11/2020 12:00:00 a. m."</f>
        <v>19/11/2020 12:00:00 a. m.</v>
      </c>
      <c r="AT441" t="str">
        <f t="shared" si="507"/>
        <v>1</v>
      </c>
      <c r="AU441" t="str">
        <f>""</f>
        <v/>
      </c>
      <c r="AV441" t="str">
        <f>"0"</f>
        <v>0</v>
      </c>
      <c r="AW441" t="str">
        <f>"13/09/2018 12:00:00 a. m."</f>
        <v>13/09/2018 12:00:00 a. m.</v>
      </c>
      <c r="AX441" t="str">
        <f>""</f>
        <v/>
      </c>
      <c r="AY441" t="str">
        <f t="shared" si="452"/>
        <v>30/04/2021 12:00:00 a. m.</v>
      </c>
      <c r="AZ441" t="str">
        <f>"23/01/2021 12:00:00 a. m."</f>
        <v>23/01/2021 12:00:00 a. m.</v>
      </c>
      <c r="BA441" t="str">
        <f>""</f>
        <v/>
      </c>
      <c r="BB441" t="str">
        <f>""</f>
        <v/>
      </c>
      <c r="BC441" t="str">
        <f>""</f>
        <v/>
      </c>
      <c r="BD441" t="str">
        <f t="shared" si="493"/>
        <v>1</v>
      </c>
      <c r="BE441" t="str">
        <f t="shared" si="493"/>
        <v>1</v>
      </c>
      <c r="BF441" t="str">
        <f t="shared" si="453"/>
        <v xml:space="preserve">3         </v>
      </c>
      <c r="BG441" t="str">
        <f t="shared" si="454"/>
        <v>Confirmado por laboratorio</v>
      </c>
      <c r="BH441" t="str">
        <f>"ORGANIZACION CLINICA BONNADONA PREVENIR SA"</f>
        <v>ORGANIZACION CLINICA BONNADONA PREVENIR SA</v>
      </c>
      <c r="BI441" t="str">
        <f t="shared" si="464"/>
        <v>COLOMBIA</v>
      </c>
      <c r="BJ441" t="str">
        <f t="shared" si="455"/>
        <v>CANCER INFANTIL</v>
      </c>
      <c r="BK441" t="str">
        <f>"GUAJIRA"</f>
        <v>GUAJIRA</v>
      </c>
      <c r="BL441" t="str">
        <f>"MAICAO"</f>
        <v>MAICAO</v>
      </c>
      <c r="BM441" t="str">
        <f t="shared" si="465"/>
        <v>COLOMBIA</v>
      </c>
      <c r="BN441" t="str">
        <f>"GUAJIRA"</f>
        <v>GUAJIRA</v>
      </c>
      <c r="BO441" t="str">
        <f>"MAICAO"</f>
        <v>MAICAO</v>
      </c>
      <c r="BP441" t="str">
        <f>"ATLANTICO"</f>
        <v>ATLANTICO</v>
      </c>
      <c r="BQ441" t="str">
        <f>"BARRANQUILLA"</f>
        <v>BARRANQUILLA</v>
      </c>
    </row>
    <row r="442" spans="1:69" x14ac:dyDescent="0.25">
      <c r="A442" t="str">
        <f>"7291777"</f>
        <v>7291777</v>
      </c>
      <c r="B442" t="str">
        <f t="shared" si="449"/>
        <v>459</v>
      </c>
      <c r="C442" t="str">
        <f>"28/07/2020 12:00:00 a. m."</f>
        <v>28/07/2020 12:00:00 a. m.</v>
      </c>
      <c r="D442" t="str">
        <f>"13"</f>
        <v>13</v>
      </c>
      <c r="E442" t="str">
        <f t="shared" si="450"/>
        <v>2020</v>
      </c>
      <c r="F442" t="str">
        <f>"7600103799"</f>
        <v>7600103799</v>
      </c>
      <c r="G442" t="str">
        <f t="shared" si="511"/>
        <v>01</v>
      </c>
      <c r="H442" t="str">
        <f>"3"</f>
        <v>3</v>
      </c>
      <c r="I442" t="str">
        <f t="shared" si="513"/>
        <v>1</v>
      </c>
      <c r="J442" t="str">
        <f>"M"</f>
        <v>M</v>
      </c>
      <c r="K442" t="str">
        <f t="shared" si="461"/>
        <v>170</v>
      </c>
      <c r="L442" t="str">
        <f>"52"</f>
        <v>52</v>
      </c>
      <c r="M442" t="str">
        <f>"001"</f>
        <v>001</v>
      </c>
      <c r="N442" t="str">
        <f>"2"</f>
        <v>2</v>
      </c>
      <c r="O442" t="str">
        <f>"9999"</f>
        <v>9999</v>
      </c>
      <c r="P442" t="str">
        <f>"S"</f>
        <v>S</v>
      </c>
      <c r="Q442" t="str">
        <f>"EPSI03"</f>
        <v>EPSI03</v>
      </c>
      <c r="R442" t="str">
        <f t="shared" si="509"/>
        <v>6</v>
      </c>
      <c r="S442" t="str">
        <f>""</f>
        <v/>
      </c>
      <c r="T442" t="str">
        <f t="shared" si="510"/>
        <v xml:space="preserve">                                                                                                    </v>
      </c>
      <c r="U442" t="str">
        <f>"2         "</f>
        <v xml:space="preserve">2         </v>
      </c>
      <c r="V442" t="str">
        <f t="shared" si="485"/>
        <v>2</v>
      </c>
      <c r="W442" t="str">
        <f t="shared" si="508"/>
        <v>2</v>
      </c>
      <c r="X442" t="str">
        <f t="shared" si="505"/>
        <v>2</v>
      </c>
      <c r="Y442" t="str">
        <f t="shared" si="512"/>
        <v>2</v>
      </c>
      <c r="Z442" t="str">
        <f t="shared" si="512"/>
        <v>2</v>
      </c>
      <c r="AA442" t="str">
        <f t="shared" si="451"/>
        <v xml:space="preserve">          </v>
      </c>
      <c r="AB442" t="str">
        <f t="shared" si="440"/>
        <v>2</v>
      </c>
      <c r="AC442" t="str">
        <f t="shared" si="443"/>
        <v>2</v>
      </c>
      <c r="AD442" t="str">
        <f t="shared" si="514"/>
        <v>2</v>
      </c>
      <c r="AE442" t="str">
        <f t="shared" si="514"/>
        <v>2</v>
      </c>
      <c r="AF442" t="str">
        <f t="shared" si="514"/>
        <v>2</v>
      </c>
      <c r="AG442" t="str">
        <f t="shared" si="514"/>
        <v>2</v>
      </c>
      <c r="AH442" t="str">
        <f t="shared" si="506"/>
        <v>1</v>
      </c>
      <c r="AI442" t="str">
        <f>"2         "</f>
        <v xml:space="preserve">2         </v>
      </c>
      <c r="AJ442" t="str">
        <f t="shared" si="462"/>
        <v>170</v>
      </c>
      <c r="AK442" t="str">
        <f>"86"</f>
        <v>86</v>
      </c>
      <c r="AL442" t="str">
        <f>"568"</f>
        <v>568</v>
      </c>
      <c r="AM442" t="str">
        <f>"76"</f>
        <v>76</v>
      </c>
      <c r="AN442" t="str">
        <f>"76001"</f>
        <v>76001</v>
      </c>
      <c r="AO442" t="str">
        <f>"27/03/2020 12:00:00 a. m."</f>
        <v>27/03/2020 12:00:00 a. m.</v>
      </c>
      <c r="AP442" t="str">
        <f>"22/03/2019 12:00:00 a. m."</f>
        <v>22/03/2019 12:00:00 a. m.</v>
      </c>
      <c r="AQ442" t="str">
        <f>"3"</f>
        <v>3</v>
      </c>
      <c r="AR442" t="str">
        <f t="shared" si="500"/>
        <v>1</v>
      </c>
      <c r="AS442" t="str">
        <f>"27/03/2020 12:00:00 a. m."</f>
        <v>27/03/2020 12:00:00 a. m.</v>
      </c>
      <c r="AT442" t="str">
        <f>"2"</f>
        <v>2</v>
      </c>
      <c r="AU442" t="str">
        <f>"27/03/2020 12:00:00 a. m."</f>
        <v>27/03/2020 12:00:00 a. m.</v>
      </c>
      <c r="AV442" t="str">
        <f>"0"</f>
        <v>0</v>
      </c>
      <c r="AW442" t="str">
        <f>"11/08/2016 12:00:00 a. m."</f>
        <v>11/08/2016 12:00:00 a. m.</v>
      </c>
      <c r="AX442" t="str">
        <f>"D180"</f>
        <v>D180</v>
      </c>
      <c r="AY442" t="str">
        <f t="shared" si="452"/>
        <v>30/04/2021 12:00:00 a. m.</v>
      </c>
      <c r="AZ442" t="str">
        <f>"28/07/2020 12:00:00 a. m."</f>
        <v>28/07/2020 12:00:00 a. m.</v>
      </c>
      <c r="BA442" t="str">
        <f>""</f>
        <v/>
      </c>
      <c r="BB442" t="str">
        <f>""</f>
        <v/>
      </c>
      <c r="BC442" t="str">
        <f>""</f>
        <v/>
      </c>
      <c r="BD442" t="str">
        <f t="shared" ref="BD442:BE461" si="515">"1"</f>
        <v>1</v>
      </c>
      <c r="BE442" t="str">
        <f t="shared" si="515"/>
        <v>1</v>
      </c>
      <c r="BF442" t="str">
        <f t="shared" si="453"/>
        <v xml:space="preserve">3         </v>
      </c>
      <c r="BG442" t="str">
        <f t="shared" si="454"/>
        <v>Confirmado por laboratorio</v>
      </c>
      <c r="BH442" t="str">
        <f>"HOSPITAL UNIVERSITARIO DEL VALLE EVARISTO GARCIA"</f>
        <v>HOSPITAL UNIVERSITARIO DEL VALLE EVARISTO GARCIA</v>
      </c>
      <c r="BI442" t="str">
        <f t="shared" si="464"/>
        <v>COLOMBIA</v>
      </c>
      <c r="BJ442" t="str">
        <f t="shared" si="455"/>
        <v>CANCER INFANTIL</v>
      </c>
      <c r="BK442" t="str">
        <f>"NARIÑO"</f>
        <v>NARIÑO</v>
      </c>
      <c r="BL442" t="str">
        <f>"PASTO"</f>
        <v>PASTO</v>
      </c>
      <c r="BM442" t="str">
        <f t="shared" si="465"/>
        <v>COLOMBIA</v>
      </c>
      <c r="BN442" t="str">
        <f>"PUTUMAYO"</f>
        <v>PUTUMAYO</v>
      </c>
      <c r="BO442" t="str">
        <f>"PUERTO ASIS"</f>
        <v>PUERTO ASIS</v>
      </c>
      <c r="BP442" t="str">
        <f>"VALLE"</f>
        <v>VALLE</v>
      </c>
      <c r="BQ442" t="str">
        <f>"CALI"</f>
        <v>CALI</v>
      </c>
    </row>
    <row r="443" spans="1:69" x14ac:dyDescent="0.25">
      <c r="A443" t="str">
        <f>"7285321"</f>
        <v>7285321</v>
      </c>
      <c r="B443" t="str">
        <f t="shared" si="449"/>
        <v>459</v>
      </c>
      <c r="C443" t="str">
        <f>"11/09/2020 12:00:00 a. m."</f>
        <v>11/09/2020 12:00:00 a. m.</v>
      </c>
      <c r="D443" t="str">
        <f>"17"</f>
        <v>17</v>
      </c>
      <c r="E443" t="str">
        <f t="shared" si="450"/>
        <v>2020</v>
      </c>
      <c r="F443" t="str">
        <f>"1100105681"</f>
        <v>1100105681</v>
      </c>
      <c r="G443" t="str">
        <f t="shared" si="511"/>
        <v>01</v>
      </c>
      <c r="H443" t="str">
        <f>"8"</f>
        <v>8</v>
      </c>
      <c r="I443" t="str">
        <f t="shared" si="513"/>
        <v>1</v>
      </c>
      <c r="J443" t="str">
        <f>"F"</f>
        <v>F</v>
      </c>
      <c r="K443" t="str">
        <f t="shared" si="461"/>
        <v>170</v>
      </c>
      <c r="L443" t="str">
        <f>"11"</f>
        <v>11</v>
      </c>
      <c r="M443" t="str">
        <f>"001"</f>
        <v>001</v>
      </c>
      <c r="N443" t="str">
        <f>"1"</f>
        <v>1</v>
      </c>
      <c r="O443" t="str">
        <f>"9997"</f>
        <v>9997</v>
      </c>
      <c r="P443" t="str">
        <f>"C"</f>
        <v>C</v>
      </c>
      <c r="Q443" t="str">
        <f>"EPS005"</f>
        <v>EPS005</v>
      </c>
      <c r="R443" t="str">
        <f t="shared" si="509"/>
        <v>6</v>
      </c>
      <c r="S443" t="str">
        <f>""</f>
        <v/>
      </c>
      <c r="T443" t="str">
        <f t="shared" si="510"/>
        <v xml:space="preserve">                                                                                                    </v>
      </c>
      <c r="U443" t="str">
        <f>"3         "</f>
        <v xml:space="preserve">3         </v>
      </c>
      <c r="V443" t="str">
        <f t="shared" si="485"/>
        <v>2</v>
      </c>
      <c r="W443" t="str">
        <f t="shared" si="508"/>
        <v>2</v>
      </c>
      <c r="X443" t="str">
        <f t="shared" si="505"/>
        <v>2</v>
      </c>
      <c r="Y443" t="str">
        <f t="shared" si="512"/>
        <v>2</v>
      </c>
      <c r="Z443" t="str">
        <f t="shared" si="512"/>
        <v>2</v>
      </c>
      <c r="AA443" t="str">
        <f t="shared" si="451"/>
        <v xml:space="preserve">          </v>
      </c>
      <c r="AB443" t="str">
        <f t="shared" si="440"/>
        <v>2</v>
      </c>
      <c r="AC443" t="str">
        <f t="shared" si="443"/>
        <v>2</v>
      </c>
      <c r="AD443" t="str">
        <f t="shared" si="514"/>
        <v>2</v>
      </c>
      <c r="AE443" t="str">
        <f t="shared" si="514"/>
        <v>2</v>
      </c>
      <c r="AF443" t="str">
        <f t="shared" si="514"/>
        <v>2</v>
      </c>
      <c r="AG443" t="str">
        <f t="shared" si="514"/>
        <v>2</v>
      </c>
      <c r="AH443" t="str">
        <f t="shared" si="506"/>
        <v>1</v>
      </c>
      <c r="AI443" t="str">
        <f>"2         "</f>
        <v xml:space="preserve">2         </v>
      </c>
      <c r="AJ443" t="str">
        <f t="shared" si="462"/>
        <v>170</v>
      </c>
      <c r="AK443" t="str">
        <f>"11"</f>
        <v>11</v>
      </c>
      <c r="AL443" t="str">
        <f>"001"</f>
        <v>001</v>
      </c>
      <c r="AM443" t="str">
        <f>"11"</f>
        <v>11</v>
      </c>
      <c r="AN443" t="str">
        <f>"11001"</f>
        <v>11001</v>
      </c>
      <c r="AO443" t="str">
        <f>"20/04/2020 12:00:00 a. m."</f>
        <v>20/04/2020 12:00:00 a. m.</v>
      </c>
      <c r="AP443" t="str">
        <f>"14/04/2020 12:00:00 a. m."</f>
        <v>14/04/2020 12:00:00 a. m.</v>
      </c>
      <c r="AQ443" t="str">
        <f>"3"</f>
        <v>3</v>
      </c>
      <c r="AR443" t="str">
        <f t="shared" si="500"/>
        <v>1</v>
      </c>
      <c r="AS443" t="str">
        <f>"20/04/2020 12:00:00 a. m."</f>
        <v>20/04/2020 12:00:00 a. m.</v>
      </c>
      <c r="AT443" t="str">
        <f>"2"</f>
        <v>2</v>
      </c>
      <c r="AU443" t="str">
        <f>"10/07/2020 12:00:00 a. m."</f>
        <v>10/07/2020 12:00:00 a. m.</v>
      </c>
      <c r="AV443" t="str">
        <f>"7"</f>
        <v>7</v>
      </c>
      <c r="AW443" t="str">
        <f>"8/08/2012 12:00:00 a. m."</f>
        <v>8/08/2012 12:00:00 a. m.</v>
      </c>
      <c r="AX443" t="str">
        <f>"C780"</f>
        <v>C780</v>
      </c>
      <c r="AY443" t="str">
        <f t="shared" si="452"/>
        <v>30/04/2021 12:00:00 a. m.</v>
      </c>
      <c r="AZ443" t="str">
        <f>"2/02/2021 12:00:00 a. m."</f>
        <v>2/02/2021 12:00:00 a. m.</v>
      </c>
      <c r="BA443" t="str">
        <f>""</f>
        <v/>
      </c>
      <c r="BB443" t="str">
        <f>""</f>
        <v/>
      </c>
      <c r="BC443" t="str">
        <f>""</f>
        <v/>
      </c>
      <c r="BD443" t="str">
        <f t="shared" si="515"/>
        <v>1</v>
      </c>
      <c r="BE443" t="str">
        <f t="shared" si="515"/>
        <v>1</v>
      </c>
      <c r="BF443" t="str">
        <f t="shared" si="453"/>
        <v xml:space="preserve">3         </v>
      </c>
      <c r="BG443" t="str">
        <f t="shared" si="454"/>
        <v>Confirmado por laboratorio</v>
      </c>
      <c r="BH443" t="str">
        <f>"FUNDACION HOSPITAL DE LA MISERICORDIA"</f>
        <v>FUNDACION HOSPITAL DE LA MISERICORDIA</v>
      </c>
      <c r="BI443" t="str">
        <f t="shared" si="464"/>
        <v>COLOMBIA</v>
      </c>
      <c r="BJ443" t="str">
        <f t="shared" si="455"/>
        <v>CANCER INFANTIL</v>
      </c>
      <c r="BK443" t="str">
        <f>"BOGOTA"</f>
        <v>BOGOTA</v>
      </c>
      <c r="BL443" t="str">
        <f>"BOGOTA"</f>
        <v>BOGOTA</v>
      </c>
      <c r="BM443" t="str">
        <f t="shared" si="465"/>
        <v>COLOMBIA</v>
      </c>
      <c r="BN443" t="str">
        <f>"BOGOTA"</f>
        <v>BOGOTA</v>
      </c>
      <c r="BO443" t="str">
        <f>"BOGOTA"</f>
        <v>BOGOTA</v>
      </c>
      <c r="BP443" t="str">
        <f>"BOGOTA"</f>
        <v>BOGOTA</v>
      </c>
      <c r="BQ443" t="str">
        <f>"BOGOTA"</f>
        <v>BOGOTA</v>
      </c>
    </row>
    <row r="444" spans="1:69" x14ac:dyDescent="0.25">
      <c r="A444" t="str">
        <f>"7285322"</f>
        <v>7285322</v>
      </c>
      <c r="B444" t="str">
        <f t="shared" si="449"/>
        <v>459</v>
      </c>
      <c r="C444" t="str">
        <f>"13/05/2020 12:00:00 a. m."</f>
        <v>13/05/2020 12:00:00 a. m.</v>
      </c>
      <c r="D444" t="str">
        <f>"11"</f>
        <v>11</v>
      </c>
      <c r="E444" t="str">
        <f t="shared" si="450"/>
        <v>2020</v>
      </c>
      <c r="F444" t="str">
        <f>"1100105681"</f>
        <v>1100105681</v>
      </c>
      <c r="G444" t="str">
        <f t="shared" si="511"/>
        <v>01</v>
      </c>
      <c r="H444" t="str">
        <f>"7"</f>
        <v>7</v>
      </c>
      <c r="I444" t="str">
        <f t="shared" si="513"/>
        <v>1</v>
      </c>
      <c r="J444" t="str">
        <f>"M"</f>
        <v>M</v>
      </c>
      <c r="K444" t="str">
        <f t="shared" si="461"/>
        <v>170</v>
      </c>
      <c r="L444" t="str">
        <f>"25"</f>
        <v>25</v>
      </c>
      <c r="M444" t="str">
        <f>"377"</f>
        <v>377</v>
      </c>
      <c r="N444" t="str">
        <f>"1"</f>
        <v>1</v>
      </c>
      <c r="O444" t="str">
        <f>"9997"</f>
        <v>9997</v>
      </c>
      <c r="P444" t="str">
        <f>"C"</f>
        <v>C</v>
      </c>
      <c r="Q444" t="str">
        <f>"EPS017"</f>
        <v>EPS017</v>
      </c>
      <c r="R444" t="str">
        <f t="shared" si="509"/>
        <v>6</v>
      </c>
      <c r="S444" t="str">
        <f>""</f>
        <v/>
      </c>
      <c r="T444" t="str">
        <f t="shared" si="510"/>
        <v xml:space="preserve">                                                                                                    </v>
      </c>
      <c r="U444" t="str">
        <f>"2         "</f>
        <v xml:space="preserve">2         </v>
      </c>
      <c r="V444" t="str">
        <f t="shared" si="485"/>
        <v>2</v>
      </c>
      <c r="W444" t="str">
        <f t="shared" si="508"/>
        <v>2</v>
      </c>
      <c r="X444" t="str">
        <f t="shared" si="505"/>
        <v>2</v>
      </c>
      <c r="Y444" t="str">
        <f t="shared" si="512"/>
        <v>2</v>
      </c>
      <c r="Z444" t="str">
        <f t="shared" si="512"/>
        <v>2</v>
      </c>
      <c r="AA444" t="str">
        <f t="shared" si="451"/>
        <v xml:space="preserve">          </v>
      </c>
      <c r="AB444" t="str">
        <f t="shared" ref="AB444:AB507" si="516">"2"</f>
        <v>2</v>
      </c>
      <c r="AC444" t="str">
        <f t="shared" si="443"/>
        <v>2</v>
      </c>
      <c r="AD444" t="str">
        <f t="shared" si="514"/>
        <v>2</v>
      </c>
      <c r="AE444" t="str">
        <f t="shared" si="514"/>
        <v>2</v>
      </c>
      <c r="AF444" t="str">
        <f t="shared" si="514"/>
        <v>2</v>
      </c>
      <c r="AG444" t="str">
        <f t="shared" si="514"/>
        <v>2</v>
      </c>
      <c r="AH444" t="str">
        <f t="shared" si="506"/>
        <v>1</v>
      </c>
      <c r="AI444" t="str">
        <f>"2         "</f>
        <v xml:space="preserve">2         </v>
      </c>
      <c r="AJ444" t="str">
        <f t="shared" si="462"/>
        <v>170</v>
      </c>
      <c r="AK444" t="str">
        <f>"25"</f>
        <v>25</v>
      </c>
      <c r="AL444" t="str">
        <f>"377"</f>
        <v>377</v>
      </c>
      <c r="AM444" t="str">
        <f>"11"</f>
        <v>11</v>
      </c>
      <c r="AN444" t="str">
        <f>"11001"</f>
        <v>11001</v>
      </c>
      <c r="AO444" t="str">
        <f>"12/03/2020 12:00:00 a. m."</f>
        <v>12/03/2020 12:00:00 a. m.</v>
      </c>
      <c r="AP444" t="str">
        <f>"11/03/2020 12:00:00 a. m."</f>
        <v>11/03/2020 12:00:00 a. m.</v>
      </c>
      <c r="AQ444" t="str">
        <f>"3"</f>
        <v>3</v>
      </c>
      <c r="AR444" t="str">
        <f t="shared" si="500"/>
        <v>1</v>
      </c>
      <c r="AS444" t="str">
        <f>"12/03/2020 12:00:00 a. m."</f>
        <v>12/03/2020 12:00:00 a. m.</v>
      </c>
      <c r="AT444" t="str">
        <f>"1"</f>
        <v>1</v>
      </c>
      <c r="AU444" t="str">
        <f>""</f>
        <v/>
      </c>
      <c r="AV444" t="str">
        <f>"0"</f>
        <v>0</v>
      </c>
      <c r="AW444" t="str">
        <f>"13/12/2012 12:00:00 a. m."</f>
        <v>13/12/2012 12:00:00 a. m.</v>
      </c>
      <c r="AX444" t="str">
        <f>""</f>
        <v/>
      </c>
      <c r="AY444" t="str">
        <f t="shared" si="452"/>
        <v>30/04/2021 12:00:00 a. m.</v>
      </c>
      <c r="AZ444" t="str">
        <f>"13/05/2020 12:00:00 a. m."</f>
        <v>13/05/2020 12:00:00 a. m.</v>
      </c>
      <c r="BA444" t="str">
        <f>""</f>
        <v/>
      </c>
      <c r="BB444" t="str">
        <f>""</f>
        <v/>
      </c>
      <c r="BC444" t="str">
        <f>""</f>
        <v/>
      </c>
      <c r="BD444" t="str">
        <f t="shared" si="515"/>
        <v>1</v>
      </c>
      <c r="BE444" t="str">
        <f t="shared" si="515"/>
        <v>1</v>
      </c>
      <c r="BF444" t="str">
        <f t="shared" si="453"/>
        <v xml:space="preserve">3         </v>
      </c>
      <c r="BG444" t="str">
        <f t="shared" si="454"/>
        <v>Confirmado por laboratorio</v>
      </c>
      <c r="BH444" t="str">
        <f>"FUNDACION HOSPITAL DE LA MISERICORDIA"</f>
        <v>FUNDACION HOSPITAL DE LA MISERICORDIA</v>
      </c>
      <c r="BI444" t="str">
        <f t="shared" si="464"/>
        <v>COLOMBIA</v>
      </c>
      <c r="BJ444" t="str">
        <f t="shared" si="455"/>
        <v>CANCER INFANTIL</v>
      </c>
      <c r="BK444" t="str">
        <f>"CUNDINAMARCA"</f>
        <v>CUNDINAMARCA</v>
      </c>
      <c r="BL444" t="str">
        <f>"LA CALERA"</f>
        <v>LA CALERA</v>
      </c>
      <c r="BM444" t="str">
        <f t="shared" si="465"/>
        <v>COLOMBIA</v>
      </c>
      <c r="BN444" t="str">
        <f>"CUNDINAMARCA"</f>
        <v>CUNDINAMARCA</v>
      </c>
      <c r="BO444" t="str">
        <f>"LA CALERA"</f>
        <v>LA CALERA</v>
      </c>
      <c r="BP444" t="str">
        <f>"BOGOTA"</f>
        <v>BOGOTA</v>
      </c>
      <c r="BQ444" t="str">
        <f>"BOGOTA"</f>
        <v>BOGOTA</v>
      </c>
    </row>
    <row r="445" spans="1:69" x14ac:dyDescent="0.25">
      <c r="A445" t="str">
        <f>"7278916"</f>
        <v>7278916</v>
      </c>
      <c r="B445" t="str">
        <f t="shared" si="449"/>
        <v>459</v>
      </c>
      <c r="C445" t="str">
        <f>"30/11/2020 12:00:00 a. m."</f>
        <v>30/11/2020 12:00:00 a. m.</v>
      </c>
      <c r="D445" t="str">
        <f>"48"</f>
        <v>48</v>
      </c>
      <c r="E445" t="str">
        <f t="shared" si="450"/>
        <v>2020</v>
      </c>
      <c r="F445" t="str">
        <f>"1100116338"</f>
        <v>1100116338</v>
      </c>
      <c r="G445" t="str">
        <f>"83"</f>
        <v>83</v>
      </c>
      <c r="H445" t="str">
        <f>"2"</f>
        <v>2</v>
      </c>
      <c r="I445" t="str">
        <f t="shared" si="513"/>
        <v>1</v>
      </c>
      <c r="J445" t="str">
        <f>"M"</f>
        <v>M</v>
      </c>
      <c r="K445" t="str">
        <f t="shared" si="461"/>
        <v>170</v>
      </c>
      <c r="L445" t="str">
        <f>"50"</f>
        <v>50</v>
      </c>
      <c r="M445" t="str">
        <f>"001"</f>
        <v>001</v>
      </c>
      <c r="N445" t="str">
        <f>"1"</f>
        <v>1</v>
      </c>
      <c r="O445" t="str">
        <f>"9999"</f>
        <v>9999</v>
      </c>
      <c r="P445" t="str">
        <f>"P"</f>
        <v>P</v>
      </c>
      <c r="Q445" t="str">
        <f>"RES003"</f>
        <v>RES003</v>
      </c>
      <c r="R445" t="str">
        <f t="shared" si="509"/>
        <v>6</v>
      </c>
      <c r="S445" t="str">
        <f>""</f>
        <v/>
      </c>
      <c r="T445" t="str">
        <f t="shared" si="510"/>
        <v xml:space="preserve">                                                                                                    </v>
      </c>
      <c r="U445" t="str">
        <f>"3         "</f>
        <v xml:space="preserve">3         </v>
      </c>
      <c r="V445" t="str">
        <f t="shared" si="485"/>
        <v>2</v>
      </c>
      <c r="W445" t="str">
        <f t="shared" si="508"/>
        <v>2</v>
      </c>
      <c r="X445" t="str">
        <f t="shared" si="505"/>
        <v>2</v>
      </c>
      <c r="Y445" t="str">
        <f t="shared" si="512"/>
        <v>2</v>
      </c>
      <c r="Z445" t="str">
        <f t="shared" si="512"/>
        <v>2</v>
      </c>
      <c r="AA445" t="str">
        <f t="shared" si="451"/>
        <v xml:space="preserve">          </v>
      </c>
      <c r="AB445" t="str">
        <f t="shared" si="516"/>
        <v>2</v>
      </c>
      <c r="AC445" t="str">
        <f t="shared" ref="AC445:AC508" si="517">"2"</f>
        <v>2</v>
      </c>
      <c r="AD445" t="str">
        <f t="shared" si="514"/>
        <v>2</v>
      </c>
      <c r="AE445" t="str">
        <f t="shared" si="514"/>
        <v>2</v>
      </c>
      <c r="AF445" t="str">
        <f t="shared" si="514"/>
        <v>2</v>
      </c>
      <c r="AG445" t="str">
        <f t="shared" si="514"/>
        <v>2</v>
      </c>
      <c r="AH445" t="str">
        <f t="shared" si="506"/>
        <v>1</v>
      </c>
      <c r="AI445" t="str">
        <f>"1         "</f>
        <v xml:space="preserve">1         </v>
      </c>
      <c r="AJ445" t="str">
        <f t="shared" si="462"/>
        <v>170</v>
      </c>
      <c r="AK445" t="str">
        <f>"50"</f>
        <v>50</v>
      </c>
      <c r="AL445" t="str">
        <f>"001"</f>
        <v>001</v>
      </c>
      <c r="AM445" t="str">
        <f>"11"</f>
        <v>11</v>
      </c>
      <c r="AN445" t="str">
        <f>"11001"</f>
        <v>11001</v>
      </c>
      <c r="AO445" t="str">
        <f>"27/11/2020 12:00:00 a. m."</f>
        <v>27/11/2020 12:00:00 a. m.</v>
      </c>
      <c r="AP445" t="str">
        <f>"15/06/2020 12:00:00 a. m."</f>
        <v>15/06/2020 12:00:00 a. m.</v>
      </c>
      <c r="AQ445" t="str">
        <f>"2"</f>
        <v>2</v>
      </c>
      <c r="AR445" t="str">
        <f t="shared" si="500"/>
        <v>1</v>
      </c>
      <c r="AS445" t="str">
        <f>"27/11/2020 12:00:00 a. m."</f>
        <v>27/11/2020 12:00:00 a. m.</v>
      </c>
      <c r="AT445" t="str">
        <f>"1"</f>
        <v>1</v>
      </c>
      <c r="AU445" t="str">
        <f>""</f>
        <v/>
      </c>
      <c r="AV445" t="str">
        <f>"3"</f>
        <v>3</v>
      </c>
      <c r="AW445" t="str">
        <f>"23/11/2018 12:00:00 a. m."</f>
        <v>23/11/2018 12:00:00 a. m.</v>
      </c>
      <c r="AX445" t="str">
        <f>""</f>
        <v/>
      </c>
      <c r="AY445" t="str">
        <f t="shared" si="452"/>
        <v>30/04/2021 12:00:00 a. m.</v>
      </c>
      <c r="AZ445" t="str">
        <f>"13/12/2020 12:00:00 a. m."</f>
        <v>13/12/2020 12:00:00 a. m.</v>
      </c>
      <c r="BA445" t="str">
        <f>""</f>
        <v/>
      </c>
      <c r="BB445" t="str">
        <f>""</f>
        <v/>
      </c>
      <c r="BC445" t="str">
        <f>""</f>
        <v/>
      </c>
      <c r="BD445" t="str">
        <f t="shared" si="515"/>
        <v>1</v>
      </c>
      <c r="BE445" t="str">
        <f t="shared" si="515"/>
        <v>1</v>
      </c>
      <c r="BF445" t="str">
        <f t="shared" si="453"/>
        <v xml:space="preserve">3         </v>
      </c>
      <c r="BG445" t="str">
        <f t="shared" si="454"/>
        <v>Confirmado por laboratorio</v>
      </c>
      <c r="BH445" t="str">
        <f>"HOSPITAL MILITAR CENTRAL CHAPINERO"</f>
        <v>HOSPITAL MILITAR CENTRAL CHAPINERO</v>
      </c>
      <c r="BI445" t="str">
        <f t="shared" si="464"/>
        <v>COLOMBIA</v>
      </c>
      <c r="BJ445" t="str">
        <f t="shared" si="455"/>
        <v>CANCER INFANTIL</v>
      </c>
      <c r="BK445" t="str">
        <f>"META"</f>
        <v>META</v>
      </c>
      <c r="BL445" t="str">
        <f>"VILLAVICENCIO"</f>
        <v>VILLAVICENCIO</v>
      </c>
      <c r="BM445" t="str">
        <f t="shared" si="465"/>
        <v>COLOMBIA</v>
      </c>
      <c r="BN445" t="str">
        <f>"META"</f>
        <v>META</v>
      </c>
      <c r="BO445" t="str">
        <f>"VILLAVICENCIO"</f>
        <v>VILLAVICENCIO</v>
      </c>
      <c r="BP445" t="str">
        <f>"BOGOTA"</f>
        <v>BOGOTA</v>
      </c>
      <c r="BQ445" t="str">
        <f>"BOGOTA"</f>
        <v>BOGOTA</v>
      </c>
    </row>
    <row r="446" spans="1:69" x14ac:dyDescent="0.25">
      <c r="A446" t="str">
        <f>"7278846"</f>
        <v>7278846</v>
      </c>
      <c r="B446" t="str">
        <f t="shared" si="449"/>
        <v>459</v>
      </c>
      <c r="C446" t="str">
        <f>"19/11/2020 12:00:00 a. m."</f>
        <v>19/11/2020 12:00:00 a. m.</v>
      </c>
      <c r="D446" t="str">
        <f>"26"</f>
        <v>26</v>
      </c>
      <c r="E446" t="str">
        <f t="shared" si="450"/>
        <v>2020</v>
      </c>
      <c r="F446" t="str">
        <f>"0500102175"</f>
        <v>0500102175</v>
      </c>
      <c r="G446" t="str">
        <f>"01"</f>
        <v>01</v>
      </c>
      <c r="H446" t="str">
        <f>"9"</f>
        <v>9</v>
      </c>
      <c r="I446" t="str">
        <f t="shared" si="513"/>
        <v>1</v>
      </c>
      <c r="J446" t="str">
        <f>"F"</f>
        <v>F</v>
      </c>
      <c r="K446" t="str">
        <f t="shared" si="461"/>
        <v>170</v>
      </c>
      <c r="L446" t="str">
        <f>"05"</f>
        <v>05</v>
      </c>
      <c r="M446" t="str">
        <f>"642"</f>
        <v>642</v>
      </c>
      <c r="N446" t="str">
        <f>"3"</f>
        <v>3</v>
      </c>
      <c r="O446" t="str">
        <f>"9997"</f>
        <v>9997</v>
      </c>
      <c r="P446" t="str">
        <f>"C"</f>
        <v>C</v>
      </c>
      <c r="Q446" t="str">
        <f>"EPS037"</f>
        <v>EPS037</v>
      </c>
      <c r="R446" t="str">
        <f t="shared" si="509"/>
        <v>6</v>
      </c>
      <c r="S446" t="str">
        <f>""</f>
        <v/>
      </c>
      <c r="T446" t="str">
        <f t="shared" si="510"/>
        <v xml:space="preserve">                                                                                                    </v>
      </c>
      <c r="U446" t="str">
        <f>"1         "</f>
        <v xml:space="preserve">1         </v>
      </c>
      <c r="V446" t="str">
        <f t="shared" si="485"/>
        <v>2</v>
      </c>
      <c r="W446" t="str">
        <f t="shared" si="508"/>
        <v>2</v>
      </c>
      <c r="X446" t="str">
        <f t="shared" si="505"/>
        <v>2</v>
      </c>
      <c r="Y446" t="str">
        <f t="shared" si="512"/>
        <v>2</v>
      </c>
      <c r="Z446" t="str">
        <f t="shared" si="512"/>
        <v>2</v>
      </c>
      <c r="AA446" t="str">
        <f t="shared" si="451"/>
        <v xml:space="preserve">          </v>
      </c>
      <c r="AB446" t="str">
        <f t="shared" si="516"/>
        <v>2</v>
      </c>
      <c r="AC446" t="str">
        <f t="shared" si="517"/>
        <v>2</v>
      </c>
      <c r="AD446" t="str">
        <f t="shared" si="514"/>
        <v>2</v>
      </c>
      <c r="AE446" t="str">
        <f t="shared" si="514"/>
        <v>2</v>
      </c>
      <c r="AF446" t="str">
        <f t="shared" si="514"/>
        <v>2</v>
      </c>
      <c r="AG446" t="str">
        <f t="shared" si="514"/>
        <v>2</v>
      </c>
      <c r="AH446" t="str">
        <f t="shared" si="506"/>
        <v>1</v>
      </c>
      <c r="AI446" t="str">
        <f>"1         "</f>
        <v xml:space="preserve">1         </v>
      </c>
      <c r="AJ446" t="str">
        <f t="shared" si="462"/>
        <v>170</v>
      </c>
      <c r="AK446" t="str">
        <f>"05"</f>
        <v>05</v>
      </c>
      <c r="AL446" t="str">
        <f>"642"</f>
        <v>642</v>
      </c>
      <c r="AM446" t="str">
        <f>"05"</f>
        <v>05</v>
      </c>
      <c r="AN446" t="str">
        <f>"05001"</f>
        <v>05001</v>
      </c>
      <c r="AO446" t="str">
        <f>"21/06/2020 12:00:00 a. m."</f>
        <v>21/06/2020 12:00:00 a. m.</v>
      </c>
      <c r="AP446" t="str">
        <f>"20/06/2020 12:00:00 a. m."</f>
        <v>20/06/2020 12:00:00 a. m.</v>
      </c>
      <c r="AQ446" t="str">
        <f>"3"</f>
        <v>3</v>
      </c>
      <c r="AR446" t="str">
        <f t="shared" si="500"/>
        <v>1</v>
      </c>
      <c r="AS446" t="str">
        <f>"13/11/2020 12:00:00 a. m."</f>
        <v>13/11/2020 12:00:00 a. m.</v>
      </c>
      <c r="AT446" t="str">
        <f>"1"</f>
        <v>1</v>
      </c>
      <c r="AU446" t="str">
        <f>""</f>
        <v/>
      </c>
      <c r="AV446" t="str">
        <f>"3"</f>
        <v>3</v>
      </c>
      <c r="AW446" t="str">
        <f>"12/04/2011 12:00:00 a. m."</f>
        <v>12/04/2011 12:00:00 a. m.</v>
      </c>
      <c r="AX446" t="str">
        <f>""</f>
        <v/>
      </c>
      <c r="AY446" t="str">
        <f t="shared" si="452"/>
        <v>30/04/2021 12:00:00 a. m.</v>
      </c>
      <c r="AZ446" t="str">
        <f>"10/02/2021 12:00:00 a. m."</f>
        <v>10/02/2021 12:00:00 a. m.</v>
      </c>
      <c r="BA446" t="str">
        <f>""</f>
        <v/>
      </c>
      <c r="BB446" t="str">
        <f>""</f>
        <v/>
      </c>
      <c r="BC446" t="str">
        <f>""</f>
        <v/>
      </c>
      <c r="BD446" t="str">
        <f t="shared" si="515"/>
        <v>1</v>
      </c>
      <c r="BE446" t="str">
        <f t="shared" si="515"/>
        <v>1</v>
      </c>
      <c r="BF446" t="str">
        <f t="shared" si="453"/>
        <v xml:space="preserve">3         </v>
      </c>
      <c r="BG446" t="str">
        <f t="shared" si="454"/>
        <v>Confirmado por laboratorio</v>
      </c>
      <c r="BH446" t="str">
        <f>"FUNDACION HOSPITALARIA SAN VICENTE DE PAUL"</f>
        <v>FUNDACION HOSPITALARIA SAN VICENTE DE PAUL</v>
      </c>
      <c r="BI446" t="str">
        <f t="shared" si="464"/>
        <v>COLOMBIA</v>
      </c>
      <c r="BJ446" t="str">
        <f t="shared" si="455"/>
        <v>CANCER INFANTIL</v>
      </c>
      <c r="BK446" t="str">
        <f>"ANTIOQUIA"</f>
        <v>ANTIOQUIA</v>
      </c>
      <c r="BL446" t="str">
        <f>"SALGAR"</f>
        <v>SALGAR</v>
      </c>
      <c r="BM446" t="str">
        <f t="shared" si="465"/>
        <v>COLOMBIA</v>
      </c>
      <c r="BN446" t="str">
        <f>"ANTIOQUIA"</f>
        <v>ANTIOQUIA</v>
      </c>
      <c r="BO446" t="str">
        <f>"SALGAR"</f>
        <v>SALGAR</v>
      </c>
      <c r="BP446" t="str">
        <f>"ANTIOQUIA"</f>
        <v>ANTIOQUIA</v>
      </c>
      <c r="BQ446" t="str">
        <f>"MEDELLIN"</f>
        <v>MEDELLIN</v>
      </c>
    </row>
    <row r="447" spans="1:69" x14ac:dyDescent="0.25">
      <c r="A447" t="str">
        <f>"7278784"</f>
        <v>7278784</v>
      </c>
      <c r="B447" t="str">
        <f t="shared" si="449"/>
        <v>459</v>
      </c>
      <c r="C447" t="str">
        <f>"15/12/2020 12:00:00 a. m."</f>
        <v>15/12/2020 12:00:00 a. m.</v>
      </c>
      <c r="D447" t="str">
        <f>"50"</f>
        <v>50</v>
      </c>
      <c r="E447" t="str">
        <f t="shared" si="450"/>
        <v>2020</v>
      </c>
      <c r="F447" t="str">
        <f>"6854704947"</f>
        <v>6854704947</v>
      </c>
      <c r="G447" t="str">
        <f>"01"</f>
        <v>01</v>
      </c>
      <c r="H447" t="str">
        <f>"4"</f>
        <v>4</v>
      </c>
      <c r="I447" t="str">
        <f t="shared" si="513"/>
        <v>1</v>
      </c>
      <c r="J447" t="str">
        <f>"M"</f>
        <v>M</v>
      </c>
      <c r="K447" t="str">
        <f t="shared" si="461"/>
        <v>170</v>
      </c>
      <c r="L447" t="str">
        <f>"54"</f>
        <v>54</v>
      </c>
      <c r="M447" t="str">
        <f>"001"</f>
        <v>001</v>
      </c>
      <c r="N447" t="str">
        <f t="shared" ref="N447:N452" si="518">"1"</f>
        <v>1</v>
      </c>
      <c r="O447" t="str">
        <f>"9999"</f>
        <v>9999</v>
      </c>
      <c r="P447" t="str">
        <f>"S"</f>
        <v>S</v>
      </c>
      <c r="Q447" t="str">
        <f>"CCF050"</f>
        <v>CCF050</v>
      </c>
      <c r="R447" t="str">
        <f t="shared" si="509"/>
        <v>6</v>
      </c>
      <c r="S447" t="str">
        <f>""</f>
        <v/>
      </c>
      <c r="T447" t="str">
        <f t="shared" si="510"/>
        <v xml:space="preserve">                                                                                                    </v>
      </c>
      <c r="U447" t="str">
        <f>"2         "</f>
        <v xml:space="preserve">2         </v>
      </c>
      <c r="V447" t="str">
        <f t="shared" ref="V447:V478" si="519">"2"</f>
        <v>2</v>
      </c>
      <c r="W447" t="str">
        <f t="shared" si="508"/>
        <v>2</v>
      </c>
      <c r="X447" t="str">
        <f t="shared" si="505"/>
        <v>2</v>
      </c>
      <c r="Y447" t="str">
        <f t="shared" si="512"/>
        <v>2</v>
      </c>
      <c r="Z447" t="str">
        <f t="shared" si="512"/>
        <v>2</v>
      </c>
      <c r="AA447" t="str">
        <f t="shared" si="451"/>
        <v xml:space="preserve">          </v>
      </c>
      <c r="AB447" t="str">
        <f t="shared" si="516"/>
        <v>2</v>
      </c>
      <c r="AC447" t="str">
        <f t="shared" si="517"/>
        <v>2</v>
      </c>
      <c r="AD447" t="str">
        <f t="shared" si="514"/>
        <v>2</v>
      </c>
      <c r="AE447" t="str">
        <f t="shared" si="514"/>
        <v>2</v>
      </c>
      <c r="AF447" t="str">
        <f t="shared" si="514"/>
        <v>2</v>
      </c>
      <c r="AG447" t="str">
        <f t="shared" si="514"/>
        <v>2</v>
      </c>
      <c r="AH447" t="str">
        <f t="shared" si="506"/>
        <v>1</v>
      </c>
      <c r="AI447" t="str">
        <f>"1         "</f>
        <v xml:space="preserve">1         </v>
      </c>
      <c r="AJ447" t="str">
        <f t="shared" si="462"/>
        <v>170</v>
      </c>
      <c r="AK447" t="str">
        <f>"54"</f>
        <v>54</v>
      </c>
      <c r="AL447" t="str">
        <f>"001"</f>
        <v>001</v>
      </c>
      <c r="AM447" t="str">
        <f>"68"</f>
        <v>68</v>
      </c>
      <c r="AN447" t="str">
        <f>"68547"</f>
        <v>68547</v>
      </c>
      <c r="AO447" t="str">
        <f>"6/12/2020 12:00:00 a. m."</f>
        <v>6/12/2020 12:00:00 a. m.</v>
      </c>
      <c r="AP447" t="str">
        <f>"1/11/2020 12:00:00 a. m."</f>
        <v>1/11/2020 12:00:00 a. m.</v>
      </c>
      <c r="AQ447" t="str">
        <f>"3"</f>
        <v>3</v>
      </c>
      <c r="AR447" t="str">
        <f t="shared" si="500"/>
        <v>1</v>
      </c>
      <c r="AS447" t="str">
        <f>"6/12/2020 12:00:00 a. m."</f>
        <v>6/12/2020 12:00:00 a. m.</v>
      </c>
      <c r="AT447" t="str">
        <f>"1"</f>
        <v>1</v>
      </c>
      <c r="AU447" t="str">
        <f>""</f>
        <v/>
      </c>
      <c r="AV447" t="str">
        <f>"0"</f>
        <v>0</v>
      </c>
      <c r="AW447" t="str">
        <f>"10/10/2016 12:00:00 a. m."</f>
        <v>10/10/2016 12:00:00 a. m.</v>
      </c>
      <c r="AX447" t="str">
        <f>""</f>
        <v/>
      </c>
      <c r="AY447" t="str">
        <f t="shared" si="452"/>
        <v>30/04/2021 12:00:00 a. m.</v>
      </c>
      <c r="AZ447" t="str">
        <f>"15/12/2020 12:00:00 a. m."</f>
        <v>15/12/2020 12:00:00 a. m.</v>
      </c>
      <c r="BA447" t="str">
        <f>""</f>
        <v/>
      </c>
      <c r="BB447" t="str">
        <f>""</f>
        <v/>
      </c>
      <c r="BC447" t="str">
        <f>""</f>
        <v/>
      </c>
      <c r="BD447" t="str">
        <f t="shared" si="515"/>
        <v>1</v>
      </c>
      <c r="BE447" t="str">
        <f t="shared" si="515"/>
        <v>1</v>
      </c>
      <c r="BF447" t="str">
        <f t="shared" si="453"/>
        <v xml:space="preserve">3         </v>
      </c>
      <c r="BG447" t="str">
        <f t="shared" si="454"/>
        <v>Confirmado por laboratorio</v>
      </c>
      <c r="BH447" t="str">
        <f>"HOSPITAL INTERNACIONAL DE COLOMBIA"</f>
        <v>HOSPITAL INTERNACIONAL DE COLOMBIA</v>
      </c>
      <c r="BI447" t="str">
        <f t="shared" si="464"/>
        <v>COLOMBIA</v>
      </c>
      <c r="BJ447" t="str">
        <f t="shared" si="455"/>
        <v>CANCER INFANTIL</v>
      </c>
      <c r="BK447" t="str">
        <f>"NORTE SANTANDER"</f>
        <v>NORTE SANTANDER</v>
      </c>
      <c r="BL447" t="str">
        <f>"CUCUTA"</f>
        <v>CUCUTA</v>
      </c>
      <c r="BM447" t="str">
        <f t="shared" si="465"/>
        <v>COLOMBIA</v>
      </c>
      <c r="BN447" t="str">
        <f>"NORTE SANTANDER"</f>
        <v>NORTE SANTANDER</v>
      </c>
      <c r="BO447" t="str">
        <f>"CUCUTA"</f>
        <v>CUCUTA</v>
      </c>
      <c r="BP447" t="str">
        <f>"SANTANDER"</f>
        <v>SANTANDER</v>
      </c>
      <c r="BQ447" t="str">
        <f>"PIEDECUESTA"</f>
        <v>PIEDECUESTA</v>
      </c>
    </row>
    <row r="448" spans="1:69" x14ac:dyDescent="0.25">
      <c r="A448" t="str">
        <f>"7278765"</f>
        <v>7278765</v>
      </c>
      <c r="B448" t="str">
        <f t="shared" si="449"/>
        <v>459</v>
      </c>
      <c r="C448" t="str">
        <f>"23/06/2020 12:00:00 a. m."</f>
        <v>23/06/2020 12:00:00 a. m.</v>
      </c>
      <c r="D448" t="str">
        <f>"25"</f>
        <v>25</v>
      </c>
      <c r="E448" t="str">
        <f t="shared" si="450"/>
        <v>2020</v>
      </c>
      <c r="F448" t="str">
        <f>"7600102870"</f>
        <v>7600102870</v>
      </c>
      <c r="G448" t="str">
        <f>"01"</f>
        <v>01</v>
      </c>
      <c r="H448" t="str">
        <f>"2"</f>
        <v>2</v>
      </c>
      <c r="I448" t="str">
        <f t="shared" si="513"/>
        <v>1</v>
      </c>
      <c r="J448" t="str">
        <f>"M"</f>
        <v>M</v>
      </c>
      <c r="K448" t="str">
        <f t="shared" si="461"/>
        <v>170</v>
      </c>
      <c r="L448" t="str">
        <f>"41"</f>
        <v>41</v>
      </c>
      <c r="M448" t="str">
        <f>"668"</f>
        <v>668</v>
      </c>
      <c r="N448" t="str">
        <f t="shared" si="518"/>
        <v>1</v>
      </c>
      <c r="O448" t="str">
        <f>"9999"</f>
        <v>9999</v>
      </c>
      <c r="P448" t="str">
        <f>"S"</f>
        <v>S</v>
      </c>
      <c r="Q448" t="str">
        <f>"ESS062"</f>
        <v>ESS062</v>
      </c>
      <c r="R448" t="str">
        <f t="shared" si="509"/>
        <v>6</v>
      </c>
      <c r="S448" t="str">
        <f>""</f>
        <v/>
      </c>
      <c r="T448" t="str">
        <f t="shared" si="510"/>
        <v xml:space="preserve">                                                                                                    </v>
      </c>
      <c r="U448" t="str">
        <f>"          "</f>
        <v xml:space="preserve">          </v>
      </c>
      <c r="V448" t="str">
        <f t="shared" si="519"/>
        <v>2</v>
      </c>
      <c r="W448" t="str">
        <f t="shared" si="508"/>
        <v>2</v>
      </c>
      <c r="X448" t="str">
        <f t="shared" si="505"/>
        <v>2</v>
      </c>
      <c r="Y448" t="str">
        <f t="shared" si="512"/>
        <v>2</v>
      </c>
      <c r="Z448" t="str">
        <f t="shared" si="512"/>
        <v>2</v>
      </c>
      <c r="AA448" t="str">
        <f t="shared" si="451"/>
        <v xml:space="preserve">          </v>
      </c>
      <c r="AB448" t="str">
        <f t="shared" si="516"/>
        <v>2</v>
      </c>
      <c r="AC448" t="str">
        <f t="shared" si="517"/>
        <v>2</v>
      </c>
      <c r="AD448" t="str">
        <f t="shared" si="514"/>
        <v>2</v>
      </c>
      <c r="AE448" t="str">
        <f t="shared" si="514"/>
        <v>2</v>
      </c>
      <c r="AF448" t="str">
        <f t="shared" si="514"/>
        <v>2</v>
      </c>
      <c r="AG448" t="str">
        <f t="shared" si="514"/>
        <v>2</v>
      </c>
      <c r="AH448" t="str">
        <f t="shared" si="506"/>
        <v>1</v>
      </c>
      <c r="AI448" t="str">
        <f>"1         "</f>
        <v xml:space="preserve">1         </v>
      </c>
      <c r="AJ448" t="str">
        <f t="shared" si="462"/>
        <v>170</v>
      </c>
      <c r="AK448" t="str">
        <f>"41"</f>
        <v>41</v>
      </c>
      <c r="AL448" t="str">
        <f>"668"</f>
        <v>668</v>
      </c>
      <c r="AM448" t="str">
        <f>"76"</f>
        <v>76</v>
      </c>
      <c r="AN448" t="str">
        <f>"76001"</f>
        <v>76001</v>
      </c>
      <c r="AO448" t="str">
        <f>"16/06/2020 12:00:00 a. m."</f>
        <v>16/06/2020 12:00:00 a. m.</v>
      </c>
      <c r="AP448" t="str">
        <f>"15/03/2020 12:00:00 a. m."</f>
        <v>15/03/2020 12:00:00 a. m.</v>
      </c>
      <c r="AQ448" t="str">
        <f>"2"</f>
        <v>2</v>
      </c>
      <c r="AR448" t="str">
        <f t="shared" si="500"/>
        <v>1</v>
      </c>
      <c r="AS448" t="str">
        <f>"18/06/2020 12:00:00 a. m."</f>
        <v>18/06/2020 12:00:00 a. m.</v>
      </c>
      <c r="AT448" t="str">
        <f>"1"</f>
        <v>1</v>
      </c>
      <c r="AU448" t="str">
        <f>""</f>
        <v/>
      </c>
      <c r="AV448" t="str">
        <f>"3"</f>
        <v>3</v>
      </c>
      <c r="AW448" t="str">
        <f>"23/04/2018 12:00:00 a. m."</f>
        <v>23/04/2018 12:00:00 a. m.</v>
      </c>
      <c r="AX448" t="str">
        <f>""</f>
        <v/>
      </c>
      <c r="AY448" t="str">
        <f t="shared" si="452"/>
        <v>30/04/2021 12:00:00 a. m.</v>
      </c>
      <c r="AZ448" t="str">
        <f>"9/07/2020 12:00:00 a. m."</f>
        <v>9/07/2020 12:00:00 a. m.</v>
      </c>
      <c r="BA448" t="str">
        <f>""</f>
        <v/>
      </c>
      <c r="BB448" t="str">
        <f>""</f>
        <v/>
      </c>
      <c r="BC448" t="str">
        <f>""</f>
        <v/>
      </c>
      <c r="BD448" t="str">
        <f t="shared" si="515"/>
        <v>1</v>
      </c>
      <c r="BE448" t="str">
        <f t="shared" si="515"/>
        <v>1</v>
      </c>
      <c r="BF448" t="str">
        <f t="shared" si="453"/>
        <v xml:space="preserve">3         </v>
      </c>
      <c r="BG448" t="str">
        <f t="shared" si="454"/>
        <v>Confirmado por laboratorio</v>
      </c>
      <c r="BH448" t="str">
        <f>"FUNDACION VALLE DEL LILI"</f>
        <v>FUNDACION VALLE DEL LILI</v>
      </c>
      <c r="BI448" t="str">
        <f t="shared" si="464"/>
        <v>COLOMBIA</v>
      </c>
      <c r="BJ448" t="str">
        <f t="shared" si="455"/>
        <v>CANCER INFANTIL</v>
      </c>
      <c r="BK448" t="str">
        <f>"HUILA"</f>
        <v>HUILA</v>
      </c>
      <c r="BL448" t="str">
        <f>"SAN AGUSTIN"</f>
        <v>SAN AGUSTIN</v>
      </c>
      <c r="BM448" t="str">
        <f t="shared" si="465"/>
        <v>COLOMBIA</v>
      </c>
      <c r="BN448" t="str">
        <f>"HUILA"</f>
        <v>HUILA</v>
      </c>
      <c r="BO448" t="str">
        <f>"SAN AGUSTIN"</f>
        <v>SAN AGUSTIN</v>
      </c>
      <c r="BP448" t="str">
        <f>"VALLE"</f>
        <v>VALLE</v>
      </c>
      <c r="BQ448" t="str">
        <f>"CALI"</f>
        <v>CALI</v>
      </c>
    </row>
    <row r="449" spans="1:69" x14ac:dyDescent="0.25">
      <c r="A449" t="str">
        <f>"7285708"</f>
        <v>7285708</v>
      </c>
      <c r="B449" t="str">
        <f t="shared" si="449"/>
        <v>459</v>
      </c>
      <c r="C449" t="str">
        <f>"9/06/2020 12:00:00 a. m."</f>
        <v>9/06/2020 12:00:00 a. m.</v>
      </c>
      <c r="D449" t="str">
        <f>"24"</f>
        <v>24</v>
      </c>
      <c r="E449" t="str">
        <f t="shared" si="450"/>
        <v>2020</v>
      </c>
      <c r="F449" t="str">
        <f>"1100108171"</f>
        <v>1100108171</v>
      </c>
      <c r="G449" t="str">
        <f>"02"</f>
        <v>02</v>
      </c>
      <c r="H449" t="str">
        <f>"4"</f>
        <v>4</v>
      </c>
      <c r="I449" t="str">
        <f t="shared" si="513"/>
        <v>1</v>
      </c>
      <c r="J449" t="str">
        <f>"M"</f>
        <v>M</v>
      </c>
      <c r="K449" t="str">
        <f t="shared" si="461"/>
        <v>170</v>
      </c>
      <c r="L449" t="str">
        <f>"11"</f>
        <v>11</v>
      </c>
      <c r="M449" t="str">
        <f>"001"</f>
        <v>001</v>
      </c>
      <c r="N449" t="str">
        <f t="shared" si="518"/>
        <v>1</v>
      </c>
      <c r="O449" t="str">
        <f>"9999"</f>
        <v>9999</v>
      </c>
      <c r="P449" t="str">
        <f>"C"</f>
        <v>C</v>
      </c>
      <c r="Q449" t="str">
        <f>"EPS017"</f>
        <v>EPS017</v>
      </c>
      <c r="R449" t="str">
        <f t="shared" si="509"/>
        <v>6</v>
      </c>
      <c r="S449" t="str">
        <f>""</f>
        <v/>
      </c>
      <c r="T449" t="str">
        <f t="shared" si="510"/>
        <v xml:space="preserve">                                                                                                    </v>
      </c>
      <c r="U449" t="str">
        <f>"1         "</f>
        <v xml:space="preserve">1         </v>
      </c>
      <c r="V449" t="str">
        <f t="shared" si="519"/>
        <v>2</v>
      </c>
      <c r="W449" t="str">
        <f t="shared" si="508"/>
        <v>2</v>
      </c>
      <c r="X449" t="str">
        <f t="shared" si="505"/>
        <v>2</v>
      </c>
      <c r="Y449" t="str">
        <f t="shared" si="512"/>
        <v>2</v>
      </c>
      <c r="Z449" t="str">
        <f t="shared" si="512"/>
        <v>2</v>
      </c>
      <c r="AA449" t="str">
        <f t="shared" si="451"/>
        <v xml:space="preserve">          </v>
      </c>
      <c r="AB449" t="str">
        <f t="shared" si="516"/>
        <v>2</v>
      </c>
      <c r="AC449" t="str">
        <f t="shared" si="517"/>
        <v>2</v>
      </c>
      <c r="AD449" t="str">
        <f t="shared" si="514"/>
        <v>2</v>
      </c>
      <c r="AE449" t="str">
        <f t="shared" si="514"/>
        <v>2</v>
      </c>
      <c r="AF449" t="str">
        <f t="shared" si="514"/>
        <v>2</v>
      </c>
      <c r="AG449" t="str">
        <f t="shared" si="514"/>
        <v>2</v>
      </c>
      <c r="AH449" t="str">
        <f t="shared" si="506"/>
        <v>1</v>
      </c>
      <c r="AI449" t="str">
        <f>"1         "</f>
        <v xml:space="preserve">1         </v>
      </c>
      <c r="AJ449" t="str">
        <f t="shared" si="462"/>
        <v>170</v>
      </c>
      <c r="AK449" t="str">
        <f>"11"</f>
        <v>11</v>
      </c>
      <c r="AL449" t="str">
        <f>"001"</f>
        <v>001</v>
      </c>
      <c r="AM449" t="str">
        <f>"11"</f>
        <v>11</v>
      </c>
      <c r="AN449" t="str">
        <f>"11001"</f>
        <v>11001</v>
      </c>
      <c r="AO449" t="str">
        <f>"7/06/2020 12:00:00 a. m."</f>
        <v>7/06/2020 12:00:00 a. m.</v>
      </c>
      <c r="AP449" t="str">
        <f>"7/05/2020 12:00:00 a. m."</f>
        <v>7/05/2020 12:00:00 a. m.</v>
      </c>
      <c r="AQ449" t="str">
        <f>"2"</f>
        <v>2</v>
      </c>
      <c r="AR449" t="str">
        <f t="shared" si="500"/>
        <v>1</v>
      </c>
      <c r="AS449" t="str">
        <f>"7/06/2020 12:00:00 a. m."</f>
        <v>7/06/2020 12:00:00 a. m.</v>
      </c>
      <c r="AT449" t="str">
        <f>"2"</f>
        <v>2</v>
      </c>
      <c r="AU449" t="str">
        <f>"5/07/2020 12:00:00 a. m."</f>
        <v>5/07/2020 12:00:00 a. m.</v>
      </c>
      <c r="AV449" t="str">
        <f>"3"</f>
        <v>3</v>
      </c>
      <c r="AW449" t="str">
        <f>"20/07/2015 12:00:00 a. m."</f>
        <v>20/07/2015 12:00:00 a. m.</v>
      </c>
      <c r="AX449" t="str">
        <f>"C710"</f>
        <v>C710</v>
      </c>
      <c r="AY449" t="str">
        <f t="shared" si="452"/>
        <v>30/04/2021 12:00:00 a. m.</v>
      </c>
      <c r="AZ449" t="str">
        <f>"10/07/2020 12:00:00 a. m."</f>
        <v>10/07/2020 12:00:00 a. m.</v>
      </c>
      <c r="BA449" t="str">
        <f>""</f>
        <v/>
      </c>
      <c r="BB449" t="str">
        <f>""</f>
        <v/>
      </c>
      <c r="BC449" t="str">
        <f>""</f>
        <v/>
      </c>
      <c r="BD449" t="str">
        <f t="shared" si="515"/>
        <v>1</v>
      </c>
      <c r="BE449" t="str">
        <f t="shared" si="515"/>
        <v>1</v>
      </c>
      <c r="BF449" t="str">
        <f t="shared" si="453"/>
        <v xml:space="preserve">3         </v>
      </c>
      <c r="BG449" t="str">
        <f t="shared" si="454"/>
        <v>Confirmado por laboratorio</v>
      </c>
      <c r="BH449" t="str">
        <f>"CLINICA INFANTIL COLSUBSIDIO"</f>
        <v>CLINICA INFANTIL COLSUBSIDIO</v>
      </c>
      <c r="BI449" t="str">
        <f t="shared" si="464"/>
        <v>COLOMBIA</v>
      </c>
      <c r="BJ449" t="str">
        <f t="shared" si="455"/>
        <v>CANCER INFANTIL</v>
      </c>
      <c r="BK449" t="str">
        <f t="shared" ref="BK449:BL452" si="520">"BOGOTA"</f>
        <v>BOGOTA</v>
      </c>
      <c r="BL449" t="str">
        <f t="shared" si="520"/>
        <v>BOGOTA</v>
      </c>
      <c r="BM449" t="str">
        <f t="shared" si="465"/>
        <v>COLOMBIA</v>
      </c>
      <c r="BN449" t="str">
        <f t="shared" ref="BN449:BQ452" si="521">"BOGOTA"</f>
        <v>BOGOTA</v>
      </c>
      <c r="BO449" t="str">
        <f t="shared" si="521"/>
        <v>BOGOTA</v>
      </c>
      <c r="BP449" t="str">
        <f t="shared" si="521"/>
        <v>BOGOTA</v>
      </c>
      <c r="BQ449" t="str">
        <f t="shared" si="521"/>
        <v>BOGOTA</v>
      </c>
    </row>
    <row r="450" spans="1:69" x14ac:dyDescent="0.25">
      <c r="A450" t="str">
        <f>"7285730"</f>
        <v>7285730</v>
      </c>
      <c r="B450" t="str">
        <f t="shared" ref="B450:B513" si="522">"459"</f>
        <v>459</v>
      </c>
      <c r="C450" t="str">
        <f>"6/06/2020 12:00:00 a. m."</f>
        <v>6/06/2020 12:00:00 a. m.</v>
      </c>
      <c r="D450" t="str">
        <f>"22"</f>
        <v>22</v>
      </c>
      <c r="E450" t="str">
        <f t="shared" ref="E450:E513" si="523">"2020"</f>
        <v>2020</v>
      </c>
      <c r="F450" t="str">
        <f>"1100105681"</f>
        <v>1100105681</v>
      </c>
      <c r="G450" t="str">
        <f t="shared" ref="G450:G457" si="524">"01"</f>
        <v>01</v>
      </c>
      <c r="H450" t="str">
        <f>"3"</f>
        <v>3</v>
      </c>
      <c r="I450" t="str">
        <f t="shared" si="513"/>
        <v>1</v>
      </c>
      <c r="J450" t="str">
        <f>"F"</f>
        <v>F</v>
      </c>
      <c r="K450" t="str">
        <f t="shared" si="461"/>
        <v>170</v>
      </c>
      <c r="L450" t="str">
        <f>"11"</f>
        <v>11</v>
      </c>
      <c r="M450" t="str">
        <f>"001"</f>
        <v>001</v>
      </c>
      <c r="N450" t="str">
        <f t="shared" si="518"/>
        <v>1</v>
      </c>
      <c r="O450" t="str">
        <f>"9999"</f>
        <v>9999</v>
      </c>
      <c r="P450" t="str">
        <f>"C"</f>
        <v>C</v>
      </c>
      <c r="Q450" t="str">
        <f>"EPS002"</f>
        <v>EPS002</v>
      </c>
      <c r="R450" t="str">
        <f t="shared" si="509"/>
        <v>6</v>
      </c>
      <c r="S450" t="str">
        <f>""</f>
        <v/>
      </c>
      <c r="T450" t="str">
        <f t="shared" si="510"/>
        <v xml:space="preserve">                                                                                                    </v>
      </c>
      <c r="U450" t="str">
        <f>"1         "</f>
        <v xml:space="preserve">1         </v>
      </c>
      <c r="V450" t="str">
        <f t="shared" si="519"/>
        <v>2</v>
      </c>
      <c r="W450" t="str">
        <f t="shared" si="508"/>
        <v>2</v>
      </c>
      <c r="X450" t="str">
        <f t="shared" si="505"/>
        <v>2</v>
      </c>
      <c r="Y450" t="str">
        <f t="shared" si="512"/>
        <v>2</v>
      </c>
      <c r="Z450" t="str">
        <f t="shared" si="512"/>
        <v>2</v>
      </c>
      <c r="AA450" t="str">
        <f t="shared" ref="AA450:AA513" si="525">"          "</f>
        <v xml:space="preserve">          </v>
      </c>
      <c r="AB450" t="str">
        <f t="shared" si="516"/>
        <v>2</v>
      </c>
      <c r="AC450" t="str">
        <f t="shared" si="517"/>
        <v>2</v>
      </c>
      <c r="AD450" t="str">
        <f t="shared" si="514"/>
        <v>2</v>
      </c>
      <c r="AE450" t="str">
        <f t="shared" si="514"/>
        <v>2</v>
      </c>
      <c r="AF450" t="str">
        <f t="shared" si="514"/>
        <v>2</v>
      </c>
      <c r="AG450" t="str">
        <f t="shared" si="514"/>
        <v>2</v>
      </c>
      <c r="AH450" t="str">
        <f t="shared" si="506"/>
        <v>1</v>
      </c>
      <c r="AI450" t="str">
        <f>"2         "</f>
        <v xml:space="preserve">2         </v>
      </c>
      <c r="AJ450" t="str">
        <f t="shared" si="462"/>
        <v>170</v>
      </c>
      <c r="AK450" t="str">
        <f>"11"</f>
        <v>11</v>
      </c>
      <c r="AL450" t="str">
        <f>"001"</f>
        <v>001</v>
      </c>
      <c r="AM450" t="str">
        <f>"11"</f>
        <v>11</v>
      </c>
      <c r="AN450" t="str">
        <f>"11001"</f>
        <v>11001</v>
      </c>
      <c r="AO450" t="str">
        <f>"27/05/2020 12:00:00 a. m."</f>
        <v>27/05/2020 12:00:00 a. m.</v>
      </c>
      <c r="AP450" t="str">
        <f>"1/02/2020 12:00:00 a. m."</f>
        <v>1/02/2020 12:00:00 a. m.</v>
      </c>
      <c r="AQ450" t="str">
        <f>"3"</f>
        <v>3</v>
      </c>
      <c r="AR450" t="str">
        <f t="shared" si="500"/>
        <v>1</v>
      </c>
      <c r="AS450" t="str">
        <f>"27/05/2020 12:00:00 a. m."</f>
        <v>27/05/2020 12:00:00 a. m.</v>
      </c>
      <c r="AT450" t="str">
        <f t="shared" ref="AT450:AT465" si="526">"1"</f>
        <v>1</v>
      </c>
      <c r="AU450" t="str">
        <f>""</f>
        <v/>
      </c>
      <c r="AV450" t="str">
        <f>"0"</f>
        <v>0</v>
      </c>
      <c r="AW450" t="str">
        <f>"19/02/2017 12:00:00 a. m."</f>
        <v>19/02/2017 12:00:00 a. m.</v>
      </c>
      <c r="AX450" t="str">
        <f>""</f>
        <v/>
      </c>
      <c r="AY450" t="str">
        <f t="shared" ref="AY450:AY513" si="527">"30/04/2021 12:00:00 a. m."</f>
        <v>30/04/2021 12:00:00 a. m.</v>
      </c>
      <c r="AZ450" t="str">
        <f>"24/09/2020 12:00:00 a. m."</f>
        <v>24/09/2020 12:00:00 a. m.</v>
      </c>
      <c r="BA450" t="str">
        <f>""</f>
        <v/>
      </c>
      <c r="BB450" t="str">
        <f>""</f>
        <v/>
      </c>
      <c r="BC450" t="str">
        <f>""</f>
        <v/>
      </c>
      <c r="BD450" t="str">
        <f t="shared" si="515"/>
        <v>1</v>
      </c>
      <c r="BE450" t="str">
        <f t="shared" si="515"/>
        <v>1</v>
      </c>
      <c r="BF450" t="str">
        <f t="shared" ref="BF450:BF513" si="528">"3         "</f>
        <v xml:space="preserve">3         </v>
      </c>
      <c r="BG450" t="str">
        <f t="shared" ref="BG450:BG513" si="529">"Confirmado por laboratorio"</f>
        <v>Confirmado por laboratorio</v>
      </c>
      <c r="BH450" t="str">
        <f>"FUNDACION HOSPITAL DE LA MISERICORDIA"</f>
        <v>FUNDACION HOSPITAL DE LA MISERICORDIA</v>
      </c>
      <c r="BI450" t="str">
        <f t="shared" si="464"/>
        <v>COLOMBIA</v>
      </c>
      <c r="BJ450" t="str">
        <f t="shared" ref="BJ450:BJ513" si="530">"CANCER INFANTIL"</f>
        <v>CANCER INFANTIL</v>
      </c>
      <c r="BK450" t="str">
        <f t="shared" si="520"/>
        <v>BOGOTA</v>
      </c>
      <c r="BL450" t="str">
        <f t="shared" si="520"/>
        <v>BOGOTA</v>
      </c>
      <c r="BM450" t="str">
        <f t="shared" si="465"/>
        <v>COLOMBIA</v>
      </c>
      <c r="BN450" t="str">
        <f t="shared" si="521"/>
        <v>BOGOTA</v>
      </c>
      <c r="BO450" t="str">
        <f t="shared" si="521"/>
        <v>BOGOTA</v>
      </c>
      <c r="BP450" t="str">
        <f t="shared" si="521"/>
        <v>BOGOTA</v>
      </c>
      <c r="BQ450" t="str">
        <f t="shared" si="521"/>
        <v>BOGOTA</v>
      </c>
    </row>
    <row r="451" spans="1:69" x14ac:dyDescent="0.25">
      <c r="A451" t="str">
        <f>"7285731"</f>
        <v>7285731</v>
      </c>
      <c r="B451" t="str">
        <f t="shared" si="522"/>
        <v>459</v>
      </c>
      <c r="C451" t="str">
        <f>"11/06/2020 12:00:00 a. m."</f>
        <v>11/06/2020 12:00:00 a. m.</v>
      </c>
      <c r="D451" t="str">
        <f>"19"</f>
        <v>19</v>
      </c>
      <c r="E451" t="str">
        <f t="shared" si="523"/>
        <v>2020</v>
      </c>
      <c r="F451" t="str">
        <f>"1100105681"</f>
        <v>1100105681</v>
      </c>
      <c r="G451" t="str">
        <f t="shared" si="524"/>
        <v>01</v>
      </c>
      <c r="H451" t="str">
        <f>"5"</f>
        <v>5</v>
      </c>
      <c r="I451" t="str">
        <f t="shared" si="513"/>
        <v>1</v>
      </c>
      <c r="J451" t="str">
        <f>"M"</f>
        <v>M</v>
      </c>
      <c r="K451" t="str">
        <f t="shared" si="461"/>
        <v>170</v>
      </c>
      <c r="L451" t="str">
        <f>"11"</f>
        <v>11</v>
      </c>
      <c r="M451" t="str">
        <f>"001"</f>
        <v>001</v>
      </c>
      <c r="N451" t="str">
        <f t="shared" si="518"/>
        <v>1</v>
      </c>
      <c r="O451" t="str">
        <f>"9999"</f>
        <v>9999</v>
      </c>
      <c r="P451" t="str">
        <f>"C"</f>
        <v>C</v>
      </c>
      <c r="Q451" t="str">
        <f>"EPS044"</f>
        <v>EPS044</v>
      </c>
      <c r="R451" t="str">
        <f t="shared" si="509"/>
        <v>6</v>
      </c>
      <c r="S451" t="str">
        <f>""</f>
        <v/>
      </c>
      <c r="T451" t="str">
        <f t="shared" si="510"/>
        <v xml:space="preserve">                                                                                                    </v>
      </c>
      <c r="U451" t="str">
        <f>"2         "</f>
        <v xml:space="preserve">2         </v>
      </c>
      <c r="V451" t="str">
        <f t="shared" si="519"/>
        <v>2</v>
      </c>
      <c r="W451" t="str">
        <f t="shared" si="508"/>
        <v>2</v>
      </c>
      <c r="X451" t="str">
        <f t="shared" si="505"/>
        <v>2</v>
      </c>
      <c r="Y451" t="str">
        <f t="shared" si="512"/>
        <v>2</v>
      </c>
      <c r="Z451" t="str">
        <f t="shared" si="512"/>
        <v>2</v>
      </c>
      <c r="AA451" t="str">
        <f t="shared" si="525"/>
        <v xml:space="preserve">          </v>
      </c>
      <c r="AB451" t="str">
        <f t="shared" si="516"/>
        <v>2</v>
      </c>
      <c r="AC451" t="str">
        <f t="shared" si="517"/>
        <v>2</v>
      </c>
      <c r="AD451" t="str">
        <f t="shared" si="514"/>
        <v>2</v>
      </c>
      <c r="AE451" t="str">
        <f t="shared" si="514"/>
        <v>2</v>
      </c>
      <c r="AF451" t="str">
        <f t="shared" si="514"/>
        <v>2</v>
      </c>
      <c r="AG451" t="str">
        <f t="shared" si="514"/>
        <v>2</v>
      </c>
      <c r="AH451" t="str">
        <f t="shared" si="506"/>
        <v>1</v>
      </c>
      <c r="AI451" t="str">
        <f>"2         "</f>
        <v xml:space="preserve">2         </v>
      </c>
      <c r="AJ451" t="str">
        <f t="shared" si="462"/>
        <v>170</v>
      </c>
      <c r="AK451" t="str">
        <f>"11"</f>
        <v>11</v>
      </c>
      <c r="AL451" t="str">
        <f>"001"</f>
        <v>001</v>
      </c>
      <c r="AM451" t="str">
        <f>"11"</f>
        <v>11</v>
      </c>
      <c r="AN451" t="str">
        <f>"11001"</f>
        <v>11001</v>
      </c>
      <c r="AO451" t="str">
        <f>"8/05/2020 12:00:00 a. m."</f>
        <v>8/05/2020 12:00:00 a. m.</v>
      </c>
      <c r="AP451" t="str">
        <f>"1/05/2020 12:00:00 a. m."</f>
        <v>1/05/2020 12:00:00 a. m.</v>
      </c>
      <c r="AQ451" t="str">
        <f>"3"</f>
        <v>3</v>
      </c>
      <c r="AR451" t="str">
        <f t="shared" si="500"/>
        <v>1</v>
      </c>
      <c r="AS451" t="str">
        <f>"8/05/2020 12:00:00 a. m."</f>
        <v>8/05/2020 12:00:00 a. m.</v>
      </c>
      <c r="AT451" t="str">
        <f t="shared" si="526"/>
        <v>1</v>
      </c>
      <c r="AU451" t="str">
        <f>""</f>
        <v/>
      </c>
      <c r="AV451" t="str">
        <f>"7"</f>
        <v>7</v>
      </c>
      <c r="AW451" t="str">
        <f>"12/03/2015 12:00:00 a. m."</f>
        <v>12/03/2015 12:00:00 a. m.</v>
      </c>
      <c r="AX451" t="str">
        <f>""</f>
        <v/>
      </c>
      <c r="AY451" t="str">
        <f t="shared" si="527"/>
        <v>30/04/2021 12:00:00 a. m.</v>
      </c>
      <c r="AZ451" t="str">
        <f>"19/02/2021 12:00:00 a. m."</f>
        <v>19/02/2021 12:00:00 a. m.</v>
      </c>
      <c r="BA451" t="str">
        <f>""</f>
        <v/>
      </c>
      <c r="BB451" t="str">
        <f>""</f>
        <v/>
      </c>
      <c r="BC451" t="str">
        <f>""</f>
        <v/>
      </c>
      <c r="BD451" t="str">
        <f t="shared" si="515"/>
        <v>1</v>
      </c>
      <c r="BE451" t="str">
        <f t="shared" si="515"/>
        <v>1</v>
      </c>
      <c r="BF451" t="str">
        <f t="shared" si="528"/>
        <v xml:space="preserve">3         </v>
      </c>
      <c r="BG451" t="str">
        <f t="shared" si="529"/>
        <v>Confirmado por laboratorio</v>
      </c>
      <c r="BH451" t="str">
        <f>"FUNDACION HOSPITAL DE LA MISERICORDIA"</f>
        <v>FUNDACION HOSPITAL DE LA MISERICORDIA</v>
      </c>
      <c r="BI451" t="str">
        <f t="shared" si="464"/>
        <v>COLOMBIA</v>
      </c>
      <c r="BJ451" t="str">
        <f t="shared" si="530"/>
        <v>CANCER INFANTIL</v>
      </c>
      <c r="BK451" t="str">
        <f t="shared" si="520"/>
        <v>BOGOTA</v>
      </c>
      <c r="BL451" t="str">
        <f t="shared" si="520"/>
        <v>BOGOTA</v>
      </c>
      <c r="BM451" t="str">
        <f t="shared" si="465"/>
        <v>COLOMBIA</v>
      </c>
      <c r="BN451" t="str">
        <f t="shared" si="521"/>
        <v>BOGOTA</v>
      </c>
      <c r="BO451" t="str">
        <f t="shared" si="521"/>
        <v>BOGOTA</v>
      </c>
      <c r="BP451" t="str">
        <f t="shared" si="521"/>
        <v>BOGOTA</v>
      </c>
      <c r="BQ451" t="str">
        <f t="shared" si="521"/>
        <v>BOGOTA</v>
      </c>
    </row>
    <row r="452" spans="1:69" x14ac:dyDescent="0.25">
      <c r="A452" t="str">
        <f>"7278715"</f>
        <v>7278715</v>
      </c>
      <c r="B452" t="str">
        <f t="shared" si="522"/>
        <v>459</v>
      </c>
      <c r="C452" t="str">
        <f>"18/02/2020 12:00:00 a. m."</f>
        <v>18/02/2020 12:00:00 a. m.</v>
      </c>
      <c r="D452" t="str">
        <f>"07"</f>
        <v>07</v>
      </c>
      <c r="E452" t="str">
        <f t="shared" si="523"/>
        <v>2020</v>
      </c>
      <c r="F452" t="str">
        <f>"1100130291"</f>
        <v>1100130291</v>
      </c>
      <c r="G452" t="str">
        <f t="shared" si="524"/>
        <v>01</v>
      </c>
      <c r="H452" t="str">
        <f>"14"</f>
        <v>14</v>
      </c>
      <c r="I452" t="str">
        <f t="shared" si="513"/>
        <v>1</v>
      </c>
      <c r="J452" t="str">
        <f>"M"</f>
        <v>M</v>
      </c>
      <c r="K452" t="str">
        <f t="shared" si="461"/>
        <v>170</v>
      </c>
      <c r="L452" t="str">
        <f>"11"</f>
        <v>11</v>
      </c>
      <c r="M452" t="str">
        <f>"001"</f>
        <v>001</v>
      </c>
      <c r="N452" t="str">
        <f t="shared" si="518"/>
        <v>1</v>
      </c>
      <c r="O452" t="str">
        <f>"9997"</f>
        <v>9997</v>
      </c>
      <c r="P452" t="str">
        <f>"S"</f>
        <v>S</v>
      </c>
      <c r="Q452" t="str">
        <f>"EPSS34"</f>
        <v>EPSS34</v>
      </c>
      <c r="R452" t="str">
        <f t="shared" si="509"/>
        <v>6</v>
      </c>
      <c r="S452" t="str">
        <f>""</f>
        <v/>
      </c>
      <c r="T452" t="str">
        <f t="shared" si="510"/>
        <v xml:space="preserve">                                                                                                    </v>
      </c>
      <c r="U452" t="str">
        <f>"2         "</f>
        <v xml:space="preserve">2         </v>
      </c>
      <c r="V452" t="str">
        <f t="shared" si="519"/>
        <v>2</v>
      </c>
      <c r="W452" t="str">
        <f t="shared" si="508"/>
        <v>2</v>
      </c>
      <c r="X452" t="str">
        <f t="shared" si="505"/>
        <v>2</v>
      </c>
      <c r="Y452" t="str">
        <f t="shared" si="512"/>
        <v>2</v>
      </c>
      <c r="Z452" t="str">
        <f t="shared" si="512"/>
        <v>2</v>
      </c>
      <c r="AA452" t="str">
        <f t="shared" si="525"/>
        <v xml:space="preserve">          </v>
      </c>
      <c r="AB452" t="str">
        <f t="shared" si="516"/>
        <v>2</v>
      </c>
      <c r="AC452" t="str">
        <f t="shared" si="517"/>
        <v>2</v>
      </c>
      <c r="AD452" t="str">
        <f t="shared" si="514"/>
        <v>2</v>
      </c>
      <c r="AE452" t="str">
        <f t="shared" si="514"/>
        <v>2</v>
      </c>
      <c r="AF452" t="str">
        <f t="shared" si="514"/>
        <v>2</v>
      </c>
      <c r="AG452" t="str">
        <f t="shared" si="514"/>
        <v>2</v>
      </c>
      <c r="AH452" t="str">
        <f t="shared" si="506"/>
        <v>1</v>
      </c>
      <c r="AI452" t="str">
        <f t="shared" ref="AI452:AI481" si="531">"1         "</f>
        <v xml:space="preserve">1         </v>
      </c>
      <c r="AJ452" t="str">
        <f t="shared" si="462"/>
        <v>170</v>
      </c>
      <c r="AK452" t="str">
        <f>"11"</f>
        <v>11</v>
      </c>
      <c r="AL452" t="str">
        <f>"001"</f>
        <v>001</v>
      </c>
      <c r="AM452" t="str">
        <f>"11"</f>
        <v>11</v>
      </c>
      <c r="AN452" t="str">
        <f>"11001"</f>
        <v>11001</v>
      </c>
      <c r="AO452" t="str">
        <f>"13/02/2020 12:00:00 a. m."</f>
        <v>13/02/2020 12:00:00 a. m.</v>
      </c>
      <c r="AP452" t="str">
        <f>"13/02/2020 12:00:00 a. m."</f>
        <v>13/02/2020 12:00:00 a. m.</v>
      </c>
      <c r="AQ452" t="str">
        <f>"2"</f>
        <v>2</v>
      </c>
      <c r="AR452" t="str">
        <f t="shared" si="500"/>
        <v>1</v>
      </c>
      <c r="AS452" t="str">
        <f>"13/02/2020 12:00:00 a. m."</f>
        <v>13/02/2020 12:00:00 a. m.</v>
      </c>
      <c r="AT452" t="str">
        <f t="shared" si="526"/>
        <v>1</v>
      </c>
      <c r="AU452" t="str">
        <f>""</f>
        <v/>
      </c>
      <c r="AV452" t="str">
        <f>"3"</f>
        <v>3</v>
      </c>
      <c r="AW452" t="str">
        <f>"29/09/2005 12:00:00 a. m."</f>
        <v>29/09/2005 12:00:00 a. m.</v>
      </c>
      <c r="AX452" t="str">
        <f>""</f>
        <v/>
      </c>
      <c r="AY452" t="str">
        <f t="shared" si="527"/>
        <v>30/04/2021 12:00:00 a. m.</v>
      </c>
      <c r="AZ452" t="str">
        <f>"12/06/2020 12:00:00 a. m."</f>
        <v>12/06/2020 12:00:00 a. m.</v>
      </c>
      <c r="BA452" t="str">
        <f>""</f>
        <v/>
      </c>
      <c r="BB452" t="str">
        <f>""</f>
        <v/>
      </c>
      <c r="BC452" t="str">
        <f>""</f>
        <v/>
      </c>
      <c r="BD452" t="str">
        <f t="shared" si="515"/>
        <v>1</v>
      </c>
      <c r="BE452" t="str">
        <f t="shared" si="515"/>
        <v>1</v>
      </c>
      <c r="BF452" t="str">
        <f t="shared" si="528"/>
        <v xml:space="preserve">3         </v>
      </c>
      <c r="BG452" t="str">
        <f t="shared" si="529"/>
        <v>Confirmado por laboratorio</v>
      </c>
      <c r="BH452" t="str">
        <f>"USS SIMON BOLIVAR SUBRED NORTE ESE"</f>
        <v>USS SIMON BOLIVAR SUBRED NORTE ESE</v>
      </c>
      <c r="BI452" t="str">
        <f t="shared" si="464"/>
        <v>COLOMBIA</v>
      </c>
      <c r="BJ452" t="str">
        <f t="shared" si="530"/>
        <v>CANCER INFANTIL</v>
      </c>
      <c r="BK452" t="str">
        <f t="shared" si="520"/>
        <v>BOGOTA</v>
      </c>
      <c r="BL452" t="str">
        <f t="shared" si="520"/>
        <v>BOGOTA</v>
      </c>
      <c r="BM452" t="str">
        <f t="shared" si="465"/>
        <v>COLOMBIA</v>
      </c>
      <c r="BN452" t="str">
        <f t="shared" si="521"/>
        <v>BOGOTA</v>
      </c>
      <c r="BO452" t="str">
        <f t="shared" si="521"/>
        <v>BOGOTA</v>
      </c>
      <c r="BP452" t="str">
        <f t="shared" si="521"/>
        <v>BOGOTA</v>
      </c>
      <c r="BQ452" t="str">
        <f t="shared" si="521"/>
        <v>BOGOTA</v>
      </c>
    </row>
    <row r="453" spans="1:69" x14ac:dyDescent="0.25">
      <c r="A453" t="str">
        <f>"7278812"</f>
        <v>7278812</v>
      </c>
      <c r="B453" t="str">
        <f t="shared" si="522"/>
        <v>459</v>
      </c>
      <c r="C453" t="str">
        <f>"26/10/2020 12:00:00 a. m."</f>
        <v>26/10/2020 12:00:00 a. m.</v>
      </c>
      <c r="D453" t="str">
        <f>"32"</f>
        <v>32</v>
      </c>
      <c r="E453" t="str">
        <f t="shared" si="523"/>
        <v>2020</v>
      </c>
      <c r="F453" t="str">
        <f>"0500102175"</f>
        <v>0500102175</v>
      </c>
      <c r="G453" t="str">
        <f t="shared" si="524"/>
        <v>01</v>
      </c>
      <c r="H453" t="str">
        <f>"9"</f>
        <v>9</v>
      </c>
      <c r="I453" t="str">
        <f t="shared" si="513"/>
        <v>1</v>
      </c>
      <c r="J453" t="str">
        <f>"F"</f>
        <v>F</v>
      </c>
      <c r="K453" t="str">
        <f t="shared" si="461"/>
        <v>170</v>
      </c>
      <c r="L453" t="str">
        <f>"05"</f>
        <v>05</v>
      </c>
      <c r="M453" t="str">
        <f>"125"</f>
        <v>125</v>
      </c>
      <c r="N453" t="str">
        <f>"3"</f>
        <v>3</v>
      </c>
      <c r="O453" t="str">
        <f>"9999"</f>
        <v>9999</v>
      </c>
      <c r="P453" t="str">
        <f>"S"</f>
        <v>S</v>
      </c>
      <c r="Q453" t="str">
        <f>"EPSS40"</f>
        <v>EPSS40</v>
      </c>
      <c r="R453" t="str">
        <f t="shared" si="509"/>
        <v>6</v>
      </c>
      <c r="S453" t="str">
        <f>""</f>
        <v/>
      </c>
      <c r="T453" t="str">
        <f t="shared" si="510"/>
        <v xml:space="preserve">                                                                                                    </v>
      </c>
      <c r="U453" t="str">
        <f>"2         "</f>
        <v xml:space="preserve">2         </v>
      </c>
      <c r="V453" t="str">
        <f t="shared" si="519"/>
        <v>2</v>
      </c>
      <c r="W453" t="str">
        <f t="shared" si="508"/>
        <v>2</v>
      </c>
      <c r="X453" t="str">
        <f t="shared" si="505"/>
        <v>2</v>
      </c>
      <c r="Y453" t="str">
        <f t="shared" si="512"/>
        <v>2</v>
      </c>
      <c r="Z453" t="str">
        <f t="shared" si="512"/>
        <v>2</v>
      </c>
      <c r="AA453" t="str">
        <f t="shared" si="525"/>
        <v xml:space="preserve">          </v>
      </c>
      <c r="AB453" t="str">
        <f t="shared" si="516"/>
        <v>2</v>
      </c>
      <c r="AC453" t="str">
        <f t="shared" si="517"/>
        <v>2</v>
      </c>
      <c r="AD453" t="str">
        <f t="shared" si="514"/>
        <v>2</v>
      </c>
      <c r="AE453" t="str">
        <f t="shared" si="514"/>
        <v>2</v>
      </c>
      <c r="AF453" t="str">
        <f t="shared" si="514"/>
        <v>2</v>
      </c>
      <c r="AG453" t="str">
        <f t="shared" si="514"/>
        <v>2</v>
      </c>
      <c r="AH453" t="str">
        <f t="shared" si="506"/>
        <v>1</v>
      </c>
      <c r="AI453" t="str">
        <f t="shared" si="531"/>
        <v xml:space="preserve">1         </v>
      </c>
      <c r="AJ453" t="str">
        <f t="shared" si="462"/>
        <v>170</v>
      </c>
      <c r="AK453" t="str">
        <f>"05"</f>
        <v>05</v>
      </c>
      <c r="AL453" t="str">
        <f>"125"</f>
        <v>125</v>
      </c>
      <c r="AM453" t="str">
        <f>"05"</f>
        <v>05</v>
      </c>
      <c r="AN453" t="str">
        <f>"05001"</f>
        <v>05001</v>
      </c>
      <c r="AO453" t="str">
        <f>"5/08/2020 12:00:00 a. m."</f>
        <v>5/08/2020 12:00:00 a. m.</v>
      </c>
      <c r="AP453" t="str">
        <f>"20/07/2020 12:00:00 a. m."</f>
        <v>20/07/2020 12:00:00 a. m.</v>
      </c>
      <c r="AQ453" t="str">
        <f>"3"</f>
        <v>3</v>
      </c>
      <c r="AR453" t="str">
        <f t="shared" si="500"/>
        <v>1</v>
      </c>
      <c r="AS453" t="str">
        <f>"5/08/2020 12:00:00 a. m."</f>
        <v>5/08/2020 12:00:00 a. m.</v>
      </c>
      <c r="AT453" t="str">
        <f t="shared" si="526"/>
        <v>1</v>
      </c>
      <c r="AU453" t="str">
        <f>""</f>
        <v/>
      </c>
      <c r="AV453" t="str">
        <f>"0"</f>
        <v>0</v>
      </c>
      <c r="AW453" t="str">
        <f>"4/10/2011 12:00:00 a. m."</f>
        <v>4/10/2011 12:00:00 a. m.</v>
      </c>
      <c r="AX453" t="str">
        <f>""</f>
        <v/>
      </c>
      <c r="AY453" t="str">
        <f t="shared" si="527"/>
        <v>30/04/2021 12:00:00 a. m.</v>
      </c>
      <c r="AZ453" t="str">
        <f>"26/10/2020 12:00:00 a. m."</f>
        <v>26/10/2020 12:00:00 a. m.</v>
      </c>
      <c r="BA453" t="str">
        <f>""</f>
        <v/>
      </c>
      <c r="BB453" t="str">
        <f>""</f>
        <v/>
      </c>
      <c r="BC453" t="str">
        <f>""</f>
        <v/>
      </c>
      <c r="BD453" t="str">
        <f t="shared" si="515"/>
        <v>1</v>
      </c>
      <c r="BE453" t="str">
        <f t="shared" si="515"/>
        <v>1</v>
      </c>
      <c r="BF453" t="str">
        <f t="shared" si="528"/>
        <v xml:space="preserve">3         </v>
      </c>
      <c r="BG453" t="str">
        <f t="shared" si="529"/>
        <v>Confirmado por laboratorio</v>
      </c>
      <c r="BH453" t="str">
        <f>"FUNDACION HOSPITALARIA SAN VICENTE DE PAUL"</f>
        <v>FUNDACION HOSPITALARIA SAN VICENTE DE PAUL</v>
      </c>
      <c r="BI453" t="str">
        <f t="shared" si="464"/>
        <v>COLOMBIA</v>
      </c>
      <c r="BJ453" t="str">
        <f t="shared" si="530"/>
        <v>CANCER INFANTIL</v>
      </c>
      <c r="BK453" t="str">
        <f>"ANTIOQUIA"</f>
        <v>ANTIOQUIA</v>
      </c>
      <c r="BL453" t="str">
        <f>"CAICEDO"</f>
        <v>CAICEDO</v>
      </c>
      <c r="BM453" t="str">
        <f t="shared" si="465"/>
        <v>COLOMBIA</v>
      </c>
      <c r="BN453" t="str">
        <f>"ANTIOQUIA"</f>
        <v>ANTIOQUIA</v>
      </c>
      <c r="BO453" t="str">
        <f>"CAICEDO"</f>
        <v>CAICEDO</v>
      </c>
      <c r="BP453" t="str">
        <f>"ANTIOQUIA"</f>
        <v>ANTIOQUIA</v>
      </c>
      <c r="BQ453" t="str">
        <f>"MEDELLIN"</f>
        <v>MEDELLIN</v>
      </c>
    </row>
    <row r="454" spans="1:69" x14ac:dyDescent="0.25">
      <c r="A454" t="str">
        <f>"7278729"</f>
        <v>7278729</v>
      </c>
      <c r="B454" t="str">
        <f t="shared" si="522"/>
        <v>459</v>
      </c>
      <c r="C454" t="str">
        <f>"7/05/2020 12:00:00 a. m."</f>
        <v>7/05/2020 12:00:00 a. m.</v>
      </c>
      <c r="D454" t="str">
        <f>"18"</f>
        <v>18</v>
      </c>
      <c r="E454" t="str">
        <f t="shared" si="523"/>
        <v>2020</v>
      </c>
      <c r="F454" t="str">
        <f>"0800100037"</f>
        <v>0800100037</v>
      </c>
      <c r="G454" t="str">
        <f t="shared" si="524"/>
        <v>01</v>
      </c>
      <c r="H454" t="str">
        <f>"11"</f>
        <v>11</v>
      </c>
      <c r="I454" t="str">
        <f>"2"</f>
        <v>2</v>
      </c>
      <c r="J454" t="str">
        <f>"M"</f>
        <v>M</v>
      </c>
      <c r="K454" t="str">
        <f t="shared" si="461"/>
        <v>170</v>
      </c>
      <c r="L454" t="str">
        <f>"47"</f>
        <v>47</v>
      </c>
      <c r="M454" t="str">
        <f>"001"</f>
        <v>001</v>
      </c>
      <c r="N454" t="str">
        <f>"1"</f>
        <v>1</v>
      </c>
      <c r="O454" t="str">
        <f>"9999"</f>
        <v>9999</v>
      </c>
      <c r="P454" t="str">
        <f>"C"</f>
        <v>C</v>
      </c>
      <c r="Q454" t="str">
        <f>"EPS041"</f>
        <v>EPS041</v>
      </c>
      <c r="R454" t="str">
        <f t="shared" si="509"/>
        <v>6</v>
      </c>
      <c r="S454" t="str">
        <f>""</f>
        <v/>
      </c>
      <c r="T454" t="str">
        <f t="shared" si="510"/>
        <v xml:space="preserve">                                                                                                    </v>
      </c>
      <c r="U454" t="str">
        <f>"2         "</f>
        <v xml:space="preserve">2         </v>
      </c>
      <c r="V454" t="str">
        <f t="shared" si="519"/>
        <v>2</v>
      </c>
      <c r="W454" t="str">
        <f t="shared" si="508"/>
        <v>2</v>
      </c>
      <c r="X454" t="str">
        <f t="shared" si="505"/>
        <v>2</v>
      </c>
      <c r="Y454" t="str">
        <f t="shared" si="512"/>
        <v>2</v>
      </c>
      <c r="Z454" t="str">
        <f t="shared" si="512"/>
        <v>2</v>
      </c>
      <c r="AA454" t="str">
        <f t="shared" si="525"/>
        <v xml:space="preserve">          </v>
      </c>
      <c r="AB454" t="str">
        <f t="shared" si="516"/>
        <v>2</v>
      </c>
      <c r="AC454" t="str">
        <f t="shared" si="517"/>
        <v>2</v>
      </c>
      <c r="AD454" t="str">
        <f t="shared" si="514"/>
        <v>2</v>
      </c>
      <c r="AE454" t="str">
        <f t="shared" si="514"/>
        <v>2</v>
      </c>
      <c r="AF454" t="str">
        <f t="shared" si="514"/>
        <v>2</v>
      </c>
      <c r="AG454" t="str">
        <f t="shared" si="514"/>
        <v>2</v>
      </c>
      <c r="AH454" t="str">
        <f t="shared" si="506"/>
        <v>1</v>
      </c>
      <c r="AI454" t="str">
        <f t="shared" si="531"/>
        <v xml:space="preserve">1         </v>
      </c>
      <c r="AJ454" t="str">
        <f t="shared" si="462"/>
        <v>170</v>
      </c>
      <c r="AK454" t="str">
        <f>"47"</f>
        <v>47</v>
      </c>
      <c r="AL454" t="str">
        <f>"001"</f>
        <v>001</v>
      </c>
      <c r="AM454" t="str">
        <f>"08"</f>
        <v>08</v>
      </c>
      <c r="AN454" t="str">
        <f>"08001"</f>
        <v>08001</v>
      </c>
      <c r="AO454" t="str">
        <f>"27/04/2020 12:00:00 a. m."</f>
        <v>27/04/2020 12:00:00 a. m.</v>
      </c>
      <c r="AP454" t="str">
        <f>"1/02/2020 12:00:00 a. m."</f>
        <v>1/02/2020 12:00:00 a. m.</v>
      </c>
      <c r="AQ454" t="str">
        <f>"2"</f>
        <v>2</v>
      </c>
      <c r="AR454" t="str">
        <f t="shared" si="500"/>
        <v>1</v>
      </c>
      <c r="AS454" t="str">
        <f>"27/04/2020 12:00:00 a. m."</f>
        <v>27/04/2020 12:00:00 a. m.</v>
      </c>
      <c r="AT454" t="str">
        <f t="shared" si="526"/>
        <v>1</v>
      </c>
      <c r="AU454" t="str">
        <f>""</f>
        <v/>
      </c>
      <c r="AV454" t="str">
        <f>"3"</f>
        <v>3</v>
      </c>
      <c r="AW454" t="str">
        <f>"7/06/2019 12:00:00 a. m."</f>
        <v>7/06/2019 12:00:00 a. m.</v>
      </c>
      <c r="AX454" t="str">
        <f>""</f>
        <v/>
      </c>
      <c r="AY454" t="str">
        <f t="shared" si="527"/>
        <v>30/04/2021 12:00:00 a. m.</v>
      </c>
      <c r="AZ454" t="str">
        <f>"26/03/2021 12:00:00 a. m."</f>
        <v>26/03/2021 12:00:00 a. m.</v>
      </c>
      <c r="BA454" t="str">
        <f>""</f>
        <v/>
      </c>
      <c r="BB454" t="str">
        <f>""</f>
        <v/>
      </c>
      <c r="BC454" t="str">
        <f>""</f>
        <v/>
      </c>
      <c r="BD454" t="str">
        <f t="shared" si="515"/>
        <v>1</v>
      </c>
      <c r="BE454" t="str">
        <f t="shared" si="515"/>
        <v>1</v>
      </c>
      <c r="BF454" t="str">
        <f t="shared" si="528"/>
        <v xml:space="preserve">3         </v>
      </c>
      <c r="BG454" t="str">
        <f t="shared" si="529"/>
        <v>Confirmado por laboratorio</v>
      </c>
      <c r="BH454" t="str">
        <f>"CLINICA GENERAL DEL NORTE"</f>
        <v>CLINICA GENERAL DEL NORTE</v>
      </c>
      <c r="BI454" t="str">
        <f t="shared" si="464"/>
        <v>COLOMBIA</v>
      </c>
      <c r="BJ454" t="str">
        <f t="shared" si="530"/>
        <v>CANCER INFANTIL</v>
      </c>
      <c r="BK454" t="str">
        <f>"MAGDALENA"</f>
        <v>MAGDALENA</v>
      </c>
      <c r="BL454" t="str">
        <f>"SANTA MARTA"</f>
        <v>SANTA MARTA</v>
      </c>
      <c r="BM454" t="str">
        <f t="shared" si="465"/>
        <v>COLOMBIA</v>
      </c>
      <c r="BN454" t="str">
        <f>"MAGDALENA"</f>
        <v>MAGDALENA</v>
      </c>
      <c r="BO454" t="str">
        <f>"SANTA MARTA"</f>
        <v>SANTA MARTA</v>
      </c>
      <c r="BP454" t="str">
        <f>"ATLANTICO"</f>
        <v>ATLANTICO</v>
      </c>
      <c r="BQ454" t="str">
        <f>"BARRANQUILLA"</f>
        <v>BARRANQUILLA</v>
      </c>
    </row>
    <row r="455" spans="1:69" x14ac:dyDescent="0.25">
      <c r="A455" t="str">
        <f>"7279214"</f>
        <v>7279214</v>
      </c>
      <c r="B455" t="str">
        <f t="shared" si="522"/>
        <v>459</v>
      </c>
      <c r="C455" t="str">
        <f>"2/09/2020 12:00:00 a. m."</f>
        <v>2/09/2020 12:00:00 a. m.</v>
      </c>
      <c r="D455" t="str">
        <f>"36"</f>
        <v>36</v>
      </c>
      <c r="E455" t="str">
        <f t="shared" si="523"/>
        <v>2020</v>
      </c>
      <c r="F455" t="str">
        <f>"1100109111"</f>
        <v>1100109111</v>
      </c>
      <c r="G455" t="str">
        <f t="shared" si="524"/>
        <v>01</v>
      </c>
      <c r="H455" t="str">
        <f>"8"</f>
        <v>8</v>
      </c>
      <c r="I455" t="str">
        <f t="shared" ref="I455:I465" si="532">"1"</f>
        <v>1</v>
      </c>
      <c r="J455" t="str">
        <f>"F"</f>
        <v>F</v>
      </c>
      <c r="K455" t="str">
        <f t="shared" si="461"/>
        <v>170</v>
      </c>
      <c r="L455" t="str">
        <f>"50"</f>
        <v>50</v>
      </c>
      <c r="M455" t="str">
        <f>"313"</f>
        <v>313</v>
      </c>
      <c r="N455" t="str">
        <f>"1"</f>
        <v>1</v>
      </c>
      <c r="O455" t="str">
        <f>"9997"</f>
        <v>9997</v>
      </c>
      <c r="P455" t="str">
        <f>"S"</f>
        <v>S</v>
      </c>
      <c r="Q455" t="str">
        <f>"EPSS34"</f>
        <v>EPSS34</v>
      </c>
      <c r="R455" t="str">
        <f t="shared" si="509"/>
        <v>6</v>
      </c>
      <c r="S455" t="str">
        <f>""</f>
        <v/>
      </c>
      <c r="T455" t="str">
        <f t="shared" si="510"/>
        <v xml:space="preserve">                                                                                                    </v>
      </c>
      <c r="U455" t="str">
        <f>"2         "</f>
        <v xml:space="preserve">2         </v>
      </c>
      <c r="V455" t="str">
        <f t="shared" si="519"/>
        <v>2</v>
      </c>
      <c r="W455" t="str">
        <f t="shared" si="508"/>
        <v>2</v>
      </c>
      <c r="X455" t="str">
        <f t="shared" si="505"/>
        <v>2</v>
      </c>
      <c r="Y455" t="str">
        <f t="shared" si="512"/>
        <v>2</v>
      </c>
      <c r="Z455" t="str">
        <f t="shared" si="512"/>
        <v>2</v>
      </c>
      <c r="AA455" t="str">
        <f t="shared" si="525"/>
        <v xml:space="preserve">          </v>
      </c>
      <c r="AB455" t="str">
        <f t="shared" si="516"/>
        <v>2</v>
      </c>
      <c r="AC455" t="str">
        <f t="shared" si="517"/>
        <v>2</v>
      </c>
      <c r="AD455" t="str">
        <f t="shared" si="514"/>
        <v>2</v>
      </c>
      <c r="AE455" t="str">
        <f t="shared" si="514"/>
        <v>2</v>
      </c>
      <c r="AF455" t="str">
        <f t="shared" si="514"/>
        <v>2</v>
      </c>
      <c r="AG455" t="str">
        <f t="shared" si="514"/>
        <v>2</v>
      </c>
      <c r="AH455" t="str">
        <f t="shared" si="506"/>
        <v>1</v>
      </c>
      <c r="AI455" t="str">
        <f t="shared" si="531"/>
        <v xml:space="preserve">1         </v>
      </c>
      <c r="AJ455" t="str">
        <f t="shared" si="462"/>
        <v>170</v>
      </c>
      <c r="AK455" t="str">
        <f>"50"</f>
        <v>50</v>
      </c>
      <c r="AL455" t="str">
        <f>"313"</f>
        <v>313</v>
      </c>
      <c r="AM455" t="str">
        <f>"11"</f>
        <v>11</v>
      </c>
      <c r="AN455" t="str">
        <f>"11001"</f>
        <v>11001</v>
      </c>
      <c r="AO455" t="str">
        <f>"1/09/2020 12:00:00 a. m."</f>
        <v>1/09/2020 12:00:00 a. m.</v>
      </c>
      <c r="AP455" t="str">
        <f>"1/08/2020 12:00:00 a. m."</f>
        <v>1/08/2020 12:00:00 a. m.</v>
      </c>
      <c r="AQ455" t="str">
        <f>"2"</f>
        <v>2</v>
      </c>
      <c r="AR455" t="str">
        <f t="shared" si="500"/>
        <v>1</v>
      </c>
      <c r="AS455" t="str">
        <f>"1/09/2020 12:00:00 a. m."</f>
        <v>1/09/2020 12:00:00 a. m.</v>
      </c>
      <c r="AT455" t="str">
        <f t="shared" si="526"/>
        <v>1</v>
      </c>
      <c r="AU455" t="str">
        <f>""</f>
        <v/>
      </c>
      <c r="AV455" t="str">
        <f>"3"</f>
        <v>3</v>
      </c>
      <c r="AW455" t="str">
        <f>"11/04/2012 12:00:00 a. m."</f>
        <v>11/04/2012 12:00:00 a. m.</v>
      </c>
      <c r="AX455" t="str">
        <f>""</f>
        <v/>
      </c>
      <c r="AY455" t="str">
        <f t="shared" si="527"/>
        <v>30/04/2021 12:00:00 a. m.</v>
      </c>
      <c r="AZ455" t="str">
        <f>"23/11/2020 12:00:00 a. m."</f>
        <v>23/11/2020 12:00:00 a. m.</v>
      </c>
      <c r="BA455" t="str">
        <f>""</f>
        <v/>
      </c>
      <c r="BB455" t="str">
        <f>""</f>
        <v/>
      </c>
      <c r="BC455" t="str">
        <f>""</f>
        <v/>
      </c>
      <c r="BD455" t="str">
        <f t="shared" si="515"/>
        <v>1</v>
      </c>
      <c r="BE455" t="str">
        <f t="shared" si="515"/>
        <v>1</v>
      </c>
      <c r="BF455" t="str">
        <f t="shared" si="528"/>
        <v xml:space="preserve">3         </v>
      </c>
      <c r="BG455" t="str">
        <f t="shared" si="529"/>
        <v>Confirmado por laboratorio</v>
      </c>
      <c r="BH455" t="str">
        <f>"FUNDACION CARDIOINFANTIL INSTITUTO DE CARDIOLOGIA"</f>
        <v>FUNDACION CARDIOINFANTIL INSTITUTO DE CARDIOLOGIA</v>
      </c>
      <c r="BI455" t="str">
        <f t="shared" si="464"/>
        <v>COLOMBIA</v>
      </c>
      <c r="BJ455" t="str">
        <f t="shared" si="530"/>
        <v>CANCER INFANTIL</v>
      </c>
      <c r="BK455" t="str">
        <f>"META"</f>
        <v>META</v>
      </c>
      <c r="BL455" t="str">
        <f>"GRANADA"</f>
        <v>GRANADA</v>
      </c>
      <c r="BM455" t="str">
        <f t="shared" si="465"/>
        <v>COLOMBIA</v>
      </c>
      <c r="BN455" t="str">
        <f>"META"</f>
        <v>META</v>
      </c>
      <c r="BO455" t="str">
        <f>"GRANADA"</f>
        <v>GRANADA</v>
      </c>
      <c r="BP455" t="str">
        <f>"BOGOTA"</f>
        <v>BOGOTA</v>
      </c>
      <c r="BQ455" t="str">
        <f>"BOGOTA"</f>
        <v>BOGOTA</v>
      </c>
    </row>
    <row r="456" spans="1:69" x14ac:dyDescent="0.25">
      <c r="A456" t="str">
        <f>"7279058"</f>
        <v>7279058</v>
      </c>
      <c r="B456" t="str">
        <f t="shared" si="522"/>
        <v>459</v>
      </c>
      <c r="C456" t="str">
        <f>"16/01/2020 12:00:00 a. m."</f>
        <v>16/01/2020 12:00:00 a. m.</v>
      </c>
      <c r="D456" t="str">
        <f>"02"</f>
        <v>02</v>
      </c>
      <c r="E456" t="str">
        <f t="shared" si="523"/>
        <v>2020</v>
      </c>
      <c r="F456" t="str">
        <f>"0500102144"</f>
        <v>0500102144</v>
      </c>
      <c r="G456" t="str">
        <f t="shared" si="524"/>
        <v>01</v>
      </c>
      <c r="H456" t="str">
        <f>"5"</f>
        <v>5</v>
      </c>
      <c r="I456" t="str">
        <f t="shared" si="532"/>
        <v>1</v>
      </c>
      <c r="J456" t="str">
        <f>"M"</f>
        <v>M</v>
      </c>
      <c r="K456" t="str">
        <f t="shared" si="461"/>
        <v>170</v>
      </c>
      <c r="L456" t="str">
        <f>"27"</f>
        <v>27</v>
      </c>
      <c r="M456" t="str">
        <f>"001"</f>
        <v>001</v>
      </c>
      <c r="N456" t="str">
        <f>"1"</f>
        <v>1</v>
      </c>
      <c r="O456" t="str">
        <f>"9999"</f>
        <v>9999</v>
      </c>
      <c r="P456" t="str">
        <f>"S"</f>
        <v>S</v>
      </c>
      <c r="Q456" t="str">
        <f>"CCF102"</f>
        <v>CCF102</v>
      </c>
      <c r="R456" t="str">
        <f t="shared" si="509"/>
        <v>6</v>
      </c>
      <c r="S456" t="str">
        <f>""</f>
        <v/>
      </c>
      <c r="T456" t="str">
        <f t="shared" si="510"/>
        <v xml:space="preserve">                                                                                                    </v>
      </c>
      <c r="U456" t="str">
        <f>"          "</f>
        <v xml:space="preserve">          </v>
      </c>
      <c r="V456" t="str">
        <f t="shared" si="519"/>
        <v>2</v>
      </c>
      <c r="W456" t="str">
        <f t="shared" si="508"/>
        <v>2</v>
      </c>
      <c r="X456" t="str">
        <f t="shared" si="505"/>
        <v>2</v>
      </c>
      <c r="Y456" t="str">
        <f t="shared" si="512"/>
        <v>2</v>
      </c>
      <c r="Z456" t="str">
        <f t="shared" si="512"/>
        <v>2</v>
      </c>
      <c r="AA456" t="str">
        <f t="shared" si="525"/>
        <v xml:space="preserve">          </v>
      </c>
      <c r="AB456" t="str">
        <f t="shared" si="516"/>
        <v>2</v>
      </c>
      <c r="AC456" t="str">
        <f t="shared" si="517"/>
        <v>2</v>
      </c>
      <c r="AD456" t="str">
        <f t="shared" si="514"/>
        <v>2</v>
      </c>
      <c r="AE456" t="str">
        <f t="shared" si="514"/>
        <v>2</v>
      </c>
      <c r="AF456" t="str">
        <f t="shared" si="514"/>
        <v>2</v>
      </c>
      <c r="AG456" t="str">
        <f t="shared" si="514"/>
        <v>2</v>
      </c>
      <c r="AH456" t="str">
        <f t="shared" si="506"/>
        <v>1</v>
      </c>
      <c r="AI456" t="str">
        <f t="shared" si="531"/>
        <v xml:space="preserve">1         </v>
      </c>
      <c r="AJ456" t="str">
        <f t="shared" si="462"/>
        <v>170</v>
      </c>
      <c r="AK456" t="str">
        <f>"27"</f>
        <v>27</v>
      </c>
      <c r="AL456" t="str">
        <f>"001"</f>
        <v>001</v>
      </c>
      <c r="AM456" t="str">
        <f>"05"</f>
        <v>05</v>
      </c>
      <c r="AN456" t="str">
        <f>"05001"</f>
        <v>05001</v>
      </c>
      <c r="AO456" t="str">
        <f>"7/01/2020 12:00:00 a. m."</f>
        <v>7/01/2020 12:00:00 a. m.</v>
      </c>
      <c r="AP456" t="str">
        <f>"31/12/2019 12:00:00 a. m."</f>
        <v>31/12/2019 12:00:00 a. m.</v>
      </c>
      <c r="AQ456" t="str">
        <f t="shared" ref="AQ456:AQ469" si="533">"3"</f>
        <v>3</v>
      </c>
      <c r="AR456" t="str">
        <f t="shared" si="500"/>
        <v>1</v>
      </c>
      <c r="AS456" t="str">
        <f>"7/01/2020 12:00:00 a. m."</f>
        <v>7/01/2020 12:00:00 a. m.</v>
      </c>
      <c r="AT456" t="str">
        <f t="shared" si="526"/>
        <v>1</v>
      </c>
      <c r="AU456" t="str">
        <f>""</f>
        <v/>
      </c>
      <c r="AV456" t="str">
        <f>"0"</f>
        <v>0</v>
      </c>
      <c r="AW456" t="str">
        <f>"28/10/2014 12:00:00 a. m."</f>
        <v>28/10/2014 12:00:00 a. m.</v>
      </c>
      <c r="AX456" t="str">
        <f>""</f>
        <v/>
      </c>
      <c r="AY456" t="str">
        <f t="shared" si="527"/>
        <v>30/04/2021 12:00:00 a. m.</v>
      </c>
      <c r="AZ456" t="str">
        <f>"16/01/2020 12:00:00 a. m."</f>
        <v>16/01/2020 12:00:00 a. m.</v>
      </c>
      <c r="BA456" t="str">
        <f>""</f>
        <v/>
      </c>
      <c r="BB456" t="str">
        <f>""</f>
        <v/>
      </c>
      <c r="BC456" t="str">
        <f>""</f>
        <v/>
      </c>
      <c r="BD456" t="str">
        <f t="shared" si="515"/>
        <v>1</v>
      </c>
      <c r="BE456" t="str">
        <f t="shared" si="515"/>
        <v>1</v>
      </c>
      <c r="BF456" t="str">
        <f t="shared" si="528"/>
        <v xml:space="preserve">3         </v>
      </c>
      <c r="BG456" t="str">
        <f t="shared" si="529"/>
        <v>Confirmado por laboratorio</v>
      </c>
      <c r="BH456" t="str">
        <f>"HOSPITAL GENERAL DE MEDELLIN - LUZ CASTRO DE GUTIE"</f>
        <v>HOSPITAL GENERAL DE MEDELLIN - LUZ CASTRO DE GUTIE</v>
      </c>
      <c r="BI456" t="str">
        <f t="shared" si="464"/>
        <v>COLOMBIA</v>
      </c>
      <c r="BJ456" t="str">
        <f t="shared" si="530"/>
        <v>CANCER INFANTIL</v>
      </c>
      <c r="BK456" t="str">
        <f>"CHOCO"</f>
        <v>CHOCO</v>
      </c>
      <c r="BL456" t="str">
        <f>"QUIBDO"</f>
        <v>QUIBDO</v>
      </c>
      <c r="BM456" t="str">
        <f t="shared" si="465"/>
        <v>COLOMBIA</v>
      </c>
      <c r="BN456" t="str">
        <f>"CHOCO"</f>
        <v>CHOCO</v>
      </c>
      <c r="BO456" t="str">
        <f>"QUIBDO"</f>
        <v>QUIBDO</v>
      </c>
      <c r="BP456" t="str">
        <f>"ANTIOQUIA"</f>
        <v>ANTIOQUIA</v>
      </c>
      <c r="BQ456" t="str">
        <f>"MEDELLIN"</f>
        <v>MEDELLIN</v>
      </c>
    </row>
    <row r="457" spans="1:69" x14ac:dyDescent="0.25">
      <c r="A457" t="str">
        <f>"7279064"</f>
        <v>7279064</v>
      </c>
      <c r="B457" t="str">
        <f t="shared" si="522"/>
        <v>459</v>
      </c>
      <c r="C457" t="str">
        <f>"11/09/2020 12:00:00 a. m."</f>
        <v>11/09/2020 12:00:00 a. m.</v>
      </c>
      <c r="D457" t="str">
        <f>"35"</f>
        <v>35</v>
      </c>
      <c r="E457" t="str">
        <f t="shared" si="523"/>
        <v>2020</v>
      </c>
      <c r="F457" t="str">
        <f>"0500102144"</f>
        <v>0500102144</v>
      </c>
      <c r="G457" t="str">
        <f t="shared" si="524"/>
        <v>01</v>
      </c>
      <c r="H457" t="str">
        <f>"12"</f>
        <v>12</v>
      </c>
      <c r="I457" t="str">
        <f t="shared" si="532"/>
        <v>1</v>
      </c>
      <c r="J457" t="str">
        <f>"M"</f>
        <v>M</v>
      </c>
      <c r="K457" t="str">
        <f t="shared" si="461"/>
        <v>170</v>
      </c>
      <c r="L457" t="str">
        <f>"27"</f>
        <v>27</v>
      </c>
      <c r="M457" t="str">
        <f>"001"</f>
        <v>001</v>
      </c>
      <c r="N457" t="str">
        <f>"3"</f>
        <v>3</v>
      </c>
      <c r="O457" t="str">
        <f>"9997"</f>
        <v>9997</v>
      </c>
      <c r="P457" t="str">
        <f>"S"</f>
        <v>S</v>
      </c>
      <c r="Q457" t="str">
        <f>"CCF102"</f>
        <v>CCF102</v>
      </c>
      <c r="R457" t="str">
        <f t="shared" si="509"/>
        <v>6</v>
      </c>
      <c r="S457" t="str">
        <f>""</f>
        <v/>
      </c>
      <c r="T457" t="str">
        <f t="shared" si="510"/>
        <v xml:space="preserve">                                                                                                    </v>
      </c>
      <c r="U457" t="str">
        <f>"          "</f>
        <v xml:space="preserve">          </v>
      </c>
      <c r="V457" t="str">
        <f t="shared" si="519"/>
        <v>2</v>
      </c>
      <c r="W457" t="str">
        <f t="shared" si="508"/>
        <v>2</v>
      </c>
      <c r="X457" t="str">
        <f t="shared" si="505"/>
        <v>2</v>
      </c>
      <c r="Y457" t="str">
        <f t="shared" si="512"/>
        <v>2</v>
      </c>
      <c r="Z457" t="str">
        <f t="shared" si="512"/>
        <v>2</v>
      </c>
      <c r="AA457" t="str">
        <f t="shared" si="525"/>
        <v xml:space="preserve">          </v>
      </c>
      <c r="AB457" t="str">
        <f t="shared" si="516"/>
        <v>2</v>
      </c>
      <c r="AC457" t="str">
        <f t="shared" si="517"/>
        <v>2</v>
      </c>
      <c r="AD457" t="str">
        <f t="shared" si="514"/>
        <v>2</v>
      </c>
      <c r="AE457" t="str">
        <f t="shared" si="514"/>
        <v>2</v>
      </c>
      <c r="AF457" t="str">
        <f t="shared" si="514"/>
        <v>2</v>
      </c>
      <c r="AG457" t="str">
        <f t="shared" si="514"/>
        <v>2</v>
      </c>
      <c r="AH457" t="str">
        <f t="shared" si="506"/>
        <v>1</v>
      </c>
      <c r="AI457" t="str">
        <f t="shared" si="531"/>
        <v xml:space="preserve">1         </v>
      </c>
      <c r="AJ457" t="str">
        <f t="shared" si="462"/>
        <v>170</v>
      </c>
      <c r="AK457" t="str">
        <f>"27"</f>
        <v>27</v>
      </c>
      <c r="AL457" t="str">
        <f>"001"</f>
        <v>001</v>
      </c>
      <c r="AM457" t="str">
        <f>"05"</f>
        <v>05</v>
      </c>
      <c r="AN457" t="str">
        <f>"05001"</f>
        <v>05001</v>
      </c>
      <c r="AO457" t="str">
        <f>"29/08/2020 12:00:00 a. m."</f>
        <v>29/08/2020 12:00:00 a. m.</v>
      </c>
      <c r="AP457" t="str">
        <f>"8/04/2020 12:00:00 a. m."</f>
        <v>8/04/2020 12:00:00 a. m.</v>
      </c>
      <c r="AQ457" t="str">
        <f t="shared" si="533"/>
        <v>3</v>
      </c>
      <c r="AR457" t="str">
        <f t="shared" si="500"/>
        <v>1</v>
      </c>
      <c r="AS457" t="str">
        <f>"29/08/2020 12:00:00 a. m."</f>
        <v>29/08/2020 12:00:00 a. m.</v>
      </c>
      <c r="AT457" t="str">
        <f t="shared" si="526"/>
        <v>1</v>
      </c>
      <c r="AU457" t="str">
        <f>""</f>
        <v/>
      </c>
      <c r="AV457" t="str">
        <f>"0"</f>
        <v>0</v>
      </c>
      <c r="AW457" t="str">
        <f>"5/09/2008 12:00:00 a. m."</f>
        <v>5/09/2008 12:00:00 a. m.</v>
      </c>
      <c r="AX457" t="str">
        <f>""</f>
        <v/>
      </c>
      <c r="AY457" t="str">
        <f t="shared" si="527"/>
        <v>30/04/2021 12:00:00 a. m.</v>
      </c>
      <c r="AZ457" t="str">
        <f>"11/09/2020 12:00:00 a. m."</f>
        <v>11/09/2020 12:00:00 a. m.</v>
      </c>
      <c r="BA457" t="str">
        <f>""</f>
        <v/>
      </c>
      <c r="BB457" t="str">
        <f>""</f>
        <v/>
      </c>
      <c r="BC457" t="str">
        <f>""</f>
        <v/>
      </c>
      <c r="BD457" t="str">
        <f t="shared" si="515"/>
        <v>1</v>
      </c>
      <c r="BE457" t="str">
        <f t="shared" si="515"/>
        <v>1</v>
      </c>
      <c r="BF457" t="str">
        <f t="shared" si="528"/>
        <v xml:space="preserve">3         </v>
      </c>
      <c r="BG457" t="str">
        <f t="shared" si="529"/>
        <v>Confirmado por laboratorio</v>
      </c>
      <c r="BH457" t="str">
        <f>"HOSPITAL GENERAL DE MEDELLIN - LUZ CASTRO DE GUTIE"</f>
        <v>HOSPITAL GENERAL DE MEDELLIN - LUZ CASTRO DE GUTIE</v>
      </c>
      <c r="BI457" t="str">
        <f t="shared" si="464"/>
        <v>COLOMBIA</v>
      </c>
      <c r="BJ457" t="str">
        <f t="shared" si="530"/>
        <v>CANCER INFANTIL</v>
      </c>
      <c r="BK457" t="str">
        <f>"CHOCO"</f>
        <v>CHOCO</v>
      </c>
      <c r="BL457" t="str">
        <f>"QUIBDO"</f>
        <v>QUIBDO</v>
      </c>
      <c r="BM457" t="str">
        <f t="shared" si="465"/>
        <v>COLOMBIA</v>
      </c>
      <c r="BN457" t="str">
        <f>"CHOCO"</f>
        <v>CHOCO</v>
      </c>
      <c r="BO457" t="str">
        <f>"QUIBDO"</f>
        <v>QUIBDO</v>
      </c>
      <c r="BP457" t="str">
        <f>"ANTIOQUIA"</f>
        <v>ANTIOQUIA</v>
      </c>
      <c r="BQ457" t="str">
        <f>"MEDELLIN"</f>
        <v>MEDELLIN</v>
      </c>
    </row>
    <row r="458" spans="1:69" x14ac:dyDescent="0.25">
      <c r="A458" t="str">
        <f>"7278745"</f>
        <v>7278745</v>
      </c>
      <c r="B458" t="str">
        <f t="shared" si="522"/>
        <v>459</v>
      </c>
      <c r="C458" t="str">
        <f>"4/07/2020 12:00:00 a. m."</f>
        <v>4/07/2020 12:00:00 a. m.</v>
      </c>
      <c r="D458" t="str">
        <f>"23"</f>
        <v>23</v>
      </c>
      <c r="E458" t="str">
        <f t="shared" si="523"/>
        <v>2020</v>
      </c>
      <c r="F458" t="str">
        <f>"1100109186"</f>
        <v>1100109186</v>
      </c>
      <c r="G458" t="str">
        <f>"68"</f>
        <v>68</v>
      </c>
      <c r="H458" t="str">
        <f>"7"</f>
        <v>7</v>
      </c>
      <c r="I458" t="str">
        <f t="shared" si="532"/>
        <v>1</v>
      </c>
      <c r="J458" t="str">
        <f>"M"</f>
        <v>M</v>
      </c>
      <c r="K458" t="str">
        <f t="shared" ref="K458:K521" si="534">"170"</f>
        <v>170</v>
      </c>
      <c r="L458" t="str">
        <f>"25"</f>
        <v>25</v>
      </c>
      <c r="M458" t="str">
        <f>"269"</f>
        <v>269</v>
      </c>
      <c r="N458" t="str">
        <f t="shared" ref="N458:N463" si="535">"1"</f>
        <v>1</v>
      </c>
      <c r="O458" t="str">
        <f>"9997"</f>
        <v>9997</v>
      </c>
      <c r="P458" t="str">
        <f>"C"</f>
        <v>C</v>
      </c>
      <c r="Q458" t="str">
        <f>"EPS005"</f>
        <v>EPS005</v>
      </c>
      <c r="R458" t="str">
        <f t="shared" si="509"/>
        <v>6</v>
      </c>
      <c r="S458" t="str">
        <f>""</f>
        <v/>
      </c>
      <c r="T458" t="str">
        <f t="shared" si="510"/>
        <v xml:space="preserve">                                                                                                    </v>
      </c>
      <c r="U458" t="str">
        <f>"2         "</f>
        <v xml:space="preserve">2         </v>
      </c>
      <c r="V458" t="str">
        <f t="shared" si="519"/>
        <v>2</v>
      </c>
      <c r="W458" t="str">
        <f t="shared" si="508"/>
        <v>2</v>
      </c>
      <c r="X458" t="str">
        <f t="shared" si="505"/>
        <v>2</v>
      </c>
      <c r="Y458" t="str">
        <f t="shared" si="512"/>
        <v>2</v>
      </c>
      <c r="Z458" t="str">
        <f t="shared" si="512"/>
        <v>2</v>
      </c>
      <c r="AA458" t="str">
        <f t="shared" si="525"/>
        <v xml:space="preserve">          </v>
      </c>
      <c r="AB458" t="str">
        <f t="shared" si="516"/>
        <v>2</v>
      </c>
      <c r="AC458" t="str">
        <f t="shared" si="517"/>
        <v>2</v>
      </c>
      <c r="AD458" t="str">
        <f t="shared" si="514"/>
        <v>2</v>
      </c>
      <c r="AE458" t="str">
        <f t="shared" si="514"/>
        <v>2</v>
      </c>
      <c r="AF458" t="str">
        <f t="shared" si="514"/>
        <v>2</v>
      </c>
      <c r="AG458" t="str">
        <f t="shared" si="514"/>
        <v>2</v>
      </c>
      <c r="AH458" t="str">
        <f t="shared" si="506"/>
        <v>1</v>
      </c>
      <c r="AI458" t="str">
        <f t="shared" si="531"/>
        <v xml:space="preserve">1         </v>
      </c>
      <c r="AJ458" t="str">
        <f t="shared" ref="AJ458:AJ521" si="536">"170"</f>
        <v>170</v>
      </c>
      <c r="AK458" t="str">
        <f>"25"</f>
        <v>25</v>
      </c>
      <c r="AL458" t="str">
        <f>"269"</f>
        <v>269</v>
      </c>
      <c r="AM458" t="str">
        <f>"11"</f>
        <v>11</v>
      </c>
      <c r="AN458" t="str">
        <f>"11001"</f>
        <v>11001</v>
      </c>
      <c r="AO458" t="str">
        <f>"2/06/2020 12:00:00 a. m."</f>
        <v>2/06/2020 12:00:00 a. m.</v>
      </c>
      <c r="AP458" t="str">
        <f>"15/12/2019 12:00:00 a. m."</f>
        <v>15/12/2019 12:00:00 a. m.</v>
      </c>
      <c r="AQ458" t="str">
        <f t="shared" si="533"/>
        <v>3</v>
      </c>
      <c r="AR458" t="str">
        <f t="shared" si="500"/>
        <v>1</v>
      </c>
      <c r="AS458" t="str">
        <f>"2/06/2020 12:00:00 a. m."</f>
        <v>2/06/2020 12:00:00 a. m.</v>
      </c>
      <c r="AT458" t="str">
        <f t="shared" si="526"/>
        <v>1</v>
      </c>
      <c r="AU458" t="str">
        <f>""</f>
        <v/>
      </c>
      <c r="AV458" t="str">
        <f>"7"</f>
        <v>7</v>
      </c>
      <c r="AW458" t="str">
        <f>"8/08/2012 12:00:00 a. m."</f>
        <v>8/08/2012 12:00:00 a. m.</v>
      </c>
      <c r="AX458" t="str">
        <f>""</f>
        <v/>
      </c>
      <c r="AY458" t="str">
        <f t="shared" si="527"/>
        <v>30/04/2021 12:00:00 a. m.</v>
      </c>
      <c r="AZ458" t="str">
        <f>"21/12/2020 12:00:00 a. m."</f>
        <v>21/12/2020 12:00:00 a. m.</v>
      </c>
      <c r="BA458" t="str">
        <f>""</f>
        <v/>
      </c>
      <c r="BB458" t="str">
        <f>""</f>
        <v/>
      </c>
      <c r="BC458" t="str">
        <f>""</f>
        <v/>
      </c>
      <c r="BD458" t="str">
        <f t="shared" si="515"/>
        <v>1</v>
      </c>
      <c r="BE458" t="str">
        <f t="shared" si="515"/>
        <v>1</v>
      </c>
      <c r="BF458" t="str">
        <f t="shared" si="528"/>
        <v xml:space="preserve">3         </v>
      </c>
      <c r="BG458" t="str">
        <f t="shared" si="529"/>
        <v>Confirmado por laboratorio</v>
      </c>
      <c r="BH458" t="str">
        <f>"CLINICA INFANTIL SANTA MARIA DEL LAGO"</f>
        <v>CLINICA INFANTIL SANTA MARIA DEL LAGO</v>
      </c>
      <c r="BI458" t="str">
        <f t="shared" ref="BI458:BI521" si="537">"COLOMBIA"</f>
        <v>COLOMBIA</v>
      </c>
      <c r="BJ458" t="str">
        <f t="shared" si="530"/>
        <v>CANCER INFANTIL</v>
      </c>
      <c r="BK458" t="str">
        <f>"CUNDINAMARCA"</f>
        <v>CUNDINAMARCA</v>
      </c>
      <c r="BL458" t="str">
        <f>"FACATATIVA"</f>
        <v>FACATATIVA</v>
      </c>
      <c r="BM458" t="str">
        <f t="shared" ref="BM458:BM521" si="538">"COLOMBIA"</f>
        <v>COLOMBIA</v>
      </c>
      <c r="BN458" t="str">
        <f>"CUNDINAMARCA"</f>
        <v>CUNDINAMARCA</v>
      </c>
      <c r="BO458" t="str">
        <f>"FACATATIVA"</f>
        <v>FACATATIVA</v>
      </c>
      <c r="BP458" t="str">
        <f>"BOGOTA"</f>
        <v>BOGOTA</v>
      </c>
      <c r="BQ458" t="str">
        <f>"BOGOTA"</f>
        <v>BOGOTA</v>
      </c>
    </row>
    <row r="459" spans="1:69" x14ac:dyDescent="0.25">
      <c r="A459" t="str">
        <f>"7278909"</f>
        <v>7278909</v>
      </c>
      <c r="B459" t="str">
        <f t="shared" si="522"/>
        <v>459</v>
      </c>
      <c r="C459" t="str">
        <f>"31/01/2021 12:00:00 a. m."</f>
        <v>31/01/2021 12:00:00 a. m.</v>
      </c>
      <c r="D459" t="str">
        <f>"53"</f>
        <v>53</v>
      </c>
      <c r="E459" t="str">
        <f t="shared" si="523"/>
        <v>2020</v>
      </c>
      <c r="F459" t="str">
        <f>"1700101096"</f>
        <v>1700101096</v>
      </c>
      <c r="G459" t="str">
        <f t="shared" ref="G459:G474" si="539">"01"</f>
        <v>01</v>
      </c>
      <c r="H459" t="str">
        <f>"6"</f>
        <v>6</v>
      </c>
      <c r="I459" t="str">
        <f t="shared" si="532"/>
        <v>1</v>
      </c>
      <c r="J459" t="str">
        <f>"M"</f>
        <v>M</v>
      </c>
      <c r="K459" t="str">
        <f t="shared" si="534"/>
        <v>170</v>
      </c>
      <c r="L459" t="str">
        <f>"63"</f>
        <v>63</v>
      </c>
      <c r="M459" t="str">
        <f>"001"</f>
        <v>001</v>
      </c>
      <c r="N459" t="str">
        <f t="shared" si="535"/>
        <v>1</v>
      </c>
      <c r="O459" t="str">
        <f>"9998"</f>
        <v>9998</v>
      </c>
      <c r="P459" t="str">
        <f>"S"</f>
        <v>S</v>
      </c>
      <c r="Q459" t="str">
        <f>"ESS062"</f>
        <v>ESS062</v>
      </c>
      <c r="R459" t="str">
        <f t="shared" si="509"/>
        <v>6</v>
      </c>
      <c r="S459" t="str">
        <f>""</f>
        <v/>
      </c>
      <c r="T459" t="str">
        <f t="shared" si="510"/>
        <v xml:space="preserve">                                                                                                    </v>
      </c>
      <c r="U459" t="str">
        <f>"2         "</f>
        <v xml:space="preserve">2         </v>
      </c>
      <c r="V459" t="str">
        <f t="shared" si="519"/>
        <v>2</v>
      </c>
      <c r="W459" t="str">
        <f t="shared" si="508"/>
        <v>2</v>
      </c>
      <c r="X459" t="str">
        <f t="shared" si="505"/>
        <v>2</v>
      </c>
      <c r="Y459" t="str">
        <f t="shared" ref="Y459:Z478" si="540">"2"</f>
        <v>2</v>
      </c>
      <c r="Z459" t="str">
        <f t="shared" si="540"/>
        <v>2</v>
      </c>
      <c r="AA459" t="str">
        <f t="shared" si="525"/>
        <v xml:space="preserve">          </v>
      </c>
      <c r="AB459" t="str">
        <f t="shared" si="516"/>
        <v>2</v>
      </c>
      <c r="AC459" t="str">
        <f t="shared" si="517"/>
        <v>2</v>
      </c>
      <c r="AD459" t="str">
        <f t="shared" si="514"/>
        <v>2</v>
      </c>
      <c r="AE459" t="str">
        <f t="shared" si="514"/>
        <v>2</v>
      </c>
      <c r="AF459" t="str">
        <f t="shared" si="514"/>
        <v>2</v>
      </c>
      <c r="AG459" t="str">
        <f t="shared" si="514"/>
        <v>2</v>
      </c>
      <c r="AH459" t="str">
        <f t="shared" si="506"/>
        <v>1</v>
      </c>
      <c r="AI459" t="str">
        <f t="shared" si="531"/>
        <v xml:space="preserve">1         </v>
      </c>
      <c r="AJ459" t="str">
        <f t="shared" si="536"/>
        <v>170</v>
      </c>
      <c r="AK459" t="str">
        <f>"63"</f>
        <v>63</v>
      </c>
      <c r="AL459" t="str">
        <f>"001"</f>
        <v>001</v>
      </c>
      <c r="AM459" t="str">
        <f>"17"</f>
        <v>17</v>
      </c>
      <c r="AN459" t="str">
        <f>"17001"</f>
        <v>17001</v>
      </c>
      <c r="AO459" t="str">
        <f>"2/01/2021 12:00:00 a. m."</f>
        <v>2/01/2021 12:00:00 a. m.</v>
      </c>
      <c r="AP459" t="str">
        <f>"2/01/2021 12:00:00 a. m."</f>
        <v>2/01/2021 12:00:00 a. m.</v>
      </c>
      <c r="AQ459" t="str">
        <f t="shared" si="533"/>
        <v>3</v>
      </c>
      <c r="AR459" t="str">
        <f t="shared" si="500"/>
        <v>1</v>
      </c>
      <c r="AS459" t="str">
        <f>"17/01/2021 12:00:00 a. m."</f>
        <v>17/01/2021 12:00:00 a. m.</v>
      </c>
      <c r="AT459" t="str">
        <f t="shared" si="526"/>
        <v>1</v>
      </c>
      <c r="AU459" t="str">
        <f>""</f>
        <v/>
      </c>
      <c r="AV459" t="str">
        <f>"0"</f>
        <v>0</v>
      </c>
      <c r="AW459" t="str">
        <f>"27/04/2014 12:00:00 a. m."</f>
        <v>27/04/2014 12:00:00 a. m.</v>
      </c>
      <c r="AX459" t="str">
        <f>""</f>
        <v/>
      </c>
      <c r="AY459" t="str">
        <f t="shared" si="527"/>
        <v>30/04/2021 12:00:00 a. m.</v>
      </c>
      <c r="AZ459" t="str">
        <f>"8/02/2021 12:00:00 a. m."</f>
        <v>8/02/2021 12:00:00 a. m.</v>
      </c>
      <c r="BA459" t="str">
        <f>""</f>
        <v/>
      </c>
      <c r="BB459" t="str">
        <f>""</f>
        <v/>
      </c>
      <c r="BC459" t="str">
        <f>""</f>
        <v/>
      </c>
      <c r="BD459" t="str">
        <f t="shared" si="515"/>
        <v>1</v>
      </c>
      <c r="BE459" t="str">
        <f t="shared" si="515"/>
        <v>1</v>
      </c>
      <c r="BF459" t="str">
        <f t="shared" si="528"/>
        <v xml:space="preserve">3         </v>
      </c>
      <c r="BG459" t="str">
        <f t="shared" si="529"/>
        <v>Confirmado por laboratorio</v>
      </c>
      <c r="BH459" t="str">
        <f>"ONCOLOGOS DE OCCIDENTE SA"</f>
        <v>ONCOLOGOS DE OCCIDENTE SA</v>
      </c>
      <c r="BI459" t="str">
        <f t="shared" si="537"/>
        <v>COLOMBIA</v>
      </c>
      <c r="BJ459" t="str">
        <f t="shared" si="530"/>
        <v>CANCER INFANTIL</v>
      </c>
      <c r="BK459" t="str">
        <f>"QUINDIO"</f>
        <v>QUINDIO</v>
      </c>
      <c r="BL459" t="str">
        <f>"ARMENIA"</f>
        <v>ARMENIA</v>
      </c>
      <c r="BM459" t="str">
        <f t="shared" si="538"/>
        <v>COLOMBIA</v>
      </c>
      <c r="BN459" t="str">
        <f>"QUINDIO"</f>
        <v>QUINDIO</v>
      </c>
      <c r="BO459" t="str">
        <f>"ARMENIA"</f>
        <v>ARMENIA</v>
      </c>
      <c r="BP459" t="str">
        <f>"CALDAS"</f>
        <v>CALDAS</v>
      </c>
      <c r="BQ459" t="str">
        <f>"MANIZALES"</f>
        <v>MANIZALES</v>
      </c>
    </row>
    <row r="460" spans="1:69" x14ac:dyDescent="0.25">
      <c r="A460" t="str">
        <f>"7278801"</f>
        <v>7278801</v>
      </c>
      <c r="B460" t="str">
        <f t="shared" si="522"/>
        <v>459</v>
      </c>
      <c r="C460" t="str">
        <f>"17/11/2020 12:00:00 a. m."</f>
        <v>17/11/2020 12:00:00 a. m.</v>
      </c>
      <c r="D460" t="str">
        <f>"40"</f>
        <v>40</v>
      </c>
      <c r="E460" t="str">
        <f t="shared" si="523"/>
        <v>2020</v>
      </c>
      <c r="F460" t="str">
        <f>"0500102175"</f>
        <v>0500102175</v>
      </c>
      <c r="G460" t="str">
        <f t="shared" si="539"/>
        <v>01</v>
      </c>
      <c r="H460" t="str">
        <f>"2"</f>
        <v>2</v>
      </c>
      <c r="I460" t="str">
        <f t="shared" si="532"/>
        <v>1</v>
      </c>
      <c r="J460" t="str">
        <f t="shared" ref="J460:J466" si="541">"F"</f>
        <v>F</v>
      </c>
      <c r="K460" t="str">
        <f t="shared" si="534"/>
        <v>170</v>
      </c>
      <c r="L460" t="str">
        <f>"05"</f>
        <v>05</v>
      </c>
      <c r="M460" t="str">
        <f>"031"</f>
        <v>031</v>
      </c>
      <c r="N460" t="str">
        <f t="shared" si="535"/>
        <v>1</v>
      </c>
      <c r="O460" t="str">
        <f>"9999"</f>
        <v>9999</v>
      </c>
      <c r="P460" t="str">
        <f>"S"</f>
        <v>S</v>
      </c>
      <c r="Q460" t="str">
        <f>"ESS024"</f>
        <v>ESS024</v>
      </c>
      <c r="R460" t="str">
        <f t="shared" si="509"/>
        <v>6</v>
      </c>
      <c r="S460" t="str">
        <f>""</f>
        <v/>
      </c>
      <c r="T460" t="str">
        <f t="shared" si="510"/>
        <v xml:space="preserve">                                                                                                    </v>
      </c>
      <c r="U460" t="str">
        <f>"2         "</f>
        <v xml:space="preserve">2         </v>
      </c>
      <c r="V460" t="str">
        <f t="shared" si="519"/>
        <v>2</v>
      </c>
      <c r="W460" t="str">
        <f t="shared" si="508"/>
        <v>2</v>
      </c>
      <c r="X460" t="str">
        <f t="shared" si="505"/>
        <v>2</v>
      </c>
      <c r="Y460" t="str">
        <f t="shared" si="540"/>
        <v>2</v>
      </c>
      <c r="Z460" t="str">
        <f t="shared" si="540"/>
        <v>2</v>
      </c>
      <c r="AA460" t="str">
        <f t="shared" si="525"/>
        <v xml:space="preserve">          </v>
      </c>
      <c r="AB460" t="str">
        <f t="shared" si="516"/>
        <v>2</v>
      </c>
      <c r="AC460" t="str">
        <f t="shared" si="517"/>
        <v>2</v>
      </c>
      <c r="AD460" t="str">
        <f t="shared" ref="AD460:AG479" si="542">"2"</f>
        <v>2</v>
      </c>
      <c r="AE460" t="str">
        <f t="shared" si="542"/>
        <v>2</v>
      </c>
      <c r="AF460" t="str">
        <f t="shared" si="542"/>
        <v>2</v>
      </c>
      <c r="AG460" t="str">
        <f t="shared" si="542"/>
        <v>2</v>
      </c>
      <c r="AH460" t="str">
        <f t="shared" si="506"/>
        <v>1</v>
      </c>
      <c r="AI460" t="str">
        <f t="shared" si="531"/>
        <v xml:space="preserve">1         </v>
      </c>
      <c r="AJ460" t="str">
        <f t="shared" si="536"/>
        <v>170</v>
      </c>
      <c r="AK460" t="str">
        <f>"05"</f>
        <v>05</v>
      </c>
      <c r="AL460" t="str">
        <f>"031"</f>
        <v>031</v>
      </c>
      <c r="AM460" t="str">
        <f>"05"</f>
        <v>05</v>
      </c>
      <c r="AN460" t="str">
        <f>"05001"</f>
        <v>05001</v>
      </c>
      <c r="AO460" t="str">
        <f>"1/10/2020 12:00:00 a. m."</f>
        <v>1/10/2020 12:00:00 a. m.</v>
      </c>
      <c r="AP460" t="str">
        <f>"10/09/2020 12:00:00 a. m."</f>
        <v>10/09/2020 12:00:00 a. m.</v>
      </c>
      <c r="AQ460" t="str">
        <f t="shared" si="533"/>
        <v>3</v>
      </c>
      <c r="AR460" t="str">
        <f t="shared" si="500"/>
        <v>1</v>
      </c>
      <c r="AS460" t="str">
        <f>"1/10/2020 12:00:00 a. m."</f>
        <v>1/10/2020 12:00:00 a. m.</v>
      </c>
      <c r="AT460" t="str">
        <f t="shared" si="526"/>
        <v>1</v>
      </c>
      <c r="AU460" t="str">
        <f>""</f>
        <v/>
      </c>
      <c r="AV460" t="str">
        <f>"0"</f>
        <v>0</v>
      </c>
      <c r="AW460" t="str">
        <f>"10/04/2018 12:00:00 a. m."</f>
        <v>10/04/2018 12:00:00 a. m.</v>
      </c>
      <c r="AX460" t="str">
        <f>""</f>
        <v/>
      </c>
      <c r="AY460" t="str">
        <f t="shared" si="527"/>
        <v>30/04/2021 12:00:00 a. m.</v>
      </c>
      <c r="AZ460" t="str">
        <f>"17/11/2020 12:00:00 a. m."</f>
        <v>17/11/2020 12:00:00 a. m.</v>
      </c>
      <c r="BA460" t="str">
        <f>""</f>
        <v/>
      </c>
      <c r="BB460" t="str">
        <f>""</f>
        <v/>
      </c>
      <c r="BC460" t="str">
        <f>""</f>
        <v/>
      </c>
      <c r="BD460" t="str">
        <f t="shared" si="515"/>
        <v>1</v>
      </c>
      <c r="BE460" t="str">
        <f t="shared" si="515"/>
        <v>1</v>
      </c>
      <c r="BF460" t="str">
        <f t="shared" si="528"/>
        <v xml:space="preserve">3         </v>
      </c>
      <c r="BG460" t="str">
        <f t="shared" si="529"/>
        <v>Confirmado por laboratorio</v>
      </c>
      <c r="BH460" t="str">
        <f>"FUNDACION HOSPITALARIA SAN VICENTE DE PAUL"</f>
        <v>FUNDACION HOSPITALARIA SAN VICENTE DE PAUL</v>
      </c>
      <c r="BI460" t="str">
        <f t="shared" si="537"/>
        <v>COLOMBIA</v>
      </c>
      <c r="BJ460" t="str">
        <f t="shared" si="530"/>
        <v>CANCER INFANTIL</v>
      </c>
      <c r="BK460" t="str">
        <f>"ANTIOQUIA"</f>
        <v>ANTIOQUIA</v>
      </c>
      <c r="BL460" t="str">
        <f>"AMALFI"</f>
        <v>AMALFI</v>
      </c>
      <c r="BM460" t="str">
        <f t="shared" si="538"/>
        <v>COLOMBIA</v>
      </c>
      <c r="BN460" t="str">
        <f>"ANTIOQUIA"</f>
        <v>ANTIOQUIA</v>
      </c>
      <c r="BO460" t="str">
        <f>"AMALFI"</f>
        <v>AMALFI</v>
      </c>
      <c r="BP460" t="str">
        <f>"ANTIOQUIA"</f>
        <v>ANTIOQUIA</v>
      </c>
      <c r="BQ460" t="str">
        <f>"MEDELLIN"</f>
        <v>MEDELLIN</v>
      </c>
    </row>
    <row r="461" spans="1:69" x14ac:dyDescent="0.25">
      <c r="A461" t="str">
        <f>"7278967"</f>
        <v>7278967</v>
      </c>
      <c r="B461" t="str">
        <f t="shared" si="522"/>
        <v>459</v>
      </c>
      <c r="C461" t="str">
        <f>"24/08/2020 12:00:00 a. m."</f>
        <v>24/08/2020 12:00:00 a. m.</v>
      </c>
      <c r="D461" t="str">
        <f>"35"</f>
        <v>35</v>
      </c>
      <c r="E461" t="str">
        <f t="shared" si="523"/>
        <v>2020</v>
      </c>
      <c r="F461" t="str">
        <f>"1100106065"</f>
        <v>1100106065</v>
      </c>
      <c r="G461" t="str">
        <f t="shared" si="539"/>
        <v>01</v>
      </c>
      <c r="H461" t="str">
        <f>"2"</f>
        <v>2</v>
      </c>
      <c r="I461" t="str">
        <f t="shared" si="532"/>
        <v>1</v>
      </c>
      <c r="J461" t="str">
        <f t="shared" si="541"/>
        <v>F</v>
      </c>
      <c r="K461" t="str">
        <f t="shared" si="534"/>
        <v>170</v>
      </c>
      <c r="L461" t="str">
        <f>"41"</f>
        <v>41</v>
      </c>
      <c r="M461" t="str">
        <f>"001"</f>
        <v>001</v>
      </c>
      <c r="N461" t="str">
        <f t="shared" si="535"/>
        <v>1</v>
      </c>
      <c r="O461" t="str">
        <f>"9999"</f>
        <v>9999</v>
      </c>
      <c r="P461" t="str">
        <f>"S"</f>
        <v>S</v>
      </c>
      <c r="Q461" t="str">
        <f>"EPSS45"</f>
        <v>EPSS45</v>
      </c>
      <c r="R461" t="str">
        <f t="shared" si="509"/>
        <v>6</v>
      </c>
      <c r="S461" t="str">
        <f>""</f>
        <v/>
      </c>
      <c r="T461" t="str">
        <f t="shared" si="510"/>
        <v xml:space="preserve">                                                                                                    </v>
      </c>
      <c r="U461" t="str">
        <f>"3         "</f>
        <v xml:space="preserve">3         </v>
      </c>
      <c r="V461" t="str">
        <f t="shared" si="519"/>
        <v>2</v>
      </c>
      <c r="W461" t="str">
        <f t="shared" si="508"/>
        <v>2</v>
      </c>
      <c r="X461" t="str">
        <f t="shared" si="505"/>
        <v>2</v>
      </c>
      <c r="Y461" t="str">
        <f t="shared" si="540"/>
        <v>2</v>
      </c>
      <c r="Z461" t="str">
        <f t="shared" si="540"/>
        <v>2</v>
      </c>
      <c r="AA461" t="str">
        <f t="shared" si="525"/>
        <v xml:space="preserve">          </v>
      </c>
      <c r="AB461" t="str">
        <f t="shared" si="516"/>
        <v>2</v>
      </c>
      <c r="AC461" t="str">
        <f t="shared" si="517"/>
        <v>2</v>
      </c>
      <c r="AD461" t="str">
        <f t="shared" si="542"/>
        <v>2</v>
      </c>
      <c r="AE461" t="str">
        <f t="shared" si="542"/>
        <v>2</v>
      </c>
      <c r="AF461" t="str">
        <f t="shared" si="542"/>
        <v>2</v>
      </c>
      <c r="AG461" t="str">
        <f t="shared" si="542"/>
        <v>2</v>
      </c>
      <c r="AH461" t="str">
        <f t="shared" si="506"/>
        <v>1</v>
      </c>
      <c r="AI461" t="str">
        <f t="shared" si="531"/>
        <v xml:space="preserve">1         </v>
      </c>
      <c r="AJ461" t="str">
        <f t="shared" si="536"/>
        <v>170</v>
      </c>
      <c r="AK461" t="str">
        <f>"41"</f>
        <v>41</v>
      </c>
      <c r="AL461" t="str">
        <f>"001"</f>
        <v>001</v>
      </c>
      <c r="AM461" t="str">
        <f>"11"</f>
        <v>11</v>
      </c>
      <c r="AN461" t="str">
        <f>"11001"</f>
        <v>11001</v>
      </c>
      <c r="AO461" t="str">
        <f>"24/08/2020 12:00:00 a. m."</f>
        <v>24/08/2020 12:00:00 a. m.</v>
      </c>
      <c r="AP461" t="str">
        <f>"5/07/2020 12:00:00 a. m."</f>
        <v>5/07/2020 12:00:00 a. m.</v>
      </c>
      <c r="AQ461" t="str">
        <f t="shared" si="533"/>
        <v>3</v>
      </c>
      <c r="AR461" t="str">
        <f t="shared" si="500"/>
        <v>1</v>
      </c>
      <c r="AS461" t="str">
        <f>"24/08/2020 12:00:00 a. m."</f>
        <v>24/08/2020 12:00:00 a. m.</v>
      </c>
      <c r="AT461" t="str">
        <f t="shared" si="526"/>
        <v>1</v>
      </c>
      <c r="AU461" t="str">
        <f>""</f>
        <v/>
      </c>
      <c r="AV461" t="str">
        <f>"7"</f>
        <v>7</v>
      </c>
      <c r="AW461" t="str">
        <f>"29/05/2018 12:00:00 a. m."</f>
        <v>29/05/2018 12:00:00 a. m.</v>
      </c>
      <c r="AX461" t="str">
        <f>""</f>
        <v/>
      </c>
      <c r="AY461" t="str">
        <f t="shared" si="527"/>
        <v>30/04/2021 12:00:00 a. m.</v>
      </c>
      <c r="AZ461" t="str">
        <f>"16/02/2021 12:00:00 a. m."</f>
        <v>16/02/2021 12:00:00 a. m.</v>
      </c>
      <c r="BA461" t="str">
        <f>""</f>
        <v/>
      </c>
      <c r="BB461" t="str">
        <f>""</f>
        <v/>
      </c>
      <c r="BC461" t="str">
        <f>""</f>
        <v/>
      </c>
      <c r="BD461" t="str">
        <f t="shared" si="515"/>
        <v>1</v>
      </c>
      <c r="BE461" t="str">
        <f t="shared" si="515"/>
        <v>1</v>
      </c>
      <c r="BF461" t="str">
        <f t="shared" si="528"/>
        <v xml:space="preserve">3         </v>
      </c>
      <c r="BG461" t="str">
        <f t="shared" si="529"/>
        <v>Confirmado por laboratorio</v>
      </c>
      <c r="BH461" t="str">
        <f>"ESE INSTITUTO NACIONAL DE CANCEROLOGIA"</f>
        <v>ESE INSTITUTO NACIONAL DE CANCEROLOGIA</v>
      </c>
      <c r="BI461" t="str">
        <f t="shared" si="537"/>
        <v>COLOMBIA</v>
      </c>
      <c r="BJ461" t="str">
        <f t="shared" si="530"/>
        <v>CANCER INFANTIL</v>
      </c>
      <c r="BK461" t="str">
        <f>"HUILA"</f>
        <v>HUILA</v>
      </c>
      <c r="BL461" t="str">
        <f>"NEIVA"</f>
        <v>NEIVA</v>
      </c>
      <c r="BM461" t="str">
        <f t="shared" si="538"/>
        <v>COLOMBIA</v>
      </c>
      <c r="BN461" t="str">
        <f>"HUILA"</f>
        <v>HUILA</v>
      </c>
      <c r="BO461" t="str">
        <f>"NEIVA"</f>
        <v>NEIVA</v>
      </c>
      <c r="BP461" t="str">
        <f>"BOGOTA"</f>
        <v>BOGOTA</v>
      </c>
      <c r="BQ461" t="str">
        <f>"BOGOTA"</f>
        <v>BOGOTA</v>
      </c>
    </row>
    <row r="462" spans="1:69" x14ac:dyDescent="0.25">
      <c r="A462" t="str">
        <f>"7278953"</f>
        <v>7278953</v>
      </c>
      <c r="B462" t="str">
        <f t="shared" si="522"/>
        <v>459</v>
      </c>
      <c r="C462" t="str">
        <f>"14/12/2020 12:00:00 a. m."</f>
        <v>14/12/2020 12:00:00 a. m.</v>
      </c>
      <c r="D462" t="str">
        <f>"48"</f>
        <v>48</v>
      </c>
      <c r="E462" t="str">
        <f t="shared" si="523"/>
        <v>2020</v>
      </c>
      <c r="F462" t="str">
        <f>"0500102175"</f>
        <v>0500102175</v>
      </c>
      <c r="G462" t="str">
        <f t="shared" si="539"/>
        <v>01</v>
      </c>
      <c r="H462" t="str">
        <f>"1"</f>
        <v>1</v>
      </c>
      <c r="I462" t="str">
        <f t="shared" si="532"/>
        <v>1</v>
      </c>
      <c r="J462" t="str">
        <f t="shared" si="541"/>
        <v>F</v>
      </c>
      <c r="K462" t="str">
        <f t="shared" si="534"/>
        <v>170</v>
      </c>
      <c r="L462" t="str">
        <f>"41"</f>
        <v>41</v>
      </c>
      <c r="M462" t="str">
        <f>"001"</f>
        <v>001</v>
      </c>
      <c r="N462" t="str">
        <f t="shared" si="535"/>
        <v>1</v>
      </c>
      <c r="O462" t="str">
        <f>"9999"</f>
        <v>9999</v>
      </c>
      <c r="P462" t="str">
        <f>"P"</f>
        <v>P</v>
      </c>
      <c r="Q462" t="str">
        <f>"RES003"</f>
        <v>RES003</v>
      </c>
      <c r="R462" t="str">
        <f t="shared" si="509"/>
        <v>6</v>
      </c>
      <c r="S462" t="str">
        <f>""</f>
        <v/>
      </c>
      <c r="T462" t="str">
        <f t="shared" si="510"/>
        <v xml:space="preserve">                                                                                                    </v>
      </c>
      <c r="U462" t="str">
        <f>"2         "</f>
        <v xml:space="preserve">2         </v>
      </c>
      <c r="V462" t="str">
        <f t="shared" si="519"/>
        <v>2</v>
      </c>
      <c r="W462" t="str">
        <f t="shared" si="508"/>
        <v>2</v>
      </c>
      <c r="X462" t="str">
        <f t="shared" si="505"/>
        <v>2</v>
      </c>
      <c r="Y462" t="str">
        <f t="shared" si="540"/>
        <v>2</v>
      </c>
      <c r="Z462" t="str">
        <f t="shared" si="540"/>
        <v>2</v>
      </c>
      <c r="AA462" t="str">
        <f t="shared" si="525"/>
        <v xml:space="preserve">          </v>
      </c>
      <c r="AB462" t="str">
        <f t="shared" si="516"/>
        <v>2</v>
      </c>
      <c r="AC462" t="str">
        <f t="shared" si="517"/>
        <v>2</v>
      </c>
      <c r="AD462" t="str">
        <f t="shared" si="542"/>
        <v>2</v>
      </c>
      <c r="AE462" t="str">
        <f t="shared" si="542"/>
        <v>2</v>
      </c>
      <c r="AF462" t="str">
        <f t="shared" si="542"/>
        <v>2</v>
      </c>
      <c r="AG462" t="str">
        <f t="shared" si="542"/>
        <v>2</v>
      </c>
      <c r="AH462" t="str">
        <f t="shared" si="506"/>
        <v>1</v>
      </c>
      <c r="AI462" t="str">
        <f t="shared" si="531"/>
        <v xml:space="preserve">1         </v>
      </c>
      <c r="AJ462" t="str">
        <f t="shared" si="536"/>
        <v>170</v>
      </c>
      <c r="AK462" t="str">
        <f>"41"</f>
        <v>41</v>
      </c>
      <c r="AL462" t="str">
        <f>"001"</f>
        <v>001</v>
      </c>
      <c r="AM462" t="str">
        <f>"05"</f>
        <v>05</v>
      </c>
      <c r="AN462" t="str">
        <f>"05001"</f>
        <v>05001</v>
      </c>
      <c r="AO462" t="str">
        <f>"27/11/2020 12:00:00 a. m."</f>
        <v>27/11/2020 12:00:00 a. m.</v>
      </c>
      <c r="AP462" t="str">
        <f>"27/04/2020 12:00:00 a. m."</f>
        <v>27/04/2020 12:00:00 a. m.</v>
      </c>
      <c r="AQ462" t="str">
        <f t="shared" si="533"/>
        <v>3</v>
      </c>
      <c r="AR462" t="str">
        <f t="shared" si="500"/>
        <v>1</v>
      </c>
      <c r="AS462" t="str">
        <f>"6/12/2020 12:00:00 a. m."</f>
        <v>6/12/2020 12:00:00 a. m.</v>
      </c>
      <c r="AT462" t="str">
        <f t="shared" si="526"/>
        <v>1</v>
      </c>
      <c r="AU462" t="str">
        <f>""</f>
        <v/>
      </c>
      <c r="AV462" t="str">
        <f>"7"</f>
        <v>7</v>
      </c>
      <c r="AW462" t="str">
        <f>"29/04/2019 12:00:00 a. m."</f>
        <v>29/04/2019 12:00:00 a. m.</v>
      </c>
      <c r="AX462" t="str">
        <f>""</f>
        <v/>
      </c>
      <c r="AY462" t="str">
        <f t="shared" si="527"/>
        <v>30/04/2021 12:00:00 a. m.</v>
      </c>
      <c r="AZ462" t="str">
        <f>"28/12/2020 12:00:00 a. m."</f>
        <v>28/12/2020 12:00:00 a. m.</v>
      </c>
      <c r="BA462" t="str">
        <f>""</f>
        <v/>
      </c>
      <c r="BB462" t="str">
        <f>""</f>
        <v/>
      </c>
      <c r="BC462" t="str">
        <f>""</f>
        <v/>
      </c>
      <c r="BD462" t="str">
        <f t="shared" ref="BD462:BE481" si="543">"1"</f>
        <v>1</v>
      </c>
      <c r="BE462" t="str">
        <f t="shared" si="543"/>
        <v>1</v>
      </c>
      <c r="BF462" t="str">
        <f t="shared" si="528"/>
        <v xml:space="preserve">3         </v>
      </c>
      <c r="BG462" t="str">
        <f t="shared" si="529"/>
        <v>Confirmado por laboratorio</v>
      </c>
      <c r="BH462" t="str">
        <f>"FUNDACION HOSPITALARIA SAN VICENTE DE PAUL"</f>
        <v>FUNDACION HOSPITALARIA SAN VICENTE DE PAUL</v>
      </c>
      <c r="BI462" t="str">
        <f t="shared" si="537"/>
        <v>COLOMBIA</v>
      </c>
      <c r="BJ462" t="str">
        <f t="shared" si="530"/>
        <v>CANCER INFANTIL</v>
      </c>
      <c r="BK462" t="str">
        <f>"HUILA"</f>
        <v>HUILA</v>
      </c>
      <c r="BL462" t="str">
        <f>"NEIVA"</f>
        <v>NEIVA</v>
      </c>
      <c r="BM462" t="str">
        <f t="shared" si="538"/>
        <v>COLOMBIA</v>
      </c>
      <c r="BN462" t="str">
        <f>"HUILA"</f>
        <v>HUILA</v>
      </c>
      <c r="BO462" t="str">
        <f>"NEIVA"</f>
        <v>NEIVA</v>
      </c>
      <c r="BP462" t="str">
        <f>"ANTIOQUIA"</f>
        <v>ANTIOQUIA</v>
      </c>
      <c r="BQ462" t="str">
        <f>"MEDELLIN"</f>
        <v>MEDELLIN</v>
      </c>
    </row>
    <row r="463" spans="1:69" x14ac:dyDescent="0.25">
      <c r="A463" t="str">
        <f>"7278994"</f>
        <v>7278994</v>
      </c>
      <c r="B463" t="str">
        <f t="shared" si="522"/>
        <v>459</v>
      </c>
      <c r="C463" t="str">
        <f>"4/12/2020 12:00:00 a. m."</f>
        <v>4/12/2020 12:00:00 a. m.</v>
      </c>
      <c r="D463" t="str">
        <f>"43"</f>
        <v>43</v>
      </c>
      <c r="E463" t="str">
        <f t="shared" si="523"/>
        <v>2020</v>
      </c>
      <c r="F463" t="str">
        <f>"7600101111"</f>
        <v>7600101111</v>
      </c>
      <c r="G463" t="str">
        <f t="shared" si="539"/>
        <v>01</v>
      </c>
      <c r="H463" t="str">
        <f>"8"</f>
        <v>8</v>
      </c>
      <c r="I463" t="str">
        <f t="shared" si="532"/>
        <v>1</v>
      </c>
      <c r="J463" t="str">
        <f t="shared" si="541"/>
        <v>F</v>
      </c>
      <c r="K463" t="str">
        <f t="shared" si="534"/>
        <v>170</v>
      </c>
      <c r="L463" t="str">
        <f>"52"</f>
        <v>52</v>
      </c>
      <c r="M463" t="str">
        <f>"001"</f>
        <v>001</v>
      </c>
      <c r="N463" t="str">
        <f t="shared" si="535"/>
        <v>1</v>
      </c>
      <c r="O463" t="str">
        <f>"9999"</f>
        <v>9999</v>
      </c>
      <c r="P463" t="str">
        <f>"N"</f>
        <v>N</v>
      </c>
      <c r="Q463" t="str">
        <f>""</f>
        <v/>
      </c>
      <c r="R463" t="str">
        <f t="shared" si="509"/>
        <v>6</v>
      </c>
      <c r="S463" t="str">
        <f>""</f>
        <v/>
      </c>
      <c r="T463" t="str">
        <f t="shared" si="510"/>
        <v xml:space="preserve">                                                                                                    </v>
      </c>
      <c r="U463" t="str">
        <f>"          "</f>
        <v xml:space="preserve">          </v>
      </c>
      <c r="V463" t="str">
        <f t="shared" si="519"/>
        <v>2</v>
      </c>
      <c r="W463" t="str">
        <f t="shared" si="508"/>
        <v>2</v>
      </c>
      <c r="X463" t="str">
        <f t="shared" si="505"/>
        <v>2</v>
      </c>
      <c r="Y463" t="str">
        <f t="shared" si="540"/>
        <v>2</v>
      </c>
      <c r="Z463" t="str">
        <f t="shared" si="540"/>
        <v>2</v>
      </c>
      <c r="AA463" t="str">
        <f t="shared" si="525"/>
        <v xml:space="preserve">          </v>
      </c>
      <c r="AB463" t="str">
        <f t="shared" si="516"/>
        <v>2</v>
      </c>
      <c r="AC463" t="str">
        <f t="shared" si="517"/>
        <v>2</v>
      </c>
      <c r="AD463" t="str">
        <f t="shared" si="542"/>
        <v>2</v>
      </c>
      <c r="AE463" t="str">
        <f t="shared" si="542"/>
        <v>2</v>
      </c>
      <c r="AF463" t="str">
        <f t="shared" si="542"/>
        <v>2</v>
      </c>
      <c r="AG463" t="str">
        <f t="shared" si="542"/>
        <v>2</v>
      </c>
      <c r="AH463" t="str">
        <f t="shared" si="506"/>
        <v>1</v>
      </c>
      <c r="AI463" t="str">
        <f t="shared" si="531"/>
        <v xml:space="preserve">1         </v>
      </c>
      <c r="AJ463" t="str">
        <f t="shared" si="536"/>
        <v>170</v>
      </c>
      <c r="AK463" t="str">
        <f>"52"</f>
        <v>52</v>
      </c>
      <c r="AL463" t="str">
        <f>"001"</f>
        <v>001</v>
      </c>
      <c r="AM463" t="str">
        <f>"76"</f>
        <v>76</v>
      </c>
      <c r="AN463" t="str">
        <f>"76001"</f>
        <v>76001</v>
      </c>
      <c r="AO463" t="str">
        <f>"21/10/2020 12:00:00 a. m."</f>
        <v>21/10/2020 12:00:00 a. m.</v>
      </c>
      <c r="AP463" t="str">
        <f>"20/09/2020 12:00:00 a. m."</f>
        <v>20/09/2020 12:00:00 a. m.</v>
      </c>
      <c r="AQ463" t="str">
        <f t="shared" si="533"/>
        <v>3</v>
      </c>
      <c r="AR463" t="str">
        <f t="shared" si="500"/>
        <v>1</v>
      </c>
      <c r="AS463" t="str">
        <f>"21/10/2020 12:00:00 a. m."</f>
        <v>21/10/2020 12:00:00 a. m.</v>
      </c>
      <c r="AT463" t="str">
        <f t="shared" si="526"/>
        <v>1</v>
      </c>
      <c r="AU463" t="str">
        <f>""</f>
        <v/>
      </c>
      <c r="AV463" t="str">
        <f>"0"</f>
        <v>0</v>
      </c>
      <c r="AW463" t="str">
        <f>"16/05/2012 12:00:00 a. m."</f>
        <v>16/05/2012 12:00:00 a. m.</v>
      </c>
      <c r="AX463" t="str">
        <f>""</f>
        <v/>
      </c>
      <c r="AY463" t="str">
        <f t="shared" si="527"/>
        <v>30/04/2021 12:00:00 a. m.</v>
      </c>
      <c r="AZ463" t="str">
        <f>"4/12/2020 12:00:00 a. m."</f>
        <v>4/12/2020 12:00:00 a. m.</v>
      </c>
      <c r="BA463" t="str">
        <f>""</f>
        <v/>
      </c>
      <c r="BB463" t="str">
        <f>""</f>
        <v/>
      </c>
      <c r="BC463" t="str">
        <f>""</f>
        <v/>
      </c>
      <c r="BD463" t="str">
        <f t="shared" si="543"/>
        <v>1</v>
      </c>
      <c r="BE463" t="str">
        <f t="shared" si="543"/>
        <v>1</v>
      </c>
      <c r="BF463" t="str">
        <f t="shared" si="528"/>
        <v xml:space="preserve">3         </v>
      </c>
      <c r="BG463" t="str">
        <f t="shared" si="529"/>
        <v>Confirmado por laboratorio</v>
      </c>
      <c r="BH463" t="str">
        <f>"CENTRO MEDICO IMBANACO CMI"</f>
        <v>CENTRO MEDICO IMBANACO CMI</v>
      </c>
      <c r="BI463" t="str">
        <f t="shared" si="537"/>
        <v>COLOMBIA</v>
      </c>
      <c r="BJ463" t="str">
        <f t="shared" si="530"/>
        <v>CANCER INFANTIL</v>
      </c>
      <c r="BK463" t="str">
        <f>"NARIÑO"</f>
        <v>NARIÑO</v>
      </c>
      <c r="BL463" t="str">
        <f>"PASTO"</f>
        <v>PASTO</v>
      </c>
      <c r="BM463" t="str">
        <f t="shared" si="538"/>
        <v>COLOMBIA</v>
      </c>
      <c r="BN463" t="str">
        <f>"NARIÑO"</f>
        <v>NARIÑO</v>
      </c>
      <c r="BO463" t="str">
        <f>"PASTO"</f>
        <v>PASTO</v>
      </c>
      <c r="BP463" t="str">
        <f>"VALLE"</f>
        <v>VALLE</v>
      </c>
      <c r="BQ463" t="str">
        <f>"CALI"</f>
        <v>CALI</v>
      </c>
    </row>
    <row r="464" spans="1:69" x14ac:dyDescent="0.25">
      <c r="A464" t="str">
        <f>"7278988"</f>
        <v>7278988</v>
      </c>
      <c r="B464" t="str">
        <f t="shared" si="522"/>
        <v>459</v>
      </c>
      <c r="C464" t="str">
        <f>"1/02/2021 12:00:00 a. m."</f>
        <v>1/02/2021 12:00:00 a. m.</v>
      </c>
      <c r="D464" t="str">
        <f>"53"</f>
        <v>53</v>
      </c>
      <c r="E464" t="str">
        <f t="shared" si="523"/>
        <v>2020</v>
      </c>
      <c r="F464" t="str">
        <f>"1300101187"</f>
        <v>1300101187</v>
      </c>
      <c r="G464" t="str">
        <f t="shared" si="539"/>
        <v>01</v>
      </c>
      <c r="H464" t="str">
        <f>"12"</f>
        <v>12</v>
      </c>
      <c r="I464" t="str">
        <f t="shared" si="532"/>
        <v>1</v>
      </c>
      <c r="J464" t="str">
        <f t="shared" si="541"/>
        <v>F</v>
      </c>
      <c r="K464" t="str">
        <f t="shared" si="534"/>
        <v>170</v>
      </c>
      <c r="L464" t="str">
        <f>"13"</f>
        <v>13</v>
      </c>
      <c r="M464" t="str">
        <f>"468"</f>
        <v>468</v>
      </c>
      <c r="N464" t="str">
        <f>"2"</f>
        <v>2</v>
      </c>
      <c r="O464" t="str">
        <f>"9997"</f>
        <v>9997</v>
      </c>
      <c r="P464" t="str">
        <f>"S"</f>
        <v>S</v>
      </c>
      <c r="Q464" t="str">
        <f>"EPSS41"</f>
        <v>EPSS41</v>
      </c>
      <c r="R464" t="str">
        <f t="shared" si="509"/>
        <v>6</v>
      </c>
      <c r="S464" t="str">
        <f>""</f>
        <v/>
      </c>
      <c r="T464" t="str">
        <f t="shared" si="510"/>
        <v xml:space="preserve">                                                                                                    </v>
      </c>
      <c r="U464" t="str">
        <f>"1         "</f>
        <v xml:space="preserve">1         </v>
      </c>
      <c r="V464" t="str">
        <f t="shared" si="519"/>
        <v>2</v>
      </c>
      <c r="W464" t="str">
        <f t="shared" si="508"/>
        <v>2</v>
      </c>
      <c r="X464" t="str">
        <f t="shared" si="505"/>
        <v>2</v>
      </c>
      <c r="Y464" t="str">
        <f t="shared" si="540"/>
        <v>2</v>
      </c>
      <c r="Z464" t="str">
        <f t="shared" si="540"/>
        <v>2</v>
      </c>
      <c r="AA464" t="str">
        <f t="shared" si="525"/>
        <v xml:space="preserve">          </v>
      </c>
      <c r="AB464" t="str">
        <f t="shared" si="516"/>
        <v>2</v>
      </c>
      <c r="AC464" t="str">
        <f t="shared" si="517"/>
        <v>2</v>
      </c>
      <c r="AD464" t="str">
        <f t="shared" si="542"/>
        <v>2</v>
      </c>
      <c r="AE464" t="str">
        <f t="shared" si="542"/>
        <v>2</v>
      </c>
      <c r="AF464" t="str">
        <f t="shared" si="542"/>
        <v>2</v>
      </c>
      <c r="AG464" t="str">
        <f t="shared" si="542"/>
        <v>2</v>
      </c>
      <c r="AH464" t="str">
        <f t="shared" si="506"/>
        <v>1</v>
      </c>
      <c r="AI464" t="str">
        <f t="shared" si="531"/>
        <v xml:space="preserve">1         </v>
      </c>
      <c r="AJ464" t="str">
        <f t="shared" si="536"/>
        <v>170</v>
      </c>
      <c r="AK464" t="str">
        <f>"13"</f>
        <v>13</v>
      </c>
      <c r="AL464" t="str">
        <f>"468"</f>
        <v>468</v>
      </c>
      <c r="AM464" t="str">
        <f>"13"</f>
        <v>13</v>
      </c>
      <c r="AN464" t="str">
        <f>"13001"</f>
        <v>13001</v>
      </c>
      <c r="AO464" t="str">
        <f>"29/12/2020 12:00:00 a. m."</f>
        <v>29/12/2020 12:00:00 a. m.</v>
      </c>
      <c r="AP464" t="str">
        <f>"29/11/2020 12:00:00 a. m."</f>
        <v>29/11/2020 12:00:00 a. m.</v>
      </c>
      <c r="AQ464" t="str">
        <f t="shared" si="533"/>
        <v>3</v>
      </c>
      <c r="AR464" t="str">
        <f t="shared" si="500"/>
        <v>1</v>
      </c>
      <c r="AS464" t="str">
        <f>"29/12/2020 12:00:00 a. m."</f>
        <v>29/12/2020 12:00:00 a. m.</v>
      </c>
      <c r="AT464" t="str">
        <f t="shared" si="526"/>
        <v>1</v>
      </c>
      <c r="AU464" t="str">
        <f>""</f>
        <v/>
      </c>
      <c r="AV464" t="str">
        <f>"0"</f>
        <v>0</v>
      </c>
      <c r="AW464" t="str">
        <f>"3/08/2008 12:00:00 a. m."</f>
        <v>3/08/2008 12:00:00 a. m.</v>
      </c>
      <c r="AX464" t="str">
        <f>""</f>
        <v/>
      </c>
      <c r="AY464" t="str">
        <f t="shared" si="527"/>
        <v>30/04/2021 12:00:00 a. m.</v>
      </c>
      <c r="AZ464" t="str">
        <f>"1/02/2021 12:00:00 a. m."</f>
        <v>1/02/2021 12:00:00 a. m.</v>
      </c>
      <c r="BA464" t="str">
        <f>""</f>
        <v/>
      </c>
      <c r="BB464" t="str">
        <f>""</f>
        <v/>
      </c>
      <c r="BC464" t="str">
        <f>""</f>
        <v/>
      </c>
      <c r="BD464" t="str">
        <f t="shared" si="543"/>
        <v>1</v>
      </c>
      <c r="BE464" t="str">
        <f t="shared" si="543"/>
        <v>1</v>
      </c>
      <c r="BF464" t="str">
        <f t="shared" si="528"/>
        <v xml:space="preserve">3         </v>
      </c>
      <c r="BG464" t="str">
        <f t="shared" si="529"/>
        <v>Confirmado por laboratorio</v>
      </c>
      <c r="BH464" t="str">
        <f>"HOSPITAL INFANTIL NAPOLEON FRANCO PAREJA"</f>
        <v>HOSPITAL INFANTIL NAPOLEON FRANCO PAREJA</v>
      </c>
      <c r="BI464" t="str">
        <f t="shared" si="537"/>
        <v>COLOMBIA</v>
      </c>
      <c r="BJ464" t="str">
        <f t="shared" si="530"/>
        <v>CANCER INFANTIL</v>
      </c>
      <c r="BK464" t="str">
        <f>"BOLIVAR"</f>
        <v>BOLIVAR</v>
      </c>
      <c r="BL464" t="str">
        <f>"MOMPOS"</f>
        <v>MOMPOS</v>
      </c>
      <c r="BM464" t="str">
        <f t="shared" si="538"/>
        <v>COLOMBIA</v>
      </c>
      <c r="BN464" t="str">
        <f>"BOLIVAR"</f>
        <v>BOLIVAR</v>
      </c>
      <c r="BO464" t="str">
        <f>"MOMPOS"</f>
        <v>MOMPOS</v>
      </c>
      <c r="BP464" t="str">
        <f>"BOLIVAR"</f>
        <v>BOLIVAR</v>
      </c>
      <c r="BQ464" t="str">
        <f>"CARTAGENA"</f>
        <v>CARTAGENA</v>
      </c>
    </row>
    <row r="465" spans="1:69" x14ac:dyDescent="0.25">
      <c r="A465" t="str">
        <f>"7278930"</f>
        <v>7278930</v>
      </c>
      <c r="B465" t="str">
        <f t="shared" si="522"/>
        <v>459</v>
      </c>
      <c r="C465" t="str">
        <f>"21/09/2020 12:00:00 a. m."</f>
        <v>21/09/2020 12:00:00 a. m.</v>
      </c>
      <c r="D465" t="str">
        <f>"38"</f>
        <v>38</v>
      </c>
      <c r="E465" t="str">
        <f t="shared" si="523"/>
        <v>2020</v>
      </c>
      <c r="F465" t="str">
        <f>"1100105681"</f>
        <v>1100105681</v>
      </c>
      <c r="G465" t="str">
        <f t="shared" si="539"/>
        <v>01</v>
      </c>
      <c r="H465" t="str">
        <f>"14"</f>
        <v>14</v>
      </c>
      <c r="I465" t="str">
        <f t="shared" si="532"/>
        <v>1</v>
      </c>
      <c r="J465" t="str">
        <f t="shared" si="541"/>
        <v>F</v>
      </c>
      <c r="K465" t="str">
        <f t="shared" si="534"/>
        <v>170</v>
      </c>
      <c r="L465" t="str">
        <f>"25"</f>
        <v>25</v>
      </c>
      <c r="M465" t="str">
        <f>"754"</f>
        <v>754</v>
      </c>
      <c r="N465" t="str">
        <f>"1"</f>
        <v>1</v>
      </c>
      <c r="O465" t="str">
        <f>"9997"</f>
        <v>9997</v>
      </c>
      <c r="P465" t="str">
        <f>"C"</f>
        <v>C</v>
      </c>
      <c r="Q465" t="str">
        <f>"EPS002"</f>
        <v>EPS002</v>
      </c>
      <c r="R465" t="str">
        <f t="shared" si="509"/>
        <v>6</v>
      </c>
      <c r="S465" t="str">
        <f>""</f>
        <v/>
      </c>
      <c r="T465" t="str">
        <f t="shared" si="510"/>
        <v xml:space="preserve">                                                                                                    </v>
      </c>
      <c r="U465" t="str">
        <f>"1         "</f>
        <v xml:space="preserve">1         </v>
      </c>
      <c r="V465" t="str">
        <f t="shared" si="519"/>
        <v>2</v>
      </c>
      <c r="W465" t="str">
        <f t="shared" si="508"/>
        <v>2</v>
      </c>
      <c r="X465" t="str">
        <f t="shared" si="505"/>
        <v>2</v>
      </c>
      <c r="Y465" t="str">
        <f t="shared" si="540"/>
        <v>2</v>
      </c>
      <c r="Z465" t="str">
        <f t="shared" si="540"/>
        <v>2</v>
      </c>
      <c r="AA465" t="str">
        <f t="shared" si="525"/>
        <v xml:space="preserve">          </v>
      </c>
      <c r="AB465" t="str">
        <f t="shared" si="516"/>
        <v>2</v>
      </c>
      <c r="AC465" t="str">
        <f t="shared" si="517"/>
        <v>2</v>
      </c>
      <c r="AD465" t="str">
        <f t="shared" si="542"/>
        <v>2</v>
      </c>
      <c r="AE465" t="str">
        <f t="shared" si="542"/>
        <v>2</v>
      </c>
      <c r="AF465" t="str">
        <f t="shared" si="542"/>
        <v>2</v>
      </c>
      <c r="AG465" t="str">
        <f t="shared" si="542"/>
        <v>2</v>
      </c>
      <c r="AH465" t="str">
        <f t="shared" si="506"/>
        <v>1</v>
      </c>
      <c r="AI465" t="str">
        <f t="shared" si="531"/>
        <v xml:space="preserve">1         </v>
      </c>
      <c r="AJ465" t="str">
        <f t="shared" si="536"/>
        <v>170</v>
      </c>
      <c r="AK465" t="str">
        <f>"25"</f>
        <v>25</v>
      </c>
      <c r="AL465" t="str">
        <f>"754"</f>
        <v>754</v>
      </c>
      <c r="AM465" t="str">
        <f>"11"</f>
        <v>11</v>
      </c>
      <c r="AN465" t="str">
        <f>"11001"</f>
        <v>11001</v>
      </c>
      <c r="AO465" t="str">
        <f>"13/09/2020 12:00:00 a. m."</f>
        <v>13/09/2020 12:00:00 a. m.</v>
      </c>
      <c r="AP465" t="str">
        <f>"1/09/2020 12:00:00 a. m."</f>
        <v>1/09/2020 12:00:00 a. m.</v>
      </c>
      <c r="AQ465" t="str">
        <f t="shared" si="533"/>
        <v>3</v>
      </c>
      <c r="AR465" t="str">
        <f t="shared" si="500"/>
        <v>1</v>
      </c>
      <c r="AS465" t="str">
        <f>"13/09/2020 12:00:00 a. m."</f>
        <v>13/09/2020 12:00:00 a. m.</v>
      </c>
      <c r="AT465" t="str">
        <f t="shared" si="526"/>
        <v>1</v>
      </c>
      <c r="AU465" t="str">
        <f>""</f>
        <v/>
      </c>
      <c r="AV465" t="str">
        <f>"0"</f>
        <v>0</v>
      </c>
      <c r="AW465" t="str">
        <f>"3/10/2005 12:00:00 a. m."</f>
        <v>3/10/2005 12:00:00 a. m.</v>
      </c>
      <c r="AX465" t="str">
        <f>""</f>
        <v/>
      </c>
      <c r="AY465" t="str">
        <f t="shared" si="527"/>
        <v>30/04/2021 12:00:00 a. m.</v>
      </c>
      <c r="AZ465" t="str">
        <f>"29/09/2020 12:00:00 a. m."</f>
        <v>29/09/2020 12:00:00 a. m.</v>
      </c>
      <c r="BA465" t="str">
        <f>""</f>
        <v/>
      </c>
      <c r="BB465" t="str">
        <f>""</f>
        <v/>
      </c>
      <c r="BC465" t="str">
        <f>""</f>
        <v/>
      </c>
      <c r="BD465" t="str">
        <f t="shared" si="543"/>
        <v>1</v>
      </c>
      <c r="BE465" t="str">
        <f t="shared" si="543"/>
        <v>1</v>
      </c>
      <c r="BF465" t="str">
        <f t="shared" si="528"/>
        <v xml:space="preserve">3         </v>
      </c>
      <c r="BG465" t="str">
        <f t="shared" si="529"/>
        <v>Confirmado por laboratorio</v>
      </c>
      <c r="BH465" t="str">
        <f>"FUNDACION HOSPITAL DE LA MISERICORDIA"</f>
        <v>FUNDACION HOSPITAL DE LA MISERICORDIA</v>
      </c>
      <c r="BI465" t="str">
        <f t="shared" si="537"/>
        <v>COLOMBIA</v>
      </c>
      <c r="BJ465" t="str">
        <f t="shared" si="530"/>
        <v>CANCER INFANTIL</v>
      </c>
      <c r="BK465" t="str">
        <f>"CUNDINAMARCA"</f>
        <v>CUNDINAMARCA</v>
      </c>
      <c r="BL465" t="str">
        <f>"SOACHA"</f>
        <v>SOACHA</v>
      </c>
      <c r="BM465" t="str">
        <f t="shared" si="538"/>
        <v>COLOMBIA</v>
      </c>
      <c r="BN465" t="str">
        <f>"CUNDINAMARCA"</f>
        <v>CUNDINAMARCA</v>
      </c>
      <c r="BO465" t="str">
        <f>"SOACHA"</f>
        <v>SOACHA</v>
      </c>
      <c r="BP465" t="str">
        <f>"BOGOTA"</f>
        <v>BOGOTA</v>
      </c>
      <c r="BQ465" t="str">
        <f>"BOGOTA"</f>
        <v>BOGOTA</v>
      </c>
    </row>
    <row r="466" spans="1:69" x14ac:dyDescent="0.25">
      <c r="A466" t="str">
        <f>"7278933"</f>
        <v>7278933</v>
      </c>
      <c r="B466" t="str">
        <f t="shared" si="522"/>
        <v>459</v>
      </c>
      <c r="C466" t="str">
        <f>"27/02/2020 12:00:00 a. m."</f>
        <v>27/02/2020 12:00:00 a. m.</v>
      </c>
      <c r="D466" t="str">
        <f>"07"</f>
        <v>07</v>
      </c>
      <c r="E466" t="str">
        <f t="shared" si="523"/>
        <v>2020</v>
      </c>
      <c r="F466" t="str">
        <f>"1100105681"</f>
        <v>1100105681</v>
      </c>
      <c r="G466" t="str">
        <f t="shared" si="539"/>
        <v>01</v>
      </c>
      <c r="H466" t="str">
        <f>"4"</f>
        <v>4</v>
      </c>
      <c r="I466" t="str">
        <f>"2"</f>
        <v>2</v>
      </c>
      <c r="J466" t="str">
        <f t="shared" si="541"/>
        <v>F</v>
      </c>
      <c r="K466" t="str">
        <f t="shared" si="534"/>
        <v>170</v>
      </c>
      <c r="L466" t="str">
        <f>"25"</f>
        <v>25</v>
      </c>
      <c r="M466" t="str">
        <f>"754"</f>
        <v>754</v>
      </c>
      <c r="N466" t="str">
        <f>"1"</f>
        <v>1</v>
      </c>
      <c r="O466" t="str">
        <f>"9999"</f>
        <v>9999</v>
      </c>
      <c r="P466" t="str">
        <f>"C"</f>
        <v>C</v>
      </c>
      <c r="Q466" t="str">
        <f>"EPS002"</f>
        <v>EPS002</v>
      </c>
      <c r="R466" t="str">
        <f t="shared" si="509"/>
        <v>6</v>
      </c>
      <c r="S466" t="str">
        <f>""</f>
        <v/>
      </c>
      <c r="T466" t="str">
        <f t="shared" si="510"/>
        <v xml:space="preserve">                                                                                                    </v>
      </c>
      <c r="U466" t="str">
        <f>"2         "</f>
        <v xml:space="preserve">2         </v>
      </c>
      <c r="V466" t="str">
        <f t="shared" si="519"/>
        <v>2</v>
      </c>
      <c r="W466" t="str">
        <f t="shared" si="508"/>
        <v>2</v>
      </c>
      <c r="X466" t="str">
        <f t="shared" si="505"/>
        <v>2</v>
      </c>
      <c r="Y466" t="str">
        <f t="shared" si="540"/>
        <v>2</v>
      </c>
      <c r="Z466" t="str">
        <f t="shared" si="540"/>
        <v>2</v>
      </c>
      <c r="AA466" t="str">
        <f t="shared" si="525"/>
        <v xml:space="preserve">          </v>
      </c>
      <c r="AB466" t="str">
        <f t="shared" si="516"/>
        <v>2</v>
      </c>
      <c r="AC466" t="str">
        <f t="shared" si="517"/>
        <v>2</v>
      </c>
      <c r="AD466" t="str">
        <f t="shared" si="542"/>
        <v>2</v>
      </c>
      <c r="AE466" t="str">
        <f t="shared" si="542"/>
        <v>2</v>
      </c>
      <c r="AF466" t="str">
        <f t="shared" si="542"/>
        <v>2</v>
      </c>
      <c r="AG466" t="str">
        <f t="shared" si="542"/>
        <v>2</v>
      </c>
      <c r="AH466" t="str">
        <f t="shared" si="506"/>
        <v>1</v>
      </c>
      <c r="AI466" t="str">
        <f t="shared" si="531"/>
        <v xml:space="preserve">1         </v>
      </c>
      <c r="AJ466" t="str">
        <f t="shared" si="536"/>
        <v>170</v>
      </c>
      <c r="AK466" t="str">
        <f>"25"</f>
        <v>25</v>
      </c>
      <c r="AL466" t="str">
        <f>"754"</f>
        <v>754</v>
      </c>
      <c r="AM466" t="str">
        <f>"11"</f>
        <v>11</v>
      </c>
      <c r="AN466" t="str">
        <f>"11001"</f>
        <v>11001</v>
      </c>
      <c r="AO466" t="str">
        <f>"14/02/2020 12:00:00 a. m."</f>
        <v>14/02/2020 12:00:00 a. m.</v>
      </c>
      <c r="AP466" t="str">
        <f>"20/01/2020 12:00:00 a. m."</f>
        <v>20/01/2020 12:00:00 a. m.</v>
      </c>
      <c r="AQ466" t="str">
        <f t="shared" si="533"/>
        <v>3</v>
      </c>
      <c r="AR466" t="str">
        <f t="shared" si="500"/>
        <v>1</v>
      </c>
      <c r="AS466" t="str">
        <f>"14/02/2020 12:00:00 a. m."</f>
        <v>14/02/2020 12:00:00 a. m.</v>
      </c>
      <c r="AT466" t="str">
        <f>"2"</f>
        <v>2</v>
      </c>
      <c r="AU466" t="str">
        <f>"3/11/2020 12:00:00 a. m."</f>
        <v>3/11/2020 12:00:00 a. m.</v>
      </c>
      <c r="AV466" t="str">
        <f>"7"</f>
        <v>7</v>
      </c>
      <c r="AW466" t="str">
        <f>"10/11/2019 12:00:00 a. m."</f>
        <v>10/11/2019 12:00:00 a. m.</v>
      </c>
      <c r="AX466" t="str">
        <f>"J189"</f>
        <v>J189</v>
      </c>
      <c r="AY466" t="str">
        <f t="shared" si="527"/>
        <v>30/04/2021 12:00:00 a. m.</v>
      </c>
      <c r="AZ466" t="str">
        <f>"2/02/2021 12:00:00 a. m."</f>
        <v>2/02/2021 12:00:00 a. m.</v>
      </c>
      <c r="BA466" t="str">
        <f>""</f>
        <v/>
      </c>
      <c r="BB466" t="str">
        <f>""</f>
        <v/>
      </c>
      <c r="BC466" t="str">
        <f>""</f>
        <v/>
      </c>
      <c r="BD466" t="str">
        <f t="shared" si="543"/>
        <v>1</v>
      </c>
      <c r="BE466" t="str">
        <f t="shared" si="543"/>
        <v>1</v>
      </c>
      <c r="BF466" t="str">
        <f t="shared" si="528"/>
        <v xml:space="preserve">3         </v>
      </c>
      <c r="BG466" t="str">
        <f t="shared" si="529"/>
        <v>Confirmado por laboratorio</v>
      </c>
      <c r="BH466" t="str">
        <f>"FUNDACION HOSPITAL DE LA MISERICORDIA"</f>
        <v>FUNDACION HOSPITAL DE LA MISERICORDIA</v>
      </c>
      <c r="BI466" t="str">
        <f t="shared" si="537"/>
        <v>COLOMBIA</v>
      </c>
      <c r="BJ466" t="str">
        <f t="shared" si="530"/>
        <v>CANCER INFANTIL</v>
      </c>
      <c r="BK466" t="str">
        <f>"CUNDINAMARCA"</f>
        <v>CUNDINAMARCA</v>
      </c>
      <c r="BL466" t="str">
        <f>"SOACHA"</f>
        <v>SOACHA</v>
      </c>
      <c r="BM466" t="str">
        <f t="shared" si="538"/>
        <v>COLOMBIA</v>
      </c>
      <c r="BN466" t="str">
        <f>"CUNDINAMARCA"</f>
        <v>CUNDINAMARCA</v>
      </c>
      <c r="BO466" t="str">
        <f>"SOACHA"</f>
        <v>SOACHA</v>
      </c>
      <c r="BP466" t="str">
        <f>"BOGOTA"</f>
        <v>BOGOTA</v>
      </c>
      <c r="BQ466" t="str">
        <f>"BOGOTA"</f>
        <v>BOGOTA</v>
      </c>
    </row>
    <row r="467" spans="1:69" x14ac:dyDescent="0.25">
      <c r="A467" t="str">
        <f>"7279055"</f>
        <v>7279055</v>
      </c>
      <c r="B467" t="str">
        <f t="shared" si="522"/>
        <v>459</v>
      </c>
      <c r="C467" t="str">
        <f>"9/05/2020 12:00:00 a. m."</f>
        <v>9/05/2020 12:00:00 a. m.</v>
      </c>
      <c r="D467" t="str">
        <f>"13"</f>
        <v>13</v>
      </c>
      <c r="E467" t="str">
        <f t="shared" si="523"/>
        <v>2020</v>
      </c>
      <c r="F467" t="str">
        <f>"1300100568"</f>
        <v>1300100568</v>
      </c>
      <c r="G467" t="str">
        <f t="shared" si="539"/>
        <v>01</v>
      </c>
      <c r="H467" t="str">
        <f>"10"</f>
        <v>10</v>
      </c>
      <c r="I467" t="str">
        <f t="shared" ref="I467:I498" si="544">"1"</f>
        <v>1</v>
      </c>
      <c r="J467" t="str">
        <f>"M"</f>
        <v>M</v>
      </c>
      <c r="K467" t="str">
        <f t="shared" si="534"/>
        <v>170</v>
      </c>
      <c r="L467" t="str">
        <f>"47"</f>
        <v>47</v>
      </c>
      <c r="M467" t="str">
        <f>"555"</f>
        <v>555</v>
      </c>
      <c r="N467" t="str">
        <f>"2"</f>
        <v>2</v>
      </c>
      <c r="O467" t="str">
        <f>"9997"</f>
        <v>9997</v>
      </c>
      <c r="P467" t="str">
        <f>"S"</f>
        <v>S</v>
      </c>
      <c r="Q467" t="str">
        <f>"ESS207"</f>
        <v>ESS207</v>
      </c>
      <c r="R467" t="str">
        <f t="shared" si="509"/>
        <v>6</v>
      </c>
      <c r="S467" t="str">
        <f>""</f>
        <v/>
      </c>
      <c r="T467" t="str">
        <f t="shared" si="510"/>
        <v xml:space="preserve">                                                                                                    </v>
      </c>
      <c r="U467" t="str">
        <f>"2         "</f>
        <v xml:space="preserve">2         </v>
      </c>
      <c r="V467" t="str">
        <f t="shared" si="519"/>
        <v>2</v>
      </c>
      <c r="W467" t="str">
        <f t="shared" si="508"/>
        <v>2</v>
      </c>
      <c r="X467" t="str">
        <f t="shared" si="505"/>
        <v>2</v>
      </c>
      <c r="Y467" t="str">
        <f t="shared" si="540"/>
        <v>2</v>
      </c>
      <c r="Z467" t="str">
        <f t="shared" si="540"/>
        <v>2</v>
      </c>
      <c r="AA467" t="str">
        <f t="shared" si="525"/>
        <v xml:space="preserve">          </v>
      </c>
      <c r="AB467" t="str">
        <f t="shared" si="516"/>
        <v>2</v>
      </c>
      <c r="AC467" t="str">
        <f t="shared" si="517"/>
        <v>2</v>
      </c>
      <c r="AD467" t="str">
        <f t="shared" si="542"/>
        <v>2</v>
      </c>
      <c r="AE467" t="str">
        <f t="shared" si="542"/>
        <v>2</v>
      </c>
      <c r="AF467" t="str">
        <f t="shared" si="542"/>
        <v>2</v>
      </c>
      <c r="AG467" t="str">
        <f t="shared" si="542"/>
        <v>2</v>
      </c>
      <c r="AH467" t="str">
        <f t="shared" si="506"/>
        <v>1</v>
      </c>
      <c r="AI467" t="str">
        <f t="shared" si="531"/>
        <v xml:space="preserve">1         </v>
      </c>
      <c r="AJ467" t="str">
        <f t="shared" si="536"/>
        <v>170</v>
      </c>
      <c r="AK467" t="str">
        <f>"47"</f>
        <v>47</v>
      </c>
      <c r="AL467" t="str">
        <f>"555"</f>
        <v>555</v>
      </c>
      <c r="AM467" t="str">
        <f>"13"</f>
        <v>13</v>
      </c>
      <c r="AN467" t="str">
        <f>"13001"</f>
        <v>13001</v>
      </c>
      <c r="AO467" t="str">
        <f>"28/03/2020 12:00:00 a. m."</f>
        <v>28/03/2020 12:00:00 a. m.</v>
      </c>
      <c r="AP467" t="str">
        <f>"2/01/2020 12:00:00 a. m."</f>
        <v>2/01/2020 12:00:00 a. m.</v>
      </c>
      <c r="AQ467" t="str">
        <f t="shared" si="533"/>
        <v>3</v>
      </c>
      <c r="AR467" t="str">
        <f t="shared" si="500"/>
        <v>1</v>
      </c>
      <c r="AS467" t="str">
        <f>"28/03/2020 12:00:00 a. m."</f>
        <v>28/03/2020 12:00:00 a. m.</v>
      </c>
      <c r="AT467" t="str">
        <f>"2"</f>
        <v>2</v>
      </c>
      <c r="AU467" t="str">
        <f>"29/07/2020 12:00:00 a. m."</f>
        <v>29/07/2020 12:00:00 a. m.</v>
      </c>
      <c r="AV467" t="str">
        <f>"7"</f>
        <v>7</v>
      </c>
      <c r="AW467" t="str">
        <f>"29/11/2009 12:00:00 a. m."</f>
        <v>29/11/2009 12:00:00 a. m.</v>
      </c>
      <c r="AX467" t="str">
        <f>"C917"</f>
        <v>C917</v>
      </c>
      <c r="AY467" t="str">
        <f t="shared" si="527"/>
        <v>30/04/2021 12:00:00 a. m.</v>
      </c>
      <c r="AZ467" t="str">
        <f>"31/07/2020 12:00:00 a. m."</f>
        <v>31/07/2020 12:00:00 a. m.</v>
      </c>
      <c r="BA467" t="str">
        <f>""</f>
        <v/>
      </c>
      <c r="BB467" t="str">
        <f>""</f>
        <v/>
      </c>
      <c r="BC467" t="str">
        <f>""</f>
        <v/>
      </c>
      <c r="BD467" t="str">
        <f t="shared" si="543"/>
        <v>1</v>
      </c>
      <c r="BE467" t="str">
        <f t="shared" si="543"/>
        <v>1</v>
      </c>
      <c r="BF467" t="str">
        <f t="shared" si="528"/>
        <v xml:space="preserve">3         </v>
      </c>
      <c r="BG467" t="str">
        <f t="shared" si="529"/>
        <v>Confirmado por laboratorio</v>
      </c>
      <c r="BH467" t="str">
        <f>"CLINICA BLAS DE LEZO S.A."</f>
        <v>CLINICA BLAS DE LEZO S.A.</v>
      </c>
      <c r="BI467" t="str">
        <f t="shared" si="537"/>
        <v>COLOMBIA</v>
      </c>
      <c r="BJ467" t="str">
        <f t="shared" si="530"/>
        <v>CANCER INFANTIL</v>
      </c>
      <c r="BK467" t="str">
        <f>"MAGDALENA"</f>
        <v>MAGDALENA</v>
      </c>
      <c r="BL467" t="str">
        <f>"PLATO"</f>
        <v>PLATO</v>
      </c>
      <c r="BM467" t="str">
        <f t="shared" si="538"/>
        <v>COLOMBIA</v>
      </c>
      <c r="BN467" t="str">
        <f>"MAGDALENA"</f>
        <v>MAGDALENA</v>
      </c>
      <c r="BO467" t="str">
        <f>"PLATO"</f>
        <v>PLATO</v>
      </c>
      <c r="BP467" t="str">
        <f>"BOLIVAR"</f>
        <v>BOLIVAR</v>
      </c>
      <c r="BQ467" t="str">
        <f>"CARTAGENA"</f>
        <v>CARTAGENA</v>
      </c>
    </row>
    <row r="468" spans="1:69" x14ac:dyDescent="0.25">
      <c r="A468" t="str">
        <f>"7278968"</f>
        <v>7278968</v>
      </c>
      <c r="B468" t="str">
        <f t="shared" si="522"/>
        <v>459</v>
      </c>
      <c r="C468" t="str">
        <f>"29/09/2020 12:00:00 a. m."</f>
        <v>29/09/2020 12:00:00 a. m.</v>
      </c>
      <c r="D468" t="str">
        <f>"39"</f>
        <v>39</v>
      </c>
      <c r="E468" t="str">
        <f t="shared" si="523"/>
        <v>2020</v>
      </c>
      <c r="F468" t="str">
        <f>"1100108258"</f>
        <v>1100108258</v>
      </c>
      <c r="G468" t="str">
        <f t="shared" si="539"/>
        <v>01</v>
      </c>
      <c r="H468" t="str">
        <f>"7"</f>
        <v>7</v>
      </c>
      <c r="I468" t="str">
        <f t="shared" si="544"/>
        <v>1</v>
      </c>
      <c r="J468" t="str">
        <f>"M"</f>
        <v>M</v>
      </c>
      <c r="K468" t="str">
        <f t="shared" si="534"/>
        <v>170</v>
      </c>
      <c r="L468" t="str">
        <f>"41"</f>
        <v>41</v>
      </c>
      <c r="M468" t="str">
        <f>"244"</f>
        <v>244</v>
      </c>
      <c r="N468" t="str">
        <f>"1"</f>
        <v>1</v>
      </c>
      <c r="O468" t="str">
        <f>"9999"</f>
        <v>9999</v>
      </c>
      <c r="P468" t="str">
        <f>"S"</f>
        <v>S</v>
      </c>
      <c r="Q468" t="str">
        <f>"ESS062"</f>
        <v>ESS062</v>
      </c>
      <c r="R468" t="str">
        <f t="shared" si="509"/>
        <v>6</v>
      </c>
      <c r="S468" t="str">
        <f>""</f>
        <v/>
      </c>
      <c r="T468" t="str">
        <f t="shared" si="510"/>
        <v xml:space="preserve">                                                                                                    </v>
      </c>
      <c r="U468" t="str">
        <f>"2         "</f>
        <v xml:space="preserve">2         </v>
      </c>
      <c r="V468" t="str">
        <f t="shared" si="519"/>
        <v>2</v>
      </c>
      <c r="W468" t="str">
        <f t="shared" si="508"/>
        <v>2</v>
      </c>
      <c r="X468" t="str">
        <f t="shared" si="505"/>
        <v>2</v>
      </c>
      <c r="Y468" t="str">
        <f t="shared" si="540"/>
        <v>2</v>
      </c>
      <c r="Z468" t="str">
        <f t="shared" si="540"/>
        <v>2</v>
      </c>
      <c r="AA468" t="str">
        <f t="shared" si="525"/>
        <v xml:space="preserve">          </v>
      </c>
      <c r="AB468" t="str">
        <f t="shared" si="516"/>
        <v>2</v>
      </c>
      <c r="AC468" t="str">
        <f t="shared" si="517"/>
        <v>2</v>
      </c>
      <c r="AD468" t="str">
        <f t="shared" si="542"/>
        <v>2</v>
      </c>
      <c r="AE468" t="str">
        <f t="shared" si="542"/>
        <v>2</v>
      </c>
      <c r="AF468" t="str">
        <f t="shared" si="542"/>
        <v>2</v>
      </c>
      <c r="AG468" t="str">
        <f t="shared" si="542"/>
        <v>2</v>
      </c>
      <c r="AH468" t="str">
        <f t="shared" si="506"/>
        <v>1</v>
      </c>
      <c r="AI468" t="str">
        <f t="shared" si="531"/>
        <v xml:space="preserve">1         </v>
      </c>
      <c r="AJ468" t="str">
        <f t="shared" si="536"/>
        <v>170</v>
      </c>
      <c r="AK468" t="str">
        <f>"41"</f>
        <v>41</v>
      </c>
      <c r="AL468" t="str">
        <f>"244"</f>
        <v>244</v>
      </c>
      <c r="AM468" t="str">
        <f>"11"</f>
        <v>11</v>
      </c>
      <c r="AN468" t="str">
        <f>"11001"</f>
        <v>11001</v>
      </c>
      <c r="AO468" t="str">
        <f>"22/09/2020 12:00:00 a. m."</f>
        <v>22/09/2020 12:00:00 a. m.</v>
      </c>
      <c r="AP468" t="str">
        <f>"1/03/2020 12:00:00 a. m."</f>
        <v>1/03/2020 12:00:00 a. m.</v>
      </c>
      <c r="AQ468" t="str">
        <f t="shared" si="533"/>
        <v>3</v>
      </c>
      <c r="AR468" t="str">
        <f t="shared" si="500"/>
        <v>1</v>
      </c>
      <c r="AS468" t="str">
        <f>"22/09/2020 12:00:00 a. m."</f>
        <v>22/09/2020 12:00:00 a. m.</v>
      </c>
      <c r="AT468" t="str">
        <f t="shared" ref="AT468:AT473" si="545">"1"</f>
        <v>1</v>
      </c>
      <c r="AU468" t="str">
        <f>""</f>
        <v/>
      </c>
      <c r="AV468" t="str">
        <f>"0"</f>
        <v>0</v>
      </c>
      <c r="AW468" t="str">
        <f>"23/09/2013 12:00:00 a. m."</f>
        <v>23/09/2013 12:00:00 a. m.</v>
      </c>
      <c r="AX468" t="str">
        <f>""</f>
        <v/>
      </c>
      <c r="AY468" t="str">
        <f t="shared" si="527"/>
        <v>30/04/2021 12:00:00 a. m.</v>
      </c>
      <c r="AZ468" t="str">
        <f>"29/09/2020 12:00:00 a. m."</f>
        <v>29/09/2020 12:00:00 a. m.</v>
      </c>
      <c r="BA468" t="str">
        <f>""</f>
        <v/>
      </c>
      <c r="BB468" t="str">
        <f>""</f>
        <v/>
      </c>
      <c r="BC468" t="str">
        <f>""</f>
        <v/>
      </c>
      <c r="BD468" t="str">
        <f t="shared" si="543"/>
        <v>1</v>
      </c>
      <c r="BE468" t="str">
        <f t="shared" si="543"/>
        <v>1</v>
      </c>
      <c r="BF468" t="str">
        <f t="shared" si="528"/>
        <v xml:space="preserve">3         </v>
      </c>
      <c r="BG468" t="str">
        <f t="shared" si="529"/>
        <v>Confirmado por laboratorio</v>
      </c>
      <c r="BH468" t="str">
        <f>"INSTITUTO DE ORTOPEDIA INFANTIL ROOSEVELT"</f>
        <v>INSTITUTO DE ORTOPEDIA INFANTIL ROOSEVELT</v>
      </c>
      <c r="BI468" t="str">
        <f t="shared" si="537"/>
        <v>COLOMBIA</v>
      </c>
      <c r="BJ468" t="str">
        <f t="shared" si="530"/>
        <v>CANCER INFANTIL</v>
      </c>
      <c r="BK468" t="str">
        <f>"HUILA"</f>
        <v>HUILA</v>
      </c>
      <c r="BL468" t="str">
        <f>"ELIAS"</f>
        <v>ELIAS</v>
      </c>
      <c r="BM468" t="str">
        <f t="shared" si="538"/>
        <v>COLOMBIA</v>
      </c>
      <c r="BN468" t="str">
        <f>"HUILA"</f>
        <v>HUILA</v>
      </c>
      <c r="BO468" t="str">
        <f>"ELIAS"</f>
        <v>ELIAS</v>
      </c>
      <c r="BP468" t="str">
        <f>"BOGOTA"</f>
        <v>BOGOTA</v>
      </c>
      <c r="BQ468" t="str">
        <f>"BOGOTA"</f>
        <v>BOGOTA</v>
      </c>
    </row>
    <row r="469" spans="1:69" x14ac:dyDescent="0.25">
      <c r="A469" t="str">
        <f>"7278974"</f>
        <v>7278974</v>
      </c>
      <c r="B469" t="str">
        <f t="shared" si="522"/>
        <v>459</v>
      </c>
      <c r="C469" t="str">
        <f>"28/12/2020 12:00:00 a. m."</f>
        <v>28/12/2020 12:00:00 a. m.</v>
      </c>
      <c r="D469" t="str">
        <f>"51"</f>
        <v>51</v>
      </c>
      <c r="E469" t="str">
        <f t="shared" si="523"/>
        <v>2020</v>
      </c>
      <c r="F469" t="str">
        <f>"1100105681"</f>
        <v>1100105681</v>
      </c>
      <c r="G469" t="str">
        <f t="shared" si="539"/>
        <v>01</v>
      </c>
      <c r="H469" t="str">
        <f>"8"</f>
        <v>8</v>
      </c>
      <c r="I469" t="str">
        <f t="shared" si="544"/>
        <v>1</v>
      </c>
      <c r="J469" t="str">
        <f>"F"</f>
        <v>F</v>
      </c>
      <c r="K469" t="str">
        <f t="shared" si="534"/>
        <v>170</v>
      </c>
      <c r="L469" t="str">
        <f>"25"</f>
        <v>25</v>
      </c>
      <c r="M469" t="str">
        <f>"513"</f>
        <v>513</v>
      </c>
      <c r="N469" t="str">
        <f>"1"</f>
        <v>1</v>
      </c>
      <c r="O469" t="str">
        <f>"9997"</f>
        <v>9997</v>
      </c>
      <c r="P469" t="str">
        <f>"C"</f>
        <v>C</v>
      </c>
      <c r="Q469" t="str">
        <f>"EPS037"</f>
        <v>EPS037</v>
      </c>
      <c r="R469" t="str">
        <f t="shared" si="509"/>
        <v>6</v>
      </c>
      <c r="S469" t="str">
        <f>""</f>
        <v/>
      </c>
      <c r="T469" t="str">
        <f t="shared" si="510"/>
        <v xml:space="preserve">                                                                                                    </v>
      </c>
      <c r="U469" t="str">
        <f>"2         "</f>
        <v xml:space="preserve">2         </v>
      </c>
      <c r="V469" t="str">
        <f t="shared" si="519"/>
        <v>2</v>
      </c>
      <c r="W469" t="str">
        <f t="shared" si="508"/>
        <v>2</v>
      </c>
      <c r="X469" t="str">
        <f t="shared" si="505"/>
        <v>2</v>
      </c>
      <c r="Y469" t="str">
        <f t="shared" si="540"/>
        <v>2</v>
      </c>
      <c r="Z469" t="str">
        <f t="shared" si="540"/>
        <v>2</v>
      </c>
      <c r="AA469" t="str">
        <f t="shared" si="525"/>
        <v xml:space="preserve">          </v>
      </c>
      <c r="AB469" t="str">
        <f t="shared" si="516"/>
        <v>2</v>
      </c>
      <c r="AC469" t="str">
        <f t="shared" si="517"/>
        <v>2</v>
      </c>
      <c r="AD469" t="str">
        <f t="shared" si="542"/>
        <v>2</v>
      </c>
      <c r="AE469" t="str">
        <f t="shared" si="542"/>
        <v>2</v>
      </c>
      <c r="AF469" t="str">
        <f t="shared" si="542"/>
        <v>2</v>
      </c>
      <c r="AG469" t="str">
        <f t="shared" si="542"/>
        <v>2</v>
      </c>
      <c r="AH469" t="str">
        <f t="shared" si="506"/>
        <v>1</v>
      </c>
      <c r="AI469" t="str">
        <f t="shared" si="531"/>
        <v xml:space="preserve">1         </v>
      </c>
      <c r="AJ469" t="str">
        <f t="shared" si="536"/>
        <v>170</v>
      </c>
      <c r="AK469" t="str">
        <f>"25"</f>
        <v>25</v>
      </c>
      <c r="AL469" t="str">
        <f>"513"</f>
        <v>513</v>
      </c>
      <c r="AM469" t="str">
        <f>"11"</f>
        <v>11</v>
      </c>
      <c r="AN469" t="str">
        <f>"11001"</f>
        <v>11001</v>
      </c>
      <c r="AO469" t="str">
        <f>"15/12/2020 12:00:00 a. m."</f>
        <v>15/12/2020 12:00:00 a. m.</v>
      </c>
      <c r="AP469" t="str">
        <f>"15/08/2020 12:00:00 a. m."</f>
        <v>15/08/2020 12:00:00 a. m.</v>
      </c>
      <c r="AQ469" t="str">
        <f t="shared" si="533"/>
        <v>3</v>
      </c>
      <c r="AR469" t="str">
        <f t="shared" si="500"/>
        <v>1</v>
      </c>
      <c r="AS469" t="str">
        <f>"15/12/2020 12:00:00 a. m."</f>
        <v>15/12/2020 12:00:00 a. m.</v>
      </c>
      <c r="AT469" t="str">
        <f t="shared" si="545"/>
        <v>1</v>
      </c>
      <c r="AU469" t="str">
        <f>""</f>
        <v/>
      </c>
      <c r="AV469" t="str">
        <f>"0"</f>
        <v>0</v>
      </c>
      <c r="AW469" t="str">
        <f>"25/04/2012 12:00:00 a. m."</f>
        <v>25/04/2012 12:00:00 a. m.</v>
      </c>
      <c r="AX469" t="str">
        <f>""</f>
        <v/>
      </c>
      <c r="AY469" t="str">
        <f t="shared" si="527"/>
        <v>30/04/2021 12:00:00 a. m.</v>
      </c>
      <c r="AZ469" t="str">
        <f>"17/03/2021 12:00:00 a. m."</f>
        <v>17/03/2021 12:00:00 a. m.</v>
      </c>
      <c r="BA469" t="str">
        <f>""</f>
        <v/>
      </c>
      <c r="BB469" t="str">
        <f>""</f>
        <v/>
      </c>
      <c r="BC469" t="str">
        <f>""</f>
        <v/>
      </c>
      <c r="BD469" t="str">
        <f t="shared" si="543"/>
        <v>1</v>
      </c>
      <c r="BE469" t="str">
        <f t="shared" si="543"/>
        <v>1</v>
      </c>
      <c r="BF469" t="str">
        <f t="shared" si="528"/>
        <v xml:space="preserve">3         </v>
      </c>
      <c r="BG469" t="str">
        <f t="shared" si="529"/>
        <v>Confirmado por laboratorio</v>
      </c>
      <c r="BH469" t="str">
        <f>"FUNDACION HOSPITAL DE LA MISERICORDIA"</f>
        <v>FUNDACION HOSPITAL DE LA MISERICORDIA</v>
      </c>
      <c r="BI469" t="str">
        <f t="shared" si="537"/>
        <v>COLOMBIA</v>
      </c>
      <c r="BJ469" t="str">
        <f t="shared" si="530"/>
        <v>CANCER INFANTIL</v>
      </c>
      <c r="BK469" t="str">
        <f>"CUNDINAMARCA"</f>
        <v>CUNDINAMARCA</v>
      </c>
      <c r="BL469" t="str">
        <f>"PACHO"</f>
        <v>PACHO</v>
      </c>
      <c r="BM469" t="str">
        <f t="shared" si="538"/>
        <v>COLOMBIA</v>
      </c>
      <c r="BN469" t="str">
        <f>"CUNDINAMARCA"</f>
        <v>CUNDINAMARCA</v>
      </c>
      <c r="BO469" t="str">
        <f>"PACHO"</f>
        <v>PACHO</v>
      </c>
      <c r="BP469" t="str">
        <f>"BOGOTA"</f>
        <v>BOGOTA</v>
      </c>
      <c r="BQ469" t="str">
        <f>"BOGOTA"</f>
        <v>BOGOTA</v>
      </c>
    </row>
    <row r="470" spans="1:69" x14ac:dyDescent="0.25">
      <c r="A470" t="str">
        <f>"7279030"</f>
        <v>7279030</v>
      </c>
      <c r="B470" t="str">
        <f t="shared" si="522"/>
        <v>459</v>
      </c>
      <c r="C470" t="str">
        <f>"2/12/2020 12:00:00 a. m."</f>
        <v>2/12/2020 12:00:00 a. m.</v>
      </c>
      <c r="D470" t="str">
        <f>"48"</f>
        <v>48</v>
      </c>
      <c r="E470" t="str">
        <f t="shared" si="523"/>
        <v>2020</v>
      </c>
      <c r="F470" t="str">
        <f>"5200100283"</f>
        <v>5200100283</v>
      </c>
      <c r="G470" t="str">
        <f t="shared" si="539"/>
        <v>01</v>
      </c>
      <c r="H470" t="str">
        <f>"5"</f>
        <v>5</v>
      </c>
      <c r="I470" t="str">
        <f t="shared" si="544"/>
        <v>1</v>
      </c>
      <c r="J470" t="str">
        <f>"M"</f>
        <v>M</v>
      </c>
      <c r="K470" t="str">
        <f t="shared" si="534"/>
        <v>170</v>
      </c>
      <c r="L470" t="str">
        <f>"52"</f>
        <v>52</v>
      </c>
      <c r="M470" t="str">
        <f>"838"</f>
        <v>838</v>
      </c>
      <c r="N470" t="str">
        <f>"3"</f>
        <v>3</v>
      </c>
      <c r="O470" t="str">
        <f>"9999"</f>
        <v>9999</v>
      </c>
      <c r="P470" t="str">
        <f>"S"</f>
        <v>S</v>
      </c>
      <c r="Q470" t="str">
        <f>"EPSS17"</f>
        <v>EPSS17</v>
      </c>
      <c r="R470" t="str">
        <f t="shared" si="509"/>
        <v>6</v>
      </c>
      <c r="S470" t="str">
        <f>""</f>
        <v/>
      </c>
      <c r="T470" t="str">
        <f t="shared" si="510"/>
        <v xml:space="preserve">                                                                                                    </v>
      </c>
      <c r="U470" t="str">
        <f>"1         "</f>
        <v xml:space="preserve">1         </v>
      </c>
      <c r="V470" t="str">
        <f t="shared" si="519"/>
        <v>2</v>
      </c>
      <c r="W470" t="str">
        <f t="shared" si="508"/>
        <v>2</v>
      </c>
      <c r="X470" t="str">
        <f t="shared" si="505"/>
        <v>2</v>
      </c>
      <c r="Y470" t="str">
        <f t="shared" si="540"/>
        <v>2</v>
      </c>
      <c r="Z470" t="str">
        <f t="shared" si="540"/>
        <v>2</v>
      </c>
      <c r="AA470" t="str">
        <f t="shared" si="525"/>
        <v xml:space="preserve">          </v>
      </c>
      <c r="AB470" t="str">
        <f t="shared" si="516"/>
        <v>2</v>
      </c>
      <c r="AC470" t="str">
        <f t="shared" si="517"/>
        <v>2</v>
      </c>
      <c r="AD470" t="str">
        <f t="shared" si="542"/>
        <v>2</v>
      </c>
      <c r="AE470" t="str">
        <f t="shared" si="542"/>
        <v>2</v>
      </c>
      <c r="AF470" t="str">
        <f t="shared" si="542"/>
        <v>2</v>
      </c>
      <c r="AG470" t="str">
        <f t="shared" si="542"/>
        <v>2</v>
      </c>
      <c r="AH470" t="str">
        <f t="shared" si="506"/>
        <v>1</v>
      </c>
      <c r="AI470" t="str">
        <f t="shared" si="531"/>
        <v xml:space="preserve">1         </v>
      </c>
      <c r="AJ470" t="str">
        <f t="shared" si="536"/>
        <v>170</v>
      </c>
      <c r="AK470" t="str">
        <f>"52"</f>
        <v>52</v>
      </c>
      <c r="AL470" t="str">
        <f>"838"</f>
        <v>838</v>
      </c>
      <c r="AM470" t="str">
        <f>"52"</f>
        <v>52</v>
      </c>
      <c r="AN470" t="str">
        <f>"52001"</f>
        <v>52001</v>
      </c>
      <c r="AO470" t="str">
        <f>"25/11/2020 12:00:00 a. m."</f>
        <v>25/11/2020 12:00:00 a. m.</v>
      </c>
      <c r="AP470" t="str">
        <f>"5/11/2020 12:00:00 a. m."</f>
        <v>5/11/2020 12:00:00 a. m.</v>
      </c>
      <c r="AQ470" t="str">
        <f>"2"</f>
        <v>2</v>
      </c>
      <c r="AR470" t="str">
        <f t="shared" si="500"/>
        <v>1</v>
      </c>
      <c r="AS470" t="str">
        <f>"25/11/2020 12:00:00 a. m."</f>
        <v>25/11/2020 12:00:00 a. m.</v>
      </c>
      <c r="AT470" t="str">
        <f t="shared" si="545"/>
        <v>1</v>
      </c>
      <c r="AU470" t="str">
        <f>""</f>
        <v/>
      </c>
      <c r="AV470" t="str">
        <f>"3"</f>
        <v>3</v>
      </c>
      <c r="AW470" t="str">
        <f>"7/04/2015 12:00:00 a. m."</f>
        <v>7/04/2015 12:00:00 a. m.</v>
      </c>
      <c r="AX470" t="str">
        <f>""</f>
        <v/>
      </c>
      <c r="AY470" t="str">
        <f t="shared" si="527"/>
        <v>30/04/2021 12:00:00 a. m.</v>
      </c>
      <c r="AZ470" t="str">
        <f>"19/03/2021 12:00:00 a. m."</f>
        <v>19/03/2021 12:00:00 a. m.</v>
      </c>
      <c r="BA470" t="str">
        <f>""</f>
        <v/>
      </c>
      <c r="BB470" t="str">
        <f>""</f>
        <v/>
      </c>
      <c r="BC470" t="str">
        <f>""</f>
        <v/>
      </c>
      <c r="BD470" t="str">
        <f t="shared" si="543"/>
        <v>1</v>
      </c>
      <c r="BE470" t="str">
        <f t="shared" si="543"/>
        <v>1</v>
      </c>
      <c r="BF470" t="str">
        <f t="shared" si="528"/>
        <v xml:space="preserve">3         </v>
      </c>
      <c r="BG470" t="str">
        <f t="shared" si="529"/>
        <v>Confirmado por laboratorio</v>
      </c>
      <c r="BH470" t="str">
        <f>"HOSPITAL INFANTIL LOS ANGELES"</f>
        <v>HOSPITAL INFANTIL LOS ANGELES</v>
      </c>
      <c r="BI470" t="str">
        <f t="shared" si="537"/>
        <v>COLOMBIA</v>
      </c>
      <c r="BJ470" t="str">
        <f t="shared" si="530"/>
        <v>CANCER INFANTIL</v>
      </c>
      <c r="BK470" t="str">
        <f>"NARIÑO"</f>
        <v>NARIÑO</v>
      </c>
      <c r="BL470" t="str">
        <f>"TUQUERRES"</f>
        <v>TUQUERRES</v>
      </c>
      <c r="BM470" t="str">
        <f t="shared" si="538"/>
        <v>COLOMBIA</v>
      </c>
      <c r="BN470" t="str">
        <f>"NARIÑO"</f>
        <v>NARIÑO</v>
      </c>
      <c r="BO470" t="str">
        <f>"TUQUERRES"</f>
        <v>TUQUERRES</v>
      </c>
      <c r="BP470" t="str">
        <f>"NARIÑO"</f>
        <v>NARIÑO</v>
      </c>
      <c r="BQ470" t="str">
        <f>"PASTO"</f>
        <v>PASTO</v>
      </c>
    </row>
    <row r="471" spans="1:69" x14ac:dyDescent="0.25">
      <c r="A471" t="str">
        <f>"7279034"</f>
        <v>7279034</v>
      </c>
      <c r="B471" t="str">
        <f t="shared" si="522"/>
        <v>459</v>
      </c>
      <c r="C471" t="str">
        <f>"15/10/2020 12:00:00 a. m."</f>
        <v>15/10/2020 12:00:00 a. m.</v>
      </c>
      <c r="D471" t="str">
        <f>"40"</f>
        <v>40</v>
      </c>
      <c r="E471" t="str">
        <f t="shared" si="523"/>
        <v>2020</v>
      </c>
      <c r="F471" t="str">
        <f>"5200100283"</f>
        <v>5200100283</v>
      </c>
      <c r="G471" t="str">
        <f t="shared" si="539"/>
        <v>01</v>
      </c>
      <c r="H471" t="str">
        <f>"16"</f>
        <v>16</v>
      </c>
      <c r="I471" t="str">
        <f t="shared" si="544"/>
        <v>1</v>
      </c>
      <c r="J471" t="str">
        <f>"M"</f>
        <v>M</v>
      </c>
      <c r="K471" t="str">
        <f t="shared" si="534"/>
        <v>170</v>
      </c>
      <c r="L471" t="str">
        <f>"52"</f>
        <v>52</v>
      </c>
      <c r="M471" t="str">
        <f>"838"</f>
        <v>838</v>
      </c>
      <c r="N471" t="str">
        <f>"1"</f>
        <v>1</v>
      </c>
      <c r="O471" t="str">
        <f>"9997"</f>
        <v>9997</v>
      </c>
      <c r="P471" t="str">
        <f>"S"</f>
        <v>S</v>
      </c>
      <c r="Q471" t="str">
        <f>"ESS118"</f>
        <v>ESS118</v>
      </c>
      <c r="R471" t="str">
        <f t="shared" si="509"/>
        <v>6</v>
      </c>
      <c r="S471" t="str">
        <f>""</f>
        <v/>
      </c>
      <c r="T471" t="str">
        <f t="shared" si="510"/>
        <v xml:space="preserve">                                                                                                    </v>
      </c>
      <c r="U471" t="str">
        <f>"1         "</f>
        <v xml:space="preserve">1         </v>
      </c>
      <c r="V471" t="str">
        <f t="shared" si="519"/>
        <v>2</v>
      </c>
      <c r="W471" t="str">
        <f t="shared" si="508"/>
        <v>2</v>
      </c>
      <c r="X471" t="str">
        <f t="shared" si="505"/>
        <v>2</v>
      </c>
      <c r="Y471" t="str">
        <f t="shared" si="540"/>
        <v>2</v>
      </c>
      <c r="Z471" t="str">
        <f t="shared" si="540"/>
        <v>2</v>
      </c>
      <c r="AA471" t="str">
        <f t="shared" si="525"/>
        <v xml:space="preserve">          </v>
      </c>
      <c r="AB471" t="str">
        <f t="shared" si="516"/>
        <v>2</v>
      </c>
      <c r="AC471" t="str">
        <f t="shared" si="517"/>
        <v>2</v>
      </c>
      <c r="AD471" t="str">
        <f t="shared" si="542"/>
        <v>2</v>
      </c>
      <c r="AE471" t="str">
        <f t="shared" si="542"/>
        <v>2</v>
      </c>
      <c r="AF471" t="str">
        <f t="shared" si="542"/>
        <v>2</v>
      </c>
      <c r="AG471" t="str">
        <f t="shared" si="542"/>
        <v>2</v>
      </c>
      <c r="AH471" t="str">
        <f t="shared" si="506"/>
        <v>1</v>
      </c>
      <c r="AI471" t="str">
        <f t="shared" si="531"/>
        <v xml:space="preserve">1         </v>
      </c>
      <c r="AJ471" t="str">
        <f t="shared" si="536"/>
        <v>170</v>
      </c>
      <c r="AK471" t="str">
        <f>"52"</f>
        <v>52</v>
      </c>
      <c r="AL471" t="str">
        <f>"838"</f>
        <v>838</v>
      </c>
      <c r="AM471" t="str">
        <f>"52"</f>
        <v>52</v>
      </c>
      <c r="AN471" t="str">
        <f>"52001"</f>
        <v>52001</v>
      </c>
      <c r="AO471" t="str">
        <f>"27/09/2020 12:00:00 a. m."</f>
        <v>27/09/2020 12:00:00 a. m.</v>
      </c>
      <c r="AP471" t="str">
        <f>"13/09/2020 12:00:00 a. m."</f>
        <v>13/09/2020 12:00:00 a. m.</v>
      </c>
      <c r="AQ471" t="str">
        <f>"2"</f>
        <v>2</v>
      </c>
      <c r="AR471" t="str">
        <f>"2"</f>
        <v>2</v>
      </c>
      <c r="AS471" t="str">
        <f>""</f>
        <v/>
      </c>
      <c r="AT471" t="str">
        <f t="shared" si="545"/>
        <v>1</v>
      </c>
      <c r="AU471" t="str">
        <f>""</f>
        <v/>
      </c>
      <c r="AV471" t="str">
        <f>"3"</f>
        <v>3</v>
      </c>
      <c r="AW471" t="str">
        <f>"24/09/2004 12:00:00 a. m."</f>
        <v>24/09/2004 12:00:00 a. m.</v>
      </c>
      <c r="AX471" t="str">
        <f>""</f>
        <v/>
      </c>
      <c r="AY471" t="str">
        <f t="shared" si="527"/>
        <v>30/04/2021 12:00:00 a. m.</v>
      </c>
      <c r="AZ471" t="str">
        <f>"5/11/2020 12:00:00 a. m."</f>
        <v>5/11/2020 12:00:00 a. m.</v>
      </c>
      <c r="BA471" t="str">
        <f>""</f>
        <v/>
      </c>
      <c r="BB471" t="str">
        <f>""</f>
        <v/>
      </c>
      <c r="BC471" t="str">
        <f>""</f>
        <v/>
      </c>
      <c r="BD471" t="str">
        <f t="shared" si="543"/>
        <v>1</v>
      </c>
      <c r="BE471" t="str">
        <f t="shared" si="543"/>
        <v>1</v>
      </c>
      <c r="BF471" t="str">
        <f t="shared" si="528"/>
        <v xml:space="preserve">3         </v>
      </c>
      <c r="BG471" t="str">
        <f t="shared" si="529"/>
        <v>Confirmado por laboratorio</v>
      </c>
      <c r="BH471" t="str">
        <f>"HOSPITAL INFANTIL LOS ANGELES"</f>
        <v>HOSPITAL INFANTIL LOS ANGELES</v>
      </c>
      <c r="BI471" t="str">
        <f t="shared" si="537"/>
        <v>COLOMBIA</v>
      </c>
      <c r="BJ471" t="str">
        <f t="shared" si="530"/>
        <v>CANCER INFANTIL</v>
      </c>
      <c r="BK471" t="str">
        <f>"NARIÑO"</f>
        <v>NARIÑO</v>
      </c>
      <c r="BL471" t="str">
        <f>"TUQUERRES"</f>
        <v>TUQUERRES</v>
      </c>
      <c r="BM471" t="str">
        <f t="shared" si="538"/>
        <v>COLOMBIA</v>
      </c>
      <c r="BN471" t="str">
        <f>"NARIÑO"</f>
        <v>NARIÑO</v>
      </c>
      <c r="BO471" t="str">
        <f>"TUQUERRES"</f>
        <v>TUQUERRES</v>
      </c>
      <c r="BP471" t="str">
        <f>"NARIÑO"</f>
        <v>NARIÑO</v>
      </c>
      <c r="BQ471" t="str">
        <f>"PASTO"</f>
        <v>PASTO</v>
      </c>
    </row>
    <row r="472" spans="1:69" x14ac:dyDescent="0.25">
      <c r="A472" t="str">
        <f>"7279105"</f>
        <v>7279105</v>
      </c>
      <c r="B472" t="str">
        <f t="shared" si="522"/>
        <v>459</v>
      </c>
      <c r="C472" t="str">
        <f>"15/05/2020 12:00:00 a. m."</f>
        <v>15/05/2020 12:00:00 a. m.</v>
      </c>
      <c r="D472" t="str">
        <f>"20"</f>
        <v>20</v>
      </c>
      <c r="E472" t="str">
        <f t="shared" si="523"/>
        <v>2020</v>
      </c>
      <c r="F472" t="str">
        <f>"1700101096"</f>
        <v>1700101096</v>
      </c>
      <c r="G472" t="str">
        <f t="shared" si="539"/>
        <v>01</v>
      </c>
      <c r="H472" t="str">
        <f>"8"</f>
        <v>8</v>
      </c>
      <c r="I472" t="str">
        <f t="shared" si="544"/>
        <v>1</v>
      </c>
      <c r="J472" t="str">
        <f>"M"</f>
        <v>M</v>
      </c>
      <c r="K472" t="str">
        <f t="shared" si="534"/>
        <v>170</v>
      </c>
      <c r="L472" t="str">
        <f>"63"</f>
        <v>63</v>
      </c>
      <c r="M472" t="str">
        <f>"130"</f>
        <v>130</v>
      </c>
      <c r="N472" t="str">
        <f>"1"</f>
        <v>1</v>
      </c>
      <c r="O472" t="str">
        <f>"9997"</f>
        <v>9997</v>
      </c>
      <c r="P472" t="str">
        <f>"C"</f>
        <v>C</v>
      </c>
      <c r="Q472" t="str">
        <f>"EPS041"</f>
        <v>EPS041</v>
      </c>
      <c r="R472" t="str">
        <f t="shared" si="509"/>
        <v>6</v>
      </c>
      <c r="S472" t="str">
        <f>""</f>
        <v/>
      </c>
      <c r="T472" t="str">
        <f t="shared" si="510"/>
        <v xml:space="preserve">                                                                                                    </v>
      </c>
      <c r="U472" t="str">
        <f>"3         "</f>
        <v xml:space="preserve">3         </v>
      </c>
      <c r="V472" t="str">
        <f t="shared" si="519"/>
        <v>2</v>
      </c>
      <c r="W472" t="str">
        <f t="shared" si="508"/>
        <v>2</v>
      </c>
      <c r="X472" t="str">
        <f t="shared" si="505"/>
        <v>2</v>
      </c>
      <c r="Y472" t="str">
        <f t="shared" si="540"/>
        <v>2</v>
      </c>
      <c r="Z472" t="str">
        <f t="shared" si="540"/>
        <v>2</v>
      </c>
      <c r="AA472" t="str">
        <f t="shared" si="525"/>
        <v xml:space="preserve">          </v>
      </c>
      <c r="AB472" t="str">
        <f t="shared" si="516"/>
        <v>2</v>
      </c>
      <c r="AC472" t="str">
        <f t="shared" si="517"/>
        <v>2</v>
      </c>
      <c r="AD472" t="str">
        <f t="shared" si="542"/>
        <v>2</v>
      </c>
      <c r="AE472" t="str">
        <f t="shared" si="542"/>
        <v>2</v>
      </c>
      <c r="AF472" t="str">
        <f t="shared" si="542"/>
        <v>2</v>
      </c>
      <c r="AG472" t="str">
        <f t="shared" si="542"/>
        <v>2</v>
      </c>
      <c r="AH472" t="str">
        <f t="shared" si="506"/>
        <v>1</v>
      </c>
      <c r="AI472" t="str">
        <f t="shared" si="531"/>
        <v xml:space="preserve">1         </v>
      </c>
      <c r="AJ472" t="str">
        <f t="shared" si="536"/>
        <v>170</v>
      </c>
      <c r="AK472" t="str">
        <f>"63"</f>
        <v>63</v>
      </c>
      <c r="AL472" t="str">
        <f>"130"</f>
        <v>130</v>
      </c>
      <c r="AM472" t="str">
        <f>"17"</f>
        <v>17</v>
      </c>
      <c r="AN472" t="str">
        <f>"17001"</f>
        <v>17001</v>
      </c>
      <c r="AO472" t="str">
        <f>"10/05/2020 12:00:00 a. m."</f>
        <v>10/05/2020 12:00:00 a. m.</v>
      </c>
      <c r="AP472" t="str">
        <f>"1/08/2019 12:00:00 a. m."</f>
        <v>1/08/2019 12:00:00 a. m.</v>
      </c>
      <c r="AQ472" t="str">
        <f>"3"</f>
        <v>3</v>
      </c>
      <c r="AR472" t="str">
        <f t="shared" ref="AR472:AR493" si="546">"1"</f>
        <v>1</v>
      </c>
      <c r="AS472" t="str">
        <f>"10/05/2020 12:00:00 a. m."</f>
        <v>10/05/2020 12:00:00 a. m.</v>
      </c>
      <c r="AT472" t="str">
        <f t="shared" si="545"/>
        <v>1</v>
      </c>
      <c r="AU472" t="str">
        <f>""</f>
        <v/>
      </c>
      <c r="AV472" t="str">
        <f>"3"</f>
        <v>3</v>
      </c>
      <c r="AW472" t="str">
        <f>"28/07/2011 12:00:00 a. m."</f>
        <v>28/07/2011 12:00:00 a. m.</v>
      </c>
      <c r="AX472" t="str">
        <f>""</f>
        <v/>
      </c>
      <c r="AY472" t="str">
        <f t="shared" si="527"/>
        <v>30/04/2021 12:00:00 a. m.</v>
      </c>
      <c r="AZ472" t="str">
        <f>"22/07/2020 12:00:00 a. m."</f>
        <v>22/07/2020 12:00:00 a. m.</v>
      </c>
      <c r="BA472" t="str">
        <f>""</f>
        <v/>
      </c>
      <c r="BB472" t="str">
        <f>""</f>
        <v/>
      </c>
      <c r="BC472" t="str">
        <f>""</f>
        <v/>
      </c>
      <c r="BD472" t="str">
        <f t="shared" si="543"/>
        <v>1</v>
      </c>
      <c r="BE472" t="str">
        <f t="shared" si="543"/>
        <v>1</v>
      </c>
      <c r="BF472" t="str">
        <f t="shared" si="528"/>
        <v xml:space="preserve">3         </v>
      </c>
      <c r="BG472" t="str">
        <f t="shared" si="529"/>
        <v>Confirmado por laboratorio</v>
      </c>
      <c r="BH472" t="str">
        <f>"ONCOLOGOS DE OCCIDENTE SA"</f>
        <v>ONCOLOGOS DE OCCIDENTE SA</v>
      </c>
      <c r="BI472" t="str">
        <f t="shared" si="537"/>
        <v>COLOMBIA</v>
      </c>
      <c r="BJ472" t="str">
        <f t="shared" si="530"/>
        <v>CANCER INFANTIL</v>
      </c>
      <c r="BK472" t="str">
        <f>"QUINDIO"</f>
        <v>QUINDIO</v>
      </c>
      <c r="BL472" t="str">
        <f>"CALARCA"</f>
        <v>CALARCA</v>
      </c>
      <c r="BM472" t="str">
        <f t="shared" si="538"/>
        <v>COLOMBIA</v>
      </c>
      <c r="BN472" t="str">
        <f>"QUINDIO"</f>
        <v>QUINDIO</v>
      </c>
      <c r="BO472" t="str">
        <f>"CALARCA"</f>
        <v>CALARCA</v>
      </c>
      <c r="BP472" t="str">
        <f>"CALDAS"</f>
        <v>CALDAS</v>
      </c>
      <c r="BQ472" t="str">
        <f>"MANIZALES"</f>
        <v>MANIZALES</v>
      </c>
    </row>
    <row r="473" spans="1:69" x14ac:dyDescent="0.25">
      <c r="A473" t="str">
        <f>"7285762"</f>
        <v>7285762</v>
      </c>
      <c r="B473" t="str">
        <f t="shared" si="522"/>
        <v>459</v>
      </c>
      <c r="C473" t="str">
        <f>"31/05/2020 12:00:00 a. m."</f>
        <v>31/05/2020 12:00:00 a. m.</v>
      </c>
      <c r="D473" t="str">
        <f>"22"</f>
        <v>22</v>
      </c>
      <c r="E473" t="str">
        <f t="shared" si="523"/>
        <v>2020</v>
      </c>
      <c r="F473" t="str">
        <f>"5000100529"</f>
        <v>5000100529</v>
      </c>
      <c r="G473" t="str">
        <f t="shared" si="539"/>
        <v>01</v>
      </c>
      <c r="H473" t="str">
        <f>"4"</f>
        <v>4</v>
      </c>
      <c r="I473" t="str">
        <f t="shared" si="544"/>
        <v>1</v>
      </c>
      <c r="J473" t="str">
        <f>"M"</f>
        <v>M</v>
      </c>
      <c r="K473" t="str">
        <f t="shared" si="534"/>
        <v>170</v>
      </c>
      <c r="L473" t="str">
        <f>"81"</f>
        <v>81</v>
      </c>
      <c r="M473" t="str">
        <f>"001"</f>
        <v>001</v>
      </c>
      <c r="N473" t="str">
        <f>"2"</f>
        <v>2</v>
      </c>
      <c r="O473" t="str">
        <f>"9999"</f>
        <v>9999</v>
      </c>
      <c r="P473" t="str">
        <f>"N"</f>
        <v>N</v>
      </c>
      <c r="Q473" t="str">
        <f>""</f>
        <v/>
      </c>
      <c r="R473" t="str">
        <f t="shared" si="509"/>
        <v>6</v>
      </c>
      <c r="S473" t="str">
        <f>""</f>
        <v/>
      </c>
      <c r="T473" t="str">
        <f t="shared" si="510"/>
        <v xml:space="preserve">                                                                                                    </v>
      </c>
      <c r="U473" t="str">
        <f>"1         "</f>
        <v xml:space="preserve">1         </v>
      </c>
      <c r="V473" t="str">
        <f t="shared" si="519"/>
        <v>2</v>
      </c>
      <c r="W473" t="str">
        <f t="shared" si="508"/>
        <v>2</v>
      </c>
      <c r="X473" t="str">
        <f>"1"</f>
        <v>1</v>
      </c>
      <c r="Y473" t="str">
        <f t="shared" si="540"/>
        <v>2</v>
      </c>
      <c r="Z473" t="str">
        <f t="shared" si="540"/>
        <v>2</v>
      </c>
      <c r="AA473" t="str">
        <f t="shared" si="525"/>
        <v xml:space="preserve">          </v>
      </c>
      <c r="AB473" t="str">
        <f t="shared" si="516"/>
        <v>2</v>
      </c>
      <c r="AC473" t="str">
        <f t="shared" si="517"/>
        <v>2</v>
      </c>
      <c r="AD473" t="str">
        <f t="shared" si="542"/>
        <v>2</v>
      </c>
      <c r="AE473" t="str">
        <f t="shared" si="542"/>
        <v>2</v>
      </c>
      <c r="AF473" t="str">
        <f t="shared" si="542"/>
        <v>2</v>
      </c>
      <c r="AG473" t="str">
        <f t="shared" si="542"/>
        <v>2</v>
      </c>
      <c r="AH473" t="str">
        <f>"2"</f>
        <v>2</v>
      </c>
      <c r="AI473" t="str">
        <f t="shared" si="531"/>
        <v xml:space="preserve">1         </v>
      </c>
      <c r="AJ473" t="str">
        <f t="shared" si="536"/>
        <v>170</v>
      </c>
      <c r="AK473" t="str">
        <f>"81"</f>
        <v>81</v>
      </c>
      <c r="AL473" t="str">
        <f>"001"</f>
        <v>001</v>
      </c>
      <c r="AM473" t="str">
        <f>"50"</f>
        <v>50</v>
      </c>
      <c r="AN473" t="str">
        <f>"50001"</f>
        <v>50001</v>
      </c>
      <c r="AO473" t="str">
        <f>"30/05/2020 12:00:00 a. m."</f>
        <v>30/05/2020 12:00:00 a. m.</v>
      </c>
      <c r="AP473" t="str">
        <f>"30/04/2020 12:00:00 a. m."</f>
        <v>30/04/2020 12:00:00 a. m.</v>
      </c>
      <c r="AQ473" t="str">
        <f>"2"</f>
        <v>2</v>
      </c>
      <c r="AR473" t="str">
        <f t="shared" si="546"/>
        <v>1</v>
      </c>
      <c r="AS473" t="str">
        <f>"30/05/2020 12:00:00 a. m."</f>
        <v>30/05/2020 12:00:00 a. m.</v>
      </c>
      <c r="AT473" t="str">
        <f t="shared" si="545"/>
        <v>1</v>
      </c>
      <c r="AU473" t="str">
        <f>""</f>
        <v/>
      </c>
      <c r="AV473" t="str">
        <f>"3"</f>
        <v>3</v>
      </c>
      <c r="AW473" t="str">
        <f>"17/09/2015 12:00:00 a. m."</f>
        <v>17/09/2015 12:00:00 a. m.</v>
      </c>
      <c r="AX473" t="str">
        <f>""</f>
        <v/>
      </c>
      <c r="AY473" t="str">
        <f t="shared" si="527"/>
        <v>30/04/2021 12:00:00 a. m.</v>
      </c>
      <c r="AZ473" t="str">
        <f>"11/07/2020 12:00:00 a. m."</f>
        <v>11/07/2020 12:00:00 a. m.</v>
      </c>
      <c r="BA473" t="str">
        <f>""</f>
        <v/>
      </c>
      <c r="BB473" t="str">
        <f>""</f>
        <v/>
      </c>
      <c r="BC473" t="str">
        <f>""</f>
        <v/>
      </c>
      <c r="BD473" t="str">
        <f t="shared" si="543"/>
        <v>1</v>
      </c>
      <c r="BE473" t="str">
        <f t="shared" si="543"/>
        <v>1</v>
      </c>
      <c r="BF473" t="str">
        <f t="shared" si="528"/>
        <v xml:space="preserve">3         </v>
      </c>
      <c r="BG473" t="str">
        <f t="shared" si="529"/>
        <v>Confirmado por laboratorio</v>
      </c>
      <c r="BH473" t="str">
        <f>"HOSPITAL DEPARTAMENTAL DE VILLAVICENCIO"</f>
        <v>HOSPITAL DEPARTAMENTAL DE VILLAVICENCIO</v>
      </c>
      <c r="BI473" t="str">
        <f t="shared" si="537"/>
        <v>COLOMBIA</v>
      </c>
      <c r="BJ473" t="str">
        <f t="shared" si="530"/>
        <v>CANCER INFANTIL</v>
      </c>
      <c r="BK473" t="str">
        <f>"ARAUCA"</f>
        <v>ARAUCA</v>
      </c>
      <c r="BL473" t="str">
        <f>"ARAUCA"</f>
        <v>ARAUCA</v>
      </c>
      <c r="BM473" t="str">
        <f t="shared" si="538"/>
        <v>COLOMBIA</v>
      </c>
      <c r="BN473" t="str">
        <f>"ARAUCA"</f>
        <v>ARAUCA</v>
      </c>
      <c r="BO473" t="str">
        <f>"ARAUCA"</f>
        <v>ARAUCA</v>
      </c>
      <c r="BP473" t="str">
        <f>"META"</f>
        <v>META</v>
      </c>
      <c r="BQ473" t="str">
        <f>"VILLAVICENCIO"</f>
        <v>VILLAVICENCIO</v>
      </c>
    </row>
    <row r="474" spans="1:69" x14ac:dyDescent="0.25">
      <c r="A474" t="str">
        <f>"7285598"</f>
        <v>7285598</v>
      </c>
      <c r="B474" t="str">
        <f t="shared" si="522"/>
        <v>459</v>
      </c>
      <c r="C474" t="str">
        <f>"29/04/2020 12:00:00 a. m."</f>
        <v>29/04/2020 12:00:00 a. m.</v>
      </c>
      <c r="D474" t="str">
        <f>"18"</f>
        <v>18</v>
      </c>
      <c r="E474" t="str">
        <f t="shared" si="523"/>
        <v>2020</v>
      </c>
      <c r="F474" t="str">
        <f>"5200100283"</f>
        <v>5200100283</v>
      </c>
      <c r="G474" t="str">
        <f t="shared" si="539"/>
        <v>01</v>
      </c>
      <c r="H474" t="str">
        <f>"16"</f>
        <v>16</v>
      </c>
      <c r="I474" t="str">
        <f t="shared" si="544"/>
        <v>1</v>
      </c>
      <c r="J474" t="str">
        <f>"M"</f>
        <v>M</v>
      </c>
      <c r="K474" t="str">
        <f t="shared" si="534"/>
        <v>170</v>
      </c>
      <c r="L474" t="str">
        <f>"52"</f>
        <v>52</v>
      </c>
      <c r="M474" t="str">
        <f>"490"</f>
        <v>490</v>
      </c>
      <c r="N474" t="str">
        <f>"3"</f>
        <v>3</v>
      </c>
      <c r="O474" t="str">
        <f>"9997"</f>
        <v>9997</v>
      </c>
      <c r="P474" t="str">
        <f>"S"</f>
        <v>S</v>
      </c>
      <c r="Q474" t="str">
        <f>"ESS062"</f>
        <v>ESS062</v>
      </c>
      <c r="R474" t="str">
        <f>"5"</f>
        <v>5</v>
      </c>
      <c r="S474" t="str">
        <f>""</f>
        <v/>
      </c>
      <c r="T474" t="str">
        <f t="shared" si="510"/>
        <v xml:space="preserve">                                                                                                    </v>
      </c>
      <c r="U474" t="str">
        <f>"1         "</f>
        <v xml:space="preserve">1         </v>
      </c>
      <c r="V474" t="str">
        <f t="shared" si="519"/>
        <v>2</v>
      </c>
      <c r="W474" t="str">
        <f t="shared" si="508"/>
        <v>2</v>
      </c>
      <c r="X474" t="str">
        <f t="shared" ref="X474:X537" si="547">"2"</f>
        <v>2</v>
      </c>
      <c r="Y474" t="str">
        <f t="shared" si="540"/>
        <v>2</v>
      </c>
      <c r="Z474" t="str">
        <f t="shared" si="540"/>
        <v>2</v>
      </c>
      <c r="AA474" t="str">
        <f t="shared" si="525"/>
        <v xml:space="preserve">          </v>
      </c>
      <c r="AB474" t="str">
        <f t="shared" si="516"/>
        <v>2</v>
      </c>
      <c r="AC474" t="str">
        <f t="shared" si="517"/>
        <v>2</v>
      </c>
      <c r="AD474" t="str">
        <f t="shared" si="542"/>
        <v>2</v>
      </c>
      <c r="AE474" t="str">
        <f t="shared" si="542"/>
        <v>2</v>
      </c>
      <c r="AF474" t="str">
        <f t="shared" si="542"/>
        <v>2</v>
      </c>
      <c r="AG474" t="str">
        <f t="shared" si="542"/>
        <v>2</v>
      </c>
      <c r="AH474" t="str">
        <f t="shared" ref="AH474:AH493" si="548">"1"</f>
        <v>1</v>
      </c>
      <c r="AI474" t="str">
        <f t="shared" si="531"/>
        <v xml:space="preserve">1         </v>
      </c>
      <c r="AJ474" t="str">
        <f t="shared" si="536"/>
        <v>170</v>
      </c>
      <c r="AK474" t="str">
        <f>"52"</f>
        <v>52</v>
      </c>
      <c r="AL474" t="str">
        <f>"490"</f>
        <v>490</v>
      </c>
      <c r="AM474" t="str">
        <f>"52"</f>
        <v>52</v>
      </c>
      <c r="AN474" t="str">
        <f>"52001"</f>
        <v>52001</v>
      </c>
      <c r="AO474" t="str">
        <f>"28/04/2020 12:00:00 a. m."</f>
        <v>28/04/2020 12:00:00 a. m.</v>
      </c>
      <c r="AP474" t="str">
        <f>"28/04/2020 12:00:00 a. m."</f>
        <v>28/04/2020 12:00:00 a. m.</v>
      </c>
      <c r="AQ474" t="str">
        <f>"2"</f>
        <v>2</v>
      </c>
      <c r="AR474" t="str">
        <f t="shared" si="546"/>
        <v>1</v>
      </c>
      <c r="AS474" t="str">
        <f>"28/04/2020 12:00:00 a. m."</f>
        <v>28/04/2020 12:00:00 a. m.</v>
      </c>
      <c r="AT474" t="str">
        <f>"2"</f>
        <v>2</v>
      </c>
      <c r="AU474" t="str">
        <f>"23/02/2021 12:00:00 a. m."</f>
        <v>23/02/2021 12:00:00 a. m.</v>
      </c>
      <c r="AV474" t="str">
        <f>"3"</f>
        <v>3</v>
      </c>
      <c r="AW474" t="str">
        <f>"3/05/2003 12:00:00 a. m."</f>
        <v>3/05/2003 12:00:00 a. m.</v>
      </c>
      <c r="AX474" t="str">
        <f>"C700"</f>
        <v>C700</v>
      </c>
      <c r="AY474" t="str">
        <f t="shared" si="527"/>
        <v>30/04/2021 12:00:00 a. m.</v>
      </c>
      <c r="AZ474" t="str">
        <f>"15/07/2020 12:00:00 a. m."</f>
        <v>15/07/2020 12:00:00 a. m.</v>
      </c>
      <c r="BA474" t="str">
        <f>""</f>
        <v/>
      </c>
      <c r="BB474" t="str">
        <f>""</f>
        <v/>
      </c>
      <c r="BC474" t="str">
        <f>""</f>
        <v/>
      </c>
      <c r="BD474" t="str">
        <f t="shared" si="543"/>
        <v>1</v>
      </c>
      <c r="BE474" t="str">
        <f t="shared" si="543"/>
        <v>1</v>
      </c>
      <c r="BF474" t="str">
        <f t="shared" si="528"/>
        <v xml:space="preserve">3         </v>
      </c>
      <c r="BG474" t="str">
        <f t="shared" si="529"/>
        <v>Confirmado por laboratorio</v>
      </c>
      <c r="BH474" t="str">
        <f>"HOSPITAL INFANTIL LOS ANGELES"</f>
        <v>HOSPITAL INFANTIL LOS ANGELES</v>
      </c>
      <c r="BI474" t="str">
        <f t="shared" si="537"/>
        <v>COLOMBIA</v>
      </c>
      <c r="BJ474" t="str">
        <f t="shared" si="530"/>
        <v>CANCER INFANTIL</v>
      </c>
      <c r="BK474" t="str">
        <f>"NARIÑO"</f>
        <v>NARIÑO</v>
      </c>
      <c r="BL474" t="str">
        <f>"OLAYA HERRERA(BOCAS DE SATINGA"</f>
        <v>OLAYA HERRERA(BOCAS DE SATINGA</v>
      </c>
      <c r="BM474" t="str">
        <f t="shared" si="538"/>
        <v>COLOMBIA</v>
      </c>
      <c r="BN474" t="str">
        <f>"NARIÑO"</f>
        <v>NARIÑO</v>
      </c>
      <c r="BO474" t="str">
        <f>"OLAYA HERRERA(BOCAS DE SATINGA"</f>
        <v>OLAYA HERRERA(BOCAS DE SATINGA</v>
      </c>
      <c r="BP474" t="str">
        <f>"NARIÑO"</f>
        <v>NARIÑO</v>
      </c>
      <c r="BQ474" t="str">
        <f>"PASTO"</f>
        <v>PASTO</v>
      </c>
    </row>
    <row r="475" spans="1:69" x14ac:dyDescent="0.25">
      <c r="A475" t="str">
        <f>"7285678"</f>
        <v>7285678</v>
      </c>
      <c r="B475" t="str">
        <f t="shared" si="522"/>
        <v>459</v>
      </c>
      <c r="C475" t="str">
        <f>"6/10/2020 12:00:00 a. m."</f>
        <v>6/10/2020 12:00:00 a. m.</v>
      </c>
      <c r="D475" t="str">
        <f>"40"</f>
        <v>40</v>
      </c>
      <c r="E475" t="str">
        <f t="shared" si="523"/>
        <v>2020</v>
      </c>
      <c r="F475" t="str">
        <f>"1100116338"</f>
        <v>1100116338</v>
      </c>
      <c r="G475" t="str">
        <f>"83"</f>
        <v>83</v>
      </c>
      <c r="H475" t="str">
        <f>"9"</f>
        <v>9</v>
      </c>
      <c r="I475" t="str">
        <f t="shared" si="544"/>
        <v>1</v>
      </c>
      <c r="J475" t="str">
        <f>"F"</f>
        <v>F</v>
      </c>
      <c r="K475" t="str">
        <f t="shared" si="534"/>
        <v>170</v>
      </c>
      <c r="L475" t="str">
        <f>"25"</f>
        <v>25</v>
      </c>
      <c r="M475" t="str">
        <f>"430"</f>
        <v>430</v>
      </c>
      <c r="N475" t="str">
        <f>"1"</f>
        <v>1</v>
      </c>
      <c r="O475" t="str">
        <f>"9997"</f>
        <v>9997</v>
      </c>
      <c r="P475" t="str">
        <f>"P"</f>
        <v>P</v>
      </c>
      <c r="Q475" t="str">
        <f>"RES003"</f>
        <v>RES003</v>
      </c>
      <c r="R475" t="str">
        <f>"6"</f>
        <v>6</v>
      </c>
      <c r="S475" t="str">
        <f>""</f>
        <v/>
      </c>
      <c r="T475" t="str">
        <f t="shared" si="510"/>
        <v xml:space="preserve">                                                                                                    </v>
      </c>
      <c r="U475" t="str">
        <f>"3         "</f>
        <v xml:space="preserve">3         </v>
      </c>
      <c r="V475" t="str">
        <f t="shared" si="519"/>
        <v>2</v>
      </c>
      <c r="W475" t="str">
        <f t="shared" si="508"/>
        <v>2</v>
      </c>
      <c r="X475" t="str">
        <f t="shared" si="547"/>
        <v>2</v>
      </c>
      <c r="Y475" t="str">
        <f t="shared" si="540"/>
        <v>2</v>
      </c>
      <c r="Z475" t="str">
        <f t="shared" si="540"/>
        <v>2</v>
      </c>
      <c r="AA475" t="str">
        <f t="shared" si="525"/>
        <v xml:space="preserve">          </v>
      </c>
      <c r="AB475" t="str">
        <f t="shared" si="516"/>
        <v>2</v>
      </c>
      <c r="AC475" t="str">
        <f t="shared" si="517"/>
        <v>2</v>
      </c>
      <c r="AD475" t="str">
        <f t="shared" si="542"/>
        <v>2</v>
      </c>
      <c r="AE475" t="str">
        <f t="shared" si="542"/>
        <v>2</v>
      </c>
      <c r="AF475" t="str">
        <f t="shared" si="542"/>
        <v>2</v>
      </c>
      <c r="AG475" t="str">
        <f t="shared" si="542"/>
        <v>2</v>
      </c>
      <c r="AH475" t="str">
        <f t="shared" si="548"/>
        <v>1</v>
      </c>
      <c r="AI475" t="str">
        <f t="shared" si="531"/>
        <v xml:space="preserve">1         </v>
      </c>
      <c r="AJ475" t="str">
        <f t="shared" si="536"/>
        <v>170</v>
      </c>
      <c r="AK475" t="str">
        <f>"25"</f>
        <v>25</v>
      </c>
      <c r="AL475" t="str">
        <f>"430"</f>
        <v>430</v>
      </c>
      <c r="AM475" t="str">
        <f>"11"</f>
        <v>11</v>
      </c>
      <c r="AN475" t="str">
        <f>"11001"</f>
        <v>11001</v>
      </c>
      <c r="AO475" t="str">
        <f>"30/09/2020 12:00:00 a. m."</f>
        <v>30/09/2020 12:00:00 a. m.</v>
      </c>
      <c r="AP475" t="str">
        <f>"25/02/2020 12:00:00 a. m."</f>
        <v>25/02/2020 12:00:00 a. m.</v>
      </c>
      <c r="AQ475" t="str">
        <f>"3"</f>
        <v>3</v>
      </c>
      <c r="AR475" t="str">
        <f t="shared" si="546"/>
        <v>1</v>
      </c>
      <c r="AS475" t="str">
        <f>"30/09/2020 12:00:00 a. m."</f>
        <v>30/09/2020 12:00:00 a. m.</v>
      </c>
      <c r="AT475" t="str">
        <f t="shared" ref="AT475:AT488" si="549">"1"</f>
        <v>1</v>
      </c>
      <c r="AU475" t="str">
        <f>""</f>
        <v/>
      </c>
      <c r="AV475" t="str">
        <f>"7"</f>
        <v>7</v>
      </c>
      <c r="AW475" t="str">
        <f>"20/06/2011 12:00:00 a. m."</f>
        <v>20/06/2011 12:00:00 a. m.</v>
      </c>
      <c r="AX475" t="str">
        <f>""</f>
        <v/>
      </c>
      <c r="AY475" t="str">
        <f t="shared" si="527"/>
        <v>30/04/2021 12:00:00 a. m.</v>
      </c>
      <c r="AZ475" t="str">
        <f>"5/11/2020 12:00:00 a. m."</f>
        <v>5/11/2020 12:00:00 a. m.</v>
      </c>
      <c r="BA475" t="str">
        <f>""</f>
        <v/>
      </c>
      <c r="BB475" t="str">
        <f>""</f>
        <v/>
      </c>
      <c r="BC475" t="str">
        <f>""</f>
        <v/>
      </c>
      <c r="BD475" t="str">
        <f t="shared" si="543"/>
        <v>1</v>
      </c>
      <c r="BE475" t="str">
        <f t="shared" si="543"/>
        <v>1</v>
      </c>
      <c r="BF475" t="str">
        <f t="shared" si="528"/>
        <v xml:space="preserve">3         </v>
      </c>
      <c r="BG475" t="str">
        <f t="shared" si="529"/>
        <v>Confirmado por laboratorio</v>
      </c>
      <c r="BH475" t="str">
        <f>"HOSPITAL MILITAR CENTRAL CHAPINERO"</f>
        <v>HOSPITAL MILITAR CENTRAL CHAPINERO</v>
      </c>
      <c r="BI475" t="str">
        <f t="shared" si="537"/>
        <v>COLOMBIA</v>
      </c>
      <c r="BJ475" t="str">
        <f t="shared" si="530"/>
        <v>CANCER INFANTIL</v>
      </c>
      <c r="BK475" t="str">
        <f>"CUNDINAMARCA"</f>
        <v>CUNDINAMARCA</v>
      </c>
      <c r="BL475" t="str">
        <f>"MADRID"</f>
        <v>MADRID</v>
      </c>
      <c r="BM475" t="str">
        <f t="shared" si="538"/>
        <v>COLOMBIA</v>
      </c>
      <c r="BN475" t="str">
        <f>"CUNDINAMARCA"</f>
        <v>CUNDINAMARCA</v>
      </c>
      <c r="BO475" t="str">
        <f>"MADRID"</f>
        <v>MADRID</v>
      </c>
      <c r="BP475" t="str">
        <f>"BOGOTA"</f>
        <v>BOGOTA</v>
      </c>
      <c r="BQ475" t="str">
        <f>"BOGOTA"</f>
        <v>BOGOTA</v>
      </c>
    </row>
    <row r="476" spans="1:69" x14ac:dyDescent="0.25">
      <c r="A476" t="str">
        <f>"7291386"</f>
        <v>7291386</v>
      </c>
      <c r="B476" t="str">
        <f t="shared" si="522"/>
        <v>459</v>
      </c>
      <c r="C476" t="str">
        <f>"1/12/2020 12:00:00 a. m."</f>
        <v>1/12/2020 12:00:00 a. m.</v>
      </c>
      <c r="D476" t="str">
        <f>"46"</f>
        <v>46</v>
      </c>
      <c r="E476" t="str">
        <f t="shared" si="523"/>
        <v>2020</v>
      </c>
      <c r="F476" t="str">
        <f>"1100105681"</f>
        <v>1100105681</v>
      </c>
      <c r="G476" t="str">
        <f>"01"</f>
        <v>01</v>
      </c>
      <c r="H476" t="str">
        <f>"15"</f>
        <v>15</v>
      </c>
      <c r="I476" t="str">
        <f t="shared" si="544"/>
        <v>1</v>
      </c>
      <c r="J476" t="str">
        <f>"F"</f>
        <v>F</v>
      </c>
      <c r="K476" t="str">
        <f t="shared" si="534"/>
        <v>170</v>
      </c>
      <c r="L476" t="str">
        <f>"11"</f>
        <v>11</v>
      </c>
      <c r="M476" t="str">
        <f>"001"</f>
        <v>001</v>
      </c>
      <c r="N476" t="str">
        <f>"1"</f>
        <v>1</v>
      </c>
      <c r="O476" t="str">
        <f>"9997"</f>
        <v>9997</v>
      </c>
      <c r="P476" t="str">
        <f>"S"</f>
        <v>S</v>
      </c>
      <c r="Q476" t="str">
        <f>"EPSS34"</f>
        <v>EPSS34</v>
      </c>
      <c r="R476" t="str">
        <f>"6"</f>
        <v>6</v>
      </c>
      <c r="S476" t="str">
        <f>""</f>
        <v/>
      </c>
      <c r="T476" t="str">
        <f t="shared" si="510"/>
        <v xml:space="preserve">                                                                                                    </v>
      </c>
      <c r="U476" t="str">
        <f>"2         "</f>
        <v xml:space="preserve">2         </v>
      </c>
      <c r="V476" t="str">
        <f t="shared" si="519"/>
        <v>2</v>
      </c>
      <c r="W476" t="str">
        <f t="shared" si="508"/>
        <v>2</v>
      </c>
      <c r="X476" t="str">
        <f t="shared" si="547"/>
        <v>2</v>
      </c>
      <c r="Y476" t="str">
        <f t="shared" si="540"/>
        <v>2</v>
      </c>
      <c r="Z476" t="str">
        <f t="shared" si="540"/>
        <v>2</v>
      </c>
      <c r="AA476" t="str">
        <f t="shared" si="525"/>
        <v xml:space="preserve">          </v>
      </c>
      <c r="AB476" t="str">
        <f t="shared" si="516"/>
        <v>2</v>
      </c>
      <c r="AC476" t="str">
        <f t="shared" si="517"/>
        <v>2</v>
      </c>
      <c r="AD476" t="str">
        <f t="shared" si="542"/>
        <v>2</v>
      </c>
      <c r="AE476" t="str">
        <f t="shared" si="542"/>
        <v>2</v>
      </c>
      <c r="AF476" t="str">
        <f t="shared" si="542"/>
        <v>2</v>
      </c>
      <c r="AG476" t="str">
        <f t="shared" si="542"/>
        <v>2</v>
      </c>
      <c r="AH476" t="str">
        <f t="shared" si="548"/>
        <v>1</v>
      </c>
      <c r="AI476" t="str">
        <f t="shared" si="531"/>
        <v xml:space="preserve">1         </v>
      </c>
      <c r="AJ476" t="str">
        <f t="shared" si="536"/>
        <v>170</v>
      </c>
      <c r="AK476" t="str">
        <f>"11"</f>
        <v>11</v>
      </c>
      <c r="AL476" t="str">
        <f>"001"</f>
        <v>001</v>
      </c>
      <c r="AM476" t="str">
        <f>"11"</f>
        <v>11</v>
      </c>
      <c r="AN476" t="str">
        <f>"11001"</f>
        <v>11001</v>
      </c>
      <c r="AO476" t="str">
        <f>"11/11/2020 12:00:00 a. m."</f>
        <v>11/11/2020 12:00:00 a. m.</v>
      </c>
      <c r="AP476" t="str">
        <f>"1/08/2020 12:00:00 a. m."</f>
        <v>1/08/2020 12:00:00 a. m.</v>
      </c>
      <c r="AQ476" t="str">
        <f>"3"</f>
        <v>3</v>
      </c>
      <c r="AR476" t="str">
        <f t="shared" si="546"/>
        <v>1</v>
      </c>
      <c r="AS476" t="str">
        <f>"11/11/2020 12:00:00 a. m."</f>
        <v>11/11/2020 12:00:00 a. m.</v>
      </c>
      <c r="AT476" t="str">
        <f t="shared" si="549"/>
        <v>1</v>
      </c>
      <c r="AU476" t="str">
        <f>""</f>
        <v/>
      </c>
      <c r="AV476" t="str">
        <f>"0"</f>
        <v>0</v>
      </c>
      <c r="AW476" t="str">
        <f>"10/03/2005 12:00:00 a. m."</f>
        <v>10/03/2005 12:00:00 a. m.</v>
      </c>
      <c r="AX476" t="str">
        <f>""</f>
        <v/>
      </c>
      <c r="AY476" t="str">
        <f t="shared" si="527"/>
        <v>30/04/2021 12:00:00 a. m.</v>
      </c>
      <c r="AZ476" t="str">
        <f>"7/01/2021 12:00:00 a. m."</f>
        <v>7/01/2021 12:00:00 a. m.</v>
      </c>
      <c r="BA476" t="str">
        <f>""</f>
        <v/>
      </c>
      <c r="BB476" t="str">
        <f>""</f>
        <v/>
      </c>
      <c r="BC476" t="str">
        <f>""</f>
        <v/>
      </c>
      <c r="BD476" t="str">
        <f t="shared" si="543"/>
        <v>1</v>
      </c>
      <c r="BE476" t="str">
        <f t="shared" si="543"/>
        <v>1</v>
      </c>
      <c r="BF476" t="str">
        <f t="shared" si="528"/>
        <v xml:space="preserve">3         </v>
      </c>
      <c r="BG476" t="str">
        <f t="shared" si="529"/>
        <v>Confirmado por laboratorio</v>
      </c>
      <c r="BH476" t="str">
        <f>"FUNDACION HOSPITAL DE LA MISERICORDIA"</f>
        <v>FUNDACION HOSPITAL DE LA MISERICORDIA</v>
      </c>
      <c r="BI476" t="str">
        <f t="shared" si="537"/>
        <v>COLOMBIA</v>
      </c>
      <c r="BJ476" t="str">
        <f t="shared" si="530"/>
        <v>CANCER INFANTIL</v>
      </c>
      <c r="BK476" t="str">
        <f>"BOGOTA"</f>
        <v>BOGOTA</v>
      </c>
      <c r="BL476" t="str">
        <f>"BOGOTA"</f>
        <v>BOGOTA</v>
      </c>
      <c r="BM476" t="str">
        <f t="shared" si="538"/>
        <v>COLOMBIA</v>
      </c>
      <c r="BN476" t="str">
        <f>"BOGOTA"</f>
        <v>BOGOTA</v>
      </c>
      <c r="BO476" t="str">
        <f>"BOGOTA"</f>
        <v>BOGOTA</v>
      </c>
      <c r="BP476" t="str">
        <f>"BOGOTA"</f>
        <v>BOGOTA</v>
      </c>
      <c r="BQ476" t="str">
        <f>"BOGOTA"</f>
        <v>BOGOTA</v>
      </c>
    </row>
    <row r="477" spans="1:69" x14ac:dyDescent="0.25">
      <c r="A477" t="str">
        <f>"7291389"</f>
        <v>7291389</v>
      </c>
      <c r="B477" t="str">
        <f t="shared" si="522"/>
        <v>459</v>
      </c>
      <c r="C477" t="str">
        <f>"12/06/2020 12:00:00 a. m."</f>
        <v>12/06/2020 12:00:00 a. m.</v>
      </c>
      <c r="D477" t="str">
        <f>"10"</f>
        <v>10</v>
      </c>
      <c r="E477" t="str">
        <f t="shared" si="523"/>
        <v>2020</v>
      </c>
      <c r="F477" t="str">
        <f>"7600102870"</f>
        <v>7600102870</v>
      </c>
      <c r="G477" t="str">
        <f>"01"</f>
        <v>01</v>
      </c>
      <c r="H477" t="str">
        <f>"11"</f>
        <v>11</v>
      </c>
      <c r="I477" t="str">
        <f t="shared" si="544"/>
        <v>1</v>
      </c>
      <c r="J477" t="str">
        <f t="shared" ref="J477:J482" si="550">"M"</f>
        <v>M</v>
      </c>
      <c r="K477" t="str">
        <f t="shared" si="534"/>
        <v>170</v>
      </c>
      <c r="L477" t="str">
        <f>"76"</f>
        <v>76</v>
      </c>
      <c r="M477" t="str">
        <f>"001"</f>
        <v>001</v>
      </c>
      <c r="N477" t="str">
        <f>"1"</f>
        <v>1</v>
      </c>
      <c r="O477" t="str">
        <f>"9999"</f>
        <v>9999</v>
      </c>
      <c r="P477" t="str">
        <f>"C"</f>
        <v>C</v>
      </c>
      <c r="Q477" t="str">
        <f>"EPS010"</f>
        <v>EPS010</v>
      </c>
      <c r="R477" t="str">
        <f>"6"</f>
        <v>6</v>
      </c>
      <c r="S477" t="str">
        <f>""</f>
        <v/>
      </c>
      <c r="T477" t="str">
        <f t="shared" si="510"/>
        <v xml:space="preserve">                                                                                                    </v>
      </c>
      <c r="U477" t="str">
        <f>"3         "</f>
        <v xml:space="preserve">3         </v>
      </c>
      <c r="V477" t="str">
        <f t="shared" si="519"/>
        <v>2</v>
      </c>
      <c r="W477" t="str">
        <f t="shared" si="508"/>
        <v>2</v>
      </c>
      <c r="X477" t="str">
        <f t="shared" si="547"/>
        <v>2</v>
      </c>
      <c r="Y477" t="str">
        <f t="shared" si="540"/>
        <v>2</v>
      </c>
      <c r="Z477" t="str">
        <f t="shared" si="540"/>
        <v>2</v>
      </c>
      <c r="AA477" t="str">
        <f t="shared" si="525"/>
        <v xml:space="preserve">          </v>
      </c>
      <c r="AB477" t="str">
        <f t="shared" si="516"/>
        <v>2</v>
      </c>
      <c r="AC477" t="str">
        <f t="shared" si="517"/>
        <v>2</v>
      </c>
      <c r="AD477" t="str">
        <f t="shared" si="542"/>
        <v>2</v>
      </c>
      <c r="AE477" t="str">
        <f t="shared" si="542"/>
        <v>2</v>
      </c>
      <c r="AF477" t="str">
        <f t="shared" si="542"/>
        <v>2</v>
      </c>
      <c r="AG477" t="str">
        <f t="shared" si="542"/>
        <v>2</v>
      </c>
      <c r="AH477" t="str">
        <f t="shared" si="548"/>
        <v>1</v>
      </c>
      <c r="AI477" t="str">
        <f t="shared" si="531"/>
        <v xml:space="preserve">1         </v>
      </c>
      <c r="AJ477" t="str">
        <f t="shared" si="536"/>
        <v>170</v>
      </c>
      <c r="AK477" t="str">
        <f>"76"</f>
        <v>76</v>
      </c>
      <c r="AL477" t="str">
        <f>"001"</f>
        <v>001</v>
      </c>
      <c r="AM477" t="str">
        <f>"76"</f>
        <v>76</v>
      </c>
      <c r="AN477" t="str">
        <f>"76001"</f>
        <v>76001</v>
      </c>
      <c r="AO477" t="str">
        <f>"6/03/2020 12:00:00 a. m."</f>
        <v>6/03/2020 12:00:00 a. m.</v>
      </c>
      <c r="AP477" t="str">
        <f>"1/01/2020 12:00:00 a. m."</f>
        <v>1/01/2020 12:00:00 a. m.</v>
      </c>
      <c r="AQ477" t="str">
        <f>"3"</f>
        <v>3</v>
      </c>
      <c r="AR477" t="str">
        <f t="shared" si="546"/>
        <v>1</v>
      </c>
      <c r="AS477" t="str">
        <f>"6/03/2020 12:00:00 a. m."</f>
        <v>6/03/2020 12:00:00 a. m.</v>
      </c>
      <c r="AT477" t="str">
        <f t="shared" si="549"/>
        <v>1</v>
      </c>
      <c r="AU477" t="str">
        <f>""</f>
        <v/>
      </c>
      <c r="AV477" t="str">
        <f>"7"</f>
        <v>7</v>
      </c>
      <c r="AW477" t="str">
        <f>"30/01/2009 12:00:00 a. m."</f>
        <v>30/01/2009 12:00:00 a. m.</v>
      </c>
      <c r="AX477" t="str">
        <f>""</f>
        <v/>
      </c>
      <c r="AY477" t="str">
        <f t="shared" si="527"/>
        <v>30/04/2021 12:00:00 a. m.</v>
      </c>
      <c r="AZ477" t="str">
        <f>"18/02/2021 12:00:00 a. m."</f>
        <v>18/02/2021 12:00:00 a. m.</v>
      </c>
      <c r="BA477" t="str">
        <f>""</f>
        <v/>
      </c>
      <c r="BB477" t="str">
        <f>""</f>
        <v/>
      </c>
      <c r="BC477" t="str">
        <f>""</f>
        <v/>
      </c>
      <c r="BD477" t="str">
        <f t="shared" si="543"/>
        <v>1</v>
      </c>
      <c r="BE477" t="str">
        <f t="shared" si="543"/>
        <v>1</v>
      </c>
      <c r="BF477" t="str">
        <f t="shared" si="528"/>
        <v xml:space="preserve">3         </v>
      </c>
      <c r="BG477" t="str">
        <f t="shared" si="529"/>
        <v>Confirmado por laboratorio</v>
      </c>
      <c r="BH477" t="str">
        <f>"FUNDACION VALLE DEL LILI"</f>
        <v>FUNDACION VALLE DEL LILI</v>
      </c>
      <c r="BI477" t="str">
        <f t="shared" si="537"/>
        <v>COLOMBIA</v>
      </c>
      <c r="BJ477" t="str">
        <f t="shared" si="530"/>
        <v>CANCER INFANTIL</v>
      </c>
      <c r="BK477" t="str">
        <f>"VALLE"</f>
        <v>VALLE</v>
      </c>
      <c r="BL477" t="str">
        <f>"CALI"</f>
        <v>CALI</v>
      </c>
      <c r="BM477" t="str">
        <f t="shared" si="538"/>
        <v>COLOMBIA</v>
      </c>
      <c r="BN477" t="str">
        <f>"VALLE"</f>
        <v>VALLE</v>
      </c>
      <c r="BO477" t="str">
        <f>"CALI"</f>
        <v>CALI</v>
      </c>
      <c r="BP477" t="str">
        <f>"VALLE"</f>
        <v>VALLE</v>
      </c>
      <c r="BQ477" t="str">
        <f>"CALI"</f>
        <v>CALI</v>
      </c>
    </row>
    <row r="478" spans="1:69" x14ac:dyDescent="0.25">
      <c r="A478" t="str">
        <f>"7291537"</f>
        <v>7291537</v>
      </c>
      <c r="B478" t="str">
        <f t="shared" si="522"/>
        <v>459</v>
      </c>
      <c r="C478" t="str">
        <f>"17/09/2020 12:00:00 a. m."</f>
        <v>17/09/2020 12:00:00 a. m.</v>
      </c>
      <c r="D478" t="str">
        <f>"30"</f>
        <v>30</v>
      </c>
      <c r="E478" t="str">
        <f t="shared" si="523"/>
        <v>2020</v>
      </c>
      <c r="F478" t="str">
        <f>"0500102175"</f>
        <v>0500102175</v>
      </c>
      <c r="G478" t="str">
        <f>"01"</f>
        <v>01</v>
      </c>
      <c r="H478" t="str">
        <f>"8"</f>
        <v>8</v>
      </c>
      <c r="I478" t="str">
        <f t="shared" si="544"/>
        <v>1</v>
      </c>
      <c r="J478" t="str">
        <f t="shared" si="550"/>
        <v>M</v>
      </c>
      <c r="K478" t="str">
        <f t="shared" si="534"/>
        <v>170</v>
      </c>
      <c r="L478" t="str">
        <f>"05"</f>
        <v>05</v>
      </c>
      <c r="M478" t="str">
        <f>"001"</f>
        <v>001</v>
      </c>
      <c r="N478" t="str">
        <f>"1"</f>
        <v>1</v>
      </c>
      <c r="O478" t="str">
        <f>"9999"</f>
        <v>9999</v>
      </c>
      <c r="P478" t="str">
        <f>"S"</f>
        <v>S</v>
      </c>
      <c r="Q478" t="str">
        <f>"EPSS10"</f>
        <v>EPSS10</v>
      </c>
      <c r="R478" t="str">
        <f>"6"</f>
        <v>6</v>
      </c>
      <c r="S478" t="str">
        <f>""</f>
        <v/>
      </c>
      <c r="T478" t="str">
        <f t="shared" si="510"/>
        <v xml:space="preserve">                                                                                                    </v>
      </c>
      <c r="U478" t="str">
        <f>"2         "</f>
        <v xml:space="preserve">2         </v>
      </c>
      <c r="V478" t="str">
        <f t="shared" si="519"/>
        <v>2</v>
      </c>
      <c r="W478" t="str">
        <f t="shared" si="508"/>
        <v>2</v>
      </c>
      <c r="X478" t="str">
        <f t="shared" si="547"/>
        <v>2</v>
      </c>
      <c r="Y478" t="str">
        <f t="shared" si="540"/>
        <v>2</v>
      </c>
      <c r="Z478" t="str">
        <f t="shared" si="540"/>
        <v>2</v>
      </c>
      <c r="AA478" t="str">
        <f t="shared" si="525"/>
        <v xml:space="preserve">          </v>
      </c>
      <c r="AB478" t="str">
        <f t="shared" si="516"/>
        <v>2</v>
      </c>
      <c r="AC478" t="str">
        <f t="shared" si="517"/>
        <v>2</v>
      </c>
      <c r="AD478" t="str">
        <f t="shared" si="542"/>
        <v>2</v>
      </c>
      <c r="AE478" t="str">
        <f t="shared" si="542"/>
        <v>2</v>
      </c>
      <c r="AF478" t="str">
        <f t="shared" si="542"/>
        <v>2</v>
      </c>
      <c r="AG478" t="str">
        <f t="shared" si="542"/>
        <v>2</v>
      </c>
      <c r="AH478" t="str">
        <f t="shared" si="548"/>
        <v>1</v>
      </c>
      <c r="AI478" t="str">
        <f t="shared" si="531"/>
        <v xml:space="preserve">1         </v>
      </c>
      <c r="AJ478" t="str">
        <f t="shared" si="536"/>
        <v>170</v>
      </c>
      <c r="AK478" t="str">
        <f>"05"</f>
        <v>05</v>
      </c>
      <c r="AL478" t="str">
        <f>"001"</f>
        <v>001</v>
      </c>
      <c r="AM478" t="str">
        <f>"05"</f>
        <v>05</v>
      </c>
      <c r="AN478" t="str">
        <f>"05001"</f>
        <v>05001</v>
      </c>
      <c r="AO478" t="str">
        <f>"19/07/2020 12:00:00 a. m."</f>
        <v>19/07/2020 12:00:00 a. m.</v>
      </c>
      <c r="AP478" t="str">
        <f>"18/07/2020 12:00:00 a. m."</f>
        <v>18/07/2020 12:00:00 a. m.</v>
      </c>
      <c r="AQ478" t="str">
        <f>"2"</f>
        <v>2</v>
      </c>
      <c r="AR478" t="str">
        <f t="shared" si="546"/>
        <v>1</v>
      </c>
      <c r="AS478" t="str">
        <f>"18/08/2020 12:00:00 a. m."</f>
        <v>18/08/2020 12:00:00 a. m.</v>
      </c>
      <c r="AT478" t="str">
        <f t="shared" si="549"/>
        <v>1</v>
      </c>
      <c r="AU478" t="str">
        <f>""</f>
        <v/>
      </c>
      <c r="AV478" t="str">
        <f>"3"</f>
        <v>3</v>
      </c>
      <c r="AW478" t="str">
        <f>"2/07/2012 12:00:00 a. m."</f>
        <v>2/07/2012 12:00:00 a. m.</v>
      </c>
      <c r="AX478" t="str">
        <f>""</f>
        <v/>
      </c>
      <c r="AY478" t="str">
        <f t="shared" si="527"/>
        <v>30/04/2021 12:00:00 a. m.</v>
      </c>
      <c r="AZ478" t="str">
        <f>"22/10/2020 12:00:00 a. m."</f>
        <v>22/10/2020 12:00:00 a. m.</v>
      </c>
      <c r="BA478" t="str">
        <f>""</f>
        <v/>
      </c>
      <c r="BB478" t="str">
        <f>""</f>
        <v/>
      </c>
      <c r="BC478" t="str">
        <f>""</f>
        <v/>
      </c>
      <c r="BD478" t="str">
        <f t="shared" si="543"/>
        <v>1</v>
      </c>
      <c r="BE478" t="str">
        <f t="shared" si="543"/>
        <v>1</v>
      </c>
      <c r="BF478" t="str">
        <f t="shared" si="528"/>
        <v xml:space="preserve">3         </v>
      </c>
      <c r="BG478" t="str">
        <f t="shared" si="529"/>
        <v>Confirmado por laboratorio</v>
      </c>
      <c r="BH478" t="str">
        <f>"FUNDACION HOSPITALARIA SAN VICENTE DE PAUL"</f>
        <v>FUNDACION HOSPITALARIA SAN VICENTE DE PAUL</v>
      </c>
      <c r="BI478" t="str">
        <f t="shared" si="537"/>
        <v>COLOMBIA</v>
      </c>
      <c r="BJ478" t="str">
        <f t="shared" si="530"/>
        <v>CANCER INFANTIL</v>
      </c>
      <c r="BK478" t="str">
        <f>"ANTIOQUIA"</f>
        <v>ANTIOQUIA</v>
      </c>
      <c r="BL478" t="str">
        <f>"MEDELLIN"</f>
        <v>MEDELLIN</v>
      </c>
      <c r="BM478" t="str">
        <f t="shared" si="538"/>
        <v>COLOMBIA</v>
      </c>
      <c r="BN478" t="str">
        <f>"ANTIOQUIA"</f>
        <v>ANTIOQUIA</v>
      </c>
      <c r="BO478" t="str">
        <f>"MEDELLIN"</f>
        <v>MEDELLIN</v>
      </c>
      <c r="BP478" t="str">
        <f>"ANTIOQUIA"</f>
        <v>ANTIOQUIA</v>
      </c>
      <c r="BQ478" t="str">
        <f>"MEDELLIN"</f>
        <v>MEDELLIN</v>
      </c>
    </row>
    <row r="479" spans="1:69" x14ac:dyDescent="0.25">
      <c r="A479" t="str">
        <f>"7278861"</f>
        <v>7278861</v>
      </c>
      <c r="B479" t="str">
        <f t="shared" si="522"/>
        <v>459</v>
      </c>
      <c r="C479" t="str">
        <f>"26/05/2020 12:00:00 a. m."</f>
        <v>26/05/2020 12:00:00 a. m.</v>
      </c>
      <c r="D479" t="str">
        <f>"21"</f>
        <v>21</v>
      </c>
      <c r="E479" t="str">
        <f t="shared" si="523"/>
        <v>2020</v>
      </c>
      <c r="F479" t="str">
        <f>"0504509099"</f>
        <v>0504509099</v>
      </c>
      <c r="G479" t="str">
        <f>"37"</f>
        <v>37</v>
      </c>
      <c r="H479" t="str">
        <f>"13"</f>
        <v>13</v>
      </c>
      <c r="I479" t="str">
        <f t="shared" si="544"/>
        <v>1</v>
      </c>
      <c r="J479" t="str">
        <f t="shared" si="550"/>
        <v>M</v>
      </c>
      <c r="K479" t="str">
        <f t="shared" si="534"/>
        <v>170</v>
      </c>
      <c r="L479" t="str">
        <f>"05"</f>
        <v>05</v>
      </c>
      <c r="M479" t="str">
        <f>"045"</f>
        <v>045</v>
      </c>
      <c r="N479" t="str">
        <f>"2"</f>
        <v>2</v>
      </c>
      <c r="O479" t="str">
        <f>"9997"</f>
        <v>9997</v>
      </c>
      <c r="P479" t="str">
        <f>"S"</f>
        <v>S</v>
      </c>
      <c r="Q479" t="str">
        <f>"EPSI03"</f>
        <v>EPSI03</v>
      </c>
      <c r="R479" t="str">
        <f>"1"</f>
        <v>1</v>
      </c>
      <c r="S479" t="str">
        <f>""</f>
        <v/>
      </c>
      <c r="T479" t="str">
        <f t="shared" si="510"/>
        <v xml:space="preserve">                                                                                                    </v>
      </c>
      <c r="U479" t="str">
        <f>"1         "</f>
        <v xml:space="preserve">1         </v>
      </c>
      <c r="V479" t="str">
        <f t="shared" ref="V479:V510" si="551">"2"</f>
        <v>2</v>
      </c>
      <c r="W479" t="str">
        <f t="shared" si="508"/>
        <v>2</v>
      </c>
      <c r="X479" t="str">
        <f t="shared" si="547"/>
        <v>2</v>
      </c>
      <c r="Y479" t="str">
        <f t="shared" ref="Y479:Z498" si="552">"2"</f>
        <v>2</v>
      </c>
      <c r="Z479" t="str">
        <f t="shared" si="552"/>
        <v>2</v>
      </c>
      <c r="AA479" t="str">
        <f t="shared" si="525"/>
        <v xml:space="preserve">          </v>
      </c>
      <c r="AB479" t="str">
        <f t="shared" si="516"/>
        <v>2</v>
      </c>
      <c r="AC479" t="str">
        <f t="shared" si="517"/>
        <v>2</v>
      </c>
      <c r="AD479" t="str">
        <f t="shared" si="542"/>
        <v>2</v>
      </c>
      <c r="AE479" t="str">
        <f t="shared" si="542"/>
        <v>2</v>
      </c>
      <c r="AF479" t="str">
        <f t="shared" si="542"/>
        <v>2</v>
      </c>
      <c r="AG479" t="str">
        <f t="shared" si="542"/>
        <v>2</v>
      </c>
      <c r="AH479" t="str">
        <f t="shared" si="548"/>
        <v>1</v>
      </c>
      <c r="AI479" t="str">
        <f t="shared" si="531"/>
        <v xml:space="preserve">1         </v>
      </c>
      <c r="AJ479" t="str">
        <f t="shared" si="536"/>
        <v>170</v>
      </c>
      <c r="AK479" t="str">
        <f>"05"</f>
        <v>05</v>
      </c>
      <c r="AL479" t="str">
        <f>"045"</f>
        <v>045</v>
      </c>
      <c r="AM479" t="str">
        <f>"05"</f>
        <v>05</v>
      </c>
      <c r="AN479" t="str">
        <f>"05045"</f>
        <v>05045</v>
      </c>
      <c r="AO479" t="str">
        <f>"22/05/2020 12:00:00 a. m."</f>
        <v>22/05/2020 12:00:00 a. m.</v>
      </c>
      <c r="AP479" t="str">
        <f>"20/05/2020 12:00:00 a. m."</f>
        <v>20/05/2020 12:00:00 a. m.</v>
      </c>
      <c r="AQ479" t="str">
        <f>"2"</f>
        <v>2</v>
      </c>
      <c r="AR479" t="str">
        <f t="shared" si="546"/>
        <v>1</v>
      </c>
      <c r="AS479" t="str">
        <f>"22/05/2020 12:00:00 a. m."</f>
        <v>22/05/2020 12:00:00 a. m.</v>
      </c>
      <c r="AT479" t="str">
        <f t="shared" si="549"/>
        <v>1</v>
      </c>
      <c r="AU479" t="str">
        <f>""</f>
        <v/>
      </c>
      <c r="AV479" t="str">
        <f>"3"</f>
        <v>3</v>
      </c>
      <c r="AW479" t="str">
        <f>"25/03/2007 12:00:00 a. m."</f>
        <v>25/03/2007 12:00:00 a. m.</v>
      </c>
      <c r="AX479" t="str">
        <f>""</f>
        <v/>
      </c>
      <c r="AY479" t="str">
        <f t="shared" si="527"/>
        <v>30/04/2021 12:00:00 a. m.</v>
      </c>
      <c r="AZ479" t="str">
        <f>"17/12/2020 12:00:00 a. m."</f>
        <v>17/12/2020 12:00:00 a. m.</v>
      </c>
      <c r="BA479" t="str">
        <f>""</f>
        <v/>
      </c>
      <c r="BB479" t="str">
        <f>""</f>
        <v/>
      </c>
      <c r="BC479" t="str">
        <f>""</f>
        <v/>
      </c>
      <c r="BD479" t="str">
        <f t="shared" si="543"/>
        <v>1</v>
      </c>
      <c r="BE479" t="str">
        <f t="shared" si="543"/>
        <v>1</v>
      </c>
      <c r="BF479" t="str">
        <f t="shared" si="528"/>
        <v xml:space="preserve">3         </v>
      </c>
      <c r="BG479" t="str">
        <f t="shared" si="529"/>
        <v>Confirmado por laboratorio</v>
      </c>
      <c r="BH479" t="str">
        <f>"CLINICA CENTRAL FUNDADORES APARTADO"</f>
        <v>CLINICA CENTRAL FUNDADORES APARTADO</v>
      </c>
      <c r="BI479" t="str">
        <f t="shared" si="537"/>
        <v>COLOMBIA</v>
      </c>
      <c r="BJ479" t="str">
        <f t="shared" si="530"/>
        <v>CANCER INFANTIL</v>
      </c>
      <c r="BK479" t="str">
        <f>"ANTIOQUIA"</f>
        <v>ANTIOQUIA</v>
      </c>
      <c r="BL479" t="str">
        <f>"APARTADO"</f>
        <v>APARTADO</v>
      </c>
      <c r="BM479" t="str">
        <f t="shared" si="538"/>
        <v>COLOMBIA</v>
      </c>
      <c r="BN479" t="str">
        <f>"ANTIOQUIA"</f>
        <v>ANTIOQUIA</v>
      </c>
      <c r="BO479" t="str">
        <f>"APARTADO"</f>
        <v>APARTADO</v>
      </c>
      <c r="BP479" t="str">
        <f>"ANTIOQUIA"</f>
        <v>ANTIOQUIA</v>
      </c>
      <c r="BQ479" t="str">
        <f>"APARTADO"</f>
        <v>APARTADO</v>
      </c>
    </row>
    <row r="480" spans="1:69" x14ac:dyDescent="0.25">
      <c r="A480" t="str">
        <f>"7278786"</f>
        <v>7278786</v>
      </c>
      <c r="B480" t="str">
        <f t="shared" si="522"/>
        <v>459</v>
      </c>
      <c r="C480" t="str">
        <f>"13/11/2020 12:00:00 a. m."</f>
        <v>13/11/2020 12:00:00 a. m.</v>
      </c>
      <c r="D480" t="str">
        <f>"46"</f>
        <v>46</v>
      </c>
      <c r="E480" t="str">
        <f t="shared" si="523"/>
        <v>2020</v>
      </c>
      <c r="F480" t="str">
        <f>"6300100460"</f>
        <v>6300100460</v>
      </c>
      <c r="G480" t="str">
        <f t="shared" ref="G480:G486" si="553">"01"</f>
        <v>01</v>
      </c>
      <c r="H480" t="str">
        <f>"14"</f>
        <v>14</v>
      </c>
      <c r="I480" t="str">
        <f t="shared" si="544"/>
        <v>1</v>
      </c>
      <c r="J480" t="str">
        <f t="shared" si="550"/>
        <v>M</v>
      </c>
      <c r="K480" t="str">
        <f t="shared" si="534"/>
        <v>170</v>
      </c>
      <c r="L480" t="str">
        <f>"63"</f>
        <v>63</v>
      </c>
      <c r="M480" t="str">
        <f>"594"</f>
        <v>594</v>
      </c>
      <c r="N480" t="str">
        <f>"3"</f>
        <v>3</v>
      </c>
      <c r="O480" t="str">
        <f>"9997"</f>
        <v>9997</v>
      </c>
      <c r="P480" t="str">
        <f>"C"</f>
        <v>C</v>
      </c>
      <c r="Q480" t="str">
        <f>"EPS044"</f>
        <v>EPS044</v>
      </c>
      <c r="R480" t="str">
        <f t="shared" ref="R480:R491" si="554">"6"</f>
        <v>6</v>
      </c>
      <c r="S480" t="str">
        <f>""</f>
        <v/>
      </c>
      <c r="T480" t="str">
        <f t="shared" si="510"/>
        <v xml:space="preserve">                                                                                                    </v>
      </c>
      <c r="U480" t="str">
        <f>"2         "</f>
        <v xml:space="preserve">2         </v>
      </c>
      <c r="V480" t="str">
        <f t="shared" si="551"/>
        <v>2</v>
      </c>
      <c r="W480" t="str">
        <f t="shared" si="508"/>
        <v>2</v>
      </c>
      <c r="X480" t="str">
        <f t="shared" si="547"/>
        <v>2</v>
      </c>
      <c r="Y480" t="str">
        <f t="shared" si="552"/>
        <v>2</v>
      </c>
      <c r="Z480" t="str">
        <f t="shared" si="552"/>
        <v>2</v>
      </c>
      <c r="AA480" t="str">
        <f t="shared" si="525"/>
        <v xml:space="preserve">          </v>
      </c>
      <c r="AB480" t="str">
        <f t="shared" si="516"/>
        <v>2</v>
      </c>
      <c r="AC480" t="str">
        <f t="shared" si="517"/>
        <v>2</v>
      </c>
      <c r="AD480" t="str">
        <f t="shared" ref="AD480:AG499" si="555">"2"</f>
        <v>2</v>
      </c>
      <c r="AE480" t="str">
        <f t="shared" si="555"/>
        <v>2</v>
      </c>
      <c r="AF480" t="str">
        <f t="shared" si="555"/>
        <v>2</v>
      </c>
      <c r="AG480" t="str">
        <f t="shared" si="555"/>
        <v>2</v>
      </c>
      <c r="AH480" t="str">
        <f t="shared" si="548"/>
        <v>1</v>
      </c>
      <c r="AI480" t="str">
        <f t="shared" si="531"/>
        <v xml:space="preserve">1         </v>
      </c>
      <c r="AJ480" t="str">
        <f t="shared" si="536"/>
        <v>170</v>
      </c>
      <c r="AK480" t="str">
        <f>"63"</f>
        <v>63</v>
      </c>
      <c r="AL480" t="str">
        <f>"594"</f>
        <v>594</v>
      </c>
      <c r="AM480" t="str">
        <f>"63"</f>
        <v>63</v>
      </c>
      <c r="AN480" t="str">
        <f>"63001"</f>
        <v>63001</v>
      </c>
      <c r="AO480" t="str">
        <f>"13/11/2020 12:00:00 a. m."</f>
        <v>13/11/2020 12:00:00 a. m.</v>
      </c>
      <c r="AP480" t="str">
        <f>"13/10/2020 12:00:00 a. m."</f>
        <v>13/10/2020 12:00:00 a. m.</v>
      </c>
      <c r="AQ480" t="str">
        <f>"2"</f>
        <v>2</v>
      </c>
      <c r="AR480" t="str">
        <f t="shared" si="546"/>
        <v>1</v>
      </c>
      <c r="AS480" t="str">
        <f>"13/11/2020 12:00:00 a. m."</f>
        <v>13/11/2020 12:00:00 a. m.</v>
      </c>
      <c r="AT480" t="str">
        <f t="shared" si="549"/>
        <v>1</v>
      </c>
      <c r="AU480" t="str">
        <f>""</f>
        <v/>
      </c>
      <c r="AV480" t="str">
        <f>"3"</f>
        <v>3</v>
      </c>
      <c r="AW480" t="str">
        <f>"10/04/2006 12:00:00 a. m."</f>
        <v>10/04/2006 12:00:00 a. m.</v>
      </c>
      <c r="AX480" t="str">
        <f>""</f>
        <v/>
      </c>
      <c r="AY480" t="str">
        <f t="shared" si="527"/>
        <v>30/04/2021 12:00:00 a. m.</v>
      </c>
      <c r="AZ480" t="str">
        <f>"5/03/2021 12:00:00 a. m."</f>
        <v>5/03/2021 12:00:00 a. m.</v>
      </c>
      <c r="BA480" t="str">
        <f>""</f>
        <v/>
      </c>
      <c r="BB480" t="str">
        <f>""</f>
        <v/>
      </c>
      <c r="BC480" t="str">
        <f>""</f>
        <v/>
      </c>
      <c r="BD480" t="str">
        <f t="shared" si="543"/>
        <v>1</v>
      </c>
      <c r="BE480" t="str">
        <f t="shared" si="543"/>
        <v>1</v>
      </c>
      <c r="BF480" t="str">
        <f t="shared" si="528"/>
        <v xml:space="preserve">3         </v>
      </c>
      <c r="BG480" t="str">
        <f t="shared" si="529"/>
        <v>Confirmado por laboratorio</v>
      </c>
      <c r="BH480" t="str">
        <f>"REDSALUD ARMENIA ESE"</f>
        <v>REDSALUD ARMENIA ESE</v>
      </c>
      <c r="BI480" t="str">
        <f t="shared" si="537"/>
        <v>COLOMBIA</v>
      </c>
      <c r="BJ480" t="str">
        <f t="shared" si="530"/>
        <v>CANCER INFANTIL</v>
      </c>
      <c r="BK480" t="str">
        <f>"QUINDIO"</f>
        <v>QUINDIO</v>
      </c>
      <c r="BL480" t="str">
        <f>"QUIMBAYA"</f>
        <v>QUIMBAYA</v>
      </c>
      <c r="BM480" t="str">
        <f t="shared" si="538"/>
        <v>COLOMBIA</v>
      </c>
      <c r="BN480" t="str">
        <f>"QUINDIO"</f>
        <v>QUINDIO</v>
      </c>
      <c r="BO480" t="str">
        <f>"QUIMBAYA"</f>
        <v>QUIMBAYA</v>
      </c>
      <c r="BP480" t="str">
        <f>"QUINDIO"</f>
        <v>QUINDIO</v>
      </c>
      <c r="BQ480" t="str">
        <f>"ARMENIA"</f>
        <v>ARMENIA</v>
      </c>
    </row>
    <row r="481" spans="1:69" x14ac:dyDescent="0.25">
      <c r="A481" t="str">
        <f>"7278740"</f>
        <v>7278740</v>
      </c>
      <c r="B481" t="str">
        <f t="shared" si="522"/>
        <v>459</v>
      </c>
      <c r="C481" t="str">
        <f>"9/03/2020 12:00:00 a. m."</f>
        <v>9/03/2020 12:00:00 a. m.</v>
      </c>
      <c r="D481" t="str">
        <f>"09"</f>
        <v>09</v>
      </c>
      <c r="E481" t="str">
        <f t="shared" si="523"/>
        <v>2020</v>
      </c>
      <c r="F481" t="str">
        <f>"7600101111"</f>
        <v>7600101111</v>
      </c>
      <c r="G481" t="str">
        <f t="shared" si="553"/>
        <v>01</v>
      </c>
      <c r="H481" t="str">
        <f>"6"</f>
        <v>6</v>
      </c>
      <c r="I481" t="str">
        <f t="shared" si="544"/>
        <v>1</v>
      </c>
      <c r="J481" t="str">
        <f t="shared" si="550"/>
        <v>M</v>
      </c>
      <c r="K481" t="str">
        <f t="shared" si="534"/>
        <v>170</v>
      </c>
      <c r="L481" t="str">
        <f>"19"</f>
        <v>19</v>
      </c>
      <c r="M481" t="str">
        <f>"473"</f>
        <v>473</v>
      </c>
      <c r="N481" t="str">
        <f>"3"</f>
        <v>3</v>
      </c>
      <c r="O481" t="str">
        <f>"9997"</f>
        <v>9997</v>
      </c>
      <c r="P481" t="str">
        <f t="shared" ref="P481:P486" si="556">"S"</f>
        <v>S</v>
      </c>
      <c r="Q481" t="str">
        <f>"EPSI03"</f>
        <v>EPSI03</v>
      </c>
      <c r="R481" t="str">
        <f t="shared" si="554"/>
        <v>6</v>
      </c>
      <c r="S481" t="str">
        <f>""</f>
        <v/>
      </c>
      <c r="T481" t="str">
        <f t="shared" si="510"/>
        <v xml:space="preserve">                                                                                                    </v>
      </c>
      <c r="U481" t="str">
        <f>"1         "</f>
        <v xml:space="preserve">1         </v>
      </c>
      <c r="V481" t="str">
        <f t="shared" si="551"/>
        <v>2</v>
      </c>
      <c r="W481" t="str">
        <f t="shared" si="508"/>
        <v>2</v>
      </c>
      <c r="X481" t="str">
        <f t="shared" si="547"/>
        <v>2</v>
      </c>
      <c r="Y481" t="str">
        <f t="shared" si="552"/>
        <v>2</v>
      </c>
      <c r="Z481" t="str">
        <f t="shared" si="552"/>
        <v>2</v>
      </c>
      <c r="AA481" t="str">
        <f t="shared" si="525"/>
        <v xml:space="preserve">          </v>
      </c>
      <c r="AB481" t="str">
        <f t="shared" si="516"/>
        <v>2</v>
      </c>
      <c r="AC481" t="str">
        <f t="shared" si="517"/>
        <v>2</v>
      </c>
      <c r="AD481" t="str">
        <f t="shared" si="555"/>
        <v>2</v>
      </c>
      <c r="AE481" t="str">
        <f t="shared" si="555"/>
        <v>2</v>
      </c>
      <c r="AF481" t="str">
        <f t="shared" si="555"/>
        <v>2</v>
      </c>
      <c r="AG481" t="str">
        <f t="shared" si="555"/>
        <v>2</v>
      </c>
      <c r="AH481" t="str">
        <f t="shared" si="548"/>
        <v>1</v>
      </c>
      <c r="AI481" t="str">
        <f t="shared" si="531"/>
        <v xml:space="preserve">1         </v>
      </c>
      <c r="AJ481" t="str">
        <f t="shared" si="536"/>
        <v>170</v>
      </c>
      <c r="AK481" t="str">
        <f>"19"</f>
        <v>19</v>
      </c>
      <c r="AL481" t="str">
        <f>"473"</f>
        <v>473</v>
      </c>
      <c r="AM481" t="str">
        <f>"76"</f>
        <v>76</v>
      </c>
      <c r="AN481" t="str">
        <f>"76001"</f>
        <v>76001</v>
      </c>
      <c r="AO481" t="str">
        <f>"29/02/2020 12:00:00 a. m."</f>
        <v>29/02/2020 12:00:00 a. m.</v>
      </c>
      <c r="AP481" t="str">
        <f>"14/02/2020 12:00:00 a. m."</f>
        <v>14/02/2020 12:00:00 a. m.</v>
      </c>
      <c r="AQ481" t="str">
        <f t="shared" ref="AQ481:AQ486" si="557">"3"</f>
        <v>3</v>
      </c>
      <c r="AR481" t="str">
        <f t="shared" si="546"/>
        <v>1</v>
      </c>
      <c r="AS481" t="str">
        <f>"29/02/2020 12:00:00 a. m."</f>
        <v>29/02/2020 12:00:00 a. m.</v>
      </c>
      <c r="AT481" t="str">
        <f t="shared" si="549"/>
        <v>1</v>
      </c>
      <c r="AU481" t="str">
        <f>""</f>
        <v/>
      </c>
      <c r="AV481" t="str">
        <f>"7"</f>
        <v>7</v>
      </c>
      <c r="AW481" t="str">
        <f>"15/09/2013 12:00:00 a. m."</f>
        <v>15/09/2013 12:00:00 a. m.</v>
      </c>
      <c r="AX481" t="str">
        <f>""</f>
        <v/>
      </c>
      <c r="AY481" t="str">
        <f t="shared" si="527"/>
        <v>30/04/2021 12:00:00 a. m.</v>
      </c>
      <c r="AZ481" t="str">
        <f>"20/01/2021 12:00:00 a. m."</f>
        <v>20/01/2021 12:00:00 a. m.</v>
      </c>
      <c r="BA481" t="str">
        <f>""</f>
        <v/>
      </c>
      <c r="BB481" t="str">
        <f>""</f>
        <v/>
      </c>
      <c r="BC481" t="str">
        <f>""</f>
        <v/>
      </c>
      <c r="BD481" t="str">
        <f t="shared" si="543"/>
        <v>1</v>
      </c>
      <c r="BE481" t="str">
        <f t="shared" si="543"/>
        <v>1</v>
      </c>
      <c r="BF481" t="str">
        <f t="shared" si="528"/>
        <v xml:space="preserve">3         </v>
      </c>
      <c r="BG481" t="str">
        <f t="shared" si="529"/>
        <v>Confirmado por laboratorio</v>
      </c>
      <c r="BH481" t="str">
        <f>"CENTRO MEDICO IMBANACO CMI"</f>
        <v>CENTRO MEDICO IMBANACO CMI</v>
      </c>
      <c r="BI481" t="str">
        <f t="shared" si="537"/>
        <v>COLOMBIA</v>
      </c>
      <c r="BJ481" t="str">
        <f t="shared" si="530"/>
        <v>CANCER INFANTIL</v>
      </c>
      <c r="BK481" t="str">
        <f>"CAUCA"</f>
        <v>CAUCA</v>
      </c>
      <c r="BL481" t="str">
        <f>"MORALES"</f>
        <v>MORALES</v>
      </c>
      <c r="BM481" t="str">
        <f t="shared" si="538"/>
        <v>COLOMBIA</v>
      </c>
      <c r="BN481" t="str">
        <f>"CAUCA"</f>
        <v>CAUCA</v>
      </c>
      <c r="BO481" t="str">
        <f>"MORALES"</f>
        <v>MORALES</v>
      </c>
      <c r="BP481" t="str">
        <f>"VALLE"</f>
        <v>VALLE</v>
      </c>
      <c r="BQ481" t="str">
        <f>"CALI"</f>
        <v>CALI</v>
      </c>
    </row>
    <row r="482" spans="1:69" x14ac:dyDescent="0.25">
      <c r="A482" t="str">
        <f>"7285625"</f>
        <v>7285625</v>
      </c>
      <c r="B482" t="str">
        <f t="shared" si="522"/>
        <v>459</v>
      </c>
      <c r="C482" t="str">
        <f>"16/12/2020 12:00:00 a. m."</f>
        <v>16/12/2020 12:00:00 a. m.</v>
      </c>
      <c r="D482" t="str">
        <f>"51"</f>
        <v>51</v>
      </c>
      <c r="E482" t="str">
        <f t="shared" si="523"/>
        <v>2020</v>
      </c>
      <c r="F482" t="str">
        <f>"1100106065"</f>
        <v>1100106065</v>
      </c>
      <c r="G482" t="str">
        <f t="shared" si="553"/>
        <v>01</v>
      </c>
      <c r="H482" t="str">
        <f>"16"</f>
        <v>16</v>
      </c>
      <c r="I482" t="str">
        <f t="shared" si="544"/>
        <v>1</v>
      </c>
      <c r="J482" t="str">
        <f t="shared" si="550"/>
        <v>M</v>
      </c>
      <c r="K482" t="str">
        <f t="shared" si="534"/>
        <v>170</v>
      </c>
      <c r="L482" t="str">
        <f>"15"</f>
        <v>15</v>
      </c>
      <c r="M482" t="str">
        <f>"759"</f>
        <v>759</v>
      </c>
      <c r="N482" t="str">
        <f t="shared" ref="N482:N491" si="558">"1"</f>
        <v>1</v>
      </c>
      <c r="O482" t="str">
        <f>"9997"</f>
        <v>9997</v>
      </c>
      <c r="P482" t="str">
        <f t="shared" si="556"/>
        <v>S</v>
      </c>
      <c r="Q482" t="str">
        <f>"CCF024"</f>
        <v>CCF024</v>
      </c>
      <c r="R482" t="str">
        <f t="shared" si="554"/>
        <v>6</v>
      </c>
      <c r="S482" t="str">
        <f>""</f>
        <v/>
      </c>
      <c r="T482" t="str">
        <f t="shared" si="510"/>
        <v xml:space="preserve">                                                                                                    </v>
      </c>
      <c r="U482" t="str">
        <f t="shared" ref="U482:U490" si="559">"2         "</f>
        <v xml:space="preserve">2         </v>
      </c>
      <c r="V482" t="str">
        <f t="shared" si="551"/>
        <v>2</v>
      </c>
      <c r="W482" t="str">
        <f t="shared" si="508"/>
        <v>2</v>
      </c>
      <c r="X482" t="str">
        <f t="shared" si="547"/>
        <v>2</v>
      </c>
      <c r="Y482" t="str">
        <f t="shared" si="552"/>
        <v>2</v>
      </c>
      <c r="Z482" t="str">
        <f t="shared" si="552"/>
        <v>2</v>
      </c>
      <c r="AA482" t="str">
        <f t="shared" si="525"/>
        <v xml:space="preserve">          </v>
      </c>
      <c r="AB482" t="str">
        <f t="shared" si="516"/>
        <v>2</v>
      </c>
      <c r="AC482" t="str">
        <f t="shared" si="517"/>
        <v>2</v>
      </c>
      <c r="AD482" t="str">
        <f t="shared" si="555"/>
        <v>2</v>
      </c>
      <c r="AE482" t="str">
        <f t="shared" si="555"/>
        <v>2</v>
      </c>
      <c r="AF482" t="str">
        <f t="shared" si="555"/>
        <v>2</v>
      </c>
      <c r="AG482" t="str">
        <f t="shared" si="555"/>
        <v>2</v>
      </c>
      <c r="AH482" t="str">
        <f t="shared" si="548"/>
        <v>1</v>
      </c>
      <c r="AI482" t="str">
        <f>"2         "</f>
        <v xml:space="preserve">2         </v>
      </c>
      <c r="AJ482" t="str">
        <f t="shared" si="536"/>
        <v>170</v>
      </c>
      <c r="AK482" t="str">
        <f>"15"</f>
        <v>15</v>
      </c>
      <c r="AL482" t="str">
        <f>"759"</f>
        <v>759</v>
      </c>
      <c r="AM482" t="str">
        <f>"11"</f>
        <v>11</v>
      </c>
      <c r="AN482" t="str">
        <f>"11001"</f>
        <v>11001</v>
      </c>
      <c r="AO482" t="str">
        <f>"16/12/2020 12:00:00 a. m."</f>
        <v>16/12/2020 12:00:00 a. m.</v>
      </c>
      <c r="AP482" t="str">
        <f>"5/11/2020 12:00:00 a. m."</f>
        <v>5/11/2020 12:00:00 a. m.</v>
      </c>
      <c r="AQ482" t="str">
        <f t="shared" si="557"/>
        <v>3</v>
      </c>
      <c r="AR482" t="str">
        <f t="shared" si="546"/>
        <v>1</v>
      </c>
      <c r="AS482" t="str">
        <f>"16/12/2020 12:00:00 a. m."</f>
        <v>16/12/2020 12:00:00 a. m.</v>
      </c>
      <c r="AT482" t="str">
        <f t="shared" si="549"/>
        <v>1</v>
      </c>
      <c r="AU482" t="str">
        <f>""</f>
        <v/>
      </c>
      <c r="AV482" t="str">
        <f>"0"</f>
        <v>0</v>
      </c>
      <c r="AW482" t="str">
        <f>"7/01/2004 12:00:00 a. m."</f>
        <v>7/01/2004 12:00:00 a. m.</v>
      </c>
      <c r="AX482" t="str">
        <f>""</f>
        <v/>
      </c>
      <c r="AY482" t="str">
        <f t="shared" si="527"/>
        <v>30/04/2021 12:00:00 a. m.</v>
      </c>
      <c r="AZ482" t="str">
        <f>"30/12/2020 12:00:00 a. m."</f>
        <v>30/12/2020 12:00:00 a. m.</v>
      </c>
      <c r="BA482" t="str">
        <f>""</f>
        <v/>
      </c>
      <c r="BB482" t="str">
        <f>""</f>
        <v/>
      </c>
      <c r="BC482" t="str">
        <f>""</f>
        <v/>
      </c>
      <c r="BD482" t="str">
        <f t="shared" ref="BD482:BE501" si="560">"1"</f>
        <v>1</v>
      </c>
      <c r="BE482" t="str">
        <f t="shared" si="560"/>
        <v>1</v>
      </c>
      <c r="BF482" t="str">
        <f t="shared" si="528"/>
        <v xml:space="preserve">3         </v>
      </c>
      <c r="BG482" t="str">
        <f t="shared" si="529"/>
        <v>Confirmado por laboratorio</v>
      </c>
      <c r="BH482" t="str">
        <f>"ESE INSTITUTO NACIONAL DE CANCEROLOGIA"</f>
        <v>ESE INSTITUTO NACIONAL DE CANCEROLOGIA</v>
      </c>
      <c r="BI482" t="str">
        <f t="shared" si="537"/>
        <v>COLOMBIA</v>
      </c>
      <c r="BJ482" t="str">
        <f t="shared" si="530"/>
        <v>CANCER INFANTIL</v>
      </c>
      <c r="BK482" t="str">
        <f>"BOYACA"</f>
        <v>BOYACA</v>
      </c>
      <c r="BL482" t="str">
        <f>"SOGAMOSO"</f>
        <v>SOGAMOSO</v>
      </c>
      <c r="BM482" t="str">
        <f t="shared" si="538"/>
        <v>COLOMBIA</v>
      </c>
      <c r="BN482" t="str">
        <f>"BOYACA"</f>
        <v>BOYACA</v>
      </c>
      <c r="BO482" t="str">
        <f>"SOGAMOSO"</f>
        <v>SOGAMOSO</v>
      </c>
      <c r="BP482" t="str">
        <f>"BOGOTA"</f>
        <v>BOGOTA</v>
      </c>
      <c r="BQ482" t="str">
        <f>"BOGOTA"</f>
        <v>BOGOTA</v>
      </c>
    </row>
    <row r="483" spans="1:69" x14ac:dyDescent="0.25">
      <c r="A483" t="str">
        <f>"7285486"</f>
        <v>7285486</v>
      </c>
      <c r="B483" t="str">
        <f t="shared" si="522"/>
        <v>459</v>
      </c>
      <c r="C483" t="str">
        <f>"21/07/2020 12:00:00 a. m."</f>
        <v>21/07/2020 12:00:00 a. m.</v>
      </c>
      <c r="D483" t="str">
        <f>"25"</f>
        <v>25</v>
      </c>
      <c r="E483" t="str">
        <f t="shared" si="523"/>
        <v>2020</v>
      </c>
      <c r="F483" t="str">
        <f>"6854704947"</f>
        <v>6854704947</v>
      </c>
      <c r="G483" t="str">
        <f t="shared" si="553"/>
        <v>01</v>
      </c>
      <c r="H483" t="str">
        <f>"14"</f>
        <v>14</v>
      </c>
      <c r="I483" t="str">
        <f t="shared" si="544"/>
        <v>1</v>
      </c>
      <c r="J483" t="str">
        <f>"F"</f>
        <v>F</v>
      </c>
      <c r="K483" t="str">
        <f t="shared" si="534"/>
        <v>170</v>
      </c>
      <c r="L483" t="str">
        <f>"81"</f>
        <v>81</v>
      </c>
      <c r="M483" t="str">
        <f>"736"</f>
        <v>736</v>
      </c>
      <c r="N483" t="str">
        <f t="shared" si="558"/>
        <v>1</v>
      </c>
      <c r="O483" t="str">
        <f>"9997"</f>
        <v>9997</v>
      </c>
      <c r="P483" t="str">
        <f t="shared" si="556"/>
        <v>S</v>
      </c>
      <c r="Q483" t="str">
        <f>"EPSS41"</f>
        <v>EPSS41</v>
      </c>
      <c r="R483" t="str">
        <f t="shared" si="554"/>
        <v>6</v>
      </c>
      <c r="S483" t="str">
        <f>""</f>
        <v/>
      </c>
      <c r="T483" t="str">
        <f t="shared" si="510"/>
        <v xml:space="preserve">                                                                                                    </v>
      </c>
      <c r="U483" t="str">
        <f t="shared" si="559"/>
        <v xml:space="preserve">2         </v>
      </c>
      <c r="V483" t="str">
        <f t="shared" si="551"/>
        <v>2</v>
      </c>
      <c r="W483" t="str">
        <f t="shared" si="508"/>
        <v>2</v>
      </c>
      <c r="X483" t="str">
        <f t="shared" si="547"/>
        <v>2</v>
      </c>
      <c r="Y483" t="str">
        <f t="shared" si="552"/>
        <v>2</v>
      </c>
      <c r="Z483" t="str">
        <f t="shared" si="552"/>
        <v>2</v>
      </c>
      <c r="AA483" t="str">
        <f t="shared" si="525"/>
        <v xml:space="preserve">          </v>
      </c>
      <c r="AB483" t="str">
        <f t="shared" si="516"/>
        <v>2</v>
      </c>
      <c r="AC483" t="str">
        <f t="shared" si="517"/>
        <v>2</v>
      </c>
      <c r="AD483" t="str">
        <f t="shared" si="555"/>
        <v>2</v>
      </c>
      <c r="AE483" t="str">
        <f t="shared" si="555"/>
        <v>2</v>
      </c>
      <c r="AF483" t="str">
        <f t="shared" si="555"/>
        <v>2</v>
      </c>
      <c r="AG483" t="str">
        <f t="shared" si="555"/>
        <v>2</v>
      </c>
      <c r="AH483" t="str">
        <f t="shared" si="548"/>
        <v>1</v>
      </c>
      <c r="AI483" t="str">
        <f>"1         "</f>
        <v xml:space="preserve">1         </v>
      </c>
      <c r="AJ483" t="str">
        <f t="shared" si="536"/>
        <v>170</v>
      </c>
      <c r="AK483" t="str">
        <f>"81"</f>
        <v>81</v>
      </c>
      <c r="AL483" t="str">
        <f>"736"</f>
        <v>736</v>
      </c>
      <c r="AM483" t="str">
        <f>"68"</f>
        <v>68</v>
      </c>
      <c r="AN483" t="str">
        <f>"68547"</f>
        <v>68547</v>
      </c>
      <c r="AO483" t="str">
        <f>"20/06/2020 12:00:00 a. m."</f>
        <v>20/06/2020 12:00:00 a. m.</v>
      </c>
      <c r="AP483" t="str">
        <f>"16/06/2020 12:00:00 a. m."</f>
        <v>16/06/2020 12:00:00 a. m.</v>
      </c>
      <c r="AQ483" t="str">
        <f t="shared" si="557"/>
        <v>3</v>
      </c>
      <c r="AR483" t="str">
        <f t="shared" si="546"/>
        <v>1</v>
      </c>
      <c r="AS483" t="str">
        <f>"20/07/2020 12:00:00 a. m."</f>
        <v>20/07/2020 12:00:00 a. m.</v>
      </c>
      <c r="AT483" t="str">
        <f t="shared" si="549"/>
        <v>1</v>
      </c>
      <c r="AU483" t="str">
        <f>""</f>
        <v/>
      </c>
      <c r="AV483" t="str">
        <f>"0"</f>
        <v>0</v>
      </c>
      <c r="AW483" t="str">
        <f>"10/09/2005 12:00:00 a. m."</f>
        <v>10/09/2005 12:00:00 a. m.</v>
      </c>
      <c r="AX483" t="str">
        <f>""</f>
        <v/>
      </c>
      <c r="AY483" t="str">
        <f t="shared" si="527"/>
        <v>30/04/2021 12:00:00 a. m.</v>
      </c>
      <c r="AZ483" t="str">
        <f>"21/07/2020 12:00:00 a. m."</f>
        <v>21/07/2020 12:00:00 a. m.</v>
      </c>
      <c r="BA483" t="str">
        <f>""</f>
        <v/>
      </c>
      <c r="BB483" t="str">
        <f>""</f>
        <v/>
      </c>
      <c r="BC483" t="str">
        <f>""</f>
        <v/>
      </c>
      <c r="BD483" t="str">
        <f t="shared" si="560"/>
        <v>1</v>
      </c>
      <c r="BE483" t="str">
        <f t="shared" si="560"/>
        <v>1</v>
      </c>
      <c r="BF483" t="str">
        <f t="shared" si="528"/>
        <v xml:space="preserve">3         </v>
      </c>
      <c r="BG483" t="str">
        <f t="shared" si="529"/>
        <v>Confirmado por laboratorio</v>
      </c>
      <c r="BH483" t="str">
        <f>"HOSPITAL INTERNACIONAL DE COLOMBIA"</f>
        <v>HOSPITAL INTERNACIONAL DE COLOMBIA</v>
      </c>
      <c r="BI483" t="str">
        <f t="shared" si="537"/>
        <v>COLOMBIA</v>
      </c>
      <c r="BJ483" t="str">
        <f t="shared" si="530"/>
        <v>CANCER INFANTIL</v>
      </c>
      <c r="BK483" t="str">
        <f>"ARAUCA"</f>
        <v>ARAUCA</v>
      </c>
      <c r="BL483" t="str">
        <f>"SARAVENA"</f>
        <v>SARAVENA</v>
      </c>
      <c r="BM483" t="str">
        <f t="shared" si="538"/>
        <v>COLOMBIA</v>
      </c>
      <c r="BN483" t="str">
        <f>"ARAUCA"</f>
        <v>ARAUCA</v>
      </c>
      <c r="BO483" t="str">
        <f>"SARAVENA"</f>
        <v>SARAVENA</v>
      </c>
      <c r="BP483" t="str">
        <f>"SANTANDER"</f>
        <v>SANTANDER</v>
      </c>
      <c r="BQ483" t="str">
        <f>"PIEDECUESTA"</f>
        <v>PIEDECUESTA</v>
      </c>
    </row>
    <row r="484" spans="1:69" x14ac:dyDescent="0.25">
      <c r="A484" t="str">
        <f>"7285546"</f>
        <v>7285546</v>
      </c>
      <c r="B484" t="str">
        <f t="shared" si="522"/>
        <v>459</v>
      </c>
      <c r="C484" t="str">
        <f>"28/03/2021 12:00:00 a. m."</f>
        <v>28/03/2021 12:00:00 a. m.</v>
      </c>
      <c r="D484" t="str">
        <f>"37"</f>
        <v>37</v>
      </c>
      <c r="E484" t="str">
        <f t="shared" si="523"/>
        <v>2020</v>
      </c>
      <c r="F484" t="str">
        <f>"6800100792"</f>
        <v>6800100792</v>
      </c>
      <c r="G484" t="str">
        <f t="shared" si="553"/>
        <v>01</v>
      </c>
      <c r="H484" t="str">
        <f>"2"</f>
        <v>2</v>
      </c>
      <c r="I484" t="str">
        <f t="shared" si="544"/>
        <v>1</v>
      </c>
      <c r="J484" t="str">
        <f>"F"</f>
        <v>F</v>
      </c>
      <c r="K484" t="str">
        <f t="shared" si="534"/>
        <v>170</v>
      </c>
      <c r="L484" t="str">
        <f>"68"</f>
        <v>68</v>
      </c>
      <c r="M484" t="str">
        <f>"001"</f>
        <v>001</v>
      </c>
      <c r="N484" t="str">
        <f t="shared" si="558"/>
        <v>1</v>
      </c>
      <c r="O484" t="str">
        <f>"9999"</f>
        <v>9999</v>
      </c>
      <c r="P484" t="str">
        <f t="shared" si="556"/>
        <v>S</v>
      </c>
      <c r="Q484" t="str">
        <f>"ESS133"</f>
        <v>ESS133</v>
      </c>
      <c r="R484" t="str">
        <f t="shared" si="554"/>
        <v>6</v>
      </c>
      <c r="S484" t="str">
        <f>""</f>
        <v/>
      </c>
      <c r="T484" t="str">
        <f t="shared" si="510"/>
        <v xml:space="preserve">                                                                                                    </v>
      </c>
      <c r="U484" t="str">
        <f t="shared" si="559"/>
        <v xml:space="preserve">2         </v>
      </c>
      <c r="V484" t="str">
        <f t="shared" si="551"/>
        <v>2</v>
      </c>
      <c r="W484" t="str">
        <f t="shared" si="508"/>
        <v>2</v>
      </c>
      <c r="X484" t="str">
        <f t="shared" si="547"/>
        <v>2</v>
      </c>
      <c r="Y484" t="str">
        <f t="shared" si="552"/>
        <v>2</v>
      </c>
      <c r="Z484" t="str">
        <f t="shared" si="552"/>
        <v>2</v>
      </c>
      <c r="AA484" t="str">
        <f t="shared" si="525"/>
        <v xml:space="preserve">          </v>
      </c>
      <c r="AB484" t="str">
        <f t="shared" si="516"/>
        <v>2</v>
      </c>
      <c r="AC484" t="str">
        <f t="shared" si="517"/>
        <v>2</v>
      </c>
      <c r="AD484" t="str">
        <f t="shared" si="555"/>
        <v>2</v>
      </c>
      <c r="AE484" t="str">
        <f t="shared" si="555"/>
        <v>2</v>
      </c>
      <c r="AF484" t="str">
        <f t="shared" si="555"/>
        <v>2</v>
      </c>
      <c r="AG484" t="str">
        <f t="shared" si="555"/>
        <v>2</v>
      </c>
      <c r="AH484" t="str">
        <f t="shared" si="548"/>
        <v>1</v>
      </c>
      <c r="AI484" t="str">
        <f>"2         "</f>
        <v xml:space="preserve">2         </v>
      </c>
      <c r="AJ484" t="str">
        <f t="shared" si="536"/>
        <v>170</v>
      </c>
      <c r="AK484" t="str">
        <f>"68"</f>
        <v>68</v>
      </c>
      <c r="AL484" t="str">
        <f>"001"</f>
        <v>001</v>
      </c>
      <c r="AM484" t="str">
        <f>"68"</f>
        <v>68</v>
      </c>
      <c r="AN484" t="str">
        <f>"68001"</f>
        <v>68001</v>
      </c>
      <c r="AO484" t="str">
        <f>"9/09/2020 12:00:00 a. m."</f>
        <v>9/09/2020 12:00:00 a. m.</v>
      </c>
      <c r="AP484" t="str">
        <f>"1/04/2020 12:00:00 a. m."</f>
        <v>1/04/2020 12:00:00 a. m.</v>
      </c>
      <c r="AQ484" t="str">
        <f t="shared" si="557"/>
        <v>3</v>
      </c>
      <c r="AR484" t="str">
        <f t="shared" si="546"/>
        <v>1</v>
      </c>
      <c r="AS484" t="str">
        <f>"9/09/2020 12:00:00 a. m."</f>
        <v>9/09/2020 12:00:00 a. m.</v>
      </c>
      <c r="AT484" t="str">
        <f t="shared" si="549"/>
        <v>1</v>
      </c>
      <c r="AU484" t="str">
        <f>""</f>
        <v/>
      </c>
      <c r="AV484" t="str">
        <f>"0"</f>
        <v>0</v>
      </c>
      <c r="AW484" t="str">
        <f>"4/08/2018 12:00:00 a. m."</f>
        <v>4/08/2018 12:00:00 a. m.</v>
      </c>
      <c r="AX484" t="str">
        <f>""</f>
        <v/>
      </c>
      <c r="AY484" t="str">
        <f t="shared" si="527"/>
        <v>30/04/2021 12:00:00 a. m.</v>
      </c>
      <c r="AZ484" t="str">
        <f>"28/03/2021 12:00:00 a. m."</f>
        <v>28/03/2021 12:00:00 a. m.</v>
      </c>
      <c r="BA484" t="str">
        <f>""</f>
        <v/>
      </c>
      <c r="BB484" t="str">
        <f>""</f>
        <v/>
      </c>
      <c r="BC484" t="str">
        <f>""</f>
        <v/>
      </c>
      <c r="BD484" t="str">
        <f t="shared" si="560"/>
        <v>1</v>
      </c>
      <c r="BE484" t="str">
        <f t="shared" si="560"/>
        <v>1</v>
      </c>
      <c r="BF484" t="str">
        <f t="shared" si="528"/>
        <v xml:space="preserve">3         </v>
      </c>
      <c r="BG484" t="str">
        <f t="shared" si="529"/>
        <v>Confirmado por laboratorio</v>
      </c>
      <c r="BH484" t="str">
        <f>"ESE HOSPITAL UNIVERSITARIO DE SANTANDER"</f>
        <v>ESE HOSPITAL UNIVERSITARIO DE SANTANDER</v>
      </c>
      <c r="BI484" t="str">
        <f t="shared" si="537"/>
        <v>COLOMBIA</v>
      </c>
      <c r="BJ484" t="str">
        <f t="shared" si="530"/>
        <v>CANCER INFANTIL</v>
      </c>
      <c r="BK484" t="str">
        <f>"SANTANDER"</f>
        <v>SANTANDER</v>
      </c>
      <c r="BL484" t="str">
        <f>"BUCARAMANGA"</f>
        <v>BUCARAMANGA</v>
      </c>
      <c r="BM484" t="str">
        <f t="shared" si="538"/>
        <v>COLOMBIA</v>
      </c>
      <c r="BN484" t="str">
        <f>"SANTANDER"</f>
        <v>SANTANDER</v>
      </c>
      <c r="BO484" t="str">
        <f>"BUCARAMANGA"</f>
        <v>BUCARAMANGA</v>
      </c>
      <c r="BP484" t="str">
        <f>"SANTANDER"</f>
        <v>SANTANDER</v>
      </c>
      <c r="BQ484" t="str">
        <f>"BUCARAMANGA"</f>
        <v>BUCARAMANGA</v>
      </c>
    </row>
    <row r="485" spans="1:69" x14ac:dyDescent="0.25">
      <c r="A485" t="str">
        <f>"7285537"</f>
        <v>7285537</v>
      </c>
      <c r="B485" t="str">
        <f t="shared" si="522"/>
        <v>459</v>
      </c>
      <c r="C485" t="str">
        <f>"18/05/2020 12:00:00 a. m."</f>
        <v>18/05/2020 12:00:00 a. m.</v>
      </c>
      <c r="D485" t="str">
        <f>"19"</f>
        <v>19</v>
      </c>
      <c r="E485" t="str">
        <f t="shared" si="523"/>
        <v>2020</v>
      </c>
      <c r="F485" t="str">
        <f>"6854704947"</f>
        <v>6854704947</v>
      </c>
      <c r="G485" t="str">
        <f t="shared" si="553"/>
        <v>01</v>
      </c>
      <c r="H485" t="str">
        <f>"6"</f>
        <v>6</v>
      </c>
      <c r="I485" t="str">
        <f t="shared" si="544"/>
        <v>1</v>
      </c>
      <c r="J485" t="str">
        <f>"F"</f>
        <v>F</v>
      </c>
      <c r="K485" t="str">
        <f t="shared" si="534"/>
        <v>170</v>
      </c>
      <c r="L485" t="str">
        <f>"68"</f>
        <v>68</v>
      </c>
      <c r="M485" t="str">
        <f>"081"</f>
        <v>081</v>
      </c>
      <c r="N485" t="str">
        <f t="shared" si="558"/>
        <v>1</v>
      </c>
      <c r="O485" t="str">
        <f>"9997"</f>
        <v>9997</v>
      </c>
      <c r="P485" t="str">
        <f t="shared" si="556"/>
        <v>S</v>
      </c>
      <c r="Q485" t="str">
        <f>"EPSS41"</f>
        <v>EPSS41</v>
      </c>
      <c r="R485" t="str">
        <f t="shared" si="554"/>
        <v>6</v>
      </c>
      <c r="S485" t="str">
        <f>""</f>
        <v/>
      </c>
      <c r="T485" t="str">
        <f t="shared" si="510"/>
        <v xml:space="preserve">                                                                                                    </v>
      </c>
      <c r="U485" t="str">
        <f t="shared" si="559"/>
        <v xml:space="preserve">2         </v>
      </c>
      <c r="V485" t="str">
        <f t="shared" si="551"/>
        <v>2</v>
      </c>
      <c r="W485" t="str">
        <f t="shared" si="508"/>
        <v>2</v>
      </c>
      <c r="X485" t="str">
        <f t="shared" si="547"/>
        <v>2</v>
      </c>
      <c r="Y485" t="str">
        <f t="shared" si="552"/>
        <v>2</v>
      </c>
      <c r="Z485" t="str">
        <f t="shared" si="552"/>
        <v>2</v>
      </c>
      <c r="AA485" t="str">
        <f t="shared" si="525"/>
        <v xml:space="preserve">          </v>
      </c>
      <c r="AB485" t="str">
        <f t="shared" si="516"/>
        <v>2</v>
      </c>
      <c r="AC485" t="str">
        <f t="shared" si="517"/>
        <v>2</v>
      </c>
      <c r="AD485" t="str">
        <f t="shared" si="555"/>
        <v>2</v>
      </c>
      <c r="AE485" t="str">
        <f t="shared" si="555"/>
        <v>2</v>
      </c>
      <c r="AF485" t="str">
        <f t="shared" si="555"/>
        <v>2</v>
      </c>
      <c r="AG485" t="str">
        <f t="shared" si="555"/>
        <v>2</v>
      </c>
      <c r="AH485" t="str">
        <f t="shared" si="548"/>
        <v>1</v>
      </c>
      <c r="AI485" t="str">
        <f t="shared" ref="AI485:AI507" si="561">"1         "</f>
        <v xml:space="preserve">1         </v>
      </c>
      <c r="AJ485" t="str">
        <f t="shared" si="536"/>
        <v>170</v>
      </c>
      <c r="AK485" t="str">
        <f>"68"</f>
        <v>68</v>
      </c>
      <c r="AL485" t="str">
        <f>"081"</f>
        <v>081</v>
      </c>
      <c r="AM485" t="str">
        <f>"68"</f>
        <v>68</v>
      </c>
      <c r="AN485" t="str">
        <f>"68547"</f>
        <v>68547</v>
      </c>
      <c r="AO485" t="str">
        <f>"7/05/2020 12:00:00 a. m."</f>
        <v>7/05/2020 12:00:00 a. m.</v>
      </c>
      <c r="AP485" t="str">
        <f>"30/04/2020 12:00:00 a. m."</f>
        <v>30/04/2020 12:00:00 a. m.</v>
      </c>
      <c r="AQ485" t="str">
        <f t="shared" si="557"/>
        <v>3</v>
      </c>
      <c r="AR485" t="str">
        <f t="shared" si="546"/>
        <v>1</v>
      </c>
      <c r="AS485" t="str">
        <f>"7/05/2020 12:00:00 a. m."</f>
        <v>7/05/2020 12:00:00 a. m.</v>
      </c>
      <c r="AT485" t="str">
        <f t="shared" si="549"/>
        <v>1</v>
      </c>
      <c r="AU485" t="str">
        <f>""</f>
        <v/>
      </c>
      <c r="AV485" t="str">
        <f>"3"</f>
        <v>3</v>
      </c>
      <c r="AW485" t="str">
        <f>"16/12/2013 12:00:00 a. m."</f>
        <v>16/12/2013 12:00:00 a. m.</v>
      </c>
      <c r="AX485" t="str">
        <f>""</f>
        <v/>
      </c>
      <c r="AY485" t="str">
        <f t="shared" si="527"/>
        <v>30/04/2021 12:00:00 a. m.</v>
      </c>
      <c r="AZ485" t="str">
        <f>"22/07/2020 12:00:00 a. m."</f>
        <v>22/07/2020 12:00:00 a. m.</v>
      </c>
      <c r="BA485" t="str">
        <f>""</f>
        <v/>
      </c>
      <c r="BB485" t="str">
        <f>""</f>
        <v/>
      </c>
      <c r="BC485" t="str">
        <f>""</f>
        <v/>
      </c>
      <c r="BD485" t="str">
        <f t="shared" si="560"/>
        <v>1</v>
      </c>
      <c r="BE485" t="str">
        <f t="shared" si="560"/>
        <v>1</v>
      </c>
      <c r="BF485" t="str">
        <f t="shared" si="528"/>
        <v xml:space="preserve">3         </v>
      </c>
      <c r="BG485" t="str">
        <f t="shared" si="529"/>
        <v>Confirmado por laboratorio</v>
      </c>
      <c r="BH485" t="str">
        <f>"HOSPITAL INTERNACIONAL DE COLOMBIA"</f>
        <v>HOSPITAL INTERNACIONAL DE COLOMBIA</v>
      </c>
      <c r="BI485" t="str">
        <f t="shared" si="537"/>
        <v>COLOMBIA</v>
      </c>
      <c r="BJ485" t="str">
        <f t="shared" si="530"/>
        <v>CANCER INFANTIL</v>
      </c>
      <c r="BK485" t="str">
        <f>"SANTANDER"</f>
        <v>SANTANDER</v>
      </c>
      <c r="BL485" t="str">
        <f>"BARRANCABERMEJA"</f>
        <v>BARRANCABERMEJA</v>
      </c>
      <c r="BM485" t="str">
        <f t="shared" si="538"/>
        <v>COLOMBIA</v>
      </c>
      <c r="BN485" t="str">
        <f>"SANTANDER"</f>
        <v>SANTANDER</v>
      </c>
      <c r="BO485" t="str">
        <f>"BARRANCABERMEJA"</f>
        <v>BARRANCABERMEJA</v>
      </c>
      <c r="BP485" t="str">
        <f>"SANTANDER"</f>
        <v>SANTANDER</v>
      </c>
      <c r="BQ485" t="str">
        <f>"PIEDECUESTA"</f>
        <v>PIEDECUESTA</v>
      </c>
    </row>
    <row r="486" spans="1:69" x14ac:dyDescent="0.25">
      <c r="A486" t="str">
        <f>"7285553"</f>
        <v>7285553</v>
      </c>
      <c r="B486" t="str">
        <f t="shared" si="522"/>
        <v>459</v>
      </c>
      <c r="C486" t="str">
        <f>"10/08/2020 12:00:00 a. m."</f>
        <v>10/08/2020 12:00:00 a. m.</v>
      </c>
      <c r="D486" t="str">
        <f>"30"</f>
        <v>30</v>
      </c>
      <c r="E486" t="str">
        <f t="shared" si="523"/>
        <v>2020</v>
      </c>
      <c r="F486" t="str">
        <f>"6854704947"</f>
        <v>6854704947</v>
      </c>
      <c r="G486" t="str">
        <f t="shared" si="553"/>
        <v>01</v>
      </c>
      <c r="H486" t="str">
        <f>"13"</f>
        <v>13</v>
      </c>
      <c r="I486" t="str">
        <f t="shared" si="544"/>
        <v>1</v>
      </c>
      <c r="J486" t="str">
        <f>"M"</f>
        <v>M</v>
      </c>
      <c r="K486" t="str">
        <f t="shared" si="534"/>
        <v>170</v>
      </c>
      <c r="L486" t="str">
        <f>"68"</f>
        <v>68</v>
      </c>
      <c r="M486" t="str">
        <f>"162"</f>
        <v>162</v>
      </c>
      <c r="N486" t="str">
        <f t="shared" si="558"/>
        <v>1</v>
      </c>
      <c r="O486" t="str">
        <f>"9997"</f>
        <v>9997</v>
      </c>
      <c r="P486" t="str">
        <f t="shared" si="556"/>
        <v>S</v>
      </c>
      <c r="Q486" t="str">
        <f>"ESS133"</f>
        <v>ESS133</v>
      </c>
      <c r="R486" t="str">
        <f t="shared" si="554"/>
        <v>6</v>
      </c>
      <c r="S486" t="str">
        <f>""</f>
        <v/>
      </c>
      <c r="T486" t="str">
        <f t="shared" si="510"/>
        <v xml:space="preserve">                                                                                                    </v>
      </c>
      <c r="U486" t="str">
        <f t="shared" si="559"/>
        <v xml:space="preserve">2         </v>
      </c>
      <c r="V486" t="str">
        <f t="shared" si="551"/>
        <v>2</v>
      </c>
      <c r="W486" t="str">
        <f t="shared" si="508"/>
        <v>2</v>
      </c>
      <c r="X486" t="str">
        <f t="shared" si="547"/>
        <v>2</v>
      </c>
      <c r="Y486" t="str">
        <f t="shared" si="552"/>
        <v>2</v>
      </c>
      <c r="Z486" t="str">
        <f t="shared" si="552"/>
        <v>2</v>
      </c>
      <c r="AA486" t="str">
        <f t="shared" si="525"/>
        <v xml:space="preserve">          </v>
      </c>
      <c r="AB486" t="str">
        <f t="shared" si="516"/>
        <v>2</v>
      </c>
      <c r="AC486" t="str">
        <f t="shared" si="517"/>
        <v>2</v>
      </c>
      <c r="AD486" t="str">
        <f t="shared" si="555"/>
        <v>2</v>
      </c>
      <c r="AE486" t="str">
        <f t="shared" si="555"/>
        <v>2</v>
      </c>
      <c r="AF486" t="str">
        <f t="shared" si="555"/>
        <v>2</v>
      </c>
      <c r="AG486" t="str">
        <f t="shared" si="555"/>
        <v>2</v>
      </c>
      <c r="AH486" t="str">
        <f t="shared" si="548"/>
        <v>1</v>
      </c>
      <c r="AI486" t="str">
        <f t="shared" si="561"/>
        <v xml:space="preserve">1         </v>
      </c>
      <c r="AJ486" t="str">
        <f t="shared" si="536"/>
        <v>170</v>
      </c>
      <c r="AK486" t="str">
        <f>"68"</f>
        <v>68</v>
      </c>
      <c r="AL486" t="str">
        <f>"162"</f>
        <v>162</v>
      </c>
      <c r="AM486" t="str">
        <f>"68"</f>
        <v>68</v>
      </c>
      <c r="AN486" t="str">
        <f>"68547"</f>
        <v>68547</v>
      </c>
      <c r="AO486" t="str">
        <f>"25/07/2020 12:00:00 a. m."</f>
        <v>25/07/2020 12:00:00 a. m.</v>
      </c>
      <c r="AP486" t="str">
        <f>"22/06/2020 12:00:00 a. m."</f>
        <v>22/06/2020 12:00:00 a. m.</v>
      </c>
      <c r="AQ486" t="str">
        <f t="shared" si="557"/>
        <v>3</v>
      </c>
      <c r="AR486" t="str">
        <f t="shared" si="546"/>
        <v>1</v>
      </c>
      <c r="AS486" t="str">
        <f>"25/07/2020 12:00:00 a. m."</f>
        <v>25/07/2020 12:00:00 a. m.</v>
      </c>
      <c r="AT486" t="str">
        <f t="shared" si="549"/>
        <v>1</v>
      </c>
      <c r="AU486" t="str">
        <f>""</f>
        <v/>
      </c>
      <c r="AV486" t="str">
        <f>"0"</f>
        <v>0</v>
      </c>
      <c r="AW486" t="str">
        <f>"21/07/2007 12:00:00 a. m."</f>
        <v>21/07/2007 12:00:00 a. m.</v>
      </c>
      <c r="AX486" t="str">
        <f>""</f>
        <v/>
      </c>
      <c r="AY486" t="str">
        <f t="shared" si="527"/>
        <v>30/04/2021 12:00:00 a. m.</v>
      </c>
      <c r="AZ486" t="str">
        <f>"10/08/2020 12:00:00 a. m."</f>
        <v>10/08/2020 12:00:00 a. m.</v>
      </c>
      <c r="BA486" t="str">
        <f>""</f>
        <v/>
      </c>
      <c r="BB486" t="str">
        <f>""</f>
        <v/>
      </c>
      <c r="BC486" t="str">
        <f>""</f>
        <v/>
      </c>
      <c r="BD486" t="str">
        <f t="shared" si="560"/>
        <v>1</v>
      </c>
      <c r="BE486" t="str">
        <f t="shared" si="560"/>
        <v>1</v>
      </c>
      <c r="BF486" t="str">
        <f t="shared" si="528"/>
        <v xml:space="preserve">3         </v>
      </c>
      <c r="BG486" t="str">
        <f t="shared" si="529"/>
        <v>Confirmado por laboratorio</v>
      </c>
      <c r="BH486" t="str">
        <f>"HOSPITAL INTERNACIONAL DE COLOMBIA"</f>
        <v>HOSPITAL INTERNACIONAL DE COLOMBIA</v>
      </c>
      <c r="BI486" t="str">
        <f t="shared" si="537"/>
        <v>COLOMBIA</v>
      </c>
      <c r="BJ486" t="str">
        <f t="shared" si="530"/>
        <v>CANCER INFANTIL</v>
      </c>
      <c r="BK486" t="str">
        <f>"SANTANDER"</f>
        <v>SANTANDER</v>
      </c>
      <c r="BL486" t="str">
        <f>"CERRITO"</f>
        <v>CERRITO</v>
      </c>
      <c r="BM486" t="str">
        <f t="shared" si="538"/>
        <v>COLOMBIA</v>
      </c>
      <c r="BN486" t="str">
        <f>"SANTANDER"</f>
        <v>SANTANDER</v>
      </c>
      <c r="BO486" t="str">
        <f>"CERRITO"</f>
        <v>CERRITO</v>
      </c>
      <c r="BP486" t="str">
        <f>"SANTANDER"</f>
        <v>SANTANDER</v>
      </c>
      <c r="BQ486" t="str">
        <f>"PIEDECUESTA"</f>
        <v>PIEDECUESTA</v>
      </c>
    </row>
    <row r="487" spans="1:69" x14ac:dyDescent="0.25">
      <c r="A487" t="str">
        <f>"7285719"</f>
        <v>7285719</v>
      </c>
      <c r="B487" t="str">
        <f t="shared" si="522"/>
        <v>459</v>
      </c>
      <c r="C487" t="str">
        <f>"6/04/2020 12:00:00 a. m."</f>
        <v>6/04/2020 12:00:00 a. m.</v>
      </c>
      <c r="D487" t="str">
        <f>"14"</f>
        <v>14</v>
      </c>
      <c r="E487" t="str">
        <f t="shared" si="523"/>
        <v>2020</v>
      </c>
      <c r="F487" t="str">
        <f>"1100108171"</f>
        <v>1100108171</v>
      </c>
      <c r="G487" t="str">
        <f>"02"</f>
        <v>02</v>
      </c>
      <c r="H487" t="str">
        <f>"2"</f>
        <v>2</v>
      </c>
      <c r="I487" t="str">
        <f t="shared" si="544"/>
        <v>1</v>
      </c>
      <c r="J487" t="str">
        <f>"F"</f>
        <v>F</v>
      </c>
      <c r="K487" t="str">
        <f t="shared" si="534"/>
        <v>170</v>
      </c>
      <c r="L487" t="str">
        <f>"50"</f>
        <v>50</v>
      </c>
      <c r="M487" t="str">
        <f>"001"</f>
        <v>001</v>
      </c>
      <c r="N487" t="str">
        <f t="shared" si="558"/>
        <v>1</v>
      </c>
      <c r="O487" t="str">
        <f>"9999"</f>
        <v>9999</v>
      </c>
      <c r="P487" t="str">
        <f>"C"</f>
        <v>C</v>
      </c>
      <c r="Q487" t="str">
        <f>"EPS017"</f>
        <v>EPS017</v>
      </c>
      <c r="R487" t="str">
        <f t="shared" si="554"/>
        <v>6</v>
      </c>
      <c r="S487" t="str">
        <f>""</f>
        <v/>
      </c>
      <c r="T487" t="str">
        <f t="shared" si="510"/>
        <v xml:space="preserve">                                                                                                    </v>
      </c>
      <c r="U487" t="str">
        <f t="shared" si="559"/>
        <v xml:space="preserve">2         </v>
      </c>
      <c r="V487" t="str">
        <f t="shared" si="551"/>
        <v>2</v>
      </c>
      <c r="W487" t="str">
        <f t="shared" si="508"/>
        <v>2</v>
      </c>
      <c r="X487" t="str">
        <f t="shared" si="547"/>
        <v>2</v>
      </c>
      <c r="Y487" t="str">
        <f t="shared" si="552"/>
        <v>2</v>
      </c>
      <c r="Z487" t="str">
        <f t="shared" si="552"/>
        <v>2</v>
      </c>
      <c r="AA487" t="str">
        <f t="shared" si="525"/>
        <v xml:space="preserve">          </v>
      </c>
      <c r="AB487" t="str">
        <f t="shared" si="516"/>
        <v>2</v>
      </c>
      <c r="AC487" t="str">
        <f t="shared" si="517"/>
        <v>2</v>
      </c>
      <c r="AD487" t="str">
        <f t="shared" si="555"/>
        <v>2</v>
      </c>
      <c r="AE487" t="str">
        <f t="shared" si="555"/>
        <v>2</v>
      </c>
      <c r="AF487" t="str">
        <f t="shared" si="555"/>
        <v>2</v>
      </c>
      <c r="AG487" t="str">
        <f t="shared" si="555"/>
        <v>2</v>
      </c>
      <c r="AH487" t="str">
        <f t="shared" si="548"/>
        <v>1</v>
      </c>
      <c r="AI487" t="str">
        <f t="shared" si="561"/>
        <v xml:space="preserve">1         </v>
      </c>
      <c r="AJ487" t="str">
        <f t="shared" si="536"/>
        <v>170</v>
      </c>
      <c r="AK487" t="str">
        <f>"50"</f>
        <v>50</v>
      </c>
      <c r="AL487" t="str">
        <f>"001"</f>
        <v>001</v>
      </c>
      <c r="AM487" t="str">
        <f>"11"</f>
        <v>11</v>
      </c>
      <c r="AN487" t="str">
        <f>"11001"</f>
        <v>11001</v>
      </c>
      <c r="AO487" t="str">
        <f>"4/04/2020 12:00:00 a. m."</f>
        <v>4/04/2020 12:00:00 a. m.</v>
      </c>
      <c r="AP487" t="str">
        <f>"28/03/2020 12:00:00 a. m."</f>
        <v>28/03/2020 12:00:00 a. m.</v>
      </c>
      <c r="AQ487" t="str">
        <f>"2"</f>
        <v>2</v>
      </c>
      <c r="AR487" t="str">
        <f t="shared" si="546"/>
        <v>1</v>
      </c>
      <c r="AS487" t="str">
        <f>"4/04/2020 12:00:00 a. m."</f>
        <v>4/04/2020 12:00:00 a. m.</v>
      </c>
      <c r="AT487" t="str">
        <f t="shared" si="549"/>
        <v>1</v>
      </c>
      <c r="AU487" t="str">
        <f>""</f>
        <v/>
      </c>
      <c r="AV487" t="str">
        <f>"3"</f>
        <v>3</v>
      </c>
      <c r="AW487" t="str">
        <f>"6/07/2017 12:00:00 a. m."</f>
        <v>6/07/2017 12:00:00 a. m.</v>
      </c>
      <c r="AX487" t="str">
        <f>""</f>
        <v/>
      </c>
      <c r="AY487" t="str">
        <f t="shared" si="527"/>
        <v>30/04/2021 12:00:00 a. m.</v>
      </c>
      <c r="AZ487" t="str">
        <f>"8/05/2020 12:00:00 a. m."</f>
        <v>8/05/2020 12:00:00 a. m.</v>
      </c>
      <c r="BA487" t="str">
        <f>""</f>
        <v/>
      </c>
      <c r="BB487" t="str">
        <f>""</f>
        <v/>
      </c>
      <c r="BC487" t="str">
        <f>""</f>
        <v/>
      </c>
      <c r="BD487" t="str">
        <f t="shared" si="560"/>
        <v>1</v>
      </c>
      <c r="BE487" t="str">
        <f t="shared" si="560"/>
        <v>1</v>
      </c>
      <c r="BF487" t="str">
        <f t="shared" si="528"/>
        <v xml:space="preserve">3         </v>
      </c>
      <c r="BG487" t="str">
        <f t="shared" si="529"/>
        <v>Confirmado por laboratorio</v>
      </c>
      <c r="BH487" t="str">
        <f>"CLINICA INFANTIL COLSUBSIDIO"</f>
        <v>CLINICA INFANTIL COLSUBSIDIO</v>
      </c>
      <c r="BI487" t="str">
        <f t="shared" si="537"/>
        <v>COLOMBIA</v>
      </c>
      <c r="BJ487" t="str">
        <f t="shared" si="530"/>
        <v>CANCER INFANTIL</v>
      </c>
      <c r="BK487" t="str">
        <f>"META"</f>
        <v>META</v>
      </c>
      <c r="BL487" t="str">
        <f>"VILLAVICENCIO"</f>
        <v>VILLAVICENCIO</v>
      </c>
      <c r="BM487" t="str">
        <f t="shared" si="538"/>
        <v>COLOMBIA</v>
      </c>
      <c r="BN487" t="str">
        <f>"META"</f>
        <v>META</v>
      </c>
      <c r="BO487" t="str">
        <f>"VILLAVICENCIO"</f>
        <v>VILLAVICENCIO</v>
      </c>
      <c r="BP487" t="str">
        <f t="shared" ref="BP487:BQ490" si="562">"BOGOTA"</f>
        <v>BOGOTA</v>
      </c>
      <c r="BQ487" t="str">
        <f t="shared" si="562"/>
        <v>BOGOTA</v>
      </c>
    </row>
    <row r="488" spans="1:69" x14ac:dyDescent="0.25">
      <c r="A488" t="str">
        <f>"7291542"</f>
        <v>7291542</v>
      </c>
      <c r="B488" t="str">
        <f t="shared" si="522"/>
        <v>459</v>
      </c>
      <c r="C488" t="str">
        <f>"27/02/2020 12:00:00 a. m."</f>
        <v>27/02/2020 12:00:00 a. m.</v>
      </c>
      <c r="D488" t="str">
        <f>"09"</f>
        <v>09</v>
      </c>
      <c r="E488" t="str">
        <f t="shared" si="523"/>
        <v>2020</v>
      </c>
      <c r="F488" t="str">
        <f>"1100108171"</f>
        <v>1100108171</v>
      </c>
      <c r="G488" t="str">
        <f>"02"</f>
        <v>02</v>
      </c>
      <c r="H488" t="str">
        <f>"11"</f>
        <v>11</v>
      </c>
      <c r="I488" t="str">
        <f t="shared" si="544"/>
        <v>1</v>
      </c>
      <c r="J488" t="str">
        <f>"M"</f>
        <v>M</v>
      </c>
      <c r="K488" t="str">
        <f t="shared" si="534"/>
        <v>170</v>
      </c>
      <c r="L488" t="str">
        <f>"11"</f>
        <v>11</v>
      </c>
      <c r="M488" t="str">
        <f>"001"</f>
        <v>001</v>
      </c>
      <c r="N488" t="str">
        <f t="shared" si="558"/>
        <v>1</v>
      </c>
      <c r="O488" t="str">
        <f>"9997"</f>
        <v>9997</v>
      </c>
      <c r="P488" t="str">
        <f>"C"</f>
        <v>C</v>
      </c>
      <c r="Q488" t="str">
        <f>"EPS017"</f>
        <v>EPS017</v>
      </c>
      <c r="R488" t="str">
        <f t="shared" si="554"/>
        <v>6</v>
      </c>
      <c r="S488" t="str">
        <f>""</f>
        <v/>
      </c>
      <c r="T488" t="str">
        <f t="shared" si="510"/>
        <v xml:space="preserve">                                                                                                    </v>
      </c>
      <c r="U488" t="str">
        <f t="shared" si="559"/>
        <v xml:space="preserve">2         </v>
      </c>
      <c r="V488" t="str">
        <f t="shared" si="551"/>
        <v>2</v>
      </c>
      <c r="W488" t="str">
        <f t="shared" si="508"/>
        <v>2</v>
      </c>
      <c r="X488" t="str">
        <f t="shared" si="547"/>
        <v>2</v>
      </c>
      <c r="Y488" t="str">
        <f t="shared" si="552"/>
        <v>2</v>
      </c>
      <c r="Z488" t="str">
        <f t="shared" si="552"/>
        <v>2</v>
      </c>
      <c r="AA488" t="str">
        <f t="shared" si="525"/>
        <v xml:space="preserve">          </v>
      </c>
      <c r="AB488" t="str">
        <f t="shared" si="516"/>
        <v>2</v>
      </c>
      <c r="AC488" t="str">
        <f t="shared" si="517"/>
        <v>2</v>
      </c>
      <c r="AD488" t="str">
        <f t="shared" si="555"/>
        <v>2</v>
      </c>
      <c r="AE488" t="str">
        <f t="shared" si="555"/>
        <v>2</v>
      </c>
      <c r="AF488" t="str">
        <f t="shared" si="555"/>
        <v>2</v>
      </c>
      <c r="AG488" t="str">
        <f t="shared" si="555"/>
        <v>2</v>
      </c>
      <c r="AH488" t="str">
        <f t="shared" si="548"/>
        <v>1</v>
      </c>
      <c r="AI488" t="str">
        <f t="shared" si="561"/>
        <v xml:space="preserve">1         </v>
      </c>
      <c r="AJ488" t="str">
        <f t="shared" si="536"/>
        <v>170</v>
      </c>
      <c r="AK488" t="str">
        <f>"11"</f>
        <v>11</v>
      </c>
      <c r="AL488" t="str">
        <f>"001"</f>
        <v>001</v>
      </c>
      <c r="AM488" t="str">
        <f>"11"</f>
        <v>11</v>
      </c>
      <c r="AN488" t="str">
        <f>"11001"</f>
        <v>11001</v>
      </c>
      <c r="AO488" t="str">
        <f>"26/02/2020 12:00:00 a. m."</f>
        <v>26/02/2020 12:00:00 a. m.</v>
      </c>
      <c r="AP488" t="str">
        <f>"16/02/2020 12:00:00 a. m."</f>
        <v>16/02/2020 12:00:00 a. m.</v>
      </c>
      <c r="AQ488" t="str">
        <f>"2"</f>
        <v>2</v>
      </c>
      <c r="AR488" t="str">
        <f t="shared" si="546"/>
        <v>1</v>
      </c>
      <c r="AS488" t="str">
        <f>"26/02/2020 12:00:00 a. m."</f>
        <v>26/02/2020 12:00:00 a. m.</v>
      </c>
      <c r="AT488" t="str">
        <f t="shared" si="549"/>
        <v>1</v>
      </c>
      <c r="AU488" t="str">
        <f>""</f>
        <v/>
      </c>
      <c r="AV488" t="str">
        <f>"3"</f>
        <v>3</v>
      </c>
      <c r="AW488" t="str">
        <f>"28/02/2009 12:00:00 a. m."</f>
        <v>28/02/2009 12:00:00 a. m.</v>
      </c>
      <c r="AX488" t="str">
        <f>""</f>
        <v/>
      </c>
      <c r="AY488" t="str">
        <f t="shared" si="527"/>
        <v>30/04/2021 12:00:00 a. m.</v>
      </c>
      <c r="AZ488" t="str">
        <f>"11/03/2020 12:00:00 a. m."</f>
        <v>11/03/2020 12:00:00 a. m.</v>
      </c>
      <c r="BA488" t="str">
        <f>""</f>
        <v/>
      </c>
      <c r="BB488" t="str">
        <f>""</f>
        <v/>
      </c>
      <c r="BC488" t="str">
        <f>""</f>
        <v/>
      </c>
      <c r="BD488" t="str">
        <f t="shared" si="560"/>
        <v>1</v>
      </c>
      <c r="BE488" t="str">
        <f t="shared" si="560"/>
        <v>1</v>
      </c>
      <c r="BF488" t="str">
        <f t="shared" si="528"/>
        <v xml:space="preserve">3         </v>
      </c>
      <c r="BG488" t="str">
        <f t="shared" si="529"/>
        <v>Confirmado por laboratorio</v>
      </c>
      <c r="BH488" t="str">
        <f>"CLINICA INFANTIL COLSUBSIDIO"</f>
        <v>CLINICA INFANTIL COLSUBSIDIO</v>
      </c>
      <c r="BI488" t="str">
        <f t="shared" si="537"/>
        <v>COLOMBIA</v>
      </c>
      <c r="BJ488" t="str">
        <f t="shared" si="530"/>
        <v>CANCER INFANTIL</v>
      </c>
      <c r="BK488" t="str">
        <f t="shared" ref="BK488:BL490" si="563">"BOGOTA"</f>
        <v>BOGOTA</v>
      </c>
      <c r="BL488" t="str">
        <f t="shared" si="563"/>
        <v>BOGOTA</v>
      </c>
      <c r="BM488" t="str">
        <f t="shared" si="538"/>
        <v>COLOMBIA</v>
      </c>
      <c r="BN488" t="str">
        <f t="shared" ref="BN488:BO490" si="564">"BOGOTA"</f>
        <v>BOGOTA</v>
      </c>
      <c r="BO488" t="str">
        <f t="shared" si="564"/>
        <v>BOGOTA</v>
      </c>
      <c r="BP488" t="str">
        <f t="shared" si="562"/>
        <v>BOGOTA</v>
      </c>
      <c r="BQ488" t="str">
        <f t="shared" si="562"/>
        <v>BOGOTA</v>
      </c>
    </row>
    <row r="489" spans="1:69" x14ac:dyDescent="0.25">
      <c r="A489" t="str">
        <f>"7291544"</f>
        <v>7291544</v>
      </c>
      <c r="B489" t="str">
        <f t="shared" si="522"/>
        <v>459</v>
      </c>
      <c r="C489" t="str">
        <f>"25/04/2020 12:00:00 a. m."</f>
        <v>25/04/2020 12:00:00 a. m.</v>
      </c>
      <c r="D489" t="str">
        <f>"15"</f>
        <v>15</v>
      </c>
      <c r="E489" t="str">
        <f t="shared" si="523"/>
        <v>2020</v>
      </c>
      <c r="F489" t="str">
        <f>"1100105681"</f>
        <v>1100105681</v>
      </c>
      <c r="G489" t="str">
        <f t="shared" ref="G489:G510" si="565">"01"</f>
        <v>01</v>
      </c>
      <c r="H489" t="str">
        <f>"2"</f>
        <v>2</v>
      </c>
      <c r="I489" t="str">
        <f t="shared" si="544"/>
        <v>1</v>
      </c>
      <c r="J489" t="str">
        <f>"M"</f>
        <v>M</v>
      </c>
      <c r="K489" t="str">
        <f t="shared" si="534"/>
        <v>170</v>
      </c>
      <c r="L489" t="str">
        <f>"11"</f>
        <v>11</v>
      </c>
      <c r="M489" t="str">
        <f>"001"</f>
        <v>001</v>
      </c>
      <c r="N489" t="str">
        <f t="shared" si="558"/>
        <v>1</v>
      </c>
      <c r="O489" t="str">
        <f>"9999"</f>
        <v>9999</v>
      </c>
      <c r="P489" t="str">
        <f>"C"</f>
        <v>C</v>
      </c>
      <c r="Q489" t="str">
        <f>"EPS002"</f>
        <v>EPS002</v>
      </c>
      <c r="R489" t="str">
        <f t="shared" si="554"/>
        <v>6</v>
      </c>
      <c r="S489" t="str">
        <f>""</f>
        <v/>
      </c>
      <c r="T489" t="str">
        <f t="shared" si="510"/>
        <v xml:space="preserve">                                                                                                    </v>
      </c>
      <c r="U489" t="str">
        <f t="shared" si="559"/>
        <v xml:space="preserve">2         </v>
      </c>
      <c r="V489" t="str">
        <f t="shared" si="551"/>
        <v>2</v>
      </c>
      <c r="W489" t="str">
        <f t="shared" si="508"/>
        <v>2</v>
      </c>
      <c r="X489" t="str">
        <f t="shared" si="547"/>
        <v>2</v>
      </c>
      <c r="Y489" t="str">
        <f t="shared" si="552"/>
        <v>2</v>
      </c>
      <c r="Z489" t="str">
        <f t="shared" si="552"/>
        <v>2</v>
      </c>
      <c r="AA489" t="str">
        <f t="shared" si="525"/>
        <v xml:space="preserve">          </v>
      </c>
      <c r="AB489" t="str">
        <f t="shared" si="516"/>
        <v>2</v>
      </c>
      <c r="AC489" t="str">
        <f t="shared" si="517"/>
        <v>2</v>
      </c>
      <c r="AD489" t="str">
        <f t="shared" si="555"/>
        <v>2</v>
      </c>
      <c r="AE489" t="str">
        <f t="shared" si="555"/>
        <v>2</v>
      </c>
      <c r="AF489" t="str">
        <f t="shared" si="555"/>
        <v>2</v>
      </c>
      <c r="AG489" t="str">
        <f t="shared" si="555"/>
        <v>2</v>
      </c>
      <c r="AH489" t="str">
        <f t="shared" si="548"/>
        <v>1</v>
      </c>
      <c r="AI489" t="str">
        <f t="shared" si="561"/>
        <v xml:space="preserve">1         </v>
      </c>
      <c r="AJ489" t="str">
        <f t="shared" si="536"/>
        <v>170</v>
      </c>
      <c r="AK489" t="str">
        <f>"11"</f>
        <v>11</v>
      </c>
      <c r="AL489" t="str">
        <f>"001"</f>
        <v>001</v>
      </c>
      <c r="AM489" t="str">
        <f>"11"</f>
        <v>11</v>
      </c>
      <c r="AN489" t="str">
        <f>"11001"</f>
        <v>11001</v>
      </c>
      <c r="AO489" t="str">
        <f>"7/04/2020 12:00:00 a. m."</f>
        <v>7/04/2020 12:00:00 a. m.</v>
      </c>
      <c r="AP489" t="str">
        <f>"7/01/2020 12:00:00 a. m."</f>
        <v>7/01/2020 12:00:00 a. m.</v>
      </c>
      <c r="AQ489" t="str">
        <f t="shared" ref="AQ489:AQ495" si="566">"3"</f>
        <v>3</v>
      </c>
      <c r="AR489" t="str">
        <f t="shared" si="546"/>
        <v>1</v>
      </c>
      <c r="AS489" t="str">
        <f>"7/04/2020 12:00:00 a. m."</f>
        <v>7/04/2020 12:00:00 a. m.</v>
      </c>
      <c r="AT489" t="str">
        <f>"2"</f>
        <v>2</v>
      </c>
      <c r="AU489" t="str">
        <f>"2/05/2020 12:00:00 a. m."</f>
        <v>2/05/2020 12:00:00 a. m.</v>
      </c>
      <c r="AV489" t="str">
        <f>"0"</f>
        <v>0</v>
      </c>
      <c r="AW489" t="str">
        <f>"28/10/2017 12:00:00 a. m."</f>
        <v>28/10/2017 12:00:00 a. m.</v>
      </c>
      <c r="AX489" t="str">
        <f>"C482"</f>
        <v>C482</v>
      </c>
      <c r="AY489" t="str">
        <f t="shared" si="527"/>
        <v>30/04/2021 12:00:00 a. m.</v>
      </c>
      <c r="AZ489" t="str">
        <f>"16/07/2020 12:00:00 a. m."</f>
        <v>16/07/2020 12:00:00 a. m.</v>
      </c>
      <c r="BA489" t="str">
        <f>""</f>
        <v/>
      </c>
      <c r="BB489" t="str">
        <f>""</f>
        <v/>
      </c>
      <c r="BC489" t="str">
        <f>""</f>
        <v/>
      </c>
      <c r="BD489" t="str">
        <f t="shared" si="560"/>
        <v>1</v>
      </c>
      <c r="BE489" t="str">
        <f t="shared" si="560"/>
        <v>1</v>
      </c>
      <c r="BF489" t="str">
        <f t="shared" si="528"/>
        <v xml:space="preserve">3         </v>
      </c>
      <c r="BG489" t="str">
        <f t="shared" si="529"/>
        <v>Confirmado por laboratorio</v>
      </c>
      <c r="BH489" t="str">
        <f>"FUNDACION HOSPITAL DE LA MISERICORDIA"</f>
        <v>FUNDACION HOSPITAL DE LA MISERICORDIA</v>
      </c>
      <c r="BI489" t="str">
        <f t="shared" si="537"/>
        <v>COLOMBIA</v>
      </c>
      <c r="BJ489" t="str">
        <f t="shared" si="530"/>
        <v>CANCER INFANTIL</v>
      </c>
      <c r="BK489" t="str">
        <f t="shared" si="563"/>
        <v>BOGOTA</v>
      </c>
      <c r="BL489" t="str">
        <f t="shared" si="563"/>
        <v>BOGOTA</v>
      </c>
      <c r="BM489" t="str">
        <f t="shared" si="538"/>
        <v>COLOMBIA</v>
      </c>
      <c r="BN489" t="str">
        <f t="shared" si="564"/>
        <v>BOGOTA</v>
      </c>
      <c r="BO489" t="str">
        <f t="shared" si="564"/>
        <v>BOGOTA</v>
      </c>
      <c r="BP489" t="str">
        <f t="shared" si="562"/>
        <v>BOGOTA</v>
      </c>
      <c r="BQ489" t="str">
        <f t="shared" si="562"/>
        <v>BOGOTA</v>
      </c>
    </row>
    <row r="490" spans="1:69" x14ac:dyDescent="0.25">
      <c r="A490" t="str">
        <f>"7291548"</f>
        <v>7291548</v>
      </c>
      <c r="B490" t="str">
        <f t="shared" si="522"/>
        <v>459</v>
      </c>
      <c r="C490" t="str">
        <f>"5/02/2020 12:00:00 a. m."</f>
        <v>5/02/2020 12:00:00 a. m.</v>
      </c>
      <c r="D490" t="str">
        <f>"03"</f>
        <v>03</v>
      </c>
      <c r="E490" t="str">
        <f t="shared" si="523"/>
        <v>2020</v>
      </c>
      <c r="F490" t="str">
        <f>"1100105681"</f>
        <v>1100105681</v>
      </c>
      <c r="G490" t="str">
        <f t="shared" si="565"/>
        <v>01</v>
      </c>
      <c r="H490" t="str">
        <f>"12"</f>
        <v>12</v>
      </c>
      <c r="I490" t="str">
        <f t="shared" si="544"/>
        <v>1</v>
      </c>
      <c r="J490" t="str">
        <f>"F"</f>
        <v>F</v>
      </c>
      <c r="K490" t="str">
        <f t="shared" si="534"/>
        <v>170</v>
      </c>
      <c r="L490" t="str">
        <f>"11"</f>
        <v>11</v>
      </c>
      <c r="M490" t="str">
        <f>"001"</f>
        <v>001</v>
      </c>
      <c r="N490" t="str">
        <f t="shared" si="558"/>
        <v>1</v>
      </c>
      <c r="O490" t="str">
        <f>"9997"</f>
        <v>9997</v>
      </c>
      <c r="P490" t="str">
        <f>"C"</f>
        <v>C</v>
      </c>
      <c r="Q490" t="str">
        <f>"EPS037"</f>
        <v>EPS037</v>
      </c>
      <c r="R490" t="str">
        <f t="shared" si="554"/>
        <v>6</v>
      </c>
      <c r="S490" t="str">
        <f>""</f>
        <v/>
      </c>
      <c r="T490" t="str">
        <f t="shared" si="510"/>
        <v xml:space="preserve">                                                                                                    </v>
      </c>
      <c r="U490" t="str">
        <f t="shared" si="559"/>
        <v xml:space="preserve">2         </v>
      </c>
      <c r="V490" t="str">
        <f t="shared" si="551"/>
        <v>2</v>
      </c>
      <c r="W490" t="str">
        <f t="shared" si="508"/>
        <v>2</v>
      </c>
      <c r="X490" t="str">
        <f t="shared" si="547"/>
        <v>2</v>
      </c>
      <c r="Y490" t="str">
        <f t="shared" si="552"/>
        <v>2</v>
      </c>
      <c r="Z490" t="str">
        <f t="shared" si="552"/>
        <v>2</v>
      </c>
      <c r="AA490" t="str">
        <f t="shared" si="525"/>
        <v xml:space="preserve">          </v>
      </c>
      <c r="AB490" t="str">
        <f t="shared" si="516"/>
        <v>2</v>
      </c>
      <c r="AC490" t="str">
        <f t="shared" si="517"/>
        <v>2</v>
      </c>
      <c r="AD490" t="str">
        <f t="shared" si="555"/>
        <v>2</v>
      </c>
      <c r="AE490" t="str">
        <f t="shared" si="555"/>
        <v>2</v>
      </c>
      <c r="AF490" t="str">
        <f t="shared" si="555"/>
        <v>2</v>
      </c>
      <c r="AG490" t="str">
        <f t="shared" si="555"/>
        <v>2</v>
      </c>
      <c r="AH490" t="str">
        <f t="shared" si="548"/>
        <v>1</v>
      </c>
      <c r="AI490" t="str">
        <f t="shared" si="561"/>
        <v xml:space="preserve">1         </v>
      </c>
      <c r="AJ490" t="str">
        <f t="shared" si="536"/>
        <v>170</v>
      </c>
      <c r="AK490" t="str">
        <f>"11"</f>
        <v>11</v>
      </c>
      <c r="AL490" t="str">
        <f>"001"</f>
        <v>001</v>
      </c>
      <c r="AM490" t="str">
        <f>"11"</f>
        <v>11</v>
      </c>
      <c r="AN490" t="str">
        <f>"11001"</f>
        <v>11001</v>
      </c>
      <c r="AO490" t="str">
        <f>"13/01/2020 12:00:00 a. m."</f>
        <v>13/01/2020 12:00:00 a. m.</v>
      </c>
      <c r="AP490" t="str">
        <f>"13/09/2019 12:00:00 a. m."</f>
        <v>13/09/2019 12:00:00 a. m.</v>
      </c>
      <c r="AQ490" t="str">
        <f t="shared" si="566"/>
        <v>3</v>
      </c>
      <c r="AR490" t="str">
        <f t="shared" si="546"/>
        <v>1</v>
      </c>
      <c r="AS490" t="str">
        <f>"13/01/2020 12:00:00 a. m."</f>
        <v>13/01/2020 12:00:00 a. m.</v>
      </c>
      <c r="AT490" t="str">
        <f t="shared" ref="AT490:AT527" si="567">"1"</f>
        <v>1</v>
      </c>
      <c r="AU490" t="str">
        <f>""</f>
        <v/>
      </c>
      <c r="AV490" t="str">
        <f>"0"</f>
        <v>0</v>
      </c>
      <c r="AW490" t="str">
        <f>"16/07/2007 12:00:00 a. m."</f>
        <v>16/07/2007 12:00:00 a. m.</v>
      </c>
      <c r="AX490" t="str">
        <f>""</f>
        <v/>
      </c>
      <c r="AY490" t="str">
        <f t="shared" si="527"/>
        <v>30/04/2021 12:00:00 a. m.</v>
      </c>
      <c r="AZ490" t="str">
        <f>"12/02/2020 12:00:00 a. m."</f>
        <v>12/02/2020 12:00:00 a. m.</v>
      </c>
      <c r="BA490" t="str">
        <f>""</f>
        <v/>
      </c>
      <c r="BB490" t="str">
        <f>""</f>
        <v/>
      </c>
      <c r="BC490" t="str">
        <f>""</f>
        <v/>
      </c>
      <c r="BD490" t="str">
        <f t="shared" si="560"/>
        <v>1</v>
      </c>
      <c r="BE490" t="str">
        <f t="shared" si="560"/>
        <v>1</v>
      </c>
      <c r="BF490" t="str">
        <f t="shared" si="528"/>
        <v xml:space="preserve">3         </v>
      </c>
      <c r="BG490" t="str">
        <f t="shared" si="529"/>
        <v>Confirmado por laboratorio</v>
      </c>
      <c r="BH490" t="str">
        <f>"FUNDACION HOSPITAL DE LA MISERICORDIA"</f>
        <v>FUNDACION HOSPITAL DE LA MISERICORDIA</v>
      </c>
      <c r="BI490" t="str">
        <f t="shared" si="537"/>
        <v>COLOMBIA</v>
      </c>
      <c r="BJ490" t="str">
        <f t="shared" si="530"/>
        <v>CANCER INFANTIL</v>
      </c>
      <c r="BK490" t="str">
        <f t="shared" si="563"/>
        <v>BOGOTA</v>
      </c>
      <c r="BL490" t="str">
        <f t="shared" si="563"/>
        <v>BOGOTA</v>
      </c>
      <c r="BM490" t="str">
        <f t="shared" si="538"/>
        <v>COLOMBIA</v>
      </c>
      <c r="BN490" t="str">
        <f t="shared" si="564"/>
        <v>BOGOTA</v>
      </c>
      <c r="BO490" t="str">
        <f t="shared" si="564"/>
        <v>BOGOTA</v>
      </c>
      <c r="BP490" t="str">
        <f t="shared" si="562"/>
        <v>BOGOTA</v>
      </c>
      <c r="BQ490" t="str">
        <f t="shared" si="562"/>
        <v>BOGOTA</v>
      </c>
    </row>
    <row r="491" spans="1:69" x14ac:dyDescent="0.25">
      <c r="A491" t="str">
        <f>"7279013"</f>
        <v>7279013</v>
      </c>
      <c r="B491" t="str">
        <f t="shared" si="522"/>
        <v>459</v>
      </c>
      <c r="C491" t="str">
        <f>"22/05/2020 12:00:00 a. m."</f>
        <v>22/05/2020 12:00:00 a. m.</v>
      </c>
      <c r="D491" t="str">
        <f>"19"</f>
        <v>19</v>
      </c>
      <c r="E491" t="str">
        <f t="shared" si="523"/>
        <v>2020</v>
      </c>
      <c r="F491" t="str">
        <f>"6827601666"</f>
        <v>6827601666</v>
      </c>
      <c r="G491" t="str">
        <f t="shared" si="565"/>
        <v>01</v>
      </c>
      <c r="H491" t="str">
        <f>"10"</f>
        <v>10</v>
      </c>
      <c r="I491" t="str">
        <f t="shared" si="544"/>
        <v>1</v>
      </c>
      <c r="J491" t="str">
        <f>"F"</f>
        <v>F</v>
      </c>
      <c r="K491" t="str">
        <f t="shared" si="534"/>
        <v>170</v>
      </c>
      <c r="L491" t="str">
        <f>"68"</f>
        <v>68</v>
      </c>
      <c r="M491" t="str">
        <f>"406"</f>
        <v>406</v>
      </c>
      <c r="N491" t="str">
        <f t="shared" si="558"/>
        <v>1</v>
      </c>
      <c r="O491" t="str">
        <f>"9997"</f>
        <v>9997</v>
      </c>
      <c r="P491" t="str">
        <f>"C"</f>
        <v>C</v>
      </c>
      <c r="Q491" t="str">
        <f>"EPS037"</f>
        <v>EPS037</v>
      </c>
      <c r="R491" t="str">
        <f t="shared" si="554"/>
        <v>6</v>
      </c>
      <c r="S491" t="str">
        <f>""</f>
        <v/>
      </c>
      <c r="T491" t="str">
        <f t="shared" si="510"/>
        <v xml:space="preserve">                                                                                                    </v>
      </c>
      <c r="U491" t="str">
        <f>"3         "</f>
        <v xml:space="preserve">3         </v>
      </c>
      <c r="V491" t="str">
        <f t="shared" si="551"/>
        <v>2</v>
      </c>
      <c r="W491" t="str">
        <f t="shared" si="508"/>
        <v>2</v>
      </c>
      <c r="X491" t="str">
        <f t="shared" si="547"/>
        <v>2</v>
      </c>
      <c r="Y491" t="str">
        <f t="shared" si="552"/>
        <v>2</v>
      </c>
      <c r="Z491" t="str">
        <f t="shared" si="552"/>
        <v>2</v>
      </c>
      <c r="AA491" t="str">
        <f t="shared" si="525"/>
        <v xml:space="preserve">          </v>
      </c>
      <c r="AB491" t="str">
        <f t="shared" si="516"/>
        <v>2</v>
      </c>
      <c r="AC491" t="str">
        <f t="shared" si="517"/>
        <v>2</v>
      </c>
      <c r="AD491" t="str">
        <f t="shared" si="555"/>
        <v>2</v>
      </c>
      <c r="AE491" t="str">
        <f t="shared" si="555"/>
        <v>2</v>
      </c>
      <c r="AF491" t="str">
        <f t="shared" si="555"/>
        <v>2</v>
      </c>
      <c r="AG491" t="str">
        <f t="shared" si="555"/>
        <v>2</v>
      </c>
      <c r="AH491" t="str">
        <f t="shared" si="548"/>
        <v>1</v>
      </c>
      <c r="AI491" t="str">
        <f t="shared" si="561"/>
        <v xml:space="preserve">1         </v>
      </c>
      <c r="AJ491" t="str">
        <f t="shared" si="536"/>
        <v>170</v>
      </c>
      <c r="AK491" t="str">
        <f>"68"</f>
        <v>68</v>
      </c>
      <c r="AL491" t="str">
        <f>"406"</f>
        <v>406</v>
      </c>
      <c r="AM491" t="str">
        <f>"68"</f>
        <v>68</v>
      </c>
      <c r="AN491" t="str">
        <f>"68276"</f>
        <v>68276</v>
      </c>
      <c r="AO491" t="str">
        <f>"9/05/2020 12:00:00 a. m."</f>
        <v>9/05/2020 12:00:00 a. m.</v>
      </c>
      <c r="AP491" t="str">
        <f>"19/04/2020 12:00:00 a. m."</f>
        <v>19/04/2020 12:00:00 a. m.</v>
      </c>
      <c r="AQ491" t="str">
        <f t="shared" si="566"/>
        <v>3</v>
      </c>
      <c r="AR491" t="str">
        <f t="shared" si="546"/>
        <v>1</v>
      </c>
      <c r="AS491" t="str">
        <f>"9/05/2020 12:00:00 a. m."</f>
        <v>9/05/2020 12:00:00 a. m.</v>
      </c>
      <c r="AT491" t="str">
        <f t="shared" si="567"/>
        <v>1</v>
      </c>
      <c r="AU491" t="str">
        <f>""</f>
        <v/>
      </c>
      <c r="AV491" t="str">
        <f>"3"</f>
        <v>3</v>
      </c>
      <c r="AW491" t="str">
        <f>"23/02/2010 12:00:00 a. m."</f>
        <v>23/02/2010 12:00:00 a. m.</v>
      </c>
      <c r="AX491" t="str">
        <f>""</f>
        <v/>
      </c>
      <c r="AY491" t="str">
        <f t="shared" si="527"/>
        <v>30/04/2021 12:00:00 a. m.</v>
      </c>
      <c r="AZ491" t="str">
        <f>"22/07/2020 12:00:00 a. m."</f>
        <v>22/07/2020 12:00:00 a. m.</v>
      </c>
      <c r="BA491" t="str">
        <f>""</f>
        <v/>
      </c>
      <c r="BB491" t="str">
        <f>""</f>
        <v/>
      </c>
      <c r="BC491" t="str">
        <f>""</f>
        <v/>
      </c>
      <c r="BD491" t="str">
        <f t="shared" si="560"/>
        <v>1</v>
      </c>
      <c r="BE491" t="str">
        <f t="shared" si="560"/>
        <v>1</v>
      </c>
      <c r="BF491" t="str">
        <f t="shared" si="528"/>
        <v xml:space="preserve">3         </v>
      </c>
      <c r="BG491" t="str">
        <f t="shared" si="529"/>
        <v>Confirmado por laboratorio</v>
      </c>
      <c r="BH491" t="str">
        <f>"FUNDACION OFTALMOLOGICA DE SDER FOSCAL"</f>
        <v>FUNDACION OFTALMOLOGICA DE SDER FOSCAL</v>
      </c>
      <c r="BI491" t="str">
        <f t="shared" si="537"/>
        <v>COLOMBIA</v>
      </c>
      <c r="BJ491" t="str">
        <f t="shared" si="530"/>
        <v>CANCER INFANTIL</v>
      </c>
      <c r="BK491" t="str">
        <f>"SANTANDER"</f>
        <v>SANTANDER</v>
      </c>
      <c r="BL491" t="str">
        <f>"LEBRIJA"</f>
        <v>LEBRIJA</v>
      </c>
      <c r="BM491" t="str">
        <f t="shared" si="538"/>
        <v>COLOMBIA</v>
      </c>
      <c r="BN491" t="str">
        <f>"SANTANDER"</f>
        <v>SANTANDER</v>
      </c>
      <c r="BO491" t="str">
        <f>"LEBRIJA"</f>
        <v>LEBRIJA</v>
      </c>
      <c r="BP491" t="str">
        <f>"SANTANDER"</f>
        <v>SANTANDER</v>
      </c>
      <c r="BQ491" t="str">
        <f>"FLORIDABLANCA"</f>
        <v>FLORIDABLANCA</v>
      </c>
    </row>
    <row r="492" spans="1:69" x14ac:dyDescent="0.25">
      <c r="A492" t="str">
        <f>"7278948"</f>
        <v>7278948</v>
      </c>
      <c r="B492" t="str">
        <f t="shared" si="522"/>
        <v>459</v>
      </c>
      <c r="C492" t="str">
        <f>"31/08/2020 12:00:00 a. m."</f>
        <v>31/08/2020 12:00:00 a. m.</v>
      </c>
      <c r="D492" t="str">
        <f>"36"</f>
        <v>36</v>
      </c>
      <c r="E492" t="str">
        <f t="shared" si="523"/>
        <v>2020</v>
      </c>
      <c r="F492" t="str">
        <f>"0561502129"</f>
        <v>0561502129</v>
      </c>
      <c r="G492" t="str">
        <f t="shared" si="565"/>
        <v>01</v>
      </c>
      <c r="H492" t="str">
        <f>"11"</f>
        <v>11</v>
      </c>
      <c r="I492" t="str">
        <f t="shared" si="544"/>
        <v>1</v>
      </c>
      <c r="J492" t="str">
        <f>"F"</f>
        <v>F</v>
      </c>
      <c r="K492" t="str">
        <f t="shared" si="534"/>
        <v>170</v>
      </c>
      <c r="L492" t="str">
        <f>"27"</f>
        <v>27</v>
      </c>
      <c r="M492" t="str">
        <f>"001"</f>
        <v>001</v>
      </c>
      <c r="N492" t="str">
        <f>"2"</f>
        <v>2</v>
      </c>
      <c r="O492" t="str">
        <f>"9997"</f>
        <v>9997</v>
      </c>
      <c r="P492" t="str">
        <f>"S"</f>
        <v>S</v>
      </c>
      <c r="Q492" t="str">
        <f>"CCF102"</f>
        <v>CCF102</v>
      </c>
      <c r="R492" t="str">
        <f>"5"</f>
        <v>5</v>
      </c>
      <c r="S492" t="str">
        <f>""</f>
        <v/>
      </c>
      <c r="T492" t="str">
        <f t="shared" si="510"/>
        <v xml:space="preserve">                                                                                                    </v>
      </c>
      <c r="U492" t="str">
        <f>"3         "</f>
        <v xml:space="preserve">3         </v>
      </c>
      <c r="V492" t="str">
        <f t="shared" si="551"/>
        <v>2</v>
      </c>
      <c r="W492" t="str">
        <f t="shared" si="508"/>
        <v>2</v>
      </c>
      <c r="X492" t="str">
        <f t="shared" si="547"/>
        <v>2</v>
      </c>
      <c r="Y492" t="str">
        <f t="shared" si="552"/>
        <v>2</v>
      </c>
      <c r="Z492" t="str">
        <f t="shared" si="552"/>
        <v>2</v>
      </c>
      <c r="AA492" t="str">
        <f t="shared" si="525"/>
        <v xml:space="preserve">          </v>
      </c>
      <c r="AB492" t="str">
        <f t="shared" si="516"/>
        <v>2</v>
      </c>
      <c r="AC492" t="str">
        <f t="shared" si="517"/>
        <v>2</v>
      </c>
      <c r="AD492" t="str">
        <f t="shared" si="555"/>
        <v>2</v>
      </c>
      <c r="AE492" t="str">
        <f t="shared" si="555"/>
        <v>2</v>
      </c>
      <c r="AF492" t="str">
        <f t="shared" si="555"/>
        <v>2</v>
      </c>
      <c r="AG492" t="str">
        <f t="shared" si="555"/>
        <v>2</v>
      </c>
      <c r="AH492" t="str">
        <f t="shared" si="548"/>
        <v>1</v>
      </c>
      <c r="AI492" t="str">
        <f t="shared" si="561"/>
        <v xml:space="preserve">1         </v>
      </c>
      <c r="AJ492" t="str">
        <f t="shared" si="536"/>
        <v>170</v>
      </c>
      <c r="AK492" t="str">
        <f>"27"</f>
        <v>27</v>
      </c>
      <c r="AL492" t="str">
        <f>"001"</f>
        <v>001</v>
      </c>
      <c r="AM492" t="str">
        <f>"05"</f>
        <v>05</v>
      </c>
      <c r="AN492" t="str">
        <f>"05615"</f>
        <v>05615</v>
      </c>
      <c r="AO492" t="str">
        <f>"31/08/2020 12:00:00 a. m."</f>
        <v>31/08/2020 12:00:00 a. m.</v>
      </c>
      <c r="AP492" t="str">
        <f>""</f>
        <v/>
      </c>
      <c r="AQ492" t="str">
        <f t="shared" si="566"/>
        <v>3</v>
      </c>
      <c r="AR492" t="str">
        <f t="shared" si="546"/>
        <v>1</v>
      </c>
      <c r="AS492" t="str">
        <f>"31/08/2020 12:00:00 a. m."</f>
        <v>31/08/2020 12:00:00 a. m.</v>
      </c>
      <c r="AT492" t="str">
        <f t="shared" si="567"/>
        <v>1</v>
      </c>
      <c r="AU492" t="str">
        <f>""</f>
        <v/>
      </c>
      <c r="AV492" t="str">
        <f>"0"</f>
        <v>0</v>
      </c>
      <c r="AW492" t="str">
        <f>"5/11/2009 12:00:00 a. m."</f>
        <v>5/11/2009 12:00:00 a. m.</v>
      </c>
      <c r="AX492" t="str">
        <f>""</f>
        <v/>
      </c>
      <c r="AY492" t="str">
        <f t="shared" si="527"/>
        <v>30/04/2021 12:00:00 a. m.</v>
      </c>
      <c r="AZ492" t="str">
        <f>"22/11/2020 12:00:00 a. m."</f>
        <v>22/11/2020 12:00:00 a. m.</v>
      </c>
      <c r="BA492" t="str">
        <f>""</f>
        <v/>
      </c>
      <c r="BB492" t="str">
        <f>""</f>
        <v/>
      </c>
      <c r="BC492" t="str">
        <f>""</f>
        <v/>
      </c>
      <c r="BD492" t="str">
        <f t="shared" si="560"/>
        <v>1</v>
      </c>
      <c r="BE492" t="str">
        <f t="shared" si="560"/>
        <v>1</v>
      </c>
      <c r="BF492" t="str">
        <f t="shared" si="528"/>
        <v xml:space="preserve">3         </v>
      </c>
      <c r="BG492" t="str">
        <f t="shared" si="529"/>
        <v>Confirmado por laboratorio</v>
      </c>
      <c r="BH492" t="str">
        <f>"SOCIEDAD MEDICA DE RIONEGRO SA SOMER SA"</f>
        <v>SOCIEDAD MEDICA DE RIONEGRO SA SOMER SA</v>
      </c>
      <c r="BI492" t="str">
        <f t="shared" si="537"/>
        <v>COLOMBIA</v>
      </c>
      <c r="BJ492" t="str">
        <f t="shared" si="530"/>
        <v>CANCER INFANTIL</v>
      </c>
      <c r="BK492" t="str">
        <f>"CHOCO"</f>
        <v>CHOCO</v>
      </c>
      <c r="BL492" t="str">
        <f>"QUIBDO"</f>
        <v>QUIBDO</v>
      </c>
      <c r="BM492" t="str">
        <f t="shared" si="538"/>
        <v>COLOMBIA</v>
      </c>
      <c r="BN492" t="str">
        <f>"CHOCO"</f>
        <v>CHOCO</v>
      </c>
      <c r="BO492" t="str">
        <f>"QUIBDO"</f>
        <v>QUIBDO</v>
      </c>
      <c r="BP492" t="str">
        <f>"ANTIOQUIA"</f>
        <v>ANTIOQUIA</v>
      </c>
      <c r="BQ492" t="str">
        <f>"RIONEGRO"</f>
        <v>RIONEGRO</v>
      </c>
    </row>
    <row r="493" spans="1:69" x14ac:dyDescent="0.25">
      <c r="A493" t="str">
        <f>"7279012"</f>
        <v>7279012</v>
      </c>
      <c r="B493" t="str">
        <f t="shared" si="522"/>
        <v>459</v>
      </c>
      <c r="C493" t="str">
        <f>"9/04/2020 12:00:00 a. m."</f>
        <v>9/04/2020 12:00:00 a. m.</v>
      </c>
      <c r="D493" t="str">
        <f>"14"</f>
        <v>14</v>
      </c>
      <c r="E493" t="str">
        <f t="shared" si="523"/>
        <v>2020</v>
      </c>
      <c r="F493" t="str">
        <f>"4100100562"</f>
        <v>4100100562</v>
      </c>
      <c r="G493" t="str">
        <f t="shared" si="565"/>
        <v>01</v>
      </c>
      <c r="H493" t="str">
        <f>"1"</f>
        <v>1</v>
      </c>
      <c r="I493" t="str">
        <f t="shared" si="544"/>
        <v>1</v>
      </c>
      <c r="J493" t="str">
        <f>"F"</f>
        <v>F</v>
      </c>
      <c r="K493" t="str">
        <f t="shared" si="534"/>
        <v>170</v>
      </c>
      <c r="L493" t="str">
        <f>"41"</f>
        <v>41</v>
      </c>
      <c r="M493" t="str">
        <f>"006"</f>
        <v>006</v>
      </c>
      <c r="N493" t="str">
        <f>"3"</f>
        <v>3</v>
      </c>
      <c r="O493" t="str">
        <f>"9999"</f>
        <v>9999</v>
      </c>
      <c r="P493" t="str">
        <f>"S"</f>
        <v>S</v>
      </c>
      <c r="Q493" t="str">
        <f>"CCF024"</f>
        <v>CCF024</v>
      </c>
      <c r="R493" t="str">
        <f t="shared" ref="R493:R524" si="568">"6"</f>
        <v>6</v>
      </c>
      <c r="S493" t="str">
        <f>""</f>
        <v/>
      </c>
      <c r="T493" t="str">
        <f t="shared" si="510"/>
        <v xml:space="preserve">                                                                                                    </v>
      </c>
      <c r="U493" t="str">
        <f>"2         "</f>
        <v xml:space="preserve">2         </v>
      </c>
      <c r="V493" t="str">
        <f t="shared" si="551"/>
        <v>2</v>
      </c>
      <c r="W493" t="str">
        <f t="shared" si="508"/>
        <v>2</v>
      </c>
      <c r="X493" t="str">
        <f t="shared" si="547"/>
        <v>2</v>
      </c>
      <c r="Y493" t="str">
        <f t="shared" si="552"/>
        <v>2</v>
      </c>
      <c r="Z493" t="str">
        <f t="shared" si="552"/>
        <v>2</v>
      </c>
      <c r="AA493" t="str">
        <f t="shared" si="525"/>
        <v xml:space="preserve">          </v>
      </c>
      <c r="AB493" t="str">
        <f t="shared" si="516"/>
        <v>2</v>
      </c>
      <c r="AC493" t="str">
        <f t="shared" si="517"/>
        <v>2</v>
      </c>
      <c r="AD493" t="str">
        <f t="shared" si="555"/>
        <v>2</v>
      </c>
      <c r="AE493" t="str">
        <f t="shared" si="555"/>
        <v>2</v>
      </c>
      <c r="AF493" t="str">
        <f t="shared" si="555"/>
        <v>2</v>
      </c>
      <c r="AG493" t="str">
        <f t="shared" si="555"/>
        <v>2</v>
      </c>
      <c r="AH493" t="str">
        <f t="shared" si="548"/>
        <v>1</v>
      </c>
      <c r="AI493" t="str">
        <f t="shared" si="561"/>
        <v xml:space="preserve">1         </v>
      </c>
      <c r="AJ493" t="str">
        <f t="shared" si="536"/>
        <v>170</v>
      </c>
      <c r="AK493" t="str">
        <f>"41"</f>
        <v>41</v>
      </c>
      <c r="AL493" t="str">
        <f>"006"</f>
        <v>006</v>
      </c>
      <c r="AM493" t="str">
        <f>"41"</f>
        <v>41</v>
      </c>
      <c r="AN493" t="str">
        <f>"41001"</f>
        <v>41001</v>
      </c>
      <c r="AO493" t="str">
        <f>"30/03/2020 12:00:00 a. m."</f>
        <v>30/03/2020 12:00:00 a. m.</v>
      </c>
      <c r="AP493" t="str">
        <f>"30/01/2020 12:00:00 a. m."</f>
        <v>30/01/2020 12:00:00 a. m.</v>
      </c>
      <c r="AQ493" t="str">
        <f t="shared" si="566"/>
        <v>3</v>
      </c>
      <c r="AR493" t="str">
        <f t="shared" si="546"/>
        <v>1</v>
      </c>
      <c r="AS493" t="str">
        <f>"30/03/2020 12:00:00 a. m."</f>
        <v>30/03/2020 12:00:00 a. m.</v>
      </c>
      <c r="AT493" t="str">
        <f t="shared" si="567"/>
        <v>1</v>
      </c>
      <c r="AU493" t="str">
        <f>""</f>
        <v/>
      </c>
      <c r="AV493" t="str">
        <f>"0"</f>
        <v>0</v>
      </c>
      <c r="AW493" t="str">
        <f>"11/08/2018 12:00:00 a. m."</f>
        <v>11/08/2018 12:00:00 a. m.</v>
      </c>
      <c r="AX493" t="str">
        <f>""</f>
        <v/>
      </c>
      <c r="AY493" t="str">
        <f t="shared" si="527"/>
        <v>30/04/2021 12:00:00 a. m.</v>
      </c>
      <c r="AZ493" t="str">
        <f>"9/04/2020 12:00:00 a. m."</f>
        <v>9/04/2020 12:00:00 a. m.</v>
      </c>
      <c r="BA493" t="str">
        <f>""</f>
        <v/>
      </c>
      <c r="BB493" t="str">
        <f>""</f>
        <v/>
      </c>
      <c r="BC493" t="str">
        <f>""</f>
        <v/>
      </c>
      <c r="BD493" t="str">
        <f t="shared" si="560"/>
        <v>1</v>
      </c>
      <c r="BE493" t="str">
        <f t="shared" si="560"/>
        <v>1</v>
      </c>
      <c r="BF493" t="str">
        <f t="shared" si="528"/>
        <v xml:space="preserve">3         </v>
      </c>
      <c r="BG493" t="str">
        <f t="shared" si="529"/>
        <v>Confirmado por laboratorio</v>
      </c>
      <c r="BH493" t="str">
        <f>"HOSPITAL UNIVERSITARIO HERNANDO MONCALEANO PERDOMO"</f>
        <v>HOSPITAL UNIVERSITARIO HERNANDO MONCALEANO PERDOMO</v>
      </c>
      <c r="BI493" t="str">
        <f t="shared" si="537"/>
        <v>COLOMBIA</v>
      </c>
      <c r="BJ493" t="str">
        <f t="shared" si="530"/>
        <v>CANCER INFANTIL</v>
      </c>
      <c r="BK493" t="str">
        <f>"HUILA"</f>
        <v>HUILA</v>
      </c>
      <c r="BL493" t="str">
        <f>"ACEVEDO"</f>
        <v>ACEVEDO</v>
      </c>
      <c r="BM493" t="str">
        <f t="shared" si="538"/>
        <v>COLOMBIA</v>
      </c>
      <c r="BN493" t="str">
        <f>"HUILA"</f>
        <v>HUILA</v>
      </c>
      <c r="BO493" t="str">
        <f>"ACEVEDO"</f>
        <v>ACEVEDO</v>
      </c>
      <c r="BP493" t="str">
        <f>"HUILA"</f>
        <v>HUILA</v>
      </c>
      <c r="BQ493" t="str">
        <f>"NEIVA"</f>
        <v>NEIVA</v>
      </c>
    </row>
    <row r="494" spans="1:69" x14ac:dyDescent="0.25">
      <c r="A494" t="str">
        <f>"7291747"</f>
        <v>7291747</v>
      </c>
      <c r="B494" t="str">
        <f t="shared" si="522"/>
        <v>459</v>
      </c>
      <c r="C494" t="str">
        <f>"12/01/2021 12:00:00 a. m."</f>
        <v>12/01/2021 12:00:00 a. m.</v>
      </c>
      <c r="D494" t="str">
        <f>"42"</f>
        <v>42</v>
      </c>
      <c r="E494" t="str">
        <f t="shared" si="523"/>
        <v>2020</v>
      </c>
      <c r="F494" t="str">
        <f>"9500100001"</f>
        <v>9500100001</v>
      </c>
      <c r="G494" t="str">
        <f t="shared" si="565"/>
        <v>01</v>
      </c>
      <c r="H494" t="str">
        <f>"5"</f>
        <v>5</v>
      </c>
      <c r="I494" t="str">
        <f t="shared" si="544"/>
        <v>1</v>
      </c>
      <c r="J494" t="str">
        <f>"M"</f>
        <v>M</v>
      </c>
      <c r="K494" t="str">
        <f t="shared" si="534"/>
        <v>170</v>
      </c>
      <c r="L494" t="str">
        <f>"95"</f>
        <v>95</v>
      </c>
      <c r="M494" t="str">
        <f t="shared" ref="M494:M499" si="569">"001"</f>
        <v>001</v>
      </c>
      <c r="N494" t="str">
        <f t="shared" ref="N494:N511" si="570">"1"</f>
        <v>1</v>
      </c>
      <c r="O494" t="str">
        <f>"9998"</f>
        <v>9998</v>
      </c>
      <c r="P494" t="str">
        <f>"S"</f>
        <v>S</v>
      </c>
      <c r="Q494" t="str">
        <f>"EPSS41"</f>
        <v>EPSS41</v>
      </c>
      <c r="R494" t="str">
        <f t="shared" si="568"/>
        <v>6</v>
      </c>
      <c r="S494" t="str">
        <f>""</f>
        <v/>
      </c>
      <c r="T494" t="str">
        <f t="shared" si="510"/>
        <v xml:space="preserve">                                                                                                    </v>
      </c>
      <c r="U494" t="str">
        <f>"1         "</f>
        <v xml:space="preserve">1         </v>
      </c>
      <c r="V494" t="str">
        <f t="shared" si="551"/>
        <v>2</v>
      </c>
      <c r="W494" t="str">
        <f>"1"</f>
        <v>1</v>
      </c>
      <c r="X494" t="str">
        <f t="shared" si="547"/>
        <v>2</v>
      </c>
      <c r="Y494" t="str">
        <f t="shared" si="552"/>
        <v>2</v>
      </c>
      <c r="Z494" t="str">
        <f t="shared" si="552"/>
        <v>2</v>
      </c>
      <c r="AA494" t="str">
        <f t="shared" si="525"/>
        <v xml:space="preserve">          </v>
      </c>
      <c r="AB494" t="str">
        <f t="shared" si="516"/>
        <v>2</v>
      </c>
      <c r="AC494" t="str">
        <f t="shared" si="517"/>
        <v>2</v>
      </c>
      <c r="AD494" t="str">
        <f t="shared" si="555"/>
        <v>2</v>
      </c>
      <c r="AE494" t="str">
        <f t="shared" si="555"/>
        <v>2</v>
      </c>
      <c r="AF494" t="str">
        <f t="shared" si="555"/>
        <v>2</v>
      </c>
      <c r="AG494" t="str">
        <f t="shared" si="555"/>
        <v>2</v>
      </c>
      <c r="AH494" t="str">
        <f>"2"</f>
        <v>2</v>
      </c>
      <c r="AI494" t="str">
        <f t="shared" si="561"/>
        <v xml:space="preserve">1         </v>
      </c>
      <c r="AJ494" t="str">
        <f t="shared" si="536"/>
        <v>170</v>
      </c>
      <c r="AK494" t="str">
        <f>"95"</f>
        <v>95</v>
      </c>
      <c r="AL494" t="str">
        <f t="shared" ref="AL494:AL499" si="571">"001"</f>
        <v>001</v>
      </c>
      <c r="AM494" t="str">
        <f>"95"</f>
        <v>95</v>
      </c>
      <c r="AN494" t="str">
        <f>"95001"</f>
        <v>95001</v>
      </c>
      <c r="AO494" t="str">
        <f>"16/10/2020 12:00:00 a. m."</f>
        <v>16/10/2020 12:00:00 a. m.</v>
      </c>
      <c r="AP494" t="str">
        <f>"1/05/2020 12:00:00 a. m."</f>
        <v>1/05/2020 12:00:00 a. m.</v>
      </c>
      <c r="AQ494" t="str">
        <f t="shared" si="566"/>
        <v>3</v>
      </c>
      <c r="AR494" t="str">
        <f>"2"</f>
        <v>2</v>
      </c>
      <c r="AS494" t="str">
        <f>""</f>
        <v/>
      </c>
      <c r="AT494" t="str">
        <f t="shared" si="567"/>
        <v>1</v>
      </c>
      <c r="AU494" t="str">
        <f>""</f>
        <v/>
      </c>
      <c r="AV494" t="str">
        <f>"7"</f>
        <v>7</v>
      </c>
      <c r="AW494" t="str">
        <f>"27/03/2015 12:00:00 a. m."</f>
        <v>27/03/2015 12:00:00 a. m.</v>
      </c>
      <c r="AX494" t="str">
        <f>""</f>
        <v/>
      </c>
      <c r="AY494" t="str">
        <f t="shared" si="527"/>
        <v>30/04/2021 12:00:00 a. m.</v>
      </c>
      <c r="AZ494" t="str">
        <f>"5/04/2021 12:00:00 a. m."</f>
        <v>5/04/2021 12:00:00 a. m.</v>
      </c>
      <c r="BA494" t="str">
        <f>""</f>
        <v/>
      </c>
      <c r="BB494" t="str">
        <f>""</f>
        <v/>
      </c>
      <c r="BC494" t="str">
        <f>""</f>
        <v/>
      </c>
      <c r="BD494" t="str">
        <f t="shared" si="560"/>
        <v>1</v>
      </c>
      <c r="BE494" t="str">
        <f t="shared" si="560"/>
        <v>1</v>
      </c>
      <c r="BF494" t="str">
        <f t="shared" si="528"/>
        <v xml:space="preserve">3         </v>
      </c>
      <c r="BG494" t="str">
        <f t="shared" si="529"/>
        <v>Confirmado por laboratorio</v>
      </c>
      <c r="BH494" t="str">
        <f>"ESE HOSPITAL SAN JOSE DEL GUAVIARE"</f>
        <v>ESE HOSPITAL SAN JOSE DEL GUAVIARE</v>
      </c>
      <c r="BI494" t="str">
        <f t="shared" si="537"/>
        <v>COLOMBIA</v>
      </c>
      <c r="BJ494" t="str">
        <f t="shared" si="530"/>
        <v>CANCER INFANTIL</v>
      </c>
      <c r="BK494" t="str">
        <f>"GUAVIARE"</f>
        <v>GUAVIARE</v>
      </c>
      <c r="BL494" t="str">
        <f>"SAN JOSE DEL GUAVIARE"</f>
        <v>SAN JOSE DEL GUAVIARE</v>
      </c>
      <c r="BM494" t="str">
        <f t="shared" si="538"/>
        <v>COLOMBIA</v>
      </c>
      <c r="BN494" t="str">
        <f>"GUAVIARE"</f>
        <v>GUAVIARE</v>
      </c>
      <c r="BO494" t="str">
        <f>"SAN JOSE DEL GUAVIARE"</f>
        <v>SAN JOSE DEL GUAVIARE</v>
      </c>
      <c r="BP494" t="str">
        <f>"GUAVIARE"</f>
        <v>GUAVIARE</v>
      </c>
      <c r="BQ494" t="str">
        <f>"SAN JOSE DEL GUAVIARE"</f>
        <v>SAN JOSE DEL GUAVIARE</v>
      </c>
    </row>
    <row r="495" spans="1:69" x14ac:dyDescent="0.25">
      <c r="A495" t="str">
        <f>"7291711"</f>
        <v>7291711</v>
      </c>
      <c r="B495" t="str">
        <f t="shared" si="522"/>
        <v>459</v>
      </c>
      <c r="C495" t="str">
        <f>"28/07/2020 12:00:00 a. m."</f>
        <v>28/07/2020 12:00:00 a. m.</v>
      </c>
      <c r="D495" t="str">
        <f>"26"</f>
        <v>26</v>
      </c>
      <c r="E495" t="str">
        <f t="shared" si="523"/>
        <v>2020</v>
      </c>
      <c r="F495" t="str">
        <f>"7300102417"</f>
        <v>7300102417</v>
      </c>
      <c r="G495" t="str">
        <f t="shared" si="565"/>
        <v>01</v>
      </c>
      <c r="H495" t="str">
        <f>"2"</f>
        <v>2</v>
      </c>
      <c r="I495" t="str">
        <f t="shared" si="544"/>
        <v>1</v>
      </c>
      <c r="J495" t="str">
        <f>"F"</f>
        <v>F</v>
      </c>
      <c r="K495" t="str">
        <f t="shared" si="534"/>
        <v>170</v>
      </c>
      <c r="L495" t="str">
        <f>"18"</f>
        <v>18</v>
      </c>
      <c r="M495" t="str">
        <f t="shared" si="569"/>
        <v>001</v>
      </c>
      <c r="N495" t="str">
        <f t="shared" si="570"/>
        <v>1</v>
      </c>
      <c r="O495" t="str">
        <f>"9999"</f>
        <v>9999</v>
      </c>
      <c r="P495" t="str">
        <f>"S"</f>
        <v>S</v>
      </c>
      <c r="Q495" t="str">
        <f>"ESS062"</f>
        <v>ESS062</v>
      </c>
      <c r="R495" t="str">
        <f t="shared" si="568"/>
        <v>6</v>
      </c>
      <c r="S495" t="str">
        <f>""</f>
        <v/>
      </c>
      <c r="T495" t="str">
        <f t="shared" si="510"/>
        <v xml:space="preserve">                                                                                                    </v>
      </c>
      <c r="U495" t="str">
        <f>"1         "</f>
        <v xml:space="preserve">1         </v>
      </c>
      <c r="V495" t="str">
        <f t="shared" si="551"/>
        <v>2</v>
      </c>
      <c r="W495" t="str">
        <f t="shared" ref="W495:W526" si="572">"2"</f>
        <v>2</v>
      </c>
      <c r="X495" t="str">
        <f t="shared" si="547"/>
        <v>2</v>
      </c>
      <c r="Y495" t="str">
        <f t="shared" si="552"/>
        <v>2</v>
      </c>
      <c r="Z495" t="str">
        <f t="shared" si="552"/>
        <v>2</v>
      </c>
      <c r="AA495" t="str">
        <f t="shared" si="525"/>
        <v xml:space="preserve">          </v>
      </c>
      <c r="AB495" t="str">
        <f t="shared" si="516"/>
        <v>2</v>
      </c>
      <c r="AC495" t="str">
        <f t="shared" si="517"/>
        <v>2</v>
      </c>
      <c r="AD495" t="str">
        <f t="shared" si="555"/>
        <v>2</v>
      </c>
      <c r="AE495" t="str">
        <f t="shared" si="555"/>
        <v>2</v>
      </c>
      <c r="AF495" t="str">
        <f t="shared" si="555"/>
        <v>2</v>
      </c>
      <c r="AG495" t="str">
        <f t="shared" si="555"/>
        <v>2</v>
      </c>
      <c r="AH495" t="str">
        <f t="shared" ref="AH495:AH526" si="573">"1"</f>
        <v>1</v>
      </c>
      <c r="AI495" t="str">
        <f t="shared" si="561"/>
        <v xml:space="preserve">1         </v>
      </c>
      <c r="AJ495" t="str">
        <f t="shared" si="536"/>
        <v>170</v>
      </c>
      <c r="AK495" t="str">
        <f>"18"</f>
        <v>18</v>
      </c>
      <c r="AL495" t="str">
        <f t="shared" si="571"/>
        <v>001</v>
      </c>
      <c r="AM495" t="str">
        <f>"73"</f>
        <v>73</v>
      </c>
      <c r="AN495" t="str">
        <f>"73001"</f>
        <v>73001</v>
      </c>
      <c r="AO495" t="str">
        <f>"24/06/2020 12:00:00 a. m."</f>
        <v>24/06/2020 12:00:00 a. m.</v>
      </c>
      <c r="AP495" t="str">
        <f>"12/06/2020 12:00:00 a. m."</f>
        <v>12/06/2020 12:00:00 a. m.</v>
      </c>
      <c r="AQ495" t="str">
        <f t="shared" si="566"/>
        <v>3</v>
      </c>
      <c r="AR495" t="str">
        <f t="shared" ref="AR495:AR505" si="574">"1"</f>
        <v>1</v>
      </c>
      <c r="AS495" t="str">
        <f>"24/06/2020 12:00:00 a. m."</f>
        <v>24/06/2020 12:00:00 a. m.</v>
      </c>
      <c r="AT495" t="str">
        <f t="shared" si="567"/>
        <v>1</v>
      </c>
      <c r="AU495" t="str">
        <f>""</f>
        <v/>
      </c>
      <c r="AV495" t="str">
        <f>"0"</f>
        <v>0</v>
      </c>
      <c r="AW495" t="str">
        <f>"29/04/2018 12:00:00 a. m."</f>
        <v>29/04/2018 12:00:00 a. m.</v>
      </c>
      <c r="AX495" t="str">
        <f>""</f>
        <v/>
      </c>
      <c r="AY495" t="str">
        <f t="shared" si="527"/>
        <v>30/04/2021 12:00:00 a. m.</v>
      </c>
      <c r="AZ495" t="str">
        <f>"3/08/2020 12:00:00 a. m."</f>
        <v>3/08/2020 12:00:00 a. m.</v>
      </c>
      <c r="BA495" t="str">
        <f>""</f>
        <v/>
      </c>
      <c r="BB495" t="str">
        <f>""</f>
        <v/>
      </c>
      <c r="BC495" t="str">
        <f>""</f>
        <v/>
      </c>
      <c r="BD495" t="str">
        <f t="shared" si="560"/>
        <v>1</v>
      </c>
      <c r="BE495" t="str">
        <f t="shared" si="560"/>
        <v>1</v>
      </c>
      <c r="BF495" t="str">
        <f t="shared" si="528"/>
        <v xml:space="preserve">3         </v>
      </c>
      <c r="BG495" t="str">
        <f t="shared" si="529"/>
        <v>Confirmado por laboratorio</v>
      </c>
      <c r="BH495" t="str">
        <f>"CLINICA INTERNACIONAL DE ALTA TECNOLOGIA SAS"</f>
        <v>CLINICA INTERNACIONAL DE ALTA TECNOLOGIA SAS</v>
      </c>
      <c r="BI495" t="str">
        <f t="shared" si="537"/>
        <v>COLOMBIA</v>
      </c>
      <c r="BJ495" t="str">
        <f t="shared" si="530"/>
        <v>CANCER INFANTIL</v>
      </c>
      <c r="BK495" t="str">
        <f>"CAQUETA"</f>
        <v>CAQUETA</v>
      </c>
      <c r="BL495" t="str">
        <f>"FLORENCIA"</f>
        <v>FLORENCIA</v>
      </c>
      <c r="BM495" t="str">
        <f t="shared" si="538"/>
        <v>COLOMBIA</v>
      </c>
      <c r="BN495" t="str">
        <f>"CAQUETA"</f>
        <v>CAQUETA</v>
      </c>
      <c r="BO495" t="str">
        <f>"FLORENCIA"</f>
        <v>FLORENCIA</v>
      </c>
      <c r="BP495" t="str">
        <f>"TOLIMA"</f>
        <v>TOLIMA</v>
      </c>
      <c r="BQ495" t="str">
        <f>"IBAGUE"</f>
        <v>IBAGUE</v>
      </c>
    </row>
    <row r="496" spans="1:69" x14ac:dyDescent="0.25">
      <c r="A496" t="str">
        <f>"7291710"</f>
        <v>7291710</v>
      </c>
      <c r="B496" t="str">
        <f t="shared" si="522"/>
        <v>459</v>
      </c>
      <c r="C496" t="str">
        <f>"2/10/2020 12:00:00 a. m."</f>
        <v>2/10/2020 12:00:00 a. m.</v>
      </c>
      <c r="D496" t="str">
        <f>"38"</f>
        <v>38</v>
      </c>
      <c r="E496" t="str">
        <f t="shared" si="523"/>
        <v>2020</v>
      </c>
      <c r="F496" t="str">
        <f>"7600102870"</f>
        <v>7600102870</v>
      </c>
      <c r="G496" t="str">
        <f t="shared" si="565"/>
        <v>01</v>
      </c>
      <c r="H496" t="str">
        <f>"11"</f>
        <v>11</v>
      </c>
      <c r="I496" t="str">
        <f t="shared" si="544"/>
        <v>1</v>
      </c>
      <c r="J496" t="str">
        <f>"F"</f>
        <v>F</v>
      </c>
      <c r="K496" t="str">
        <f t="shared" si="534"/>
        <v>170</v>
      </c>
      <c r="L496" t="str">
        <f>"18"</f>
        <v>18</v>
      </c>
      <c r="M496" t="str">
        <f t="shared" si="569"/>
        <v>001</v>
      </c>
      <c r="N496" t="str">
        <f t="shared" si="570"/>
        <v>1</v>
      </c>
      <c r="O496" t="str">
        <f>"9999"</f>
        <v>9999</v>
      </c>
      <c r="P496" t="str">
        <f>"S"</f>
        <v>S</v>
      </c>
      <c r="Q496" t="str">
        <f>"ESS062"</f>
        <v>ESS062</v>
      </c>
      <c r="R496" t="str">
        <f t="shared" si="568"/>
        <v>6</v>
      </c>
      <c r="S496" t="str">
        <f>""</f>
        <v/>
      </c>
      <c r="T496" t="str">
        <f t="shared" si="510"/>
        <v xml:space="preserve">                                                                                                    </v>
      </c>
      <c r="U496" t="str">
        <f>"          "</f>
        <v xml:space="preserve">          </v>
      </c>
      <c r="V496" t="str">
        <f t="shared" si="551"/>
        <v>2</v>
      </c>
      <c r="W496" t="str">
        <f t="shared" si="572"/>
        <v>2</v>
      </c>
      <c r="X496" t="str">
        <f t="shared" si="547"/>
        <v>2</v>
      </c>
      <c r="Y496" t="str">
        <f t="shared" si="552"/>
        <v>2</v>
      </c>
      <c r="Z496" t="str">
        <f t="shared" si="552"/>
        <v>2</v>
      </c>
      <c r="AA496" t="str">
        <f t="shared" si="525"/>
        <v xml:space="preserve">          </v>
      </c>
      <c r="AB496" t="str">
        <f t="shared" si="516"/>
        <v>2</v>
      </c>
      <c r="AC496" t="str">
        <f t="shared" si="517"/>
        <v>2</v>
      </c>
      <c r="AD496" t="str">
        <f t="shared" si="555"/>
        <v>2</v>
      </c>
      <c r="AE496" t="str">
        <f t="shared" si="555"/>
        <v>2</v>
      </c>
      <c r="AF496" t="str">
        <f t="shared" si="555"/>
        <v>2</v>
      </c>
      <c r="AG496" t="str">
        <f t="shared" si="555"/>
        <v>2</v>
      </c>
      <c r="AH496" t="str">
        <f t="shared" si="573"/>
        <v>1</v>
      </c>
      <c r="AI496" t="str">
        <f t="shared" si="561"/>
        <v xml:space="preserve">1         </v>
      </c>
      <c r="AJ496" t="str">
        <f t="shared" si="536"/>
        <v>170</v>
      </c>
      <c r="AK496" t="str">
        <f>"18"</f>
        <v>18</v>
      </c>
      <c r="AL496" t="str">
        <f t="shared" si="571"/>
        <v>001</v>
      </c>
      <c r="AM496" t="str">
        <f>"76"</f>
        <v>76</v>
      </c>
      <c r="AN496" t="str">
        <f>"76001"</f>
        <v>76001</v>
      </c>
      <c r="AO496" t="str">
        <f>"16/09/2020 12:00:00 a. m."</f>
        <v>16/09/2020 12:00:00 a. m.</v>
      </c>
      <c r="AP496" t="str">
        <f>"11/09/2020 12:00:00 a. m."</f>
        <v>11/09/2020 12:00:00 a. m.</v>
      </c>
      <c r="AQ496" t="str">
        <f>"2"</f>
        <v>2</v>
      </c>
      <c r="AR496" t="str">
        <f t="shared" si="574"/>
        <v>1</v>
      </c>
      <c r="AS496" t="str">
        <f>"16/09/2020 12:00:00 a. m."</f>
        <v>16/09/2020 12:00:00 a. m.</v>
      </c>
      <c r="AT496" t="str">
        <f t="shared" si="567"/>
        <v>1</v>
      </c>
      <c r="AU496" t="str">
        <f>""</f>
        <v/>
      </c>
      <c r="AV496" t="str">
        <f>"3"</f>
        <v>3</v>
      </c>
      <c r="AW496" t="str">
        <f>"11/11/2008 12:00:00 a. m."</f>
        <v>11/11/2008 12:00:00 a. m.</v>
      </c>
      <c r="AX496" t="str">
        <f>""</f>
        <v/>
      </c>
      <c r="AY496" t="str">
        <f t="shared" si="527"/>
        <v>30/04/2021 12:00:00 a. m.</v>
      </c>
      <c r="AZ496" t="str">
        <f>"5/11/2020 12:00:00 a. m."</f>
        <v>5/11/2020 12:00:00 a. m.</v>
      </c>
      <c r="BA496" t="str">
        <f>""</f>
        <v/>
      </c>
      <c r="BB496" t="str">
        <f>""</f>
        <v/>
      </c>
      <c r="BC496" t="str">
        <f>""</f>
        <v/>
      </c>
      <c r="BD496" t="str">
        <f t="shared" si="560"/>
        <v>1</v>
      </c>
      <c r="BE496" t="str">
        <f t="shared" si="560"/>
        <v>1</v>
      </c>
      <c r="BF496" t="str">
        <f t="shared" si="528"/>
        <v xml:space="preserve">3         </v>
      </c>
      <c r="BG496" t="str">
        <f t="shared" si="529"/>
        <v>Confirmado por laboratorio</v>
      </c>
      <c r="BH496" t="str">
        <f>"FUNDACION VALLE DEL LILI"</f>
        <v>FUNDACION VALLE DEL LILI</v>
      </c>
      <c r="BI496" t="str">
        <f t="shared" si="537"/>
        <v>COLOMBIA</v>
      </c>
      <c r="BJ496" t="str">
        <f t="shared" si="530"/>
        <v>CANCER INFANTIL</v>
      </c>
      <c r="BK496" t="str">
        <f>"CAQUETA"</f>
        <v>CAQUETA</v>
      </c>
      <c r="BL496" t="str">
        <f>"FLORENCIA"</f>
        <v>FLORENCIA</v>
      </c>
      <c r="BM496" t="str">
        <f t="shared" si="538"/>
        <v>COLOMBIA</v>
      </c>
      <c r="BN496" t="str">
        <f>"CAQUETA"</f>
        <v>CAQUETA</v>
      </c>
      <c r="BO496" t="str">
        <f>"FLORENCIA"</f>
        <v>FLORENCIA</v>
      </c>
      <c r="BP496" t="str">
        <f>"VALLE"</f>
        <v>VALLE</v>
      </c>
      <c r="BQ496" t="str">
        <f>"CALI"</f>
        <v>CALI</v>
      </c>
    </row>
    <row r="497" spans="1:69" x14ac:dyDescent="0.25">
      <c r="A497" t="str">
        <f>"7291549"</f>
        <v>7291549</v>
      </c>
      <c r="B497" t="str">
        <f t="shared" si="522"/>
        <v>459</v>
      </c>
      <c r="C497" t="str">
        <f>"28/09/2020 12:00:00 a. m."</f>
        <v>28/09/2020 12:00:00 a. m.</v>
      </c>
      <c r="D497" t="str">
        <f>"14"</f>
        <v>14</v>
      </c>
      <c r="E497" t="str">
        <f t="shared" si="523"/>
        <v>2020</v>
      </c>
      <c r="F497" t="str">
        <f>"1100105681"</f>
        <v>1100105681</v>
      </c>
      <c r="G497" t="str">
        <f t="shared" si="565"/>
        <v>01</v>
      </c>
      <c r="H497" t="str">
        <f>"16"</f>
        <v>16</v>
      </c>
      <c r="I497" t="str">
        <f t="shared" si="544"/>
        <v>1</v>
      </c>
      <c r="J497" t="str">
        <f t="shared" ref="J497:J502" si="575">"M"</f>
        <v>M</v>
      </c>
      <c r="K497" t="str">
        <f t="shared" si="534"/>
        <v>170</v>
      </c>
      <c r="L497" t="str">
        <f>"11"</f>
        <v>11</v>
      </c>
      <c r="M497" t="str">
        <f t="shared" si="569"/>
        <v>001</v>
      </c>
      <c r="N497" t="str">
        <f t="shared" si="570"/>
        <v>1</v>
      </c>
      <c r="O497" t="str">
        <f>"9997"</f>
        <v>9997</v>
      </c>
      <c r="P497" t="str">
        <f>"C"</f>
        <v>C</v>
      </c>
      <c r="Q497" t="str">
        <f>"EPS002"</f>
        <v>EPS002</v>
      </c>
      <c r="R497" t="str">
        <f t="shared" si="568"/>
        <v>6</v>
      </c>
      <c r="S497" t="str">
        <f>""</f>
        <v/>
      </c>
      <c r="T497" t="str">
        <f t="shared" si="510"/>
        <v xml:space="preserve">                                                                                                    </v>
      </c>
      <c r="U497" t="str">
        <f>"2         "</f>
        <v xml:space="preserve">2         </v>
      </c>
      <c r="V497" t="str">
        <f t="shared" si="551"/>
        <v>2</v>
      </c>
      <c r="W497" t="str">
        <f t="shared" si="572"/>
        <v>2</v>
      </c>
      <c r="X497" t="str">
        <f t="shared" si="547"/>
        <v>2</v>
      </c>
      <c r="Y497" t="str">
        <f t="shared" si="552"/>
        <v>2</v>
      </c>
      <c r="Z497" t="str">
        <f t="shared" si="552"/>
        <v>2</v>
      </c>
      <c r="AA497" t="str">
        <f t="shared" si="525"/>
        <v xml:space="preserve">          </v>
      </c>
      <c r="AB497" t="str">
        <f t="shared" si="516"/>
        <v>2</v>
      </c>
      <c r="AC497" t="str">
        <f t="shared" si="517"/>
        <v>2</v>
      </c>
      <c r="AD497" t="str">
        <f t="shared" si="555"/>
        <v>2</v>
      </c>
      <c r="AE497" t="str">
        <f t="shared" si="555"/>
        <v>2</v>
      </c>
      <c r="AF497" t="str">
        <f t="shared" si="555"/>
        <v>2</v>
      </c>
      <c r="AG497" t="str">
        <f t="shared" si="555"/>
        <v>2</v>
      </c>
      <c r="AH497" t="str">
        <f t="shared" si="573"/>
        <v>1</v>
      </c>
      <c r="AI497" t="str">
        <f t="shared" si="561"/>
        <v xml:space="preserve">1         </v>
      </c>
      <c r="AJ497" t="str">
        <f t="shared" si="536"/>
        <v>170</v>
      </c>
      <c r="AK497" t="str">
        <f>"11"</f>
        <v>11</v>
      </c>
      <c r="AL497" t="str">
        <f t="shared" si="571"/>
        <v>001</v>
      </c>
      <c r="AM497" t="str">
        <f>"11"</f>
        <v>11</v>
      </c>
      <c r="AN497" t="str">
        <f>"11001"</f>
        <v>11001</v>
      </c>
      <c r="AO497" t="str">
        <f>"2/04/2020 12:00:00 a. m."</f>
        <v>2/04/2020 12:00:00 a. m.</v>
      </c>
      <c r="AP497" t="str">
        <f>"1/07/2019 12:00:00 a. m."</f>
        <v>1/07/2019 12:00:00 a. m.</v>
      </c>
      <c r="AQ497" t="str">
        <f t="shared" ref="AQ497:AQ502" si="576">"3"</f>
        <v>3</v>
      </c>
      <c r="AR497" t="str">
        <f t="shared" si="574"/>
        <v>1</v>
      </c>
      <c r="AS497" t="str">
        <f>"2/04/2020 12:00:00 a. m."</f>
        <v>2/04/2020 12:00:00 a. m.</v>
      </c>
      <c r="AT497" t="str">
        <f t="shared" si="567"/>
        <v>1</v>
      </c>
      <c r="AU497" t="str">
        <f>""</f>
        <v/>
      </c>
      <c r="AV497" t="str">
        <f>"7"</f>
        <v>7</v>
      </c>
      <c r="AW497" t="str">
        <f>"21/05/2004 12:00:00 a. m."</f>
        <v>21/05/2004 12:00:00 a. m.</v>
      </c>
      <c r="AX497" t="str">
        <f>""</f>
        <v/>
      </c>
      <c r="AY497" t="str">
        <f t="shared" si="527"/>
        <v>30/04/2021 12:00:00 a. m.</v>
      </c>
      <c r="AZ497" t="str">
        <f>"5/04/2021 12:00:00 a. m."</f>
        <v>5/04/2021 12:00:00 a. m.</v>
      </c>
      <c r="BA497" t="str">
        <f>""</f>
        <v/>
      </c>
      <c r="BB497" t="str">
        <f>""</f>
        <v/>
      </c>
      <c r="BC497" t="str">
        <f>""</f>
        <v/>
      </c>
      <c r="BD497" t="str">
        <f t="shared" si="560"/>
        <v>1</v>
      </c>
      <c r="BE497" t="str">
        <f t="shared" si="560"/>
        <v>1</v>
      </c>
      <c r="BF497" t="str">
        <f t="shared" si="528"/>
        <v xml:space="preserve">3         </v>
      </c>
      <c r="BG497" t="str">
        <f t="shared" si="529"/>
        <v>Confirmado por laboratorio</v>
      </c>
      <c r="BH497" t="str">
        <f>"FUNDACION HOSPITAL DE LA MISERICORDIA"</f>
        <v>FUNDACION HOSPITAL DE LA MISERICORDIA</v>
      </c>
      <c r="BI497" t="str">
        <f t="shared" si="537"/>
        <v>COLOMBIA</v>
      </c>
      <c r="BJ497" t="str">
        <f t="shared" si="530"/>
        <v>CANCER INFANTIL</v>
      </c>
      <c r="BK497" t="str">
        <f t="shared" ref="BK497:BL499" si="577">"BOGOTA"</f>
        <v>BOGOTA</v>
      </c>
      <c r="BL497" t="str">
        <f t="shared" si="577"/>
        <v>BOGOTA</v>
      </c>
      <c r="BM497" t="str">
        <f t="shared" si="538"/>
        <v>COLOMBIA</v>
      </c>
      <c r="BN497" t="str">
        <f t="shared" ref="BN497:BQ499" si="578">"BOGOTA"</f>
        <v>BOGOTA</v>
      </c>
      <c r="BO497" t="str">
        <f t="shared" si="578"/>
        <v>BOGOTA</v>
      </c>
      <c r="BP497" t="str">
        <f t="shared" si="578"/>
        <v>BOGOTA</v>
      </c>
      <c r="BQ497" t="str">
        <f t="shared" si="578"/>
        <v>BOGOTA</v>
      </c>
    </row>
    <row r="498" spans="1:69" x14ac:dyDescent="0.25">
      <c r="A498" t="str">
        <f>"7291552"</f>
        <v>7291552</v>
      </c>
      <c r="B498" t="str">
        <f t="shared" si="522"/>
        <v>459</v>
      </c>
      <c r="C498" t="str">
        <f>"14/09/2020 12:00:00 a. m."</f>
        <v>14/09/2020 12:00:00 a. m.</v>
      </c>
      <c r="D498" t="str">
        <f>"37"</f>
        <v>37</v>
      </c>
      <c r="E498" t="str">
        <f t="shared" si="523"/>
        <v>2020</v>
      </c>
      <c r="F498" t="str">
        <f>"1100108258"</f>
        <v>1100108258</v>
      </c>
      <c r="G498" t="str">
        <f t="shared" si="565"/>
        <v>01</v>
      </c>
      <c r="H498" t="str">
        <f>"12"</f>
        <v>12</v>
      </c>
      <c r="I498" t="str">
        <f t="shared" si="544"/>
        <v>1</v>
      </c>
      <c r="J498" t="str">
        <f t="shared" si="575"/>
        <v>M</v>
      </c>
      <c r="K498" t="str">
        <f t="shared" si="534"/>
        <v>170</v>
      </c>
      <c r="L498" t="str">
        <f>"11"</f>
        <v>11</v>
      </c>
      <c r="M498" t="str">
        <f t="shared" si="569"/>
        <v>001</v>
      </c>
      <c r="N498" t="str">
        <f t="shared" si="570"/>
        <v>1</v>
      </c>
      <c r="O498" t="str">
        <f>"9997"</f>
        <v>9997</v>
      </c>
      <c r="P498" t="str">
        <f>"C"</f>
        <v>C</v>
      </c>
      <c r="Q498" t="str">
        <f>"EPS008"</f>
        <v>EPS008</v>
      </c>
      <c r="R498" t="str">
        <f t="shared" si="568"/>
        <v>6</v>
      </c>
      <c r="S498" t="str">
        <f>""</f>
        <v/>
      </c>
      <c r="T498" t="str">
        <f t="shared" si="510"/>
        <v xml:space="preserve">                                                                                                    </v>
      </c>
      <c r="U498" t="str">
        <f>"2         "</f>
        <v xml:space="preserve">2         </v>
      </c>
      <c r="V498" t="str">
        <f t="shared" si="551"/>
        <v>2</v>
      </c>
      <c r="W498" t="str">
        <f t="shared" si="572"/>
        <v>2</v>
      </c>
      <c r="X498" t="str">
        <f t="shared" si="547"/>
        <v>2</v>
      </c>
      <c r="Y498" t="str">
        <f t="shared" si="552"/>
        <v>2</v>
      </c>
      <c r="Z498" t="str">
        <f t="shared" si="552"/>
        <v>2</v>
      </c>
      <c r="AA498" t="str">
        <f t="shared" si="525"/>
        <v xml:space="preserve">          </v>
      </c>
      <c r="AB498" t="str">
        <f t="shared" si="516"/>
        <v>2</v>
      </c>
      <c r="AC498" t="str">
        <f t="shared" si="517"/>
        <v>2</v>
      </c>
      <c r="AD498" t="str">
        <f t="shared" si="555"/>
        <v>2</v>
      </c>
      <c r="AE498" t="str">
        <f t="shared" si="555"/>
        <v>2</v>
      </c>
      <c r="AF498" t="str">
        <f t="shared" si="555"/>
        <v>2</v>
      </c>
      <c r="AG498" t="str">
        <f t="shared" si="555"/>
        <v>2</v>
      </c>
      <c r="AH498" t="str">
        <f t="shared" si="573"/>
        <v>1</v>
      </c>
      <c r="AI498" t="str">
        <f t="shared" si="561"/>
        <v xml:space="preserve">1         </v>
      </c>
      <c r="AJ498" t="str">
        <f t="shared" si="536"/>
        <v>170</v>
      </c>
      <c r="AK498" t="str">
        <f>"11"</f>
        <v>11</v>
      </c>
      <c r="AL498" t="str">
        <f t="shared" si="571"/>
        <v>001</v>
      </c>
      <c r="AM498" t="str">
        <f>"11"</f>
        <v>11</v>
      </c>
      <c r="AN498" t="str">
        <f>"11001"</f>
        <v>11001</v>
      </c>
      <c r="AO498" t="str">
        <f>"11/09/2020 12:00:00 a. m."</f>
        <v>11/09/2020 12:00:00 a. m.</v>
      </c>
      <c r="AP498" t="str">
        <f>"1/09/2020 12:00:00 a. m."</f>
        <v>1/09/2020 12:00:00 a. m.</v>
      </c>
      <c r="AQ498" t="str">
        <f t="shared" si="576"/>
        <v>3</v>
      </c>
      <c r="AR498" t="str">
        <f t="shared" si="574"/>
        <v>1</v>
      </c>
      <c r="AS498" t="str">
        <f>"11/09/2020 12:00:00 a. m."</f>
        <v>11/09/2020 12:00:00 a. m.</v>
      </c>
      <c r="AT498" t="str">
        <f t="shared" si="567"/>
        <v>1</v>
      </c>
      <c r="AU498" t="str">
        <f>""</f>
        <v/>
      </c>
      <c r="AV498" t="str">
        <f>"7"</f>
        <v>7</v>
      </c>
      <c r="AW498" t="str">
        <f>"12/10/2007 12:00:00 a. m."</f>
        <v>12/10/2007 12:00:00 a. m.</v>
      </c>
      <c r="AX498" t="str">
        <f>""</f>
        <v/>
      </c>
      <c r="AY498" t="str">
        <f t="shared" si="527"/>
        <v>30/04/2021 12:00:00 a. m.</v>
      </c>
      <c r="AZ498" t="str">
        <f>"1/12/2020 12:00:00 a. m."</f>
        <v>1/12/2020 12:00:00 a. m.</v>
      </c>
      <c r="BA498" t="str">
        <f>""</f>
        <v/>
      </c>
      <c r="BB498" t="str">
        <f>""</f>
        <v/>
      </c>
      <c r="BC498" t="str">
        <f>""</f>
        <v/>
      </c>
      <c r="BD498" t="str">
        <f t="shared" si="560"/>
        <v>1</v>
      </c>
      <c r="BE498" t="str">
        <f t="shared" si="560"/>
        <v>1</v>
      </c>
      <c r="BF498" t="str">
        <f t="shared" si="528"/>
        <v xml:space="preserve">3         </v>
      </c>
      <c r="BG498" t="str">
        <f t="shared" si="529"/>
        <v>Confirmado por laboratorio</v>
      </c>
      <c r="BH498" t="str">
        <f>"INSTITUTO DE ORTOPEDIA INFANTIL ROOSEVELT"</f>
        <v>INSTITUTO DE ORTOPEDIA INFANTIL ROOSEVELT</v>
      </c>
      <c r="BI498" t="str">
        <f t="shared" si="537"/>
        <v>COLOMBIA</v>
      </c>
      <c r="BJ498" t="str">
        <f t="shared" si="530"/>
        <v>CANCER INFANTIL</v>
      </c>
      <c r="BK498" t="str">
        <f t="shared" si="577"/>
        <v>BOGOTA</v>
      </c>
      <c r="BL498" t="str">
        <f t="shared" si="577"/>
        <v>BOGOTA</v>
      </c>
      <c r="BM498" t="str">
        <f t="shared" si="538"/>
        <v>COLOMBIA</v>
      </c>
      <c r="BN498" t="str">
        <f t="shared" si="578"/>
        <v>BOGOTA</v>
      </c>
      <c r="BO498" t="str">
        <f t="shared" si="578"/>
        <v>BOGOTA</v>
      </c>
      <c r="BP498" t="str">
        <f t="shared" si="578"/>
        <v>BOGOTA</v>
      </c>
      <c r="BQ498" t="str">
        <f t="shared" si="578"/>
        <v>BOGOTA</v>
      </c>
    </row>
    <row r="499" spans="1:69" x14ac:dyDescent="0.25">
      <c r="A499" t="str">
        <f>"7291554"</f>
        <v>7291554</v>
      </c>
      <c r="B499" t="str">
        <f t="shared" si="522"/>
        <v>459</v>
      </c>
      <c r="C499" t="str">
        <f>"22/03/2020 12:00:00 a. m."</f>
        <v>22/03/2020 12:00:00 a. m.</v>
      </c>
      <c r="D499" t="str">
        <f>"07"</f>
        <v>07</v>
      </c>
      <c r="E499" t="str">
        <f t="shared" si="523"/>
        <v>2020</v>
      </c>
      <c r="F499" t="str">
        <f>"1100105681"</f>
        <v>1100105681</v>
      </c>
      <c r="G499" t="str">
        <f t="shared" si="565"/>
        <v>01</v>
      </c>
      <c r="H499" t="str">
        <f>"7"</f>
        <v>7</v>
      </c>
      <c r="I499" t="str">
        <f t="shared" ref="I499:I530" si="579">"1"</f>
        <v>1</v>
      </c>
      <c r="J499" t="str">
        <f t="shared" si="575"/>
        <v>M</v>
      </c>
      <c r="K499" t="str">
        <f t="shared" si="534"/>
        <v>170</v>
      </c>
      <c r="L499" t="str">
        <f>"11"</f>
        <v>11</v>
      </c>
      <c r="M499" t="str">
        <f t="shared" si="569"/>
        <v>001</v>
      </c>
      <c r="N499" t="str">
        <f t="shared" si="570"/>
        <v>1</v>
      </c>
      <c r="O499" t="str">
        <f>"9997"</f>
        <v>9997</v>
      </c>
      <c r="P499" t="str">
        <f>"C"</f>
        <v>C</v>
      </c>
      <c r="Q499" t="str">
        <f>"EPS008"</f>
        <v>EPS008</v>
      </c>
      <c r="R499" t="str">
        <f t="shared" si="568"/>
        <v>6</v>
      </c>
      <c r="S499" t="str">
        <f>""</f>
        <v/>
      </c>
      <c r="T499" t="str">
        <f t="shared" si="510"/>
        <v xml:space="preserve">                                                                                                    </v>
      </c>
      <c r="U499" t="str">
        <f>"2         "</f>
        <v xml:space="preserve">2         </v>
      </c>
      <c r="V499" t="str">
        <f t="shared" si="551"/>
        <v>2</v>
      </c>
      <c r="W499" t="str">
        <f t="shared" si="572"/>
        <v>2</v>
      </c>
      <c r="X499" t="str">
        <f t="shared" si="547"/>
        <v>2</v>
      </c>
      <c r="Y499" t="str">
        <f t="shared" ref="Y499:Z518" si="580">"2"</f>
        <v>2</v>
      </c>
      <c r="Z499" t="str">
        <f t="shared" si="580"/>
        <v>2</v>
      </c>
      <c r="AA499" t="str">
        <f t="shared" si="525"/>
        <v xml:space="preserve">          </v>
      </c>
      <c r="AB499" t="str">
        <f t="shared" si="516"/>
        <v>2</v>
      </c>
      <c r="AC499" t="str">
        <f t="shared" si="517"/>
        <v>2</v>
      </c>
      <c r="AD499" t="str">
        <f t="shared" si="555"/>
        <v>2</v>
      </c>
      <c r="AE499" t="str">
        <f t="shared" si="555"/>
        <v>2</v>
      </c>
      <c r="AF499" t="str">
        <f t="shared" si="555"/>
        <v>2</v>
      </c>
      <c r="AG499" t="str">
        <f t="shared" si="555"/>
        <v>2</v>
      </c>
      <c r="AH499" t="str">
        <f t="shared" si="573"/>
        <v>1</v>
      </c>
      <c r="AI499" t="str">
        <f t="shared" si="561"/>
        <v xml:space="preserve">1         </v>
      </c>
      <c r="AJ499" t="str">
        <f t="shared" si="536"/>
        <v>170</v>
      </c>
      <c r="AK499" t="str">
        <f>"11"</f>
        <v>11</v>
      </c>
      <c r="AL499" t="str">
        <f t="shared" si="571"/>
        <v>001</v>
      </c>
      <c r="AM499" t="str">
        <f>"11"</f>
        <v>11</v>
      </c>
      <c r="AN499" t="str">
        <f>"11001"</f>
        <v>11001</v>
      </c>
      <c r="AO499" t="str">
        <f>"14/02/2020 12:00:00 a. m."</f>
        <v>14/02/2020 12:00:00 a. m.</v>
      </c>
      <c r="AP499" t="str">
        <f>"17/01/2020 12:00:00 a. m."</f>
        <v>17/01/2020 12:00:00 a. m.</v>
      </c>
      <c r="AQ499" t="str">
        <f t="shared" si="576"/>
        <v>3</v>
      </c>
      <c r="AR499" t="str">
        <f t="shared" si="574"/>
        <v>1</v>
      </c>
      <c r="AS499" t="str">
        <f>"14/02/2020 12:00:00 a. m."</f>
        <v>14/02/2020 12:00:00 a. m.</v>
      </c>
      <c r="AT499" t="str">
        <f t="shared" si="567"/>
        <v>1</v>
      </c>
      <c r="AU499" t="str">
        <f>""</f>
        <v/>
      </c>
      <c r="AV499" t="str">
        <f>"0"</f>
        <v>0</v>
      </c>
      <c r="AW499" t="str">
        <f>"10/06/2012 12:00:00 a. m."</f>
        <v>10/06/2012 12:00:00 a. m.</v>
      </c>
      <c r="AX499" t="str">
        <f>""</f>
        <v/>
      </c>
      <c r="AY499" t="str">
        <f t="shared" si="527"/>
        <v>30/04/2021 12:00:00 a. m.</v>
      </c>
      <c r="AZ499" t="str">
        <f>"22/04/2020 12:00:00 a. m."</f>
        <v>22/04/2020 12:00:00 a. m.</v>
      </c>
      <c r="BA499" t="str">
        <f>""</f>
        <v/>
      </c>
      <c r="BB499" t="str">
        <f>""</f>
        <v/>
      </c>
      <c r="BC499" t="str">
        <f>""</f>
        <v/>
      </c>
      <c r="BD499" t="str">
        <f t="shared" si="560"/>
        <v>1</v>
      </c>
      <c r="BE499" t="str">
        <f t="shared" si="560"/>
        <v>1</v>
      </c>
      <c r="BF499" t="str">
        <f t="shared" si="528"/>
        <v xml:space="preserve">3         </v>
      </c>
      <c r="BG499" t="str">
        <f t="shared" si="529"/>
        <v>Confirmado por laboratorio</v>
      </c>
      <c r="BH499" t="str">
        <f>"FUNDACION HOSPITAL DE LA MISERICORDIA"</f>
        <v>FUNDACION HOSPITAL DE LA MISERICORDIA</v>
      </c>
      <c r="BI499" t="str">
        <f t="shared" si="537"/>
        <v>COLOMBIA</v>
      </c>
      <c r="BJ499" t="str">
        <f t="shared" si="530"/>
        <v>CANCER INFANTIL</v>
      </c>
      <c r="BK499" t="str">
        <f t="shared" si="577"/>
        <v>BOGOTA</v>
      </c>
      <c r="BL499" t="str">
        <f t="shared" si="577"/>
        <v>BOGOTA</v>
      </c>
      <c r="BM499" t="str">
        <f t="shared" si="538"/>
        <v>COLOMBIA</v>
      </c>
      <c r="BN499" t="str">
        <f t="shared" si="578"/>
        <v>BOGOTA</v>
      </c>
      <c r="BO499" t="str">
        <f t="shared" si="578"/>
        <v>BOGOTA</v>
      </c>
      <c r="BP499" t="str">
        <f t="shared" si="578"/>
        <v>BOGOTA</v>
      </c>
      <c r="BQ499" t="str">
        <f t="shared" si="578"/>
        <v>BOGOTA</v>
      </c>
    </row>
    <row r="500" spans="1:69" x14ac:dyDescent="0.25">
      <c r="A500" t="str">
        <f>"7285611"</f>
        <v>7285611</v>
      </c>
      <c r="B500" t="str">
        <f t="shared" si="522"/>
        <v>459</v>
      </c>
      <c r="C500" t="str">
        <f>"27/09/2020 12:00:00 a. m."</f>
        <v>27/09/2020 12:00:00 a. m.</v>
      </c>
      <c r="D500" t="str">
        <f>"26"</f>
        <v>26</v>
      </c>
      <c r="E500" t="str">
        <f t="shared" si="523"/>
        <v>2020</v>
      </c>
      <c r="F500" t="str">
        <f>"6800100431"</f>
        <v>6800100431</v>
      </c>
      <c r="G500" t="str">
        <f t="shared" si="565"/>
        <v>01</v>
      </c>
      <c r="H500" t="str">
        <f>"17"</f>
        <v>17</v>
      </c>
      <c r="I500" t="str">
        <f t="shared" si="579"/>
        <v>1</v>
      </c>
      <c r="J500" t="str">
        <f t="shared" si="575"/>
        <v>M</v>
      </c>
      <c r="K500" t="str">
        <f t="shared" si="534"/>
        <v>170</v>
      </c>
      <c r="L500" t="str">
        <f t="shared" ref="L500:L505" si="581">"68"</f>
        <v>68</v>
      </c>
      <c r="M500" t="str">
        <f>"615"</f>
        <v>615</v>
      </c>
      <c r="N500" t="str">
        <f t="shared" si="570"/>
        <v>1</v>
      </c>
      <c r="O500" t="str">
        <f>"9999"</f>
        <v>9999</v>
      </c>
      <c r="P500" t="str">
        <f>"S"</f>
        <v>S</v>
      </c>
      <c r="Q500" t="str">
        <f>"EPSS44"</f>
        <v>EPSS44</v>
      </c>
      <c r="R500" t="str">
        <f t="shared" si="568"/>
        <v>6</v>
      </c>
      <c r="S500" t="str">
        <f>""</f>
        <v/>
      </c>
      <c r="T500" t="str">
        <f t="shared" si="510"/>
        <v xml:space="preserve">                                                                                                    </v>
      </c>
      <c r="U500" t="str">
        <f>"2         "</f>
        <v xml:space="preserve">2         </v>
      </c>
      <c r="V500" t="str">
        <f t="shared" si="551"/>
        <v>2</v>
      </c>
      <c r="W500" t="str">
        <f t="shared" si="572"/>
        <v>2</v>
      </c>
      <c r="X500" t="str">
        <f t="shared" si="547"/>
        <v>2</v>
      </c>
      <c r="Y500" t="str">
        <f t="shared" si="580"/>
        <v>2</v>
      </c>
      <c r="Z500" t="str">
        <f t="shared" si="580"/>
        <v>2</v>
      </c>
      <c r="AA500" t="str">
        <f t="shared" si="525"/>
        <v xml:space="preserve">          </v>
      </c>
      <c r="AB500" t="str">
        <f t="shared" si="516"/>
        <v>2</v>
      </c>
      <c r="AC500" t="str">
        <f t="shared" si="517"/>
        <v>2</v>
      </c>
      <c r="AD500" t="str">
        <f t="shared" ref="AD500:AG519" si="582">"2"</f>
        <v>2</v>
      </c>
      <c r="AE500" t="str">
        <f t="shared" si="582"/>
        <v>2</v>
      </c>
      <c r="AF500" t="str">
        <f t="shared" si="582"/>
        <v>2</v>
      </c>
      <c r="AG500" t="str">
        <f t="shared" si="582"/>
        <v>2</v>
      </c>
      <c r="AH500" t="str">
        <f t="shared" si="573"/>
        <v>1</v>
      </c>
      <c r="AI500" t="str">
        <f t="shared" si="561"/>
        <v xml:space="preserve">1         </v>
      </c>
      <c r="AJ500" t="str">
        <f t="shared" si="536"/>
        <v>170</v>
      </c>
      <c r="AK500" t="str">
        <f t="shared" ref="AK500:AK505" si="583">"68"</f>
        <v>68</v>
      </c>
      <c r="AL500" t="str">
        <f>"615"</f>
        <v>615</v>
      </c>
      <c r="AM500" t="str">
        <f t="shared" ref="AM500:AM505" si="584">"68"</f>
        <v>68</v>
      </c>
      <c r="AN500" t="str">
        <f>"68001"</f>
        <v>68001</v>
      </c>
      <c r="AO500" t="str">
        <f>"25/06/2020 12:00:00 a. m."</f>
        <v>25/06/2020 12:00:00 a. m.</v>
      </c>
      <c r="AP500" t="str">
        <f>"25/04/2020 12:00:00 a. m."</f>
        <v>25/04/2020 12:00:00 a. m.</v>
      </c>
      <c r="AQ500" t="str">
        <f t="shared" si="576"/>
        <v>3</v>
      </c>
      <c r="AR500" t="str">
        <f t="shared" si="574"/>
        <v>1</v>
      </c>
      <c r="AS500" t="str">
        <f>"25/06/2020 12:00:00 a. m."</f>
        <v>25/06/2020 12:00:00 a. m.</v>
      </c>
      <c r="AT500" t="str">
        <f t="shared" si="567"/>
        <v>1</v>
      </c>
      <c r="AU500" t="str">
        <f>""</f>
        <v/>
      </c>
      <c r="AV500" t="str">
        <f>"0"</f>
        <v>0</v>
      </c>
      <c r="AW500" t="str">
        <f>"26/11/2002 12:00:00 a. m."</f>
        <v>26/11/2002 12:00:00 a. m.</v>
      </c>
      <c r="AX500" t="str">
        <f>""</f>
        <v/>
      </c>
      <c r="AY500" t="str">
        <f t="shared" si="527"/>
        <v>30/04/2021 12:00:00 a. m.</v>
      </c>
      <c r="AZ500" t="str">
        <f>"27/09/2020 12:00:00 a. m."</f>
        <v>27/09/2020 12:00:00 a. m.</v>
      </c>
      <c r="BA500" t="str">
        <f>""</f>
        <v/>
      </c>
      <c r="BB500" t="str">
        <f>""</f>
        <v/>
      </c>
      <c r="BC500" t="str">
        <f>""</f>
        <v/>
      </c>
      <c r="BD500" t="str">
        <f t="shared" si="560"/>
        <v>1</v>
      </c>
      <c r="BE500" t="str">
        <f t="shared" si="560"/>
        <v>1</v>
      </c>
      <c r="BF500" t="str">
        <f t="shared" si="528"/>
        <v xml:space="preserve">3         </v>
      </c>
      <c r="BG500" t="str">
        <f t="shared" si="529"/>
        <v>Confirmado por laboratorio</v>
      </c>
      <c r="BH500" t="str">
        <f>"CLINICA MATERNO INFANTEL SAN LUIS SA"</f>
        <v>CLINICA MATERNO INFANTEL SAN LUIS SA</v>
      </c>
      <c r="BI500" t="str">
        <f t="shared" si="537"/>
        <v>COLOMBIA</v>
      </c>
      <c r="BJ500" t="str">
        <f t="shared" si="530"/>
        <v>CANCER INFANTIL</v>
      </c>
      <c r="BK500" t="str">
        <f t="shared" ref="BK500:BK505" si="585">"SANTANDER"</f>
        <v>SANTANDER</v>
      </c>
      <c r="BL500" t="str">
        <f>"RIONEGRO"</f>
        <v>RIONEGRO</v>
      </c>
      <c r="BM500" t="str">
        <f t="shared" si="538"/>
        <v>COLOMBIA</v>
      </c>
      <c r="BN500" t="str">
        <f t="shared" ref="BN500:BN505" si="586">"SANTANDER"</f>
        <v>SANTANDER</v>
      </c>
      <c r="BO500" t="str">
        <f>"RIONEGRO"</f>
        <v>RIONEGRO</v>
      </c>
      <c r="BP500" t="str">
        <f t="shared" ref="BP500:BP505" si="587">"SANTANDER"</f>
        <v>SANTANDER</v>
      </c>
      <c r="BQ500" t="str">
        <f>"BUCARAMANGA"</f>
        <v>BUCARAMANGA</v>
      </c>
    </row>
    <row r="501" spans="1:69" x14ac:dyDescent="0.25">
      <c r="A501" t="str">
        <f>"7285526"</f>
        <v>7285526</v>
      </c>
      <c r="B501" t="str">
        <f t="shared" si="522"/>
        <v>459</v>
      </c>
      <c r="C501" t="str">
        <f>"7/08/2020 12:00:00 a. m."</f>
        <v>7/08/2020 12:00:00 a. m.</v>
      </c>
      <c r="D501" t="str">
        <f>"26"</f>
        <v>26</v>
      </c>
      <c r="E501" t="str">
        <f t="shared" si="523"/>
        <v>2020</v>
      </c>
      <c r="F501" t="str">
        <f>"6800100431"</f>
        <v>6800100431</v>
      </c>
      <c r="G501" t="str">
        <f t="shared" si="565"/>
        <v>01</v>
      </c>
      <c r="H501" t="str">
        <f>"9"</f>
        <v>9</v>
      </c>
      <c r="I501" t="str">
        <f t="shared" si="579"/>
        <v>1</v>
      </c>
      <c r="J501" t="str">
        <f t="shared" si="575"/>
        <v>M</v>
      </c>
      <c r="K501" t="str">
        <f t="shared" si="534"/>
        <v>170</v>
      </c>
      <c r="L501" t="str">
        <f t="shared" si="581"/>
        <v>68</v>
      </c>
      <c r="M501" t="str">
        <f t="shared" ref="M501:M512" si="588">"001"</f>
        <v>001</v>
      </c>
      <c r="N501" t="str">
        <f t="shared" si="570"/>
        <v>1</v>
      </c>
      <c r="O501" t="str">
        <f>"9999"</f>
        <v>9999</v>
      </c>
      <c r="P501" t="str">
        <f>"C"</f>
        <v>C</v>
      </c>
      <c r="Q501" t="str">
        <f>"EPS002"</f>
        <v>EPS002</v>
      </c>
      <c r="R501" t="str">
        <f t="shared" si="568"/>
        <v>6</v>
      </c>
      <c r="S501" t="str">
        <f>""</f>
        <v/>
      </c>
      <c r="T501" t="str">
        <f t="shared" ref="T501:T564" si="589">"                                                                                                    "</f>
        <v xml:space="preserve">                                                                                                    </v>
      </c>
      <c r="U501" t="str">
        <f>"          "</f>
        <v xml:space="preserve">          </v>
      </c>
      <c r="V501" t="str">
        <f t="shared" si="551"/>
        <v>2</v>
      </c>
      <c r="W501" t="str">
        <f t="shared" si="572"/>
        <v>2</v>
      </c>
      <c r="X501" t="str">
        <f t="shared" si="547"/>
        <v>2</v>
      </c>
      <c r="Y501" t="str">
        <f t="shared" si="580"/>
        <v>2</v>
      </c>
      <c r="Z501" t="str">
        <f t="shared" si="580"/>
        <v>2</v>
      </c>
      <c r="AA501" t="str">
        <f t="shared" si="525"/>
        <v xml:space="preserve">          </v>
      </c>
      <c r="AB501" t="str">
        <f t="shared" si="516"/>
        <v>2</v>
      </c>
      <c r="AC501" t="str">
        <f t="shared" si="517"/>
        <v>2</v>
      </c>
      <c r="AD501" t="str">
        <f t="shared" si="582"/>
        <v>2</v>
      </c>
      <c r="AE501" t="str">
        <f t="shared" si="582"/>
        <v>2</v>
      </c>
      <c r="AF501" t="str">
        <f t="shared" si="582"/>
        <v>2</v>
      </c>
      <c r="AG501" t="str">
        <f t="shared" si="582"/>
        <v>2</v>
      </c>
      <c r="AH501" t="str">
        <f t="shared" si="573"/>
        <v>1</v>
      </c>
      <c r="AI501" t="str">
        <f t="shared" si="561"/>
        <v xml:space="preserve">1         </v>
      </c>
      <c r="AJ501" t="str">
        <f t="shared" si="536"/>
        <v>170</v>
      </c>
      <c r="AK501" t="str">
        <f t="shared" si="583"/>
        <v>68</v>
      </c>
      <c r="AL501" t="str">
        <f t="shared" ref="AL501:AL512" si="590">"001"</f>
        <v>001</v>
      </c>
      <c r="AM501" t="str">
        <f t="shared" si="584"/>
        <v>68</v>
      </c>
      <c r="AN501" t="str">
        <f>"68001"</f>
        <v>68001</v>
      </c>
      <c r="AO501" t="str">
        <f>"24/06/2020 12:00:00 a. m."</f>
        <v>24/06/2020 12:00:00 a. m.</v>
      </c>
      <c r="AP501" t="str">
        <f>"1/04/2020 12:00:00 a. m."</f>
        <v>1/04/2020 12:00:00 a. m.</v>
      </c>
      <c r="AQ501" t="str">
        <f t="shared" si="576"/>
        <v>3</v>
      </c>
      <c r="AR501" t="str">
        <f t="shared" si="574"/>
        <v>1</v>
      </c>
      <c r="AS501" t="str">
        <f>"24/06/2020 12:00:00 a. m."</f>
        <v>24/06/2020 12:00:00 a. m.</v>
      </c>
      <c r="AT501" t="str">
        <f t="shared" si="567"/>
        <v>1</v>
      </c>
      <c r="AU501" t="str">
        <f>""</f>
        <v/>
      </c>
      <c r="AV501" t="str">
        <f>"0"</f>
        <v>0</v>
      </c>
      <c r="AW501" t="str">
        <f>"29/11/2010 12:00:00 a. m."</f>
        <v>29/11/2010 12:00:00 a. m.</v>
      </c>
      <c r="AX501" t="str">
        <f>""</f>
        <v/>
      </c>
      <c r="AY501" t="str">
        <f t="shared" si="527"/>
        <v>30/04/2021 12:00:00 a. m.</v>
      </c>
      <c r="AZ501" t="str">
        <f>"11/10/2020 12:00:00 a. m."</f>
        <v>11/10/2020 12:00:00 a. m.</v>
      </c>
      <c r="BA501" t="str">
        <f>""</f>
        <v/>
      </c>
      <c r="BB501" t="str">
        <f>""</f>
        <v/>
      </c>
      <c r="BC501" t="str">
        <f>""</f>
        <v/>
      </c>
      <c r="BD501" t="str">
        <f t="shared" si="560"/>
        <v>1</v>
      </c>
      <c r="BE501" t="str">
        <f t="shared" si="560"/>
        <v>1</v>
      </c>
      <c r="BF501" t="str">
        <f t="shared" si="528"/>
        <v xml:space="preserve">3         </v>
      </c>
      <c r="BG501" t="str">
        <f t="shared" si="529"/>
        <v>Confirmado por laboratorio</v>
      </c>
      <c r="BH501" t="str">
        <f>"CLINICA MATERNO INFANTEL SAN LUIS SA"</f>
        <v>CLINICA MATERNO INFANTEL SAN LUIS SA</v>
      </c>
      <c r="BI501" t="str">
        <f t="shared" si="537"/>
        <v>COLOMBIA</v>
      </c>
      <c r="BJ501" t="str">
        <f t="shared" si="530"/>
        <v>CANCER INFANTIL</v>
      </c>
      <c r="BK501" t="str">
        <f t="shared" si="585"/>
        <v>SANTANDER</v>
      </c>
      <c r="BL501" t="str">
        <f>"BUCARAMANGA"</f>
        <v>BUCARAMANGA</v>
      </c>
      <c r="BM501" t="str">
        <f t="shared" si="538"/>
        <v>COLOMBIA</v>
      </c>
      <c r="BN501" t="str">
        <f t="shared" si="586"/>
        <v>SANTANDER</v>
      </c>
      <c r="BO501" t="str">
        <f>"BUCARAMANGA"</f>
        <v>BUCARAMANGA</v>
      </c>
      <c r="BP501" t="str">
        <f t="shared" si="587"/>
        <v>SANTANDER</v>
      </c>
      <c r="BQ501" t="str">
        <f>"BUCARAMANGA"</f>
        <v>BUCARAMANGA</v>
      </c>
    </row>
    <row r="502" spans="1:69" x14ac:dyDescent="0.25">
      <c r="A502" t="str">
        <f>"7285530"</f>
        <v>7285530</v>
      </c>
      <c r="B502" t="str">
        <f t="shared" si="522"/>
        <v>459</v>
      </c>
      <c r="C502" t="str">
        <f>"23/07/2020 12:00:00 a. m."</f>
        <v>23/07/2020 12:00:00 a. m.</v>
      </c>
      <c r="D502" t="str">
        <f>"28"</f>
        <v>28</v>
      </c>
      <c r="E502" t="str">
        <f t="shared" si="523"/>
        <v>2020</v>
      </c>
      <c r="F502" t="str">
        <f>"6827601666"</f>
        <v>6827601666</v>
      </c>
      <c r="G502" t="str">
        <f t="shared" si="565"/>
        <v>01</v>
      </c>
      <c r="H502" t="str">
        <f>"5"</f>
        <v>5</v>
      </c>
      <c r="I502" t="str">
        <f t="shared" si="579"/>
        <v>1</v>
      </c>
      <c r="J502" t="str">
        <f t="shared" si="575"/>
        <v>M</v>
      </c>
      <c r="K502" t="str">
        <f t="shared" si="534"/>
        <v>170</v>
      </c>
      <c r="L502" t="str">
        <f t="shared" si="581"/>
        <v>68</v>
      </c>
      <c r="M502" t="str">
        <f t="shared" si="588"/>
        <v>001</v>
      </c>
      <c r="N502" t="str">
        <f t="shared" si="570"/>
        <v>1</v>
      </c>
      <c r="O502" t="str">
        <f>"9999"</f>
        <v>9999</v>
      </c>
      <c r="P502" t="str">
        <f>"C"</f>
        <v>C</v>
      </c>
      <c r="Q502" t="str">
        <f>"EPS016"</f>
        <v>EPS016</v>
      </c>
      <c r="R502" t="str">
        <f t="shared" si="568"/>
        <v>6</v>
      </c>
      <c r="S502" t="str">
        <f>""</f>
        <v/>
      </c>
      <c r="T502" t="str">
        <f t="shared" si="589"/>
        <v xml:space="preserve">                                                                                                    </v>
      </c>
      <c r="U502" t="str">
        <f>"3         "</f>
        <v xml:space="preserve">3         </v>
      </c>
      <c r="V502" t="str">
        <f t="shared" si="551"/>
        <v>2</v>
      </c>
      <c r="W502" t="str">
        <f t="shared" si="572"/>
        <v>2</v>
      </c>
      <c r="X502" t="str">
        <f t="shared" si="547"/>
        <v>2</v>
      </c>
      <c r="Y502" t="str">
        <f t="shared" si="580"/>
        <v>2</v>
      </c>
      <c r="Z502" t="str">
        <f t="shared" si="580"/>
        <v>2</v>
      </c>
      <c r="AA502" t="str">
        <f t="shared" si="525"/>
        <v xml:space="preserve">          </v>
      </c>
      <c r="AB502" t="str">
        <f t="shared" si="516"/>
        <v>2</v>
      </c>
      <c r="AC502" t="str">
        <f t="shared" si="517"/>
        <v>2</v>
      </c>
      <c r="AD502" t="str">
        <f t="shared" si="582"/>
        <v>2</v>
      </c>
      <c r="AE502" t="str">
        <f t="shared" si="582"/>
        <v>2</v>
      </c>
      <c r="AF502" t="str">
        <f t="shared" si="582"/>
        <v>2</v>
      </c>
      <c r="AG502" t="str">
        <f t="shared" si="582"/>
        <v>2</v>
      </c>
      <c r="AH502" t="str">
        <f t="shared" si="573"/>
        <v>1</v>
      </c>
      <c r="AI502" t="str">
        <f t="shared" si="561"/>
        <v xml:space="preserve">1         </v>
      </c>
      <c r="AJ502" t="str">
        <f t="shared" si="536"/>
        <v>170</v>
      </c>
      <c r="AK502" t="str">
        <f t="shared" si="583"/>
        <v>68</v>
      </c>
      <c r="AL502" t="str">
        <f t="shared" si="590"/>
        <v>001</v>
      </c>
      <c r="AM502" t="str">
        <f t="shared" si="584"/>
        <v>68</v>
      </c>
      <c r="AN502" t="str">
        <f>"68276"</f>
        <v>68276</v>
      </c>
      <c r="AO502" t="str">
        <f>"8/07/2020 12:00:00 a. m."</f>
        <v>8/07/2020 12:00:00 a. m.</v>
      </c>
      <c r="AP502" t="str">
        <f>"1/04/2020 12:00:00 a. m."</f>
        <v>1/04/2020 12:00:00 a. m.</v>
      </c>
      <c r="AQ502" t="str">
        <f t="shared" si="576"/>
        <v>3</v>
      </c>
      <c r="AR502" t="str">
        <f t="shared" si="574"/>
        <v>1</v>
      </c>
      <c r="AS502" t="str">
        <f>"8/07/2020 12:00:00 a. m."</f>
        <v>8/07/2020 12:00:00 a. m.</v>
      </c>
      <c r="AT502" t="str">
        <f t="shared" si="567"/>
        <v>1</v>
      </c>
      <c r="AU502" t="str">
        <f>""</f>
        <v/>
      </c>
      <c r="AV502" t="str">
        <f>"0"</f>
        <v>0</v>
      </c>
      <c r="AW502" t="str">
        <f>"3/09/2014 12:00:00 a. m."</f>
        <v>3/09/2014 12:00:00 a. m.</v>
      </c>
      <c r="AX502" t="str">
        <f>""</f>
        <v/>
      </c>
      <c r="AY502" t="str">
        <f t="shared" si="527"/>
        <v>30/04/2021 12:00:00 a. m.</v>
      </c>
      <c r="AZ502" t="str">
        <f>"27/07/2020 12:00:00 a. m."</f>
        <v>27/07/2020 12:00:00 a. m.</v>
      </c>
      <c r="BA502" t="str">
        <f>""</f>
        <v/>
      </c>
      <c r="BB502" t="str">
        <f>""</f>
        <v/>
      </c>
      <c r="BC502" t="str">
        <f>""</f>
        <v/>
      </c>
      <c r="BD502" t="str">
        <f t="shared" ref="BD502:BE521" si="591">"1"</f>
        <v>1</v>
      </c>
      <c r="BE502" t="str">
        <f t="shared" si="591"/>
        <v>1</v>
      </c>
      <c r="BF502" t="str">
        <f t="shared" si="528"/>
        <v xml:space="preserve">3         </v>
      </c>
      <c r="BG502" t="str">
        <f t="shared" si="529"/>
        <v>Confirmado por laboratorio</v>
      </c>
      <c r="BH502" t="str">
        <f>"FUNDACION OFTALMOLOGICA DE SDER FOSCAL"</f>
        <v>FUNDACION OFTALMOLOGICA DE SDER FOSCAL</v>
      </c>
      <c r="BI502" t="str">
        <f t="shared" si="537"/>
        <v>COLOMBIA</v>
      </c>
      <c r="BJ502" t="str">
        <f t="shared" si="530"/>
        <v>CANCER INFANTIL</v>
      </c>
      <c r="BK502" t="str">
        <f t="shared" si="585"/>
        <v>SANTANDER</v>
      </c>
      <c r="BL502" t="str">
        <f>"BUCARAMANGA"</f>
        <v>BUCARAMANGA</v>
      </c>
      <c r="BM502" t="str">
        <f t="shared" si="538"/>
        <v>COLOMBIA</v>
      </c>
      <c r="BN502" t="str">
        <f t="shared" si="586"/>
        <v>SANTANDER</v>
      </c>
      <c r="BO502" t="str">
        <f>"BUCARAMANGA"</f>
        <v>BUCARAMANGA</v>
      </c>
      <c r="BP502" t="str">
        <f t="shared" si="587"/>
        <v>SANTANDER</v>
      </c>
      <c r="BQ502" t="str">
        <f>"FLORIDABLANCA"</f>
        <v>FLORIDABLANCA</v>
      </c>
    </row>
    <row r="503" spans="1:69" x14ac:dyDescent="0.25">
      <c r="A503" t="str">
        <f>"7285532"</f>
        <v>7285532</v>
      </c>
      <c r="B503" t="str">
        <f t="shared" si="522"/>
        <v>459</v>
      </c>
      <c r="C503" t="str">
        <f>"12/12/2020 12:00:00 a. m."</f>
        <v>12/12/2020 12:00:00 a. m.</v>
      </c>
      <c r="D503" t="str">
        <f>"28"</f>
        <v>28</v>
      </c>
      <c r="E503" t="str">
        <f t="shared" si="523"/>
        <v>2020</v>
      </c>
      <c r="F503" t="str">
        <f>"6827601666"</f>
        <v>6827601666</v>
      </c>
      <c r="G503" t="str">
        <f t="shared" si="565"/>
        <v>01</v>
      </c>
      <c r="H503" t="str">
        <f>"2"</f>
        <v>2</v>
      </c>
      <c r="I503" t="str">
        <f t="shared" si="579"/>
        <v>1</v>
      </c>
      <c r="J503" t="str">
        <f>"F"</f>
        <v>F</v>
      </c>
      <c r="K503" t="str">
        <f t="shared" si="534"/>
        <v>170</v>
      </c>
      <c r="L503" t="str">
        <f t="shared" si="581"/>
        <v>68</v>
      </c>
      <c r="M503" t="str">
        <f t="shared" si="588"/>
        <v>001</v>
      </c>
      <c r="N503" t="str">
        <f t="shared" si="570"/>
        <v>1</v>
      </c>
      <c r="O503" t="str">
        <f>"9999"</f>
        <v>9999</v>
      </c>
      <c r="P503" t="str">
        <f>"C"</f>
        <v>C</v>
      </c>
      <c r="Q503" t="str">
        <f>"EPS016"</f>
        <v>EPS016</v>
      </c>
      <c r="R503" t="str">
        <f t="shared" si="568"/>
        <v>6</v>
      </c>
      <c r="S503" t="str">
        <f>""</f>
        <v/>
      </c>
      <c r="T503" t="str">
        <f t="shared" si="589"/>
        <v xml:space="preserve">                                                                                                    </v>
      </c>
      <c r="U503" t="str">
        <f>"3         "</f>
        <v xml:space="preserve">3         </v>
      </c>
      <c r="V503" t="str">
        <f t="shared" si="551"/>
        <v>2</v>
      </c>
      <c r="W503" t="str">
        <f t="shared" si="572"/>
        <v>2</v>
      </c>
      <c r="X503" t="str">
        <f t="shared" si="547"/>
        <v>2</v>
      </c>
      <c r="Y503" t="str">
        <f t="shared" si="580"/>
        <v>2</v>
      </c>
      <c r="Z503" t="str">
        <f t="shared" si="580"/>
        <v>2</v>
      </c>
      <c r="AA503" t="str">
        <f t="shared" si="525"/>
        <v xml:space="preserve">          </v>
      </c>
      <c r="AB503" t="str">
        <f t="shared" si="516"/>
        <v>2</v>
      </c>
      <c r="AC503" t="str">
        <f t="shared" si="517"/>
        <v>2</v>
      </c>
      <c r="AD503" t="str">
        <f t="shared" si="582"/>
        <v>2</v>
      </c>
      <c r="AE503" t="str">
        <f t="shared" si="582"/>
        <v>2</v>
      </c>
      <c r="AF503" t="str">
        <f t="shared" si="582"/>
        <v>2</v>
      </c>
      <c r="AG503" t="str">
        <f t="shared" si="582"/>
        <v>2</v>
      </c>
      <c r="AH503" t="str">
        <f t="shared" si="573"/>
        <v>1</v>
      </c>
      <c r="AI503" t="str">
        <f t="shared" si="561"/>
        <v xml:space="preserve">1         </v>
      </c>
      <c r="AJ503" t="str">
        <f t="shared" si="536"/>
        <v>170</v>
      </c>
      <c r="AK503" t="str">
        <f t="shared" si="583"/>
        <v>68</v>
      </c>
      <c r="AL503" t="str">
        <f t="shared" si="590"/>
        <v>001</v>
      </c>
      <c r="AM503" t="str">
        <f t="shared" si="584"/>
        <v>68</v>
      </c>
      <c r="AN503" t="str">
        <f>"68276"</f>
        <v>68276</v>
      </c>
      <c r="AO503" t="str">
        <f>"7/07/2020 12:00:00 a. m."</f>
        <v>7/07/2020 12:00:00 a. m.</v>
      </c>
      <c r="AP503" t="str">
        <f>"1/06/2020 12:00:00 a. m."</f>
        <v>1/06/2020 12:00:00 a. m.</v>
      </c>
      <c r="AQ503" t="str">
        <f>"2"</f>
        <v>2</v>
      </c>
      <c r="AR503" t="str">
        <f t="shared" si="574"/>
        <v>1</v>
      </c>
      <c r="AS503" t="str">
        <f>"23/11/2020 12:00:00 a. m."</f>
        <v>23/11/2020 12:00:00 a. m.</v>
      </c>
      <c r="AT503" t="str">
        <f t="shared" si="567"/>
        <v>1</v>
      </c>
      <c r="AU503" t="str">
        <f>""</f>
        <v/>
      </c>
      <c r="AV503" t="str">
        <f>"3"</f>
        <v>3</v>
      </c>
      <c r="AW503" t="str">
        <f>"17/10/2018 12:00:00 a. m."</f>
        <v>17/10/2018 12:00:00 a. m.</v>
      </c>
      <c r="AX503" t="str">
        <f>""</f>
        <v/>
      </c>
      <c r="AY503" t="str">
        <f t="shared" si="527"/>
        <v>30/04/2021 12:00:00 a. m.</v>
      </c>
      <c r="AZ503" t="str">
        <f>"19/03/2021 12:00:00 a. m."</f>
        <v>19/03/2021 12:00:00 a. m.</v>
      </c>
      <c r="BA503" t="str">
        <f>""</f>
        <v/>
      </c>
      <c r="BB503" t="str">
        <f>""</f>
        <v/>
      </c>
      <c r="BC503" t="str">
        <f>""</f>
        <v/>
      </c>
      <c r="BD503" t="str">
        <f t="shared" si="591"/>
        <v>1</v>
      </c>
      <c r="BE503" t="str">
        <f t="shared" si="591"/>
        <v>1</v>
      </c>
      <c r="BF503" t="str">
        <f t="shared" si="528"/>
        <v xml:space="preserve">3         </v>
      </c>
      <c r="BG503" t="str">
        <f t="shared" si="529"/>
        <v>Confirmado por laboratorio</v>
      </c>
      <c r="BH503" t="str">
        <f>"FUNDACION OFTALMOLOGICA DE SDER FOSCAL"</f>
        <v>FUNDACION OFTALMOLOGICA DE SDER FOSCAL</v>
      </c>
      <c r="BI503" t="str">
        <f t="shared" si="537"/>
        <v>COLOMBIA</v>
      </c>
      <c r="BJ503" t="str">
        <f t="shared" si="530"/>
        <v>CANCER INFANTIL</v>
      </c>
      <c r="BK503" t="str">
        <f t="shared" si="585"/>
        <v>SANTANDER</v>
      </c>
      <c r="BL503" t="str">
        <f>"BUCARAMANGA"</f>
        <v>BUCARAMANGA</v>
      </c>
      <c r="BM503" t="str">
        <f t="shared" si="538"/>
        <v>COLOMBIA</v>
      </c>
      <c r="BN503" t="str">
        <f t="shared" si="586"/>
        <v>SANTANDER</v>
      </c>
      <c r="BO503" t="str">
        <f>"BUCARAMANGA"</f>
        <v>BUCARAMANGA</v>
      </c>
      <c r="BP503" t="str">
        <f t="shared" si="587"/>
        <v>SANTANDER</v>
      </c>
      <c r="BQ503" t="str">
        <f>"FLORIDABLANCA"</f>
        <v>FLORIDABLANCA</v>
      </c>
    </row>
    <row r="504" spans="1:69" x14ac:dyDescent="0.25">
      <c r="A504" t="str">
        <f>"7285548"</f>
        <v>7285548</v>
      </c>
      <c r="B504" t="str">
        <f t="shared" si="522"/>
        <v>459</v>
      </c>
      <c r="C504" t="str">
        <f>"21/02/2020 12:00:00 a. m."</f>
        <v>21/02/2020 12:00:00 a. m.</v>
      </c>
      <c r="D504" t="str">
        <f>"05"</f>
        <v>05</v>
      </c>
      <c r="E504" t="str">
        <f t="shared" si="523"/>
        <v>2020</v>
      </c>
      <c r="F504" t="str">
        <f>"6800100431"</f>
        <v>6800100431</v>
      </c>
      <c r="G504" t="str">
        <f t="shared" si="565"/>
        <v>01</v>
      </c>
      <c r="H504" t="str">
        <f>"15"</f>
        <v>15</v>
      </c>
      <c r="I504" t="str">
        <f t="shared" si="579"/>
        <v>1</v>
      </c>
      <c r="J504" t="str">
        <f>"M"</f>
        <v>M</v>
      </c>
      <c r="K504" t="str">
        <f t="shared" si="534"/>
        <v>170</v>
      </c>
      <c r="L504" t="str">
        <f t="shared" si="581"/>
        <v>68</v>
      </c>
      <c r="M504" t="str">
        <f t="shared" si="588"/>
        <v>001</v>
      </c>
      <c r="N504" t="str">
        <f t="shared" si="570"/>
        <v>1</v>
      </c>
      <c r="O504" t="str">
        <f>"9997"</f>
        <v>9997</v>
      </c>
      <c r="P504" t="str">
        <f>"P"</f>
        <v>P</v>
      </c>
      <c r="Q504" t="str">
        <f>"RES001"</f>
        <v>RES001</v>
      </c>
      <c r="R504" t="str">
        <f t="shared" si="568"/>
        <v>6</v>
      </c>
      <c r="S504" t="str">
        <f>""</f>
        <v/>
      </c>
      <c r="T504" t="str">
        <f t="shared" si="589"/>
        <v xml:space="preserve">                                                                                                    </v>
      </c>
      <c r="U504" t="str">
        <f>"2         "</f>
        <v xml:space="preserve">2         </v>
      </c>
      <c r="V504" t="str">
        <f t="shared" si="551"/>
        <v>2</v>
      </c>
      <c r="W504" t="str">
        <f t="shared" si="572"/>
        <v>2</v>
      </c>
      <c r="X504" t="str">
        <f t="shared" si="547"/>
        <v>2</v>
      </c>
      <c r="Y504" t="str">
        <f t="shared" si="580"/>
        <v>2</v>
      </c>
      <c r="Z504" t="str">
        <f t="shared" si="580"/>
        <v>2</v>
      </c>
      <c r="AA504" t="str">
        <f t="shared" si="525"/>
        <v xml:space="preserve">          </v>
      </c>
      <c r="AB504" t="str">
        <f t="shared" si="516"/>
        <v>2</v>
      </c>
      <c r="AC504" t="str">
        <f t="shared" si="517"/>
        <v>2</v>
      </c>
      <c r="AD504" t="str">
        <f t="shared" si="582"/>
        <v>2</v>
      </c>
      <c r="AE504" t="str">
        <f t="shared" si="582"/>
        <v>2</v>
      </c>
      <c r="AF504" t="str">
        <f t="shared" si="582"/>
        <v>2</v>
      </c>
      <c r="AG504" t="str">
        <f t="shared" si="582"/>
        <v>2</v>
      </c>
      <c r="AH504" t="str">
        <f t="shared" si="573"/>
        <v>1</v>
      </c>
      <c r="AI504" t="str">
        <f t="shared" si="561"/>
        <v xml:space="preserve">1         </v>
      </c>
      <c r="AJ504" t="str">
        <f t="shared" si="536"/>
        <v>170</v>
      </c>
      <c r="AK504" t="str">
        <f t="shared" si="583"/>
        <v>68</v>
      </c>
      <c r="AL504" t="str">
        <f t="shared" si="590"/>
        <v>001</v>
      </c>
      <c r="AM504" t="str">
        <f t="shared" si="584"/>
        <v>68</v>
      </c>
      <c r="AN504" t="str">
        <f>"68001"</f>
        <v>68001</v>
      </c>
      <c r="AO504" t="str">
        <f>"31/01/2020 12:00:00 a. m."</f>
        <v>31/01/2020 12:00:00 a. m.</v>
      </c>
      <c r="AP504" t="str">
        <f>"27/01/2020 12:00:00 a. m."</f>
        <v>27/01/2020 12:00:00 a. m.</v>
      </c>
      <c r="AQ504" t="str">
        <f t="shared" ref="AQ504:AQ509" si="592">"3"</f>
        <v>3</v>
      </c>
      <c r="AR504" t="str">
        <f t="shared" si="574"/>
        <v>1</v>
      </c>
      <c r="AS504" t="str">
        <f>"10/02/2020 12:00:00 a. m."</f>
        <v>10/02/2020 12:00:00 a. m.</v>
      </c>
      <c r="AT504" t="str">
        <f t="shared" si="567"/>
        <v>1</v>
      </c>
      <c r="AU504" t="str">
        <f>""</f>
        <v/>
      </c>
      <c r="AV504" t="str">
        <f>"7"</f>
        <v>7</v>
      </c>
      <c r="AW504" t="str">
        <f>"18/05/2004 12:00:00 a. m."</f>
        <v>18/05/2004 12:00:00 a. m.</v>
      </c>
      <c r="AX504" t="str">
        <f>""</f>
        <v/>
      </c>
      <c r="AY504" t="str">
        <f t="shared" si="527"/>
        <v>30/04/2021 12:00:00 a. m.</v>
      </c>
      <c r="AZ504" t="str">
        <f>"6/04/2021 12:00:00 a. m."</f>
        <v>6/04/2021 12:00:00 a. m.</v>
      </c>
      <c r="BA504" t="str">
        <f>""</f>
        <v/>
      </c>
      <c r="BB504" t="str">
        <f>""</f>
        <v/>
      </c>
      <c r="BC504" t="str">
        <f>""</f>
        <v/>
      </c>
      <c r="BD504" t="str">
        <f t="shared" si="591"/>
        <v>1</v>
      </c>
      <c r="BE504" t="str">
        <f t="shared" si="591"/>
        <v>1</v>
      </c>
      <c r="BF504" t="str">
        <f t="shared" si="528"/>
        <v xml:space="preserve">3         </v>
      </c>
      <c r="BG504" t="str">
        <f t="shared" si="529"/>
        <v>Confirmado por laboratorio</v>
      </c>
      <c r="BH504" t="str">
        <f>"CLINICA MATERNO INFANTEL SAN LUIS SA"</f>
        <v>CLINICA MATERNO INFANTEL SAN LUIS SA</v>
      </c>
      <c r="BI504" t="str">
        <f t="shared" si="537"/>
        <v>COLOMBIA</v>
      </c>
      <c r="BJ504" t="str">
        <f t="shared" si="530"/>
        <v>CANCER INFANTIL</v>
      </c>
      <c r="BK504" t="str">
        <f t="shared" si="585"/>
        <v>SANTANDER</v>
      </c>
      <c r="BL504" t="str">
        <f>"BUCARAMANGA"</f>
        <v>BUCARAMANGA</v>
      </c>
      <c r="BM504" t="str">
        <f t="shared" si="538"/>
        <v>COLOMBIA</v>
      </c>
      <c r="BN504" t="str">
        <f t="shared" si="586"/>
        <v>SANTANDER</v>
      </c>
      <c r="BO504" t="str">
        <f>"BUCARAMANGA"</f>
        <v>BUCARAMANGA</v>
      </c>
      <c r="BP504" t="str">
        <f t="shared" si="587"/>
        <v>SANTANDER</v>
      </c>
      <c r="BQ504" t="str">
        <f>"BUCARAMANGA"</f>
        <v>BUCARAMANGA</v>
      </c>
    </row>
    <row r="505" spans="1:69" x14ac:dyDescent="0.25">
      <c r="A505" t="str">
        <f>"7285470"</f>
        <v>7285470</v>
      </c>
      <c r="B505" t="str">
        <f t="shared" si="522"/>
        <v>459</v>
      </c>
      <c r="C505" t="str">
        <f>"18/08/2020 12:00:00 a. m."</f>
        <v>18/08/2020 12:00:00 a. m.</v>
      </c>
      <c r="D505" t="str">
        <f>"31"</f>
        <v>31</v>
      </c>
      <c r="E505" t="str">
        <f t="shared" si="523"/>
        <v>2020</v>
      </c>
      <c r="F505" t="str">
        <f>"6827601666"</f>
        <v>6827601666</v>
      </c>
      <c r="G505" t="str">
        <f t="shared" si="565"/>
        <v>01</v>
      </c>
      <c r="H505" t="str">
        <f>"14"</f>
        <v>14</v>
      </c>
      <c r="I505" t="str">
        <f t="shared" si="579"/>
        <v>1</v>
      </c>
      <c r="J505" t="str">
        <f>"M"</f>
        <v>M</v>
      </c>
      <c r="K505" t="str">
        <f t="shared" si="534"/>
        <v>170</v>
      </c>
      <c r="L505" t="str">
        <f t="shared" si="581"/>
        <v>68</v>
      </c>
      <c r="M505" t="str">
        <f t="shared" si="588"/>
        <v>001</v>
      </c>
      <c r="N505" t="str">
        <f t="shared" si="570"/>
        <v>1</v>
      </c>
      <c r="O505" t="str">
        <f>"9997"</f>
        <v>9997</v>
      </c>
      <c r="P505" t="str">
        <f>"C"</f>
        <v>C</v>
      </c>
      <c r="Q505" t="str">
        <f>"EPS005"</f>
        <v>EPS005</v>
      </c>
      <c r="R505" t="str">
        <f t="shared" si="568"/>
        <v>6</v>
      </c>
      <c r="S505" t="str">
        <f>""</f>
        <v/>
      </c>
      <c r="T505" t="str">
        <f t="shared" si="589"/>
        <v xml:space="preserve">                                                                                                    </v>
      </c>
      <c r="U505" t="str">
        <f>"4         "</f>
        <v xml:space="preserve">4         </v>
      </c>
      <c r="V505" t="str">
        <f t="shared" si="551"/>
        <v>2</v>
      </c>
      <c r="W505" t="str">
        <f t="shared" si="572"/>
        <v>2</v>
      </c>
      <c r="X505" t="str">
        <f t="shared" si="547"/>
        <v>2</v>
      </c>
      <c r="Y505" t="str">
        <f t="shared" si="580"/>
        <v>2</v>
      </c>
      <c r="Z505" t="str">
        <f t="shared" si="580"/>
        <v>2</v>
      </c>
      <c r="AA505" t="str">
        <f t="shared" si="525"/>
        <v xml:space="preserve">          </v>
      </c>
      <c r="AB505" t="str">
        <f t="shared" si="516"/>
        <v>2</v>
      </c>
      <c r="AC505" t="str">
        <f t="shared" si="517"/>
        <v>2</v>
      </c>
      <c r="AD505" t="str">
        <f t="shared" si="582"/>
        <v>2</v>
      </c>
      <c r="AE505" t="str">
        <f t="shared" si="582"/>
        <v>2</v>
      </c>
      <c r="AF505" t="str">
        <f t="shared" si="582"/>
        <v>2</v>
      </c>
      <c r="AG505" t="str">
        <f t="shared" si="582"/>
        <v>2</v>
      </c>
      <c r="AH505" t="str">
        <f t="shared" si="573"/>
        <v>1</v>
      </c>
      <c r="AI505" t="str">
        <f t="shared" si="561"/>
        <v xml:space="preserve">1         </v>
      </c>
      <c r="AJ505" t="str">
        <f t="shared" si="536"/>
        <v>170</v>
      </c>
      <c r="AK505" t="str">
        <f t="shared" si="583"/>
        <v>68</v>
      </c>
      <c r="AL505" t="str">
        <f t="shared" si="590"/>
        <v>001</v>
      </c>
      <c r="AM505" t="str">
        <f t="shared" si="584"/>
        <v>68</v>
      </c>
      <c r="AN505" t="str">
        <f>"68276"</f>
        <v>68276</v>
      </c>
      <c r="AO505" t="str">
        <f>"31/07/2020 12:00:00 a. m."</f>
        <v>31/07/2020 12:00:00 a. m.</v>
      </c>
      <c r="AP505" t="str">
        <f>"1/04/2020 12:00:00 a. m."</f>
        <v>1/04/2020 12:00:00 a. m.</v>
      </c>
      <c r="AQ505" t="str">
        <f t="shared" si="592"/>
        <v>3</v>
      </c>
      <c r="AR505" t="str">
        <f t="shared" si="574"/>
        <v>1</v>
      </c>
      <c r="AS505" t="str">
        <f>"31/07/2020 12:00:00 a. m."</f>
        <v>31/07/2020 12:00:00 a. m.</v>
      </c>
      <c r="AT505" t="str">
        <f t="shared" si="567"/>
        <v>1</v>
      </c>
      <c r="AU505" t="str">
        <f>""</f>
        <v/>
      </c>
      <c r="AV505" t="str">
        <f>"0"</f>
        <v>0</v>
      </c>
      <c r="AW505" t="str">
        <f>"25/04/2006 12:00:00 a. m."</f>
        <v>25/04/2006 12:00:00 a. m.</v>
      </c>
      <c r="AX505" t="str">
        <f>""</f>
        <v/>
      </c>
      <c r="AY505" t="str">
        <f t="shared" si="527"/>
        <v>30/04/2021 12:00:00 a. m.</v>
      </c>
      <c r="AZ505" t="str">
        <f>"24/08/2020 12:00:00 a. m."</f>
        <v>24/08/2020 12:00:00 a. m.</v>
      </c>
      <c r="BA505" t="str">
        <f>""</f>
        <v/>
      </c>
      <c r="BB505" t="str">
        <f>""</f>
        <v/>
      </c>
      <c r="BC505" t="str">
        <f>""</f>
        <v/>
      </c>
      <c r="BD505" t="str">
        <f t="shared" si="591"/>
        <v>1</v>
      </c>
      <c r="BE505" t="str">
        <f t="shared" si="591"/>
        <v>1</v>
      </c>
      <c r="BF505" t="str">
        <f t="shared" si="528"/>
        <v xml:space="preserve">3         </v>
      </c>
      <c r="BG505" t="str">
        <f t="shared" si="529"/>
        <v>Confirmado por laboratorio</v>
      </c>
      <c r="BH505" t="str">
        <f>"FUNDACION OFTALMOLOGICA DE SDER FOSCAL"</f>
        <v>FUNDACION OFTALMOLOGICA DE SDER FOSCAL</v>
      </c>
      <c r="BI505" t="str">
        <f t="shared" si="537"/>
        <v>COLOMBIA</v>
      </c>
      <c r="BJ505" t="str">
        <f t="shared" si="530"/>
        <v>CANCER INFANTIL</v>
      </c>
      <c r="BK505" t="str">
        <f t="shared" si="585"/>
        <v>SANTANDER</v>
      </c>
      <c r="BL505" t="str">
        <f>"BUCARAMANGA"</f>
        <v>BUCARAMANGA</v>
      </c>
      <c r="BM505" t="str">
        <f t="shared" si="538"/>
        <v>COLOMBIA</v>
      </c>
      <c r="BN505" t="str">
        <f t="shared" si="586"/>
        <v>SANTANDER</v>
      </c>
      <c r="BO505" t="str">
        <f>"BUCARAMANGA"</f>
        <v>BUCARAMANGA</v>
      </c>
      <c r="BP505" t="str">
        <f t="shared" si="587"/>
        <v>SANTANDER</v>
      </c>
      <c r="BQ505" t="str">
        <f>"FLORIDABLANCA"</f>
        <v>FLORIDABLANCA</v>
      </c>
    </row>
    <row r="506" spans="1:69" x14ac:dyDescent="0.25">
      <c r="A506" t="str">
        <f>"7279231"</f>
        <v>7279231</v>
      </c>
      <c r="B506" t="str">
        <f t="shared" si="522"/>
        <v>459</v>
      </c>
      <c r="C506" t="str">
        <f>"23/01/2021 12:00:00 a. m."</f>
        <v>23/01/2021 12:00:00 a. m.</v>
      </c>
      <c r="D506" t="str">
        <f>"48"</f>
        <v>48</v>
      </c>
      <c r="E506" t="str">
        <f t="shared" si="523"/>
        <v>2020</v>
      </c>
      <c r="F506" t="str">
        <f>"7300101047"</f>
        <v>7300101047</v>
      </c>
      <c r="G506" t="str">
        <f t="shared" si="565"/>
        <v>01</v>
      </c>
      <c r="H506" t="str">
        <f>"17"</f>
        <v>17</v>
      </c>
      <c r="I506" t="str">
        <f t="shared" si="579"/>
        <v>1</v>
      </c>
      <c r="J506" t="str">
        <f>"M"</f>
        <v>M</v>
      </c>
      <c r="K506" t="str">
        <f t="shared" si="534"/>
        <v>170</v>
      </c>
      <c r="L506" t="str">
        <f>"73"</f>
        <v>73</v>
      </c>
      <c r="M506" t="str">
        <f t="shared" si="588"/>
        <v>001</v>
      </c>
      <c r="N506" t="str">
        <f t="shared" si="570"/>
        <v>1</v>
      </c>
      <c r="O506" t="str">
        <f>"9999"</f>
        <v>9999</v>
      </c>
      <c r="P506" t="str">
        <f>"P"</f>
        <v>P</v>
      </c>
      <c r="Q506" t="str">
        <f>"RES001"</f>
        <v>RES001</v>
      </c>
      <c r="R506" t="str">
        <f t="shared" si="568"/>
        <v>6</v>
      </c>
      <c r="S506" t="str">
        <f>""</f>
        <v/>
      </c>
      <c r="T506" t="str">
        <f t="shared" si="589"/>
        <v xml:space="preserve">                                                                                                    </v>
      </c>
      <c r="U506" t="str">
        <f>"3         "</f>
        <v xml:space="preserve">3         </v>
      </c>
      <c r="V506" t="str">
        <f t="shared" si="551"/>
        <v>2</v>
      </c>
      <c r="W506" t="str">
        <f t="shared" si="572"/>
        <v>2</v>
      </c>
      <c r="X506" t="str">
        <f t="shared" si="547"/>
        <v>2</v>
      </c>
      <c r="Y506" t="str">
        <f t="shared" si="580"/>
        <v>2</v>
      </c>
      <c r="Z506" t="str">
        <f t="shared" si="580"/>
        <v>2</v>
      </c>
      <c r="AA506" t="str">
        <f t="shared" si="525"/>
        <v xml:space="preserve">          </v>
      </c>
      <c r="AB506" t="str">
        <f t="shared" si="516"/>
        <v>2</v>
      </c>
      <c r="AC506" t="str">
        <f t="shared" si="517"/>
        <v>2</v>
      </c>
      <c r="AD506" t="str">
        <f t="shared" si="582"/>
        <v>2</v>
      </c>
      <c r="AE506" t="str">
        <f t="shared" si="582"/>
        <v>2</v>
      </c>
      <c r="AF506" t="str">
        <f t="shared" si="582"/>
        <v>2</v>
      </c>
      <c r="AG506" t="str">
        <f t="shared" si="582"/>
        <v>2</v>
      </c>
      <c r="AH506" t="str">
        <f t="shared" si="573"/>
        <v>1</v>
      </c>
      <c r="AI506" t="str">
        <f t="shared" si="561"/>
        <v xml:space="preserve">1         </v>
      </c>
      <c r="AJ506" t="str">
        <f t="shared" si="536"/>
        <v>170</v>
      </c>
      <c r="AK506" t="str">
        <f>"73"</f>
        <v>73</v>
      </c>
      <c r="AL506" t="str">
        <f t="shared" si="590"/>
        <v>001</v>
      </c>
      <c r="AM506" t="str">
        <f>"73"</f>
        <v>73</v>
      </c>
      <c r="AN506" t="str">
        <f>"73001"</f>
        <v>73001</v>
      </c>
      <c r="AO506" t="str">
        <f>"24/11/2020 12:00:00 a. m."</f>
        <v>24/11/2020 12:00:00 a. m.</v>
      </c>
      <c r="AP506" t="str">
        <f>"1/01/2020 12:00:00 a. m."</f>
        <v>1/01/2020 12:00:00 a. m.</v>
      </c>
      <c r="AQ506" t="str">
        <f t="shared" si="592"/>
        <v>3</v>
      </c>
      <c r="AR506" t="str">
        <f>"2"</f>
        <v>2</v>
      </c>
      <c r="AS506" t="str">
        <f>""</f>
        <v/>
      </c>
      <c r="AT506" t="str">
        <f t="shared" si="567"/>
        <v>1</v>
      </c>
      <c r="AU506" t="str">
        <f>""</f>
        <v/>
      </c>
      <c r="AV506" t="str">
        <f>"0"</f>
        <v>0</v>
      </c>
      <c r="AW506" t="str">
        <f>"2/11/2003 12:00:00 a. m."</f>
        <v>2/11/2003 12:00:00 a. m.</v>
      </c>
      <c r="AX506" t="str">
        <f>""</f>
        <v/>
      </c>
      <c r="AY506" t="str">
        <f t="shared" si="527"/>
        <v>30/04/2021 12:00:00 a. m.</v>
      </c>
      <c r="AZ506" t="str">
        <f>"24/01/2021 12:00:00 a. m."</f>
        <v>24/01/2021 12:00:00 a. m.</v>
      </c>
      <c r="BA506" t="str">
        <f>""</f>
        <v/>
      </c>
      <c r="BB506" t="str">
        <f>""</f>
        <v/>
      </c>
      <c r="BC506" t="str">
        <f>""</f>
        <v/>
      </c>
      <c r="BD506" t="str">
        <f t="shared" si="591"/>
        <v>1</v>
      </c>
      <c r="BE506" t="str">
        <f t="shared" si="591"/>
        <v>1</v>
      </c>
      <c r="BF506" t="str">
        <f t="shared" si="528"/>
        <v xml:space="preserve">3         </v>
      </c>
      <c r="BG506" t="str">
        <f t="shared" si="529"/>
        <v>Confirmado por laboratorio</v>
      </c>
      <c r="BH506" t="str">
        <f>"HOSPITAL FEDERICO LLERAS ACOSTA ESE SEDE LA FRANC"</f>
        <v>HOSPITAL FEDERICO LLERAS ACOSTA ESE SEDE LA FRANC</v>
      </c>
      <c r="BI506" t="str">
        <f t="shared" si="537"/>
        <v>COLOMBIA</v>
      </c>
      <c r="BJ506" t="str">
        <f t="shared" si="530"/>
        <v>CANCER INFANTIL</v>
      </c>
      <c r="BK506" t="str">
        <f>"TOLIMA"</f>
        <v>TOLIMA</v>
      </c>
      <c r="BL506" t="str">
        <f>"IBAGUE"</f>
        <v>IBAGUE</v>
      </c>
      <c r="BM506" t="str">
        <f t="shared" si="538"/>
        <v>COLOMBIA</v>
      </c>
      <c r="BN506" t="str">
        <f>"TOLIMA"</f>
        <v>TOLIMA</v>
      </c>
      <c r="BO506" t="str">
        <f>"IBAGUE"</f>
        <v>IBAGUE</v>
      </c>
      <c r="BP506" t="str">
        <f>"TOLIMA"</f>
        <v>TOLIMA</v>
      </c>
      <c r="BQ506" t="str">
        <f>"IBAGUE"</f>
        <v>IBAGUE</v>
      </c>
    </row>
    <row r="507" spans="1:69" x14ac:dyDescent="0.25">
      <c r="A507" t="str">
        <f>"7279242"</f>
        <v>7279242</v>
      </c>
      <c r="B507" t="str">
        <f t="shared" si="522"/>
        <v>459</v>
      </c>
      <c r="C507" t="str">
        <f>"1/03/2021 12:00:00 a. m."</f>
        <v>1/03/2021 12:00:00 a. m.</v>
      </c>
      <c r="D507" t="str">
        <f>"50"</f>
        <v>50</v>
      </c>
      <c r="E507" t="str">
        <f t="shared" si="523"/>
        <v>2020</v>
      </c>
      <c r="F507" t="str">
        <f>"7600101111"</f>
        <v>7600101111</v>
      </c>
      <c r="G507" t="str">
        <f t="shared" si="565"/>
        <v>01</v>
      </c>
      <c r="H507" t="str">
        <f>"1"</f>
        <v>1</v>
      </c>
      <c r="I507" t="str">
        <f t="shared" si="579"/>
        <v>1</v>
      </c>
      <c r="J507" t="str">
        <f>"F"</f>
        <v>F</v>
      </c>
      <c r="K507" t="str">
        <f t="shared" si="534"/>
        <v>170</v>
      </c>
      <c r="L507" t="str">
        <f>"76"</f>
        <v>76</v>
      </c>
      <c r="M507" t="str">
        <f t="shared" si="588"/>
        <v>001</v>
      </c>
      <c r="N507" t="str">
        <f t="shared" si="570"/>
        <v>1</v>
      </c>
      <c r="O507" t="str">
        <f>"9999"</f>
        <v>9999</v>
      </c>
      <c r="P507" t="str">
        <f>"S"</f>
        <v>S</v>
      </c>
      <c r="Q507" t="str">
        <f>"ESS024"</f>
        <v>ESS024</v>
      </c>
      <c r="R507" t="str">
        <f t="shared" si="568"/>
        <v>6</v>
      </c>
      <c r="S507" t="str">
        <f>""</f>
        <v/>
      </c>
      <c r="T507" t="str">
        <f t="shared" si="589"/>
        <v xml:space="preserve">                                                                                                    </v>
      </c>
      <c r="U507" t="str">
        <f>"2         "</f>
        <v xml:space="preserve">2         </v>
      </c>
      <c r="V507" t="str">
        <f t="shared" si="551"/>
        <v>2</v>
      </c>
      <c r="W507" t="str">
        <f t="shared" si="572"/>
        <v>2</v>
      </c>
      <c r="X507" t="str">
        <f t="shared" si="547"/>
        <v>2</v>
      </c>
      <c r="Y507" t="str">
        <f t="shared" si="580"/>
        <v>2</v>
      </c>
      <c r="Z507" t="str">
        <f t="shared" si="580"/>
        <v>2</v>
      </c>
      <c r="AA507" t="str">
        <f t="shared" si="525"/>
        <v xml:space="preserve">          </v>
      </c>
      <c r="AB507" t="str">
        <f t="shared" si="516"/>
        <v>2</v>
      </c>
      <c r="AC507" t="str">
        <f t="shared" si="517"/>
        <v>2</v>
      </c>
      <c r="AD507" t="str">
        <f t="shared" si="582"/>
        <v>2</v>
      </c>
      <c r="AE507" t="str">
        <f t="shared" si="582"/>
        <v>2</v>
      </c>
      <c r="AF507" t="str">
        <f t="shared" si="582"/>
        <v>2</v>
      </c>
      <c r="AG507" t="str">
        <f t="shared" si="582"/>
        <v>2</v>
      </c>
      <c r="AH507" t="str">
        <f t="shared" si="573"/>
        <v>1</v>
      </c>
      <c r="AI507" t="str">
        <f t="shared" si="561"/>
        <v xml:space="preserve">1         </v>
      </c>
      <c r="AJ507" t="str">
        <f t="shared" si="536"/>
        <v>170</v>
      </c>
      <c r="AK507" t="str">
        <f>"76"</f>
        <v>76</v>
      </c>
      <c r="AL507" t="str">
        <f t="shared" si="590"/>
        <v>001</v>
      </c>
      <c r="AM507" t="str">
        <f>"76"</f>
        <v>76</v>
      </c>
      <c r="AN507" t="str">
        <f>"76001"</f>
        <v>76001</v>
      </c>
      <c r="AO507" t="str">
        <f>"6/12/2020 12:00:00 a. m."</f>
        <v>6/12/2020 12:00:00 a. m.</v>
      </c>
      <c r="AP507" t="str">
        <f>"29/11/2020 12:00:00 a. m."</f>
        <v>29/11/2020 12:00:00 a. m.</v>
      </c>
      <c r="AQ507" t="str">
        <f t="shared" si="592"/>
        <v>3</v>
      </c>
      <c r="AR507" t="str">
        <f t="shared" ref="AR507:AR514" si="593">"1"</f>
        <v>1</v>
      </c>
      <c r="AS507" t="str">
        <f>"6/12/2020 12:00:00 a. m."</f>
        <v>6/12/2020 12:00:00 a. m.</v>
      </c>
      <c r="AT507" t="str">
        <f t="shared" si="567"/>
        <v>1</v>
      </c>
      <c r="AU507" t="str">
        <f>""</f>
        <v/>
      </c>
      <c r="AV507" t="str">
        <f>"0"</f>
        <v>0</v>
      </c>
      <c r="AW507" t="str">
        <f>"11/05/2019 12:00:00 a. m."</f>
        <v>11/05/2019 12:00:00 a. m.</v>
      </c>
      <c r="AX507" t="str">
        <f>""</f>
        <v/>
      </c>
      <c r="AY507" t="str">
        <f t="shared" si="527"/>
        <v>30/04/2021 12:00:00 a. m.</v>
      </c>
      <c r="AZ507" t="str">
        <f>"1/03/2021 12:00:00 a. m."</f>
        <v>1/03/2021 12:00:00 a. m.</v>
      </c>
      <c r="BA507" t="str">
        <f>""</f>
        <v/>
      </c>
      <c r="BB507" t="str">
        <f>""</f>
        <v/>
      </c>
      <c r="BC507" t="str">
        <f>""</f>
        <v/>
      </c>
      <c r="BD507" t="str">
        <f t="shared" si="591"/>
        <v>1</v>
      </c>
      <c r="BE507" t="str">
        <f t="shared" si="591"/>
        <v>1</v>
      </c>
      <c r="BF507" t="str">
        <f t="shared" si="528"/>
        <v xml:space="preserve">3         </v>
      </c>
      <c r="BG507" t="str">
        <f t="shared" si="529"/>
        <v>Confirmado por laboratorio</v>
      </c>
      <c r="BH507" t="str">
        <f>"CENTRO MEDICO IMBANACO CMI"</f>
        <v>CENTRO MEDICO IMBANACO CMI</v>
      </c>
      <c r="BI507" t="str">
        <f t="shared" si="537"/>
        <v>COLOMBIA</v>
      </c>
      <c r="BJ507" t="str">
        <f t="shared" si="530"/>
        <v>CANCER INFANTIL</v>
      </c>
      <c r="BK507" t="str">
        <f>"VALLE"</f>
        <v>VALLE</v>
      </c>
      <c r="BL507" t="str">
        <f>"CALI"</f>
        <v>CALI</v>
      </c>
      <c r="BM507" t="str">
        <f t="shared" si="538"/>
        <v>COLOMBIA</v>
      </c>
      <c r="BN507" t="str">
        <f>"VALLE"</f>
        <v>VALLE</v>
      </c>
      <c r="BO507" t="str">
        <f>"CALI"</f>
        <v>CALI</v>
      </c>
      <c r="BP507" t="str">
        <f>"VALLE"</f>
        <v>VALLE</v>
      </c>
      <c r="BQ507" t="str">
        <f>"CALI"</f>
        <v>CALI</v>
      </c>
    </row>
    <row r="508" spans="1:69" x14ac:dyDescent="0.25">
      <c r="A508" t="str">
        <f>"7279173"</f>
        <v>7279173</v>
      </c>
      <c r="B508" t="str">
        <f t="shared" si="522"/>
        <v>459</v>
      </c>
      <c r="C508" t="str">
        <f>"30/05/2020 12:00:00 a. m."</f>
        <v>30/05/2020 12:00:00 a. m.</v>
      </c>
      <c r="D508" t="str">
        <f>"21"</f>
        <v>21</v>
      </c>
      <c r="E508" t="str">
        <f t="shared" si="523"/>
        <v>2020</v>
      </c>
      <c r="F508" t="str">
        <f>"1100105681"</f>
        <v>1100105681</v>
      </c>
      <c r="G508" t="str">
        <f t="shared" si="565"/>
        <v>01</v>
      </c>
      <c r="H508" t="str">
        <f>"5"</f>
        <v>5</v>
      </c>
      <c r="I508" t="str">
        <f t="shared" si="579"/>
        <v>1</v>
      </c>
      <c r="J508" t="str">
        <f>"F"</f>
        <v>F</v>
      </c>
      <c r="K508" t="str">
        <f t="shared" si="534"/>
        <v>170</v>
      </c>
      <c r="L508" t="str">
        <f>"73"</f>
        <v>73</v>
      </c>
      <c r="M508" t="str">
        <f t="shared" si="588"/>
        <v>001</v>
      </c>
      <c r="N508" t="str">
        <f t="shared" si="570"/>
        <v>1</v>
      </c>
      <c r="O508" t="str">
        <f>"9999"</f>
        <v>9999</v>
      </c>
      <c r="P508" t="str">
        <f>"S"</f>
        <v>S</v>
      </c>
      <c r="Q508" t="str">
        <f>"ESS133"</f>
        <v>ESS133</v>
      </c>
      <c r="R508" t="str">
        <f t="shared" si="568"/>
        <v>6</v>
      </c>
      <c r="S508" t="str">
        <f>""</f>
        <v/>
      </c>
      <c r="T508" t="str">
        <f t="shared" si="589"/>
        <v xml:space="preserve">                                                                                                    </v>
      </c>
      <c r="U508" t="str">
        <f>"2         "</f>
        <v xml:space="preserve">2         </v>
      </c>
      <c r="V508" t="str">
        <f t="shared" si="551"/>
        <v>2</v>
      </c>
      <c r="W508" t="str">
        <f t="shared" si="572"/>
        <v>2</v>
      </c>
      <c r="X508" t="str">
        <f t="shared" si="547"/>
        <v>2</v>
      </c>
      <c r="Y508" t="str">
        <f t="shared" si="580"/>
        <v>2</v>
      </c>
      <c r="Z508" t="str">
        <f t="shared" si="580"/>
        <v>2</v>
      </c>
      <c r="AA508" t="str">
        <f t="shared" si="525"/>
        <v xml:space="preserve">          </v>
      </c>
      <c r="AB508" t="str">
        <f t="shared" ref="AB508:AB571" si="594">"2"</f>
        <v>2</v>
      </c>
      <c r="AC508" t="str">
        <f t="shared" si="517"/>
        <v>2</v>
      </c>
      <c r="AD508" t="str">
        <f t="shared" si="582"/>
        <v>2</v>
      </c>
      <c r="AE508" t="str">
        <f t="shared" si="582"/>
        <v>2</v>
      </c>
      <c r="AF508" t="str">
        <f t="shared" si="582"/>
        <v>2</v>
      </c>
      <c r="AG508" t="str">
        <f t="shared" si="582"/>
        <v>2</v>
      </c>
      <c r="AH508" t="str">
        <f t="shared" si="573"/>
        <v>1</v>
      </c>
      <c r="AI508" t="str">
        <f>"2         "</f>
        <v xml:space="preserve">2         </v>
      </c>
      <c r="AJ508" t="str">
        <f t="shared" si="536"/>
        <v>170</v>
      </c>
      <c r="AK508" t="str">
        <f>"73"</f>
        <v>73</v>
      </c>
      <c r="AL508" t="str">
        <f t="shared" si="590"/>
        <v>001</v>
      </c>
      <c r="AM508" t="str">
        <f>"11"</f>
        <v>11</v>
      </c>
      <c r="AN508" t="str">
        <f>"11001"</f>
        <v>11001</v>
      </c>
      <c r="AO508" t="str">
        <f>"23/05/2020 12:00:00 a. m."</f>
        <v>23/05/2020 12:00:00 a. m.</v>
      </c>
      <c r="AP508" t="str">
        <f>"22/04/2020 12:00:00 a. m."</f>
        <v>22/04/2020 12:00:00 a. m.</v>
      </c>
      <c r="AQ508" t="str">
        <f t="shared" si="592"/>
        <v>3</v>
      </c>
      <c r="AR508" t="str">
        <f t="shared" si="593"/>
        <v>1</v>
      </c>
      <c r="AS508" t="str">
        <f>"23/05/2020 12:00:00 a. m."</f>
        <v>23/05/2020 12:00:00 a. m.</v>
      </c>
      <c r="AT508" t="str">
        <f t="shared" si="567"/>
        <v>1</v>
      </c>
      <c r="AU508" t="str">
        <f>""</f>
        <v/>
      </c>
      <c r="AV508" t="str">
        <f>"0"</f>
        <v>0</v>
      </c>
      <c r="AW508" t="str">
        <f>"15/01/2015 12:00:00 a. m."</f>
        <v>15/01/2015 12:00:00 a. m.</v>
      </c>
      <c r="AX508" t="str">
        <f>""</f>
        <v/>
      </c>
      <c r="AY508" t="str">
        <f t="shared" si="527"/>
        <v>30/04/2021 12:00:00 a. m.</v>
      </c>
      <c r="AZ508" t="str">
        <f>"4/08/2020 12:00:00 a. m."</f>
        <v>4/08/2020 12:00:00 a. m.</v>
      </c>
      <c r="BA508" t="str">
        <f>""</f>
        <v/>
      </c>
      <c r="BB508" t="str">
        <f>""</f>
        <v/>
      </c>
      <c r="BC508" t="str">
        <f>""</f>
        <v/>
      </c>
      <c r="BD508" t="str">
        <f t="shared" si="591"/>
        <v>1</v>
      </c>
      <c r="BE508" t="str">
        <f t="shared" si="591"/>
        <v>1</v>
      </c>
      <c r="BF508" t="str">
        <f t="shared" si="528"/>
        <v xml:space="preserve">3         </v>
      </c>
      <c r="BG508" t="str">
        <f t="shared" si="529"/>
        <v>Confirmado por laboratorio</v>
      </c>
      <c r="BH508" t="str">
        <f>"FUNDACION HOSPITAL DE LA MISERICORDIA"</f>
        <v>FUNDACION HOSPITAL DE LA MISERICORDIA</v>
      </c>
      <c r="BI508" t="str">
        <f t="shared" si="537"/>
        <v>COLOMBIA</v>
      </c>
      <c r="BJ508" t="str">
        <f t="shared" si="530"/>
        <v>CANCER INFANTIL</v>
      </c>
      <c r="BK508" t="str">
        <f>"TOLIMA"</f>
        <v>TOLIMA</v>
      </c>
      <c r="BL508" t="str">
        <f>"IBAGUE"</f>
        <v>IBAGUE</v>
      </c>
      <c r="BM508" t="str">
        <f t="shared" si="538"/>
        <v>COLOMBIA</v>
      </c>
      <c r="BN508" t="str">
        <f>"TOLIMA"</f>
        <v>TOLIMA</v>
      </c>
      <c r="BO508" t="str">
        <f>"IBAGUE"</f>
        <v>IBAGUE</v>
      </c>
      <c r="BP508" t="str">
        <f t="shared" ref="BP508:BQ511" si="595">"BOGOTA"</f>
        <v>BOGOTA</v>
      </c>
      <c r="BQ508" t="str">
        <f t="shared" si="595"/>
        <v>BOGOTA</v>
      </c>
    </row>
    <row r="509" spans="1:69" x14ac:dyDescent="0.25">
      <c r="A509" t="str">
        <f>"7285733"</f>
        <v>7285733</v>
      </c>
      <c r="B509" t="str">
        <f t="shared" si="522"/>
        <v>459</v>
      </c>
      <c r="C509" t="str">
        <f>"5/03/2020 12:00:00 a. m."</f>
        <v>5/03/2020 12:00:00 a. m.</v>
      </c>
      <c r="D509" t="str">
        <f>"02"</f>
        <v>02</v>
      </c>
      <c r="E509" t="str">
        <f t="shared" si="523"/>
        <v>2020</v>
      </c>
      <c r="F509" t="str">
        <f>"1100105681"</f>
        <v>1100105681</v>
      </c>
      <c r="G509" t="str">
        <f t="shared" si="565"/>
        <v>01</v>
      </c>
      <c r="H509" t="str">
        <f>"4"</f>
        <v>4</v>
      </c>
      <c r="I509" t="str">
        <f t="shared" si="579"/>
        <v>1</v>
      </c>
      <c r="J509" t="str">
        <f>"F"</f>
        <v>F</v>
      </c>
      <c r="K509" t="str">
        <f t="shared" si="534"/>
        <v>170</v>
      </c>
      <c r="L509" t="str">
        <f>"11"</f>
        <v>11</v>
      </c>
      <c r="M509" t="str">
        <f t="shared" si="588"/>
        <v>001</v>
      </c>
      <c r="N509" t="str">
        <f t="shared" si="570"/>
        <v>1</v>
      </c>
      <c r="O509" t="str">
        <f>"9999"</f>
        <v>9999</v>
      </c>
      <c r="P509" t="str">
        <f>"C"</f>
        <v>C</v>
      </c>
      <c r="Q509" t="str">
        <f>"EPS017"</f>
        <v>EPS017</v>
      </c>
      <c r="R509" t="str">
        <f t="shared" si="568"/>
        <v>6</v>
      </c>
      <c r="S509" t="str">
        <f>""</f>
        <v/>
      </c>
      <c r="T509" t="str">
        <f t="shared" si="589"/>
        <v xml:space="preserve">                                                                                                    </v>
      </c>
      <c r="U509" t="str">
        <f>"2         "</f>
        <v xml:space="preserve">2         </v>
      </c>
      <c r="V509" t="str">
        <f t="shared" si="551"/>
        <v>2</v>
      </c>
      <c r="W509" t="str">
        <f t="shared" si="572"/>
        <v>2</v>
      </c>
      <c r="X509" t="str">
        <f t="shared" si="547"/>
        <v>2</v>
      </c>
      <c r="Y509" t="str">
        <f t="shared" si="580"/>
        <v>2</v>
      </c>
      <c r="Z509" t="str">
        <f t="shared" si="580"/>
        <v>2</v>
      </c>
      <c r="AA509" t="str">
        <f t="shared" si="525"/>
        <v xml:space="preserve">          </v>
      </c>
      <c r="AB509" t="str">
        <f t="shared" si="594"/>
        <v>2</v>
      </c>
      <c r="AC509" t="str">
        <f t="shared" ref="AC509:AC572" si="596">"2"</f>
        <v>2</v>
      </c>
      <c r="AD509" t="str">
        <f t="shared" si="582"/>
        <v>2</v>
      </c>
      <c r="AE509" t="str">
        <f t="shared" si="582"/>
        <v>2</v>
      </c>
      <c r="AF509" t="str">
        <f t="shared" si="582"/>
        <v>2</v>
      </c>
      <c r="AG509" t="str">
        <f t="shared" si="582"/>
        <v>2</v>
      </c>
      <c r="AH509" t="str">
        <f t="shared" si="573"/>
        <v>1</v>
      </c>
      <c r="AI509" t="str">
        <f t="shared" ref="AI509:AI514" si="597">"1         "</f>
        <v xml:space="preserve">1         </v>
      </c>
      <c r="AJ509" t="str">
        <f t="shared" si="536"/>
        <v>170</v>
      </c>
      <c r="AK509" t="str">
        <f>"11"</f>
        <v>11</v>
      </c>
      <c r="AL509" t="str">
        <f t="shared" si="590"/>
        <v>001</v>
      </c>
      <c r="AM509" t="str">
        <f>"11"</f>
        <v>11</v>
      </c>
      <c r="AN509" t="str">
        <f>"11001"</f>
        <v>11001</v>
      </c>
      <c r="AO509" t="str">
        <f>"7/01/2020 12:00:00 a. m."</f>
        <v>7/01/2020 12:00:00 a. m.</v>
      </c>
      <c r="AP509" t="str">
        <f>"7/01/2020 12:00:00 a. m."</f>
        <v>7/01/2020 12:00:00 a. m.</v>
      </c>
      <c r="AQ509" t="str">
        <f t="shared" si="592"/>
        <v>3</v>
      </c>
      <c r="AR509" t="str">
        <f t="shared" si="593"/>
        <v>1</v>
      </c>
      <c r="AS509" t="str">
        <f>"7/01/2020 12:00:00 a. m."</f>
        <v>7/01/2020 12:00:00 a. m.</v>
      </c>
      <c r="AT509" t="str">
        <f t="shared" si="567"/>
        <v>1</v>
      </c>
      <c r="AU509" t="str">
        <f>""</f>
        <v/>
      </c>
      <c r="AV509" t="str">
        <f>"0"</f>
        <v>0</v>
      </c>
      <c r="AW509" t="str">
        <f>"30/10/2015 12:00:00 a. m."</f>
        <v>30/10/2015 12:00:00 a. m.</v>
      </c>
      <c r="AX509" t="str">
        <f>""</f>
        <v/>
      </c>
      <c r="AY509" t="str">
        <f t="shared" si="527"/>
        <v>30/04/2021 12:00:00 a. m.</v>
      </c>
      <c r="AZ509" t="str">
        <f>"5/03/2020 12:00:00 a. m."</f>
        <v>5/03/2020 12:00:00 a. m.</v>
      </c>
      <c r="BA509" t="str">
        <f>""</f>
        <v/>
      </c>
      <c r="BB509" t="str">
        <f>""</f>
        <v/>
      </c>
      <c r="BC509" t="str">
        <f>""</f>
        <v/>
      </c>
      <c r="BD509" t="str">
        <f t="shared" si="591"/>
        <v>1</v>
      </c>
      <c r="BE509" t="str">
        <f t="shared" si="591"/>
        <v>1</v>
      </c>
      <c r="BF509" t="str">
        <f t="shared" si="528"/>
        <v xml:space="preserve">3         </v>
      </c>
      <c r="BG509" t="str">
        <f t="shared" si="529"/>
        <v>Confirmado por laboratorio</v>
      </c>
      <c r="BH509" t="str">
        <f>"FUNDACION HOSPITAL DE LA MISERICORDIA"</f>
        <v>FUNDACION HOSPITAL DE LA MISERICORDIA</v>
      </c>
      <c r="BI509" t="str">
        <f t="shared" si="537"/>
        <v>COLOMBIA</v>
      </c>
      <c r="BJ509" t="str">
        <f t="shared" si="530"/>
        <v>CANCER INFANTIL</v>
      </c>
      <c r="BK509" t="str">
        <f t="shared" ref="BK509:BL511" si="598">"BOGOTA"</f>
        <v>BOGOTA</v>
      </c>
      <c r="BL509" t="str">
        <f t="shared" si="598"/>
        <v>BOGOTA</v>
      </c>
      <c r="BM509" t="str">
        <f t="shared" si="538"/>
        <v>COLOMBIA</v>
      </c>
      <c r="BN509" t="str">
        <f t="shared" ref="BN509:BO511" si="599">"BOGOTA"</f>
        <v>BOGOTA</v>
      </c>
      <c r="BO509" t="str">
        <f t="shared" si="599"/>
        <v>BOGOTA</v>
      </c>
      <c r="BP509" t="str">
        <f t="shared" si="595"/>
        <v>BOGOTA</v>
      </c>
      <c r="BQ509" t="str">
        <f t="shared" si="595"/>
        <v>BOGOTA</v>
      </c>
    </row>
    <row r="510" spans="1:69" x14ac:dyDescent="0.25">
      <c r="A510" t="str">
        <f>"7285642"</f>
        <v>7285642</v>
      </c>
      <c r="B510" t="str">
        <f t="shared" si="522"/>
        <v>459</v>
      </c>
      <c r="C510" t="str">
        <f>"7/03/2020 12:00:00 a. m."</f>
        <v>7/03/2020 12:00:00 a. m.</v>
      </c>
      <c r="D510" t="str">
        <f>"10"</f>
        <v>10</v>
      </c>
      <c r="E510" t="str">
        <f t="shared" si="523"/>
        <v>2020</v>
      </c>
      <c r="F510" t="str">
        <f>"1100109111"</f>
        <v>1100109111</v>
      </c>
      <c r="G510" t="str">
        <f t="shared" si="565"/>
        <v>01</v>
      </c>
      <c r="H510" t="str">
        <f>"12"</f>
        <v>12</v>
      </c>
      <c r="I510" t="str">
        <f t="shared" si="579"/>
        <v>1</v>
      </c>
      <c r="J510" t="str">
        <f>"F"</f>
        <v>F</v>
      </c>
      <c r="K510" t="str">
        <f t="shared" si="534"/>
        <v>170</v>
      </c>
      <c r="L510" t="str">
        <f>"11"</f>
        <v>11</v>
      </c>
      <c r="M510" t="str">
        <f t="shared" si="588"/>
        <v>001</v>
      </c>
      <c r="N510" t="str">
        <f t="shared" si="570"/>
        <v>1</v>
      </c>
      <c r="O510" t="str">
        <f>"9997"</f>
        <v>9997</v>
      </c>
      <c r="P510" t="str">
        <f>"C"</f>
        <v>C</v>
      </c>
      <c r="Q510" t="str">
        <f>"EPS008"</f>
        <v>EPS008</v>
      </c>
      <c r="R510" t="str">
        <f t="shared" si="568"/>
        <v>6</v>
      </c>
      <c r="S510" t="str">
        <f>""</f>
        <v/>
      </c>
      <c r="T510" t="str">
        <f t="shared" si="589"/>
        <v xml:space="preserve">                                                                                                    </v>
      </c>
      <c r="U510" t="str">
        <f>"4         "</f>
        <v xml:space="preserve">4         </v>
      </c>
      <c r="V510" t="str">
        <f t="shared" si="551"/>
        <v>2</v>
      </c>
      <c r="W510" t="str">
        <f t="shared" si="572"/>
        <v>2</v>
      </c>
      <c r="X510" t="str">
        <f t="shared" si="547"/>
        <v>2</v>
      </c>
      <c r="Y510" t="str">
        <f t="shared" si="580"/>
        <v>2</v>
      </c>
      <c r="Z510" t="str">
        <f t="shared" si="580"/>
        <v>2</v>
      </c>
      <c r="AA510" t="str">
        <f t="shared" si="525"/>
        <v xml:space="preserve">          </v>
      </c>
      <c r="AB510" t="str">
        <f t="shared" si="594"/>
        <v>2</v>
      </c>
      <c r="AC510" t="str">
        <f t="shared" si="596"/>
        <v>2</v>
      </c>
      <c r="AD510" t="str">
        <f t="shared" si="582"/>
        <v>2</v>
      </c>
      <c r="AE510" t="str">
        <f t="shared" si="582"/>
        <v>2</v>
      </c>
      <c r="AF510" t="str">
        <f t="shared" si="582"/>
        <v>2</v>
      </c>
      <c r="AG510" t="str">
        <f t="shared" si="582"/>
        <v>2</v>
      </c>
      <c r="AH510" t="str">
        <f t="shared" si="573"/>
        <v>1</v>
      </c>
      <c r="AI510" t="str">
        <f t="shared" si="597"/>
        <v xml:space="preserve">1         </v>
      </c>
      <c r="AJ510" t="str">
        <f t="shared" si="536"/>
        <v>170</v>
      </c>
      <c r="AK510" t="str">
        <f>"11"</f>
        <v>11</v>
      </c>
      <c r="AL510" t="str">
        <f t="shared" si="590"/>
        <v>001</v>
      </c>
      <c r="AM510" t="str">
        <f>"11"</f>
        <v>11</v>
      </c>
      <c r="AN510" t="str">
        <f>"11001"</f>
        <v>11001</v>
      </c>
      <c r="AO510" t="str">
        <f>"6/03/2020 12:00:00 a. m."</f>
        <v>6/03/2020 12:00:00 a. m.</v>
      </c>
      <c r="AP510" t="str">
        <f>"5/03/2020 12:00:00 a. m."</f>
        <v>5/03/2020 12:00:00 a. m.</v>
      </c>
      <c r="AQ510" t="str">
        <f>"2"</f>
        <v>2</v>
      </c>
      <c r="AR510" t="str">
        <f t="shared" si="593"/>
        <v>1</v>
      </c>
      <c r="AS510" t="str">
        <f>"6/03/2020 12:00:00 a. m."</f>
        <v>6/03/2020 12:00:00 a. m.</v>
      </c>
      <c r="AT510" t="str">
        <f t="shared" si="567"/>
        <v>1</v>
      </c>
      <c r="AU510" t="str">
        <f>""</f>
        <v/>
      </c>
      <c r="AV510" t="str">
        <f>"3"</f>
        <v>3</v>
      </c>
      <c r="AW510" t="str">
        <f>"8/10/2007 12:00:00 a. m."</f>
        <v>8/10/2007 12:00:00 a. m.</v>
      </c>
      <c r="AX510" t="str">
        <f>""</f>
        <v/>
      </c>
      <c r="AY510" t="str">
        <f t="shared" si="527"/>
        <v>30/04/2021 12:00:00 a. m.</v>
      </c>
      <c r="AZ510" t="str">
        <f>"27/04/2020 12:00:00 a. m."</f>
        <v>27/04/2020 12:00:00 a. m.</v>
      </c>
      <c r="BA510" t="str">
        <f>""</f>
        <v/>
      </c>
      <c r="BB510" t="str">
        <f>""</f>
        <v/>
      </c>
      <c r="BC510" t="str">
        <f>""</f>
        <v/>
      </c>
      <c r="BD510" t="str">
        <f t="shared" si="591"/>
        <v>1</v>
      </c>
      <c r="BE510" t="str">
        <f t="shared" si="591"/>
        <v>1</v>
      </c>
      <c r="BF510" t="str">
        <f t="shared" si="528"/>
        <v xml:space="preserve">3         </v>
      </c>
      <c r="BG510" t="str">
        <f t="shared" si="529"/>
        <v>Confirmado por laboratorio</v>
      </c>
      <c r="BH510" t="str">
        <f>"FUNDACION CARDIOINFANTIL INSTITUTO DE CARDIOLOGIA"</f>
        <v>FUNDACION CARDIOINFANTIL INSTITUTO DE CARDIOLOGIA</v>
      </c>
      <c r="BI510" t="str">
        <f t="shared" si="537"/>
        <v>COLOMBIA</v>
      </c>
      <c r="BJ510" t="str">
        <f t="shared" si="530"/>
        <v>CANCER INFANTIL</v>
      </c>
      <c r="BK510" t="str">
        <f t="shared" si="598"/>
        <v>BOGOTA</v>
      </c>
      <c r="BL510" t="str">
        <f t="shared" si="598"/>
        <v>BOGOTA</v>
      </c>
      <c r="BM510" t="str">
        <f t="shared" si="538"/>
        <v>COLOMBIA</v>
      </c>
      <c r="BN510" t="str">
        <f t="shared" si="599"/>
        <v>BOGOTA</v>
      </c>
      <c r="BO510" t="str">
        <f t="shared" si="599"/>
        <v>BOGOTA</v>
      </c>
      <c r="BP510" t="str">
        <f t="shared" si="595"/>
        <v>BOGOTA</v>
      </c>
      <c r="BQ510" t="str">
        <f t="shared" si="595"/>
        <v>BOGOTA</v>
      </c>
    </row>
    <row r="511" spans="1:69" x14ac:dyDescent="0.25">
      <c r="A511" t="str">
        <f>"7285715"</f>
        <v>7285715</v>
      </c>
      <c r="B511" t="str">
        <f t="shared" si="522"/>
        <v>459</v>
      </c>
      <c r="C511" t="str">
        <f>"24/03/2020 12:00:00 a. m."</f>
        <v>24/03/2020 12:00:00 a. m.</v>
      </c>
      <c r="D511" t="str">
        <f>"13"</f>
        <v>13</v>
      </c>
      <c r="E511" t="str">
        <f t="shared" si="523"/>
        <v>2020</v>
      </c>
      <c r="F511" t="str">
        <f>"1100108171"</f>
        <v>1100108171</v>
      </c>
      <c r="G511" t="str">
        <f>"02"</f>
        <v>02</v>
      </c>
      <c r="H511" t="str">
        <f>"2"</f>
        <v>2</v>
      </c>
      <c r="I511" t="str">
        <f t="shared" si="579"/>
        <v>1</v>
      </c>
      <c r="J511" t="str">
        <f>"M"</f>
        <v>M</v>
      </c>
      <c r="K511" t="str">
        <f t="shared" si="534"/>
        <v>170</v>
      </c>
      <c r="L511" t="str">
        <f>"11"</f>
        <v>11</v>
      </c>
      <c r="M511" t="str">
        <f t="shared" si="588"/>
        <v>001</v>
      </c>
      <c r="N511" t="str">
        <f t="shared" si="570"/>
        <v>1</v>
      </c>
      <c r="O511" t="str">
        <f>"9999"</f>
        <v>9999</v>
      </c>
      <c r="P511" t="str">
        <f>"C"</f>
        <v>C</v>
      </c>
      <c r="Q511" t="str">
        <f>"EPS017"</f>
        <v>EPS017</v>
      </c>
      <c r="R511" t="str">
        <f t="shared" si="568"/>
        <v>6</v>
      </c>
      <c r="S511" t="str">
        <f>""</f>
        <v/>
      </c>
      <c r="T511" t="str">
        <f t="shared" si="589"/>
        <v xml:space="preserve">                                                                                                    </v>
      </c>
      <c r="U511" t="str">
        <f t="shared" ref="U511:U516" si="600">"2         "</f>
        <v xml:space="preserve">2         </v>
      </c>
      <c r="V511" t="str">
        <f t="shared" ref="V511:V542" si="601">"2"</f>
        <v>2</v>
      </c>
      <c r="W511" t="str">
        <f t="shared" si="572"/>
        <v>2</v>
      </c>
      <c r="X511" t="str">
        <f t="shared" si="547"/>
        <v>2</v>
      </c>
      <c r="Y511" t="str">
        <f t="shared" si="580"/>
        <v>2</v>
      </c>
      <c r="Z511" t="str">
        <f t="shared" si="580"/>
        <v>2</v>
      </c>
      <c r="AA511" t="str">
        <f t="shared" si="525"/>
        <v xml:space="preserve">          </v>
      </c>
      <c r="AB511" t="str">
        <f t="shared" si="594"/>
        <v>2</v>
      </c>
      <c r="AC511" t="str">
        <f t="shared" si="596"/>
        <v>2</v>
      </c>
      <c r="AD511" t="str">
        <f t="shared" si="582"/>
        <v>2</v>
      </c>
      <c r="AE511" t="str">
        <f t="shared" si="582"/>
        <v>2</v>
      </c>
      <c r="AF511" t="str">
        <f t="shared" si="582"/>
        <v>2</v>
      </c>
      <c r="AG511" t="str">
        <f t="shared" si="582"/>
        <v>2</v>
      </c>
      <c r="AH511" t="str">
        <f t="shared" si="573"/>
        <v>1</v>
      </c>
      <c r="AI511" t="str">
        <f t="shared" si="597"/>
        <v xml:space="preserve">1         </v>
      </c>
      <c r="AJ511" t="str">
        <f t="shared" si="536"/>
        <v>170</v>
      </c>
      <c r="AK511" t="str">
        <f>"11"</f>
        <v>11</v>
      </c>
      <c r="AL511" t="str">
        <f t="shared" si="590"/>
        <v>001</v>
      </c>
      <c r="AM511" t="str">
        <f>"11"</f>
        <v>11</v>
      </c>
      <c r="AN511" t="str">
        <f>"11001"</f>
        <v>11001</v>
      </c>
      <c r="AO511" t="str">
        <f>"23/03/2020 12:00:00 a. m."</f>
        <v>23/03/2020 12:00:00 a. m.</v>
      </c>
      <c r="AP511" t="str">
        <f>"4/02/2020 12:00:00 a. m."</f>
        <v>4/02/2020 12:00:00 a. m.</v>
      </c>
      <c r="AQ511" t="str">
        <f>"2"</f>
        <v>2</v>
      </c>
      <c r="AR511" t="str">
        <f t="shared" si="593"/>
        <v>1</v>
      </c>
      <c r="AS511" t="str">
        <f>"23/03/2020 12:00:00 a. m."</f>
        <v>23/03/2020 12:00:00 a. m.</v>
      </c>
      <c r="AT511" t="str">
        <f t="shared" si="567"/>
        <v>1</v>
      </c>
      <c r="AU511" t="str">
        <f>""</f>
        <v/>
      </c>
      <c r="AV511" t="str">
        <f>"3"</f>
        <v>3</v>
      </c>
      <c r="AW511" t="str">
        <f>"8/01/2018 12:00:00 a. m."</f>
        <v>8/01/2018 12:00:00 a. m.</v>
      </c>
      <c r="AX511" t="str">
        <f>""</f>
        <v/>
      </c>
      <c r="AY511" t="str">
        <f t="shared" si="527"/>
        <v>30/04/2021 12:00:00 a. m.</v>
      </c>
      <c r="AZ511" t="str">
        <f>"15/04/2020 12:00:00 a. m."</f>
        <v>15/04/2020 12:00:00 a. m.</v>
      </c>
      <c r="BA511" t="str">
        <f>""</f>
        <v/>
      </c>
      <c r="BB511" t="str">
        <f>""</f>
        <v/>
      </c>
      <c r="BC511" t="str">
        <f>""</f>
        <v/>
      </c>
      <c r="BD511" t="str">
        <f t="shared" si="591"/>
        <v>1</v>
      </c>
      <c r="BE511" t="str">
        <f t="shared" si="591"/>
        <v>1</v>
      </c>
      <c r="BF511" t="str">
        <f t="shared" si="528"/>
        <v xml:space="preserve">3         </v>
      </c>
      <c r="BG511" t="str">
        <f t="shared" si="529"/>
        <v>Confirmado por laboratorio</v>
      </c>
      <c r="BH511" t="str">
        <f>"CLINICA INFANTIL COLSUBSIDIO"</f>
        <v>CLINICA INFANTIL COLSUBSIDIO</v>
      </c>
      <c r="BI511" t="str">
        <f t="shared" si="537"/>
        <v>COLOMBIA</v>
      </c>
      <c r="BJ511" t="str">
        <f t="shared" si="530"/>
        <v>CANCER INFANTIL</v>
      </c>
      <c r="BK511" t="str">
        <f t="shared" si="598"/>
        <v>BOGOTA</v>
      </c>
      <c r="BL511" t="str">
        <f t="shared" si="598"/>
        <v>BOGOTA</v>
      </c>
      <c r="BM511" t="str">
        <f t="shared" si="538"/>
        <v>COLOMBIA</v>
      </c>
      <c r="BN511" t="str">
        <f t="shared" si="599"/>
        <v>BOGOTA</v>
      </c>
      <c r="BO511" t="str">
        <f t="shared" si="599"/>
        <v>BOGOTA</v>
      </c>
      <c r="BP511" t="str">
        <f t="shared" si="595"/>
        <v>BOGOTA</v>
      </c>
      <c r="BQ511" t="str">
        <f t="shared" si="595"/>
        <v>BOGOTA</v>
      </c>
    </row>
    <row r="512" spans="1:69" x14ac:dyDescent="0.25">
      <c r="A512" t="str">
        <f>"7279217"</f>
        <v>7279217</v>
      </c>
      <c r="B512" t="str">
        <f t="shared" si="522"/>
        <v>459</v>
      </c>
      <c r="C512" t="str">
        <f>"8/01/2020 12:00:00 a. m."</f>
        <v>8/01/2020 12:00:00 a. m.</v>
      </c>
      <c r="D512" t="str">
        <f>"02"</f>
        <v>02</v>
      </c>
      <c r="E512" t="str">
        <f t="shared" si="523"/>
        <v>2020</v>
      </c>
      <c r="F512" t="str">
        <f>"5000100529"</f>
        <v>5000100529</v>
      </c>
      <c r="G512" t="str">
        <f>"01"</f>
        <v>01</v>
      </c>
      <c r="H512" t="str">
        <f>"8"</f>
        <v>8</v>
      </c>
      <c r="I512" t="str">
        <f t="shared" si="579"/>
        <v>1</v>
      </c>
      <c r="J512" t="str">
        <f>"F"</f>
        <v>F</v>
      </c>
      <c r="K512" t="str">
        <f t="shared" si="534"/>
        <v>170</v>
      </c>
      <c r="L512" t="str">
        <f>"50"</f>
        <v>50</v>
      </c>
      <c r="M512" t="str">
        <f t="shared" si="588"/>
        <v>001</v>
      </c>
      <c r="N512" t="str">
        <f>"3"</f>
        <v>3</v>
      </c>
      <c r="O512" t="str">
        <f>"9997"</f>
        <v>9997</v>
      </c>
      <c r="P512" t="str">
        <f>"S"</f>
        <v>S</v>
      </c>
      <c r="Q512" t="str">
        <f>"ESS133"</f>
        <v>ESS133</v>
      </c>
      <c r="R512" t="str">
        <f t="shared" si="568"/>
        <v>6</v>
      </c>
      <c r="S512" t="str">
        <f>""</f>
        <v/>
      </c>
      <c r="T512" t="str">
        <f t="shared" si="589"/>
        <v xml:space="preserve">                                                                                                    </v>
      </c>
      <c r="U512" t="str">
        <f t="shared" si="600"/>
        <v xml:space="preserve">2         </v>
      </c>
      <c r="V512" t="str">
        <f t="shared" si="601"/>
        <v>2</v>
      </c>
      <c r="W512" t="str">
        <f t="shared" si="572"/>
        <v>2</v>
      </c>
      <c r="X512" t="str">
        <f t="shared" si="547"/>
        <v>2</v>
      </c>
      <c r="Y512" t="str">
        <f t="shared" si="580"/>
        <v>2</v>
      </c>
      <c r="Z512" t="str">
        <f t="shared" si="580"/>
        <v>2</v>
      </c>
      <c r="AA512" t="str">
        <f t="shared" si="525"/>
        <v xml:space="preserve">          </v>
      </c>
      <c r="AB512" t="str">
        <f t="shared" si="594"/>
        <v>2</v>
      </c>
      <c r="AC512" t="str">
        <f t="shared" si="596"/>
        <v>2</v>
      </c>
      <c r="AD512" t="str">
        <f t="shared" si="582"/>
        <v>2</v>
      </c>
      <c r="AE512" t="str">
        <f t="shared" si="582"/>
        <v>2</v>
      </c>
      <c r="AF512" t="str">
        <f t="shared" si="582"/>
        <v>2</v>
      </c>
      <c r="AG512" t="str">
        <f t="shared" si="582"/>
        <v>2</v>
      </c>
      <c r="AH512" t="str">
        <f t="shared" si="573"/>
        <v>1</v>
      </c>
      <c r="AI512" t="str">
        <f t="shared" si="597"/>
        <v xml:space="preserve">1         </v>
      </c>
      <c r="AJ512" t="str">
        <f t="shared" si="536"/>
        <v>170</v>
      </c>
      <c r="AK512" t="str">
        <f>"50"</f>
        <v>50</v>
      </c>
      <c r="AL512" t="str">
        <f t="shared" si="590"/>
        <v>001</v>
      </c>
      <c r="AM512" t="str">
        <f>"50"</f>
        <v>50</v>
      </c>
      <c r="AN512" t="str">
        <f>"50001"</f>
        <v>50001</v>
      </c>
      <c r="AO512" t="str">
        <f>"7/01/2020 12:00:00 a. m."</f>
        <v>7/01/2020 12:00:00 a. m.</v>
      </c>
      <c r="AP512" t="str">
        <f>"2/01/2020 12:00:00 a. m."</f>
        <v>2/01/2020 12:00:00 a. m.</v>
      </c>
      <c r="AQ512" t="str">
        <f>"2"</f>
        <v>2</v>
      </c>
      <c r="AR512" t="str">
        <f t="shared" si="593"/>
        <v>1</v>
      </c>
      <c r="AS512" t="str">
        <f>"7/01/2020 12:00:00 a. m."</f>
        <v>7/01/2020 12:00:00 a. m.</v>
      </c>
      <c r="AT512" t="str">
        <f t="shared" si="567"/>
        <v>1</v>
      </c>
      <c r="AU512" t="str">
        <f>""</f>
        <v/>
      </c>
      <c r="AV512" t="str">
        <f>"3"</f>
        <v>3</v>
      </c>
      <c r="AW512" t="str">
        <f>"23/06/2011 12:00:00 a. m."</f>
        <v>23/06/2011 12:00:00 a. m.</v>
      </c>
      <c r="AX512" t="str">
        <f>""</f>
        <v/>
      </c>
      <c r="AY512" t="str">
        <f t="shared" si="527"/>
        <v>30/04/2021 12:00:00 a. m.</v>
      </c>
      <c r="AZ512" t="str">
        <f>"18/05/2020 12:00:00 a. m."</f>
        <v>18/05/2020 12:00:00 a. m.</v>
      </c>
      <c r="BA512" t="str">
        <f>""</f>
        <v/>
      </c>
      <c r="BB512" t="str">
        <f>""</f>
        <v/>
      </c>
      <c r="BC512" t="str">
        <f>""</f>
        <v/>
      </c>
      <c r="BD512" t="str">
        <f t="shared" si="591"/>
        <v>1</v>
      </c>
      <c r="BE512" t="str">
        <f t="shared" si="591"/>
        <v>1</v>
      </c>
      <c r="BF512" t="str">
        <f t="shared" si="528"/>
        <v xml:space="preserve">3         </v>
      </c>
      <c r="BG512" t="str">
        <f t="shared" si="529"/>
        <v>Confirmado por laboratorio</v>
      </c>
      <c r="BH512" t="str">
        <f>"HOSPITAL DEPARTAMENTAL DE VILLAVICENCIO"</f>
        <v>HOSPITAL DEPARTAMENTAL DE VILLAVICENCIO</v>
      </c>
      <c r="BI512" t="str">
        <f t="shared" si="537"/>
        <v>COLOMBIA</v>
      </c>
      <c r="BJ512" t="str">
        <f t="shared" si="530"/>
        <v>CANCER INFANTIL</v>
      </c>
      <c r="BK512" t="str">
        <f>"META"</f>
        <v>META</v>
      </c>
      <c r="BL512" t="str">
        <f>"VILLAVICENCIO"</f>
        <v>VILLAVICENCIO</v>
      </c>
      <c r="BM512" t="str">
        <f t="shared" si="538"/>
        <v>COLOMBIA</v>
      </c>
      <c r="BN512" t="str">
        <f>"META"</f>
        <v>META</v>
      </c>
      <c r="BO512" t="str">
        <f>"VILLAVICENCIO"</f>
        <v>VILLAVICENCIO</v>
      </c>
      <c r="BP512" t="str">
        <f>"META"</f>
        <v>META</v>
      </c>
      <c r="BQ512" t="str">
        <f>"VILLAVICENCIO"</f>
        <v>VILLAVICENCIO</v>
      </c>
    </row>
    <row r="513" spans="1:69" x14ac:dyDescent="0.25">
      <c r="A513" t="str">
        <f>"7279124"</f>
        <v>7279124</v>
      </c>
      <c r="B513" t="str">
        <f t="shared" si="522"/>
        <v>459</v>
      </c>
      <c r="C513" t="str">
        <f>"17/09/2020 12:00:00 a. m."</f>
        <v>17/09/2020 12:00:00 a. m.</v>
      </c>
      <c r="D513" t="str">
        <f>"36"</f>
        <v>36</v>
      </c>
      <c r="E513" t="str">
        <f t="shared" si="523"/>
        <v>2020</v>
      </c>
      <c r="F513" t="str">
        <f>"1100105681"</f>
        <v>1100105681</v>
      </c>
      <c r="G513" t="str">
        <f>"01"</f>
        <v>01</v>
      </c>
      <c r="H513" t="str">
        <f>"3"</f>
        <v>3</v>
      </c>
      <c r="I513" t="str">
        <f t="shared" si="579"/>
        <v>1</v>
      </c>
      <c r="J513" t="str">
        <f>"M"</f>
        <v>M</v>
      </c>
      <c r="K513" t="str">
        <f t="shared" si="534"/>
        <v>170</v>
      </c>
      <c r="L513" t="str">
        <f>"15"</f>
        <v>15</v>
      </c>
      <c r="M513" t="str">
        <f>"238"</f>
        <v>238</v>
      </c>
      <c r="N513" t="str">
        <f>"1"</f>
        <v>1</v>
      </c>
      <c r="O513" t="str">
        <f>"9999"</f>
        <v>9999</v>
      </c>
      <c r="P513" t="str">
        <f>"C"</f>
        <v>C</v>
      </c>
      <c r="Q513" t="str">
        <f>"EPS044"</f>
        <v>EPS044</v>
      </c>
      <c r="R513" t="str">
        <f t="shared" si="568"/>
        <v>6</v>
      </c>
      <c r="S513" t="str">
        <f>""</f>
        <v/>
      </c>
      <c r="T513" t="str">
        <f t="shared" si="589"/>
        <v xml:space="preserve">                                                                                                    </v>
      </c>
      <c r="U513" t="str">
        <f t="shared" si="600"/>
        <v xml:space="preserve">2         </v>
      </c>
      <c r="V513" t="str">
        <f t="shared" si="601"/>
        <v>2</v>
      </c>
      <c r="W513" t="str">
        <f t="shared" si="572"/>
        <v>2</v>
      </c>
      <c r="X513" t="str">
        <f t="shared" si="547"/>
        <v>2</v>
      </c>
      <c r="Y513" t="str">
        <f t="shared" si="580"/>
        <v>2</v>
      </c>
      <c r="Z513" t="str">
        <f t="shared" si="580"/>
        <v>2</v>
      </c>
      <c r="AA513" t="str">
        <f t="shared" si="525"/>
        <v xml:space="preserve">          </v>
      </c>
      <c r="AB513" t="str">
        <f t="shared" si="594"/>
        <v>2</v>
      </c>
      <c r="AC513" t="str">
        <f t="shared" si="596"/>
        <v>2</v>
      </c>
      <c r="AD513" t="str">
        <f t="shared" si="582"/>
        <v>2</v>
      </c>
      <c r="AE513" t="str">
        <f t="shared" si="582"/>
        <v>2</v>
      </c>
      <c r="AF513" t="str">
        <f t="shared" si="582"/>
        <v>2</v>
      </c>
      <c r="AG513" t="str">
        <f t="shared" si="582"/>
        <v>2</v>
      </c>
      <c r="AH513" t="str">
        <f t="shared" si="573"/>
        <v>1</v>
      </c>
      <c r="AI513" t="str">
        <f t="shared" si="597"/>
        <v xml:space="preserve">1         </v>
      </c>
      <c r="AJ513" t="str">
        <f t="shared" si="536"/>
        <v>170</v>
      </c>
      <c r="AK513" t="str">
        <f>"15"</f>
        <v>15</v>
      </c>
      <c r="AL513" t="str">
        <f>"238"</f>
        <v>238</v>
      </c>
      <c r="AM513" t="str">
        <f>"11"</f>
        <v>11</v>
      </c>
      <c r="AN513" t="str">
        <f>"11001"</f>
        <v>11001</v>
      </c>
      <c r="AO513" t="str">
        <f>"2/09/2020 12:00:00 a. m."</f>
        <v>2/09/2020 12:00:00 a. m.</v>
      </c>
      <c r="AP513" t="str">
        <f>"2/07/2020 12:00:00 a. m."</f>
        <v>2/07/2020 12:00:00 a. m.</v>
      </c>
      <c r="AQ513" t="str">
        <f t="shared" ref="AQ513:AQ522" si="602">"3"</f>
        <v>3</v>
      </c>
      <c r="AR513" t="str">
        <f t="shared" si="593"/>
        <v>1</v>
      </c>
      <c r="AS513" t="str">
        <f>"2/09/2020 12:00:00 a. m."</f>
        <v>2/09/2020 12:00:00 a. m.</v>
      </c>
      <c r="AT513" t="str">
        <f t="shared" si="567"/>
        <v>1</v>
      </c>
      <c r="AU513" t="str">
        <f>""</f>
        <v/>
      </c>
      <c r="AV513" t="str">
        <f>"0"</f>
        <v>0</v>
      </c>
      <c r="AW513" t="str">
        <f>"10/10/2017 12:00:00 a. m."</f>
        <v>10/10/2017 12:00:00 a. m.</v>
      </c>
      <c r="AX513" t="str">
        <f>""</f>
        <v/>
      </c>
      <c r="AY513" t="str">
        <f t="shared" si="527"/>
        <v>30/04/2021 12:00:00 a. m.</v>
      </c>
      <c r="AZ513" t="str">
        <f>"2/12/2020 12:00:00 a. m."</f>
        <v>2/12/2020 12:00:00 a. m.</v>
      </c>
      <c r="BA513" t="str">
        <f>""</f>
        <v/>
      </c>
      <c r="BB513" t="str">
        <f>""</f>
        <v/>
      </c>
      <c r="BC513" t="str">
        <f>""</f>
        <v/>
      </c>
      <c r="BD513" t="str">
        <f t="shared" si="591"/>
        <v>1</v>
      </c>
      <c r="BE513" t="str">
        <f t="shared" si="591"/>
        <v>1</v>
      </c>
      <c r="BF513" t="str">
        <f t="shared" si="528"/>
        <v xml:space="preserve">3         </v>
      </c>
      <c r="BG513" t="str">
        <f t="shared" si="529"/>
        <v>Confirmado por laboratorio</v>
      </c>
      <c r="BH513" t="str">
        <f>"FUNDACION HOSPITAL DE LA MISERICORDIA"</f>
        <v>FUNDACION HOSPITAL DE LA MISERICORDIA</v>
      </c>
      <c r="BI513" t="str">
        <f t="shared" si="537"/>
        <v>COLOMBIA</v>
      </c>
      <c r="BJ513" t="str">
        <f t="shared" si="530"/>
        <v>CANCER INFANTIL</v>
      </c>
      <c r="BK513" t="str">
        <f>"BOYACA"</f>
        <v>BOYACA</v>
      </c>
      <c r="BL513" t="str">
        <f>"DUITAMA"</f>
        <v>DUITAMA</v>
      </c>
      <c r="BM513" t="str">
        <f t="shared" si="538"/>
        <v>COLOMBIA</v>
      </c>
      <c r="BN513" t="str">
        <f>"BOYACA"</f>
        <v>BOYACA</v>
      </c>
      <c r="BO513" t="str">
        <f>"DUITAMA"</f>
        <v>DUITAMA</v>
      </c>
      <c r="BP513" t="str">
        <f>"BOGOTA"</f>
        <v>BOGOTA</v>
      </c>
      <c r="BQ513" t="str">
        <f>"BOGOTA"</f>
        <v>BOGOTA</v>
      </c>
    </row>
    <row r="514" spans="1:69" x14ac:dyDescent="0.25">
      <c r="A514" t="str">
        <f>"7279284"</f>
        <v>7279284</v>
      </c>
      <c r="B514" t="str">
        <f t="shared" ref="B514:B577" si="603">"459"</f>
        <v>459</v>
      </c>
      <c r="C514" t="str">
        <f>"30/10/2020 12:00:00 a. m."</f>
        <v>30/10/2020 12:00:00 a. m.</v>
      </c>
      <c r="D514" t="str">
        <f>"44"</f>
        <v>44</v>
      </c>
      <c r="E514" t="str">
        <f t="shared" ref="E514:E577" si="604">"2020"</f>
        <v>2020</v>
      </c>
      <c r="F514" t="str">
        <f>"0500102104"</f>
        <v>0500102104</v>
      </c>
      <c r="G514" t="str">
        <f>"01"</f>
        <v>01</v>
      </c>
      <c r="H514" t="str">
        <f>"17"</f>
        <v>17</v>
      </c>
      <c r="I514" t="str">
        <f t="shared" si="579"/>
        <v>1</v>
      </c>
      <c r="J514" t="str">
        <f>"M"</f>
        <v>M</v>
      </c>
      <c r="K514" t="str">
        <f t="shared" si="534"/>
        <v>170</v>
      </c>
      <c r="L514" t="str">
        <f>"05"</f>
        <v>05</v>
      </c>
      <c r="M514" t="str">
        <f>"001"</f>
        <v>001</v>
      </c>
      <c r="N514" t="str">
        <f>"1"</f>
        <v>1</v>
      </c>
      <c r="O514" t="str">
        <f>"9999"</f>
        <v>9999</v>
      </c>
      <c r="P514" t="str">
        <f>"S"</f>
        <v>S</v>
      </c>
      <c r="Q514" t="str">
        <f>"EPSS40"</f>
        <v>EPSS40</v>
      </c>
      <c r="R514" t="str">
        <f t="shared" si="568"/>
        <v>6</v>
      </c>
      <c r="S514" t="str">
        <f>""</f>
        <v/>
      </c>
      <c r="T514" t="str">
        <f t="shared" si="589"/>
        <v xml:space="preserve">                                                                                                    </v>
      </c>
      <c r="U514" t="str">
        <f t="shared" si="600"/>
        <v xml:space="preserve">2         </v>
      </c>
      <c r="V514" t="str">
        <f t="shared" si="601"/>
        <v>2</v>
      </c>
      <c r="W514" t="str">
        <f t="shared" si="572"/>
        <v>2</v>
      </c>
      <c r="X514" t="str">
        <f t="shared" si="547"/>
        <v>2</v>
      </c>
      <c r="Y514" t="str">
        <f t="shared" si="580"/>
        <v>2</v>
      </c>
      <c r="Z514" t="str">
        <f t="shared" si="580"/>
        <v>2</v>
      </c>
      <c r="AA514" t="str">
        <f t="shared" ref="AA514:AA577" si="605">"          "</f>
        <v xml:space="preserve">          </v>
      </c>
      <c r="AB514" t="str">
        <f t="shared" si="594"/>
        <v>2</v>
      </c>
      <c r="AC514" t="str">
        <f t="shared" si="596"/>
        <v>2</v>
      </c>
      <c r="AD514" t="str">
        <f t="shared" si="582"/>
        <v>2</v>
      </c>
      <c r="AE514" t="str">
        <f t="shared" si="582"/>
        <v>2</v>
      </c>
      <c r="AF514" t="str">
        <f t="shared" si="582"/>
        <v>2</v>
      </c>
      <c r="AG514" t="str">
        <f t="shared" si="582"/>
        <v>2</v>
      </c>
      <c r="AH514" t="str">
        <f t="shared" si="573"/>
        <v>1</v>
      </c>
      <c r="AI514" t="str">
        <f t="shared" si="597"/>
        <v xml:space="preserve">1         </v>
      </c>
      <c r="AJ514" t="str">
        <f t="shared" si="536"/>
        <v>170</v>
      </c>
      <c r="AK514" t="str">
        <f>"05"</f>
        <v>05</v>
      </c>
      <c r="AL514" t="str">
        <f>"001"</f>
        <v>001</v>
      </c>
      <c r="AM514" t="str">
        <f>"05"</f>
        <v>05</v>
      </c>
      <c r="AN514" t="str">
        <f>"05001"</f>
        <v>05001</v>
      </c>
      <c r="AO514" t="str">
        <f>"30/10/2020 12:00:00 a. m."</f>
        <v>30/10/2020 12:00:00 a. m.</v>
      </c>
      <c r="AP514" t="str">
        <f>"22/10/2020 12:00:00 a. m."</f>
        <v>22/10/2020 12:00:00 a. m.</v>
      </c>
      <c r="AQ514" t="str">
        <f t="shared" si="602"/>
        <v>3</v>
      </c>
      <c r="AR514" t="str">
        <f t="shared" si="593"/>
        <v>1</v>
      </c>
      <c r="AS514" t="str">
        <f>"30/10/2020 12:00:00 a. m."</f>
        <v>30/10/2020 12:00:00 a. m.</v>
      </c>
      <c r="AT514" t="str">
        <f t="shared" si="567"/>
        <v>1</v>
      </c>
      <c r="AU514" t="str">
        <f>""</f>
        <v/>
      </c>
      <c r="AV514" t="str">
        <f>"0"</f>
        <v>0</v>
      </c>
      <c r="AW514" t="str">
        <f>"2/02/2003 12:00:00 a. m."</f>
        <v>2/02/2003 12:00:00 a. m.</v>
      </c>
      <c r="AX514" t="str">
        <f>""</f>
        <v/>
      </c>
      <c r="AY514" t="str">
        <f t="shared" ref="AY514:AY577" si="606">"30/04/2021 12:00:00 a. m."</f>
        <v>30/04/2021 12:00:00 a. m.</v>
      </c>
      <c r="AZ514" t="str">
        <f>"3/11/2020 12:00:00 a. m."</f>
        <v>3/11/2020 12:00:00 a. m.</v>
      </c>
      <c r="BA514" t="str">
        <f>""</f>
        <v/>
      </c>
      <c r="BB514" t="str">
        <f>""</f>
        <v/>
      </c>
      <c r="BC514" t="str">
        <f>""</f>
        <v/>
      </c>
      <c r="BD514" t="str">
        <f t="shared" si="591"/>
        <v>1</v>
      </c>
      <c r="BE514" t="str">
        <f t="shared" si="591"/>
        <v>1</v>
      </c>
      <c r="BF514" t="str">
        <f t="shared" ref="BF514:BF577" si="607">"3         "</f>
        <v xml:space="preserve">3         </v>
      </c>
      <c r="BG514" t="str">
        <f t="shared" ref="BG514:BG577" si="608">"Confirmado por laboratorio"</f>
        <v>Confirmado por laboratorio</v>
      </c>
      <c r="BH514" t="str">
        <f>"HOSPITAL PABLO TOBON URIBE"</f>
        <v>HOSPITAL PABLO TOBON URIBE</v>
      </c>
      <c r="BI514" t="str">
        <f t="shared" si="537"/>
        <v>COLOMBIA</v>
      </c>
      <c r="BJ514" t="str">
        <f t="shared" ref="BJ514:BJ577" si="609">"CANCER INFANTIL"</f>
        <v>CANCER INFANTIL</v>
      </c>
      <c r="BK514" t="str">
        <f>"ANTIOQUIA"</f>
        <v>ANTIOQUIA</v>
      </c>
      <c r="BL514" t="str">
        <f>"MEDELLIN"</f>
        <v>MEDELLIN</v>
      </c>
      <c r="BM514" t="str">
        <f t="shared" si="538"/>
        <v>COLOMBIA</v>
      </c>
      <c r="BN514" t="str">
        <f>"ANTIOQUIA"</f>
        <v>ANTIOQUIA</v>
      </c>
      <c r="BO514" t="str">
        <f>"MEDELLIN"</f>
        <v>MEDELLIN</v>
      </c>
      <c r="BP514" t="str">
        <f>"ANTIOQUIA"</f>
        <v>ANTIOQUIA</v>
      </c>
      <c r="BQ514" t="str">
        <f>"MEDELLIN"</f>
        <v>MEDELLIN</v>
      </c>
    </row>
    <row r="515" spans="1:69" x14ac:dyDescent="0.25">
      <c r="A515" t="str">
        <f>"7278817"</f>
        <v>7278817</v>
      </c>
      <c r="B515" t="str">
        <f t="shared" si="603"/>
        <v>459</v>
      </c>
      <c r="C515" t="str">
        <f>"6/11/2020 12:00:00 a. m."</f>
        <v>6/11/2020 12:00:00 a. m.</v>
      </c>
      <c r="D515" t="str">
        <f>"13"</f>
        <v>13</v>
      </c>
      <c r="E515" t="str">
        <f t="shared" si="604"/>
        <v>2020</v>
      </c>
      <c r="F515" t="str">
        <f>"1100130289"</f>
        <v>1100130289</v>
      </c>
      <c r="G515" t="str">
        <f>"06"</f>
        <v>06</v>
      </c>
      <c r="H515" t="str">
        <f>"17"</f>
        <v>17</v>
      </c>
      <c r="I515" t="str">
        <f t="shared" si="579"/>
        <v>1</v>
      </c>
      <c r="J515" t="str">
        <f>"F"</f>
        <v>F</v>
      </c>
      <c r="K515" t="str">
        <f t="shared" si="534"/>
        <v>170</v>
      </c>
      <c r="L515" t="str">
        <f>"11"</f>
        <v>11</v>
      </c>
      <c r="M515" t="str">
        <f>"001"</f>
        <v>001</v>
      </c>
      <c r="N515" t="str">
        <f>"1"</f>
        <v>1</v>
      </c>
      <c r="O515" t="str">
        <f>"9996"</f>
        <v>9996</v>
      </c>
      <c r="P515" t="str">
        <f>"S"</f>
        <v>S</v>
      </c>
      <c r="Q515" t="str">
        <f>"EPSS34"</f>
        <v>EPSS34</v>
      </c>
      <c r="R515" t="str">
        <f t="shared" si="568"/>
        <v>6</v>
      </c>
      <c r="S515" t="str">
        <f>""</f>
        <v/>
      </c>
      <c r="T515" t="str">
        <f t="shared" si="589"/>
        <v xml:space="preserve">                                                                                                    </v>
      </c>
      <c r="U515" t="str">
        <f t="shared" si="600"/>
        <v xml:space="preserve">2         </v>
      </c>
      <c r="V515" t="str">
        <f t="shared" si="601"/>
        <v>2</v>
      </c>
      <c r="W515" t="str">
        <f t="shared" si="572"/>
        <v>2</v>
      </c>
      <c r="X515" t="str">
        <f t="shared" si="547"/>
        <v>2</v>
      </c>
      <c r="Y515" t="str">
        <f t="shared" si="580"/>
        <v>2</v>
      </c>
      <c r="Z515" t="str">
        <f t="shared" si="580"/>
        <v>2</v>
      </c>
      <c r="AA515" t="str">
        <f t="shared" si="605"/>
        <v xml:space="preserve">          </v>
      </c>
      <c r="AB515" t="str">
        <f t="shared" si="594"/>
        <v>2</v>
      </c>
      <c r="AC515" t="str">
        <f t="shared" si="596"/>
        <v>2</v>
      </c>
      <c r="AD515" t="str">
        <f t="shared" si="582"/>
        <v>2</v>
      </c>
      <c r="AE515" t="str">
        <f t="shared" si="582"/>
        <v>2</v>
      </c>
      <c r="AF515" t="str">
        <f t="shared" si="582"/>
        <v>2</v>
      </c>
      <c r="AG515" t="str">
        <f t="shared" si="582"/>
        <v>2</v>
      </c>
      <c r="AH515" t="str">
        <f t="shared" si="573"/>
        <v>1</v>
      </c>
      <c r="AI515" t="str">
        <f>"2         "</f>
        <v xml:space="preserve">2         </v>
      </c>
      <c r="AJ515" t="str">
        <f t="shared" si="536"/>
        <v>170</v>
      </c>
      <c r="AK515" t="str">
        <f>"11"</f>
        <v>11</v>
      </c>
      <c r="AL515" t="str">
        <f>"001"</f>
        <v>001</v>
      </c>
      <c r="AM515" t="str">
        <f>"11"</f>
        <v>11</v>
      </c>
      <c r="AN515" t="str">
        <f>"11001"</f>
        <v>11001</v>
      </c>
      <c r="AO515" t="str">
        <f>"26/03/2020 12:00:00 a. m."</f>
        <v>26/03/2020 12:00:00 a. m.</v>
      </c>
      <c r="AP515" t="str">
        <f>"20/01/2020 12:00:00 a. m."</f>
        <v>20/01/2020 12:00:00 a. m.</v>
      </c>
      <c r="AQ515" t="str">
        <f t="shared" si="602"/>
        <v>3</v>
      </c>
      <c r="AR515" t="str">
        <f>"2"</f>
        <v>2</v>
      </c>
      <c r="AS515" t="str">
        <f>""</f>
        <v/>
      </c>
      <c r="AT515" t="str">
        <f t="shared" si="567"/>
        <v>1</v>
      </c>
      <c r="AU515" t="str">
        <f>""</f>
        <v/>
      </c>
      <c r="AV515" t="str">
        <f>"0"</f>
        <v>0</v>
      </c>
      <c r="AW515" t="str">
        <f>"7/12/2002 12:00:00 a. m."</f>
        <v>7/12/2002 12:00:00 a. m.</v>
      </c>
      <c r="AX515" t="str">
        <f>""</f>
        <v/>
      </c>
      <c r="AY515" t="str">
        <f t="shared" si="606"/>
        <v>30/04/2021 12:00:00 a. m.</v>
      </c>
      <c r="AZ515" t="str">
        <f>"6/11/2020 12:00:00 a. m."</f>
        <v>6/11/2020 12:00:00 a. m.</v>
      </c>
      <c r="BA515" t="str">
        <f>""</f>
        <v/>
      </c>
      <c r="BB515" t="str">
        <f>""</f>
        <v/>
      </c>
      <c r="BC515" t="str">
        <f>""</f>
        <v/>
      </c>
      <c r="BD515" t="str">
        <f t="shared" si="591"/>
        <v>1</v>
      </c>
      <c r="BE515" t="str">
        <f t="shared" si="591"/>
        <v>1</v>
      </c>
      <c r="BF515" t="str">
        <f t="shared" si="607"/>
        <v xml:space="preserve">3         </v>
      </c>
      <c r="BG515" t="str">
        <f t="shared" si="608"/>
        <v>Confirmado por laboratorio</v>
      </c>
      <c r="BH515" t="str">
        <f>"UNIDAD DE SERVICIOS DE SALUD PRIMERA DE MAYO SUBRE"</f>
        <v>UNIDAD DE SERVICIOS DE SALUD PRIMERA DE MAYO SUBRE</v>
      </c>
      <c r="BI515" t="str">
        <f t="shared" si="537"/>
        <v>COLOMBIA</v>
      </c>
      <c r="BJ515" t="str">
        <f t="shared" si="609"/>
        <v>CANCER INFANTIL</v>
      </c>
      <c r="BK515" t="str">
        <f>"BOGOTA"</f>
        <v>BOGOTA</v>
      </c>
      <c r="BL515" t="str">
        <f>"BOGOTA"</f>
        <v>BOGOTA</v>
      </c>
      <c r="BM515" t="str">
        <f t="shared" si="538"/>
        <v>COLOMBIA</v>
      </c>
      <c r="BN515" t="str">
        <f t="shared" ref="BN515:BQ516" si="610">"BOGOTA"</f>
        <v>BOGOTA</v>
      </c>
      <c r="BO515" t="str">
        <f t="shared" si="610"/>
        <v>BOGOTA</v>
      </c>
      <c r="BP515" t="str">
        <f t="shared" si="610"/>
        <v>BOGOTA</v>
      </c>
      <c r="BQ515" t="str">
        <f t="shared" si="610"/>
        <v>BOGOTA</v>
      </c>
    </row>
    <row r="516" spans="1:69" x14ac:dyDescent="0.25">
      <c r="A516" t="str">
        <f>"7278818"</f>
        <v>7278818</v>
      </c>
      <c r="B516" t="str">
        <f t="shared" si="603"/>
        <v>459</v>
      </c>
      <c r="C516" t="str">
        <f>"24/04/2020 12:00:00 a. m."</f>
        <v>24/04/2020 12:00:00 a. m.</v>
      </c>
      <c r="D516" t="str">
        <f>"17"</f>
        <v>17</v>
      </c>
      <c r="E516" t="str">
        <f t="shared" si="604"/>
        <v>2020</v>
      </c>
      <c r="F516" t="str">
        <f>"1100109456"</f>
        <v>1100109456</v>
      </c>
      <c r="G516" t="str">
        <f t="shared" ref="G516:G522" si="611">"01"</f>
        <v>01</v>
      </c>
      <c r="H516" t="str">
        <f>"16"</f>
        <v>16</v>
      </c>
      <c r="I516" t="str">
        <f t="shared" si="579"/>
        <v>1</v>
      </c>
      <c r="J516" t="str">
        <f>"F"</f>
        <v>F</v>
      </c>
      <c r="K516" t="str">
        <f t="shared" si="534"/>
        <v>170</v>
      </c>
      <c r="L516" t="str">
        <f>"11"</f>
        <v>11</v>
      </c>
      <c r="M516" t="str">
        <f>"001"</f>
        <v>001</v>
      </c>
      <c r="N516" t="str">
        <f>"1"</f>
        <v>1</v>
      </c>
      <c r="O516" t="str">
        <f>"9997"</f>
        <v>9997</v>
      </c>
      <c r="P516" t="str">
        <f>"C"</f>
        <v>C</v>
      </c>
      <c r="Q516" t="str">
        <f>"EPS037"</f>
        <v>EPS037</v>
      </c>
      <c r="R516" t="str">
        <f t="shared" si="568"/>
        <v>6</v>
      </c>
      <c r="S516" t="str">
        <f>""</f>
        <v/>
      </c>
      <c r="T516" t="str">
        <f t="shared" si="589"/>
        <v xml:space="preserve">                                                                                                    </v>
      </c>
      <c r="U516" t="str">
        <f t="shared" si="600"/>
        <v xml:space="preserve">2         </v>
      </c>
      <c r="V516" t="str">
        <f t="shared" si="601"/>
        <v>2</v>
      </c>
      <c r="W516" t="str">
        <f t="shared" si="572"/>
        <v>2</v>
      </c>
      <c r="X516" t="str">
        <f t="shared" si="547"/>
        <v>2</v>
      </c>
      <c r="Y516" t="str">
        <f t="shared" si="580"/>
        <v>2</v>
      </c>
      <c r="Z516" t="str">
        <f t="shared" si="580"/>
        <v>2</v>
      </c>
      <c r="AA516" t="str">
        <f t="shared" si="605"/>
        <v xml:space="preserve">          </v>
      </c>
      <c r="AB516" t="str">
        <f t="shared" si="594"/>
        <v>2</v>
      </c>
      <c r="AC516" t="str">
        <f t="shared" si="596"/>
        <v>2</v>
      </c>
      <c r="AD516" t="str">
        <f t="shared" si="582"/>
        <v>2</v>
      </c>
      <c r="AE516" t="str">
        <f t="shared" si="582"/>
        <v>2</v>
      </c>
      <c r="AF516" t="str">
        <f t="shared" si="582"/>
        <v>2</v>
      </c>
      <c r="AG516" t="str">
        <f t="shared" si="582"/>
        <v>2</v>
      </c>
      <c r="AH516" t="str">
        <f t="shared" si="573"/>
        <v>1</v>
      </c>
      <c r="AI516" t="str">
        <f>"1         "</f>
        <v xml:space="preserve">1         </v>
      </c>
      <c r="AJ516" t="str">
        <f t="shared" si="536"/>
        <v>170</v>
      </c>
      <c r="AK516" t="str">
        <f>"11"</f>
        <v>11</v>
      </c>
      <c r="AL516" t="str">
        <f>"001"</f>
        <v>001</v>
      </c>
      <c r="AM516" t="str">
        <f>"11"</f>
        <v>11</v>
      </c>
      <c r="AN516" t="str">
        <f>"11001"</f>
        <v>11001</v>
      </c>
      <c r="AO516" t="str">
        <f>"23/04/2020 12:00:00 a. m."</f>
        <v>23/04/2020 12:00:00 a. m.</v>
      </c>
      <c r="AP516" t="str">
        <f>"17/01/2020 12:00:00 a. m."</f>
        <v>17/01/2020 12:00:00 a. m.</v>
      </c>
      <c r="AQ516" t="str">
        <f t="shared" si="602"/>
        <v>3</v>
      </c>
      <c r="AR516" t="str">
        <f>"1"</f>
        <v>1</v>
      </c>
      <c r="AS516" t="str">
        <f>"23/04/2020 12:00:00 a. m."</f>
        <v>23/04/2020 12:00:00 a. m.</v>
      </c>
      <c r="AT516" t="str">
        <f t="shared" si="567"/>
        <v>1</v>
      </c>
      <c r="AU516" t="str">
        <f>""</f>
        <v/>
      </c>
      <c r="AV516" t="str">
        <f>"3"</f>
        <v>3</v>
      </c>
      <c r="AW516" t="str">
        <f>"8/01/2004 12:00:00 a. m."</f>
        <v>8/01/2004 12:00:00 a. m.</v>
      </c>
      <c r="AX516" t="str">
        <f>""</f>
        <v/>
      </c>
      <c r="AY516" t="str">
        <f t="shared" si="606"/>
        <v>30/04/2021 12:00:00 a. m.</v>
      </c>
      <c r="AZ516" t="str">
        <f>"20/05/2020 12:00:00 a. m."</f>
        <v>20/05/2020 12:00:00 a. m.</v>
      </c>
      <c r="BA516" t="str">
        <f>""</f>
        <v/>
      </c>
      <c r="BB516" t="str">
        <f>""</f>
        <v/>
      </c>
      <c r="BC516" t="str">
        <f>""</f>
        <v/>
      </c>
      <c r="BD516" t="str">
        <f t="shared" si="591"/>
        <v>1</v>
      </c>
      <c r="BE516" t="str">
        <f t="shared" si="591"/>
        <v>1</v>
      </c>
      <c r="BF516" t="str">
        <f t="shared" si="607"/>
        <v xml:space="preserve">3         </v>
      </c>
      <c r="BG516" t="str">
        <f t="shared" si="608"/>
        <v>Confirmado por laboratorio</v>
      </c>
      <c r="BH516" t="str">
        <f>"HOSPITAL UNIVERSITARIO SAN IGNACIO"</f>
        <v>HOSPITAL UNIVERSITARIO SAN IGNACIO</v>
      </c>
      <c r="BI516" t="str">
        <f t="shared" si="537"/>
        <v>COLOMBIA</v>
      </c>
      <c r="BJ516" t="str">
        <f t="shared" si="609"/>
        <v>CANCER INFANTIL</v>
      </c>
      <c r="BK516" t="str">
        <f>"BOGOTA"</f>
        <v>BOGOTA</v>
      </c>
      <c r="BL516" t="str">
        <f>"BOGOTA"</f>
        <v>BOGOTA</v>
      </c>
      <c r="BM516" t="str">
        <f t="shared" si="538"/>
        <v>COLOMBIA</v>
      </c>
      <c r="BN516" t="str">
        <f t="shared" si="610"/>
        <v>BOGOTA</v>
      </c>
      <c r="BO516" t="str">
        <f t="shared" si="610"/>
        <v>BOGOTA</v>
      </c>
      <c r="BP516" t="str">
        <f t="shared" si="610"/>
        <v>BOGOTA</v>
      </c>
      <c r="BQ516" t="str">
        <f t="shared" si="610"/>
        <v>BOGOTA</v>
      </c>
    </row>
    <row r="517" spans="1:69" x14ac:dyDescent="0.25">
      <c r="A517" t="str">
        <f>"7278941"</f>
        <v>7278941</v>
      </c>
      <c r="B517" t="str">
        <f t="shared" si="603"/>
        <v>459</v>
      </c>
      <c r="C517" t="str">
        <f>"26/05/2020 12:00:00 a. m."</f>
        <v>26/05/2020 12:00:00 a. m.</v>
      </c>
      <c r="D517" t="str">
        <f>"03"</f>
        <v>03</v>
      </c>
      <c r="E517" t="str">
        <f t="shared" si="604"/>
        <v>2020</v>
      </c>
      <c r="F517" t="str">
        <f>"1100116133"</f>
        <v>1100116133</v>
      </c>
      <c r="G517" t="str">
        <f t="shared" si="611"/>
        <v>01</v>
      </c>
      <c r="H517" t="str">
        <f>"13"</f>
        <v>13</v>
      </c>
      <c r="I517" t="str">
        <f t="shared" si="579"/>
        <v>1</v>
      </c>
      <c r="J517" t="str">
        <f>"M"</f>
        <v>M</v>
      </c>
      <c r="K517" t="str">
        <f t="shared" si="534"/>
        <v>170</v>
      </c>
      <c r="L517" t="str">
        <f>"25"</f>
        <v>25</v>
      </c>
      <c r="M517" t="str">
        <f>"506"</f>
        <v>506</v>
      </c>
      <c r="N517" t="str">
        <f>"3"</f>
        <v>3</v>
      </c>
      <c r="O517" t="str">
        <f>"9997"</f>
        <v>9997</v>
      </c>
      <c r="P517" t="str">
        <f>"S"</f>
        <v>S</v>
      </c>
      <c r="Q517" t="str">
        <f>"ESS091"</f>
        <v>ESS091</v>
      </c>
      <c r="R517" t="str">
        <f t="shared" si="568"/>
        <v>6</v>
      </c>
      <c r="S517" t="str">
        <f>""</f>
        <v/>
      </c>
      <c r="T517" t="str">
        <f t="shared" si="589"/>
        <v xml:space="preserve">                                                                                                    </v>
      </c>
      <c r="U517" t="str">
        <f>"1         "</f>
        <v xml:space="preserve">1         </v>
      </c>
      <c r="V517" t="str">
        <f t="shared" si="601"/>
        <v>2</v>
      </c>
      <c r="W517" t="str">
        <f t="shared" si="572"/>
        <v>2</v>
      </c>
      <c r="X517" t="str">
        <f t="shared" si="547"/>
        <v>2</v>
      </c>
      <c r="Y517" t="str">
        <f t="shared" si="580"/>
        <v>2</v>
      </c>
      <c r="Z517" t="str">
        <f t="shared" si="580"/>
        <v>2</v>
      </c>
      <c r="AA517" t="str">
        <f t="shared" si="605"/>
        <v xml:space="preserve">          </v>
      </c>
      <c r="AB517" t="str">
        <f t="shared" si="594"/>
        <v>2</v>
      </c>
      <c r="AC517" t="str">
        <f t="shared" si="596"/>
        <v>2</v>
      </c>
      <c r="AD517" t="str">
        <f t="shared" si="582"/>
        <v>2</v>
      </c>
      <c r="AE517" t="str">
        <f t="shared" si="582"/>
        <v>2</v>
      </c>
      <c r="AF517" t="str">
        <f t="shared" si="582"/>
        <v>2</v>
      </c>
      <c r="AG517" t="str">
        <f t="shared" si="582"/>
        <v>2</v>
      </c>
      <c r="AH517" t="str">
        <f t="shared" si="573"/>
        <v>1</v>
      </c>
      <c r="AI517" t="str">
        <f>"2         "</f>
        <v xml:space="preserve">2         </v>
      </c>
      <c r="AJ517" t="str">
        <f t="shared" si="536"/>
        <v>170</v>
      </c>
      <c r="AK517" t="str">
        <f>"25"</f>
        <v>25</v>
      </c>
      <c r="AL517" t="str">
        <f>"506"</f>
        <v>506</v>
      </c>
      <c r="AM517" t="str">
        <f>"11"</f>
        <v>11</v>
      </c>
      <c r="AN517" t="str">
        <f>"11001"</f>
        <v>11001</v>
      </c>
      <c r="AO517" t="str">
        <f>"15/01/2020 12:00:00 a. m."</f>
        <v>15/01/2020 12:00:00 a. m.</v>
      </c>
      <c r="AP517" t="str">
        <f>"5/01/2020 12:00:00 a. m."</f>
        <v>5/01/2020 12:00:00 a. m.</v>
      </c>
      <c r="AQ517" t="str">
        <f t="shared" si="602"/>
        <v>3</v>
      </c>
      <c r="AR517" t="str">
        <f>"1"</f>
        <v>1</v>
      </c>
      <c r="AS517" t="str">
        <f>"15/01/2020 12:00:00 a. m."</f>
        <v>15/01/2020 12:00:00 a. m.</v>
      </c>
      <c r="AT517" t="str">
        <f t="shared" si="567"/>
        <v>1</v>
      </c>
      <c r="AU517" t="str">
        <f>""</f>
        <v/>
      </c>
      <c r="AV517" t="str">
        <f>"7"</f>
        <v>7</v>
      </c>
      <c r="AW517" t="str">
        <f>"9/12/2006 12:00:00 a. m."</f>
        <v>9/12/2006 12:00:00 a. m.</v>
      </c>
      <c r="AX517" t="str">
        <f>""</f>
        <v/>
      </c>
      <c r="AY517" t="str">
        <f t="shared" si="606"/>
        <v>30/04/2021 12:00:00 a. m.</v>
      </c>
      <c r="AZ517" t="str">
        <f>"23/07/2020 12:00:00 a. m."</f>
        <v>23/07/2020 12:00:00 a. m.</v>
      </c>
      <c r="BA517" t="str">
        <f>""</f>
        <v/>
      </c>
      <c r="BB517" t="str">
        <f>""</f>
        <v/>
      </c>
      <c r="BC517" t="str">
        <f>""</f>
        <v/>
      </c>
      <c r="BD517" t="str">
        <f t="shared" si="591"/>
        <v>1</v>
      </c>
      <c r="BE517" t="str">
        <f t="shared" si="591"/>
        <v>1</v>
      </c>
      <c r="BF517" t="str">
        <f t="shared" si="607"/>
        <v xml:space="preserve">3         </v>
      </c>
      <c r="BG517" t="str">
        <f t="shared" si="608"/>
        <v>Confirmado por laboratorio</v>
      </c>
      <c r="BH517" t="str">
        <f>"FUNDACION HOSPITAL INFANTIL UNIVERSITARIO DE SAN"</f>
        <v>FUNDACION HOSPITAL INFANTIL UNIVERSITARIO DE SAN</v>
      </c>
      <c r="BI517" t="str">
        <f t="shared" si="537"/>
        <v>COLOMBIA</v>
      </c>
      <c r="BJ517" t="str">
        <f t="shared" si="609"/>
        <v>CANCER INFANTIL</v>
      </c>
      <c r="BK517" t="str">
        <f>"CUNDINAMARCA"</f>
        <v>CUNDINAMARCA</v>
      </c>
      <c r="BL517" t="str">
        <f>"OSPINA PEREZ (VENECIA)"</f>
        <v>OSPINA PEREZ (VENECIA)</v>
      </c>
      <c r="BM517" t="str">
        <f t="shared" si="538"/>
        <v>COLOMBIA</v>
      </c>
      <c r="BN517" t="str">
        <f>"CUNDINAMARCA"</f>
        <v>CUNDINAMARCA</v>
      </c>
      <c r="BO517" t="str">
        <f>"OSPINA PEREZ (VENECIA)"</f>
        <v>OSPINA PEREZ (VENECIA)</v>
      </c>
      <c r="BP517" t="str">
        <f>"BOGOTA"</f>
        <v>BOGOTA</v>
      </c>
      <c r="BQ517" t="str">
        <f>"BOGOTA"</f>
        <v>BOGOTA</v>
      </c>
    </row>
    <row r="518" spans="1:69" x14ac:dyDescent="0.25">
      <c r="A518" t="str">
        <f>"7278949"</f>
        <v>7278949</v>
      </c>
      <c r="B518" t="str">
        <f t="shared" si="603"/>
        <v>459</v>
      </c>
      <c r="C518" t="str">
        <f>"9/10/2020 12:00:00 a. m."</f>
        <v>9/10/2020 12:00:00 a. m.</v>
      </c>
      <c r="D518" t="str">
        <f>"41"</f>
        <v>41</v>
      </c>
      <c r="E518" t="str">
        <f t="shared" si="604"/>
        <v>2020</v>
      </c>
      <c r="F518" t="str">
        <f>"1100106065"</f>
        <v>1100106065</v>
      </c>
      <c r="G518" t="str">
        <f t="shared" si="611"/>
        <v>01</v>
      </c>
      <c r="H518" t="str">
        <f>"14"</f>
        <v>14</v>
      </c>
      <c r="I518" t="str">
        <f t="shared" si="579"/>
        <v>1</v>
      </c>
      <c r="J518" t="str">
        <f>"F"</f>
        <v>F</v>
      </c>
      <c r="K518" t="str">
        <f t="shared" si="534"/>
        <v>170</v>
      </c>
      <c r="L518" t="str">
        <f>"73"</f>
        <v>73</v>
      </c>
      <c r="M518" t="str">
        <f>"555"</f>
        <v>555</v>
      </c>
      <c r="N518" t="str">
        <f>"1"</f>
        <v>1</v>
      </c>
      <c r="O518" t="str">
        <f>"9997"</f>
        <v>9997</v>
      </c>
      <c r="P518" t="str">
        <f>"S"</f>
        <v>S</v>
      </c>
      <c r="Q518" t="str">
        <f>"EPSS41"</f>
        <v>EPSS41</v>
      </c>
      <c r="R518" t="str">
        <f t="shared" si="568"/>
        <v>6</v>
      </c>
      <c r="S518" t="str">
        <f>""</f>
        <v/>
      </c>
      <c r="T518" t="str">
        <f t="shared" si="589"/>
        <v xml:space="preserve">                                                                                                    </v>
      </c>
      <c r="U518" t="str">
        <f>"1         "</f>
        <v xml:space="preserve">1         </v>
      </c>
      <c r="V518" t="str">
        <f t="shared" si="601"/>
        <v>2</v>
      </c>
      <c r="W518" t="str">
        <f t="shared" si="572"/>
        <v>2</v>
      </c>
      <c r="X518" t="str">
        <f t="shared" si="547"/>
        <v>2</v>
      </c>
      <c r="Y518" t="str">
        <f t="shared" si="580"/>
        <v>2</v>
      </c>
      <c r="Z518" t="str">
        <f t="shared" si="580"/>
        <v>2</v>
      </c>
      <c r="AA518" t="str">
        <f t="shared" si="605"/>
        <v xml:space="preserve">          </v>
      </c>
      <c r="AB518" t="str">
        <f t="shared" si="594"/>
        <v>2</v>
      </c>
      <c r="AC518" t="str">
        <f t="shared" si="596"/>
        <v>2</v>
      </c>
      <c r="AD518" t="str">
        <f t="shared" si="582"/>
        <v>2</v>
      </c>
      <c r="AE518" t="str">
        <f t="shared" si="582"/>
        <v>2</v>
      </c>
      <c r="AF518" t="str">
        <f t="shared" si="582"/>
        <v>2</v>
      </c>
      <c r="AG518" t="str">
        <f t="shared" si="582"/>
        <v>2</v>
      </c>
      <c r="AH518" t="str">
        <f t="shared" si="573"/>
        <v>1</v>
      </c>
      <c r="AI518" t="str">
        <f>"1         "</f>
        <v xml:space="preserve">1         </v>
      </c>
      <c r="AJ518" t="str">
        <f t="shared" si="536"/>
        <v>170</v>
      </c>
      <c r="AK518" t="str">
        <f>"73"</f>
        <v>73</v>
      </c>
      <c r="AL518" t="str">
        <f>"555"</f>
        <v>555</v>
      </c>
      <c r="AM518" t="str">
        <f>"11"</f>
        <v>11</v>
      </c>
      <c r="AN518" t="str">
        <f>"11001"</f>
        <v>11001</v>
      </c>
      <c r="AO518" t="str">
        <f>"9/10/2020 12:00:00 a. m."</f>
        <v>9/10/2020 12:00:00 a. m.</v>
      </c>
      <c r="AP518" t="str">
        <f>"15/07/2020 12:00:00 a. m."</f>
        <v>15/07/2020 12:00:00 a. m.</v>
      </c>
      <c r="AQ518" t="str">
        <f t="shared" si="602"/>
        <v>3</v>
      </c>
      <c r="AR518" t="str">
        <f>"1"</f>
        <v>1</v>
      </c>
      <c r="AS518" t="str">
        <f>"9/10/2020 12:00:00 a. m."</f>
        <v>9/10/2020 12:00:00 a. m.</v>
      </c>
      <c r="AT518" t="str">
        <f t="shared" si="567"/>
        <v>1</v>
      </c>
      <c r="AU518" t="str">
        <f>""</f>
        <v/>
      </c>
      <c r="AV518" t="str">
        <f>"0"</f>
        <v>0</v>
      </c>
      <c r="AW518" t="str">
        <f>"12/06/2006 12:00:00 a. m."</f>
        <v>12/06/2006 12:00:00 a. m.</v>
      </c>
      <c r="AX518" t="str">
        <f>""</f>
        <v/>
      </c>
      <c r="AY518" t="str">
        <f t="shared" si="606"/>
        <v>30/04/2021 12:00:00 a. m.</v>
      </c>
      <c r="AZ518" t="str">
        <f>"10/11/2020 12:00:00 a. m."</f>
        <v>10/11/2020 12:00:00 a. m.</v>
      </c>
      <c r="BA518" t="str">
        <f>""</f>
        <v/>
      </c>
      <c r="BB518" t="str">
        <f>""</f>
        <v/>
      </c>
      <c r="BC518" t="str">
        <f>""</f>
        <v/>
      </c>
      <c r="BD518" t="str">
        <f t="shared" si="591"/>
        <v>1</v>
      </c>
      <c r="BE518" t="str">
        <f t="shared" si="591"/>
        <v>1</v>
      </c>
      <c r="BF518" t="str">
        <f t="shared" si="607"/>
        <v xml:space="preserve">3         </v>
      </c>
      <c r="BG518" t="str">
        <f t="shared" si="608"/>
        <v>Confirmado por laboratorio</v>
      </c>
      <c r="BH518" t="str">
        <f>"ESE INSTITUTO NACIONAL DE CANCEROLOGIA"</f>
        <v>ESE INSTITUTO NACIONAL DE CANCEROLOGIA</v>
      </c>
      <c r="BI518" t="str">
        <f t="shared" si="537"/>
        <v>COLOMBIA</v>
      </c>
      <c r="BJ518" t="str">
        <f t="shared" si="609"/>
        <v>CANCER INFANTIL</v>
      </c>
      <c r="BK518" t="str">
        <f>"TOLIMA"</f>
        <v>TOLIMA</v>
      </c>
      <c r="BL518" t="str">
        <f>"PLANADAS"</f>
        <v>PLANADAS</v>
      </c>
      <c r="BM518" t="str">
        <f t="shared" si="538"/>
        <v>COLOMBIA</v>
      </c>
      <c r="BN518" t="str">
        <f>"TOLIMA"</f>
        <v>TOLIMA</v>
      </c>
      <c r="BO518" t="str">
        <f>"PLANADAS"</f>
        <v>PLANADAS</v>
      </c>
      <c r="BP518" t="str">
        <f>"BOGOTA"</f>
        <v>BOGOTA</v>
      </c>
      <c r="BQ518" t="str">
        <f>"BOGOTA"</f>
        <v>BOGOTA</v>
      </c>
    </row>
    <row r="519" spans="1:69" x14ac:dyDescent="0.25">
      <c r="A519" t="str">
        <f>"7279029"</f>
        <v>7279029</v>
      </c>
      <c r="B519" t="str">
        <f t="shared" si="603"/>
        <v>459</v>
      </c>
      <c r="C519" t="str">
        <f>"29/09/2020 12:00:00 a. m."</f>
        <v>29/09/2020 12:00:00 a. m.</v>
      </c>
      <c r="D519" t="str">
        <f>"39"</f>
        <v>39</v>
      </c>
      <c r="E519" t="str">
        <f t="shared" si="604"/>
        <v>2020</v>
      </c>
      <c r="F519" t="str">
        <f>"4155100479"</f>
        <v>4155100479</v>
      </c>
      <c r="G519" t="str">
        <f t="shared" si="611"/>
        <v>01</v>
      </c>
      <c r="H519" t="str">
        <f>"5"</f>
        <v>5</v>
      </c>
      <c r="I519" t="str">
        <f t="shared" si="579"/>
        <v>1</v>
      </c>
      <c r="J519" t="str">
        <f>"M"</f>
        <v>M</v>
      </c>
      <c r="K519" t="str">
        <f t="shared" si="534"/>
        <v>170</v>
      </c>
      <c r="L519" t="str">
        <f>"41"</f>
        <v>41</v>
      </c>
      <c r="M519" t="str">
        <f>"006"</f>
        <v>006</v>
      </c>
      <c r="N519" t="str">
        <f>"3"</f>
        <v>3</v>
      </c>
      <c r="O519" t="str">
        <f>"9999"</f>
        <v>9999</v>
      </c>
      <c r="P519" t="str">
        <f>"S"</f>
        <v>S</v>
      </c>
      <c r="Q519" t="str">
        <f>"ESS062"</f>
        <v>ESS062</v>
      </c>
      <c r="R519" t="str">
        <f t="shared" si="568"/>
        <v>6</v>
      </c>
      <c r="S519" t="str">
        <f>""</f>
        <v/>
      </c>
      <c r="T519" t="str">
        <f t="shared" si="589"/>
        <v xml:space="preserve">                                                                                                    </v>
      </c>
      <c r="U519" t="str">
        <f>"1         "</f>
        <v xml:space="preserve">1         </v>
      </c>
      <c r="V519" t="str">
        <f t="shared" si="601"/>
        <v>2</v>
      </c>
      <c r="W519" t="str">
        <f t="shared" si="572"/>
        <v>2</v>
      </c>
      <c r="X519" t="str">
        <f t="shared" si="547"/>
        <v>2</v>
      </c>
      <c r="Y519" t="str">
        <f t="shared" ref="Y519:Z538" si="612">"2"</f>
        <v>2</v>
      </c>
      <c r="Z519" t="str">
        <f t="shared" si="612"/>
        <v>2</v>
      </c>
      <c r="AA519" t="str">
        <f t="shared" si="605"/>
        <v xml:space="preserve">          </v>
      </c>
      <c r="AB519" t="str">
        <f t="shared" si="594"/>
        <v>2</v>
      </c>
      <c r="AC519" t="str">
        <f t="shared" si="596"/>
        <v>2</v>
      </c>
      <c r="AD519" t="str">
        <f t="shared" si="582"/>
        <v>2</v>
      </c>
      <c r="AE519" t="str">
        <f t="shared" si="582"/>
        <v>2</v>
      </c>
      <c r="AF519" t="str">
        <f t="shared" si="582"/>
        <v>2</v>
      </c>
      <c r="AG519" t="str">
        <f t="shared" si="582"/>
        <v>2</v>
      </c>
      <c r="AH519" t="str">
        <f t="shared" si="573"/>
        <v>1</v>
      </c>
      <c r="AI519" t="str">
        <f>"2         "</f>
        <v xml:space="preserve">2         </v>
      </c>
      <c r="AJ519" t="str">
        <f t="shared" si="536"/>
        <v>170</v>
      </c>
      <c r="AK519" t="str">
        <f>"41"</f>
        <v>41</v>
      </c>
      <c r="AL519" t="str">
        <f>"006"</f>
        <v>006</v>
      </c>
      <c r="AM519" t="str">
        <f>"41"</f>
        <v>41</v>
      </c>
      <c r="AN519" t="str">
        <f>"41551"</f>
        <v>41551</v>
      </c>
      <c r="AO519" t="str">
        <f>"22/09/2020 12:00:00 a. m."</f>
        <v>22/09/2020 12:00:00 a. m.</v>
      </c>
      <c r="AP519" t="str">
        <f>"1/12/2017 12:00:00 a. m."</f>
        <v>1/12/2017 12:00:00 a. m.</v>
      </c>
      <c r="AQ519" t="str">
        <f t="shared" si="602"/>
        <v>3</v>
      </c>
      <c r="AR519" t="str">
        <f>"2"</f>
        <v>2</v>
      </c>
      <c r="AS519" t="str">
        <f>""</f>
        <v/>
      </c>
      <c r="AT519" t="str">
        <f t="shared" si="567"/>
        <v>1</v>
      </c>
      <c r="AU519" t="str">
        <f>""</f>
        <v/>
      </c>
      <c r="AV519" t="str">
        <f>"3"</f>
        <v>3</v>
      </c>
      <c r="AW519" t="str">
        <f>"22/04/2015 12:00:00 a. m."</f>
        <v>22/04/2015 12:00:00 a. m.</v>
      </c>
      <c r="AX519" t="str">
        <f>""</f>
        <v/>
      </c>
      <c r="AY519" t="str">
        <f t="shared" si="606"/>
        <v>30/04/2021 12:00:00 a. m.</v>
      </c>
      <c r="AZ519" t="str">
        <f>"10/02/2021 12:00:00 a. m."</f>
        <v>10/02/2021 12:00:00 a. m.</v>
      </c>
      <c r="BA519" t="str">
        <f>""</f>
        <v/>
      </c>
      <c r="BB519" t="str">
        <f>""</f>
        <v/>
      </c>
      <c r="BC519" t="str">
        <f>""</f>
        <v/>
      </c>
      <c r="BD519" t="str">
        <f t="shared" si="591"/>
        <v>1</v>
      </c>
      <c r="BE519" t="str">
        <f t="shared" si="591"/>
        <v>1</v>
      </c>
      <c r="BF519" t="str">
        <f t="shared" si="607"/>
        <v xml:space="preserve">3         </v>
      </c>
      <c r="BG519" t="str">
        <f t="shared" si="608"/>
        <v>Confirmado por laboratorio</v>
      </c>
      <c r="BH519" t="str">
        <f>"ESE HOSPITAL DEPARTAMENTAL SAN ANTONIO DE PITALITO"</f>
        <v>ESE HOSPITAL DEPARTAMENTAL SAN ANTONIO DE PITALITO</v>
      </c>
      <c r="BI519" t="str">
        <f t="shared" si="537"/>
        <v>COLOMBIA</v>
      </c>
      <c r="BJ519" t="str">
        <f t="shared" si="609"/>
        <v>CANCER INFANTIL</v>
      </c>
      <c r="BK519" t="str">
        <f>"HUILA"</f>
        <v>HUILA</v>
      </c>
      <c r="BL519" t="str">
        <f>"ACEVEDO"</f>
        <v>ACEVEDO</v>
      </c>
      <c r="BM519" t="str">
        <f t="shared" si="538"/>
        <v>COLOMBIA</v>
      </c>
      <c r="BN519" t="str">
        <f>"HUILA"</f>
        <v>HUILA</v>
      </c>
      <c r="BO519" t="str">
        <f>"ACEVEDO"</f>
        <v>ACEVEDO</v>
      </c>
      <c r="BP519" t="str">
        <f>"HUILA"</f>
        <v>HUILA</v>
      </c>
      <c r="BQ519" t="str">
        <f>"PITALITO"</f>
        <v>PITALITO</v>
      </c>
    </row>
    <row r="520" spans="1:69" x14ac:dyDescent="0.25">
      <c r="A520" t="str">
        <f>"7278956"</f>
        <v>7278956</v>
      </c>
      <c r="B520" t="str">
        <f t="shared" si="603"/>
        <v>459</v>
      </c>
      <c r="C520" t="str">
        <f>"19/03/2020 12:00:00 a. m."</f>
        <v>19/03/2020 12:00:00 a. m.</v>
      </c>
      <c r="D520" t="str">
        <f>"10"</f>
        <v>10</v>
      </c>
      <c r="E520" t="str">
        <f t="shared" si="604"/>
        <v>2020</v>
      </c>
      <c r="F520" t="str">
        <f>"0500102144"</f>
        <v>0500102144</v>
      </c>
      <c r="G520" t="str">
        <f t="shared" si="611"/>
        <v>01</v>
      </c>
      <c r="H520" t="str">
        <f>"5"</f>
        <v>5</v>
      </c>
      <c r="I520" t="str">
        <f t="shared" si="579"/>
        <v>1</v>
      </c>
      <c r="J520" t="str">
        <f>"F"</f>
        <v>F</v>
      </c>
      <c r="K520" t="str">
        <f t="shared" si="534"/>
        <v>170</v>
      </c>
      <c r="L520" t="str">
        <f>"27"</f>
        <v>27</v>
      </c>
      <c r="M520" t="str">
        <f>"450"</f>
        <v>450</v>
      </c>
      <c r="N520" t="str">
        <f>"1"</f>
        <v>1</v>
      </c>
      <c r="O520" t="str">
        <f>"9999"</f>
        <v>9999</v>
      </c>
      <c r="P520" t="str">
        <f>"C"</f>
        <v>C</v>
      </c>
      <c r="Q520" t="str">
        <f>"EPS016"</f>
        <v>EPS016</v>
      </c>
      <c r="R520" t="str">
        <f t="shared" si="568"/>
        <v>6</v>
      </c>
      <c r="S520" t="str">
        <f>""</f>
        <v/>
      </c>
      <c r="T520" t="str">
        <f t="shared" si="589"/>
        <v xml:space="preserve">                                                                                                    </v>
      </c>
      <c r="U520" t="str">
        <f>"          "</f>
        <v xml:space="preserve">          </v>
      </c>
      <c r="V520" t="str">
        <f t="shared" si="601"/>
        <v>2</v>
      </c>
      <c r="W520" t="str">
        <f t="shared" si="572"/>
        <v>2</v>
      </c>
      <c r="X520" t="str">
        <f t="shared" si="547"/>
        <v>2</v>
      </c>
      <c r="Y520" t="str">
        <f t="shared" si="612"/>
        <v>2</v>
      </c>
      <c r="Z520" t="str">
        <f t="shared" si="612"/>
        <v>2</v>
      </c>
      <c r="AA520" t="str">
        <f t="shared" si="605"/>
        <v xml:space="preserve">          </v>
      </c>
      <c r="AB520" t="str">
        <f t="shared" si="594"/>
        <v>2</v>
      </c>
      <c r="AC520" t="str">
        <f t="shared" si="596"/>
        <v>2</v>
      </c>
      <c r="AD520" t="str">
        <f t="shared" ref="AD520:AG539" si="613">"2"</f>
        <v>2</v>
      </c>
      <c r="AE520" t="str">
        <f t="shared" si="613"/>
        <v>2</v>
      </c>
      <c r="AF520" t="str">
        <f t="shared" si="613"/>
        <v>2</v>
      </c>
      <c r="AG520" t="str">
        <f t="shared" si="613"/>
        <v>2</v>
      </c>
      <c r="AH520" t="str">
        <f t="shared" si="573"/>
        <v>1</v>
      </c>
      <c r="AI520" t="str">
        <f>"1         "</f>
        <v xml:space="preserve">1         </v>
      </c>
      <c r="AJ520" t="str">
        <f t="shared" si="536"/>
        <v>170</v>
      </c>
      <c r="AK520" t="str">
        <f>"27"</f>
        <v>27</v>
      </c>
      <c r="AL520" t="str">
        <f>"450"</f>
        <v>450</v>
      </c>
      <c r="AM520" t="str">
        <f>"05"</f>
        <v>05</v>
      </c>
      <c r="AN520" t="str">
        <f>"05001"</f>
        <v>05001</v>
      </c>
      <c r="AO520" t="str">
        <f>"1/03/2020 12:00:00 a. m."</f>
        <v>1/03/2020 12:00:00 a. m.</v>
      </c>
      <c r="AP520" t="str">
        <f>"17/02/2020 12:00:00 a. m."</f>
        <v>17/02/2020 12:00:00 a. m.</v>
      </c>
      <c r="AQ520" t="str">
        <f t="shared" si="602"/>
        <v>3</v>
      </c>
      <c r="AR520" t="str">
        <f t="shared" ref="AR520:AR552" si="614">"1"</f>
        <v>1</v>
      </c>
      <c r="AS520" t="str">
        <f>"1/03/2020 12:00:00 a. m."</f>
        <v>1/03/2020 12:00:00 a. m.</v>
      </c>
      <c r="AT520" t="str">
        <f t="shared" si="567"/>
        <v>1</v>
      </c>
      <c r="AU520" t="str">
        <f>""</f>
        <v/>
      </c>
      <c r="AV520" t="str">
        <f>"0"</f>
        <v>0</v>
      </c>
      <c r="AW520" t="str">
        <f>"16/11/2014 12:00:00 a. m."</f>
        <v>16/11/2014 12:00:00 a. m.</v>
      </c>
      <c r="AX520" t="str">
        <f>""</f>
        <v/>
      </c>
      <c r="AY520" t="str">
        <f t="shared" si="606"/>
        <v>30/04/2021 12:00:00 a. m.</v>
      </c>
      <c r="AZ520" t="str">
        <f>"19/03/2020 12:00:00 a. m."</f>
        <v>19/03/2020 12:00:00 a. m.</v>
      </c>
      <c r="BA520" t="str">
        <f>""</f>
        <v/>
      </c>
      <c r="BB520" t="str">
        <f>""</f>
        <v/>
      </c>
      <c r="BC520" t="str">
        <f>""</f>
        <v/>
      </c>
      <c r="BD520" t="str">
        <f t="shared" si="591"/>
        <v>1</v>
      </c>
      <c r="BE520" t="str">
        <f t="shared" si="591"/>
        <v>1</v>
      </c>
      <c r="BF520" t="str">
        <f t="shared" si="607"/>
        <v xml:space="preserve">3         </v>
      </c>
      <c r="BG520" t="str">
        <f t="shared" si="608"/>
        <v>Confirmado por laboratorio</v>
      </c>
      <c r="BH520" t="str">
        <f>"HOSPITAL GENERAL DE MEDELLIN - LUZ CASTRO DE GUTIE"</f>
        <v>HOSPITAL GENERAL DE MEDELLIN - LUZ CASTRO DE GUTIE</v>
      </c>
      <c r="BI520" t="str">
        <f t="shared" si="537"/>
        <v>COLOMBIA</v>
      </c>
      <c r="BJ520" t="str">
        <f t="shared" si="609"/>
        <v>CANCER INFANTIL</v>
      </c>
      <c r="BK520" t="str">
        <f>"CHOCO"</f>
        <v>CHOCO</v>
      </c>
      <c r="BL520" t="str">
        <f>"MEDIO SAN JUAN"</f>
        <v>MEDIO SAN JUAN</v>
      </c>
      <c r="BM520" t="str">
        <f t="shared" si="538"/>
        <v>COLOMBIA</v>
      </c>
      <c r="BN520" t="str">
        <f>"CHOCO"</f>
        <v>CHOCO</v>
      </c>
      <c r="BO520" t="str">
        <f>"MEDIO SAN JUAN"</f>
        <v>MEDIO SAN JUAN</v>
      </c>
      <c r="BP520" t="str">
        <f>"ANTIOQUIA"</f>
        <v>ANTIOQUIA</v>
      </c>
      <c r="BQ520" t="str">
        <f>"MEDELLIN"</f>
        <v>MEDELLIN</v>
      </c>
    </row>
    <row r="521" spans="1:69" x14ac:dyDescent="0.25">
      <c r="A521" t="str">
        <f>"7278987"</f>
        <v>7278987</v>
      </c>
      <c r="B521" t="str">
        <f t="shared" si="603"/>
        <v>459</v>
      </c>
      <c r="C521" t="str">
        <f>"10/02/2020 12:00:00 a. m."</f>
        <v>10/02/2020 12:00:00 a. m.</v>
      </c>
      <c r="D521" t="str">
        <f>"07"</f>
        <v>07</v>
      </c>
      <c r="E521" t="str">
        <f t="shared" si="604"/>
        <v>2020</v>
      </c>
      <c r="F521" t="str">
        <f>"0800103250"</f>
        <v>0800103250</v>
      </c>
      <c r="G521" t="str">
        <f t="shared" si="611"/>
        <v>01</v>
      </c>
      <c r="H521" t="str">
        <f>"15"</f>
        <v>15</v>
      </c>
      <c r="I521" t="str">
        <f t="shared" si="579"/>
        <v>1</v>
      </c>
      <c r="J521" t="str">
        <f>"F"</f>
        <v>F</v>
      </c>
      <c r="K521" t="str">
        <f t="shared" si="534"/>
        <v>170</v>
      </c>
      <c r="L521" t="str">
        <f>"08"</f>
        <v>08</v>
      </c>
      <c r="M521" t="str">
        <f>"001"</f>
        <v>001</v>
      </c>
      <c r="N521" t="str">
        <f>"1"</f>
        <v>1</v>
      </c>
      <c r="O521" t="str">
        <f>"9997"</f>
        <v>9997</v>
      </c>
      <c r="P521" t="str">
        <f>"S"</f>
        <v>S</v>
      </c>
      <c r="Q521" t="str">
        <f>"EPSS16"</f>
        <v>EPSS16</v>
      </c>
      <c r="R521" t="str">
        <f t="shared" si="568"/>
        <v>6</v>
      </c>
      <c r="S521" t="str">
        <f>""</f>
        <v/>
      </c>
      <c r="T521" t="str">
        <f t="shared" si="589"/>
        <v xml:space="preserve">                                                                                                    </v>
      </c>
      <c r="U521" t="str">
        <f>"2         "</f>
        <v xml:space="preserve">2         </v>
      </c>
      <c r="V521" t="str">
        <f t="shared" si="601"/>
        <v>2</v>
      </c>
      <c r="W521" t="str">
        <f t="shared" si="572"/>
        <v>2</v>
      </c>
      <c r="X521" t="str">
        <f t="shared" si="547"/>
        <v>2</v>
      </c>
      <c r="Y521" t="str">
        <f t="shared" si="612"/>
        <v>2</v>
      </c>
      <c r="Z521" t="str">
        <f t="shared" si="612"/>
        <v>2</v>
      </c>
      <c r="AA521" t="str">
        <f t="shared" si="605"/>
        <v xml:space="preserve">          </v>
      </c>
      <c r="AB521" t="str">
        <f t="shared" si="594"/>
        <v>2</v>
      </c>
      <c r="AC521" t="str">
        <f t="shared" si="596"/>
        <v>2</v>
      </c>
      <c r="AD521" t="str">
        <f t="shared" si="613"/>
        <v>2</v>
      </c>
      <c r="AE521" t="str">
        <f t="shared" si="613"/>
        <v>2</v>
      </c>
      <c r="AF521" t="str">
        <f t="shared" si="613"/>
        <v>2</v>
      </c>
      <c r="AG521" t="str">
        <f t="shared" si="613"/>
        <v>2</v>
      </c>
      <c r="AH521" t="str">
        <f t="shared" si="573"/>
        <v>1</v>
      </c>
      <c r="AI521" t="str">
        <f>"2         "</f>
        <v xml:space="preserve">2         </v>
      </c>
      <c r="AJ521" t="str">
        <f t="shared" si="536"/>
        <v>170</v>
      </c>
      <c r="AK521" t="str">
        <f>"08"</f>
        <v>08</v>
      </c>
      <c r="AL521" t="str">
        <f>"001"</f>
        <v>001</v>
      </c>
      <c r="AM521" t="str">
        <f>"08"</f>
        <v>08</v>
      </c>
      <c r="AN521" t="str">
        <f>"08001"</f>
        <v>08001</v>
      </c>
      <c r="AO521" t="str">
        <f>"9/02/2020 12:00:00 a. m."</f>
        <v>9/02/2020 12:00:00 a. m.</v>
      </c>
      <c r="AP521" t="str">
        <f>"15/03/2019 12:00:00 a. m."</f>
        <v>15/03/2019 12:00:00 a. m.</v>
      </c>
      <c r="AQ521" t="str">
        <f t="shared" si="602"/>
        <v>3</v>
      </c>
      <c r="AR521" t="str">
        <f t="shared" si="614"/>
        <v>1</v>
      </c>
      <c r="AS521" t="str">
        <f>"9/02/2020 12:00:00 a. m."</f>
        <v>9/02/2020 12:00:00 a. m.</v>
      </c>
      <c r="AT521" t="str">
        <f t="shared" si="567"/>
        <v>1</v>
      </c>
      <c r="AU521" t="str">
        <f>""</f>
        <v/>
      </c>
      <c r="AV521" t="str">
        <f>"0"</f>
        <v>0</v>
      </c>
      <c r="AW521" t="str">
        <f>"3/09/2004 12:00:00 a. m."</f>
        <v>3/09/2004 12:00:00 a. m.</v>
      </c>
      <c r="AX521" t="str">
        <f>""</f>
        <v/>
      </c>
      <c r="AY521" t="str">
        <f t="shared" si="606"/>
        <v>30/04/2021 12:00:00 a. m.</v>
      </c>
      <c r="AZ521" t="str">
        <f>"17/02/2020 12:00:00 a. m."</f>
        <v>17/02/2020 12:00:00 a. m.</v>
      </c>
      <c r="BA521" t="str">
        <f>""</f>
        <v/>
      </c>
      <c r="BB521" t="str">
        <f>""</f>
        <v/>
      </c>
      <c r="BC521" t="str">
        <f>""</f>
        <v/>
      </c>
      <c r="BD521" t="str">
        <f t="shared" si="591"/>
        <v>1</v>
      </c>
      <c r="BE521" t="str">
        <f t="shared" si="591"/>
        <v>1</v>
      </c>
      <c r="BF521" t="str">
        <f t="shared" si="607"/>
        <v xml:space="preserve">3         </v>
      </c>
      <c r="BG521" t="str">
        <f t="shared" si="608"/>
        <v>Confirmado por laboratorio</v>
      </c>
      <c r="BH521" t="str">
        <f>"CLINICA SAN MARTIN BARRANQUILLA"</f>
        <v>CLINICA SAN MARTIN BARRANQUILLA</v>
      </c>
      <c r="BI521" t="str">
        <f t="shared" si="537"/>
        <v>COLOMBIA</v>
      </c>
      <c r="BJ521" t="str">
        <f t="shared" si="609"/>
        <v>CANCER INFANTIL</v>
      </c>
      <c r="BK521" t="str">
        <f>"ATLANTICO"</f>
        <v>ATLANTICO</v>
      </c>
      <c r="BL521" t="str">
        <f>"BARRANQUILLA"</f>
        <v>BARRANQUILLA</v>
      </c>
      <c r="BM521" t="str">
        <f t="shared" si="538"/>
        <v>COLOMBIA</v>
      </c>
      <c r="BN521" t="str">
        <f>"ATLANTICO"</f>
        <v>ATLANTICO</v>
      </c>
      <c r="BO521" t="str">
        <f>"BARRANQUILLA"</f>
        <v>BARRANQUILLA</v>
      </c>
      <c r="BP521" t="str">
        <f>"ATLANTICO"</f>
        <v>ATLANTICO</v>
      </c>
      <c r="BQ521" t="str">
        <f>"BARRANQUILLA"</f>
        <v>BARRANQUILLA</v>
      </c>
    </row>
    <row r="522" spans="1:69" x14ac:dyDescent="0.25">
      <c r="A522" t="str">
        <f>"7278957"</f>
        <v>7278957</v>
      </c>
      <c r="B522" t="str">
        <f t="shared" si="603"/>
        <v>459</v>
      </c>
      <c r="C522" t="str">
        <f>"26/10/2020 12:00:00 a. m."</f>
        <v>26/10/2020 12:00:00 a. m.</v>
      </c>
      <c r="D522" t="str">
        <f>"03"</f>
        <v>03</v>
      </c>
      <c r="E522" t="str">
        <f t="shared" si="604"/>
        <v>2020</v>
      </c>
      <c r="F522" t="str">
        <f>"0500102175"</f>
        <v>0500102175</v>
      </c>
      <c r="G522" t="str">
        <f t="shared" si="611"/>
        <v>01</v>
      </c>
      <c r="H522" t="str">
        <f>"4"</f>
        <v>4</v>
      </c>
      <c r="I522" t="str">
        <f t="shared" si="579"/>
        <v>1</v>
      </c>
      <c r="J522" t="str">
        <f>"F"</f>
        <v>F</v>
      </c>
      <c r="K522" t="str">
        <f t="shared" ref="K522:K585" si="615">"170"</f>
        <v>170</v>
      </c>
      <c r="L522" t="str">
        <f>"05"</f>
        <v>05</v>
      </c>
      <c r="M522" t="str">
        <f>"001"</f>
        <v>001</v>
      </c>
      <c r="N522" t="str">
        <f>"1"</f>
        <v>1</v>
      </c>
      <c r="O522" t="str">
        <f>"9999"</f>
        <v>9999</v>
      </c>
      <c r="P522" t="str">
        <f>"C"</f>
        <v>C</v>
      </c>
      <c r="Q522" t="str">
        <f>"EPS002"</f>
        <v>EPS002</v>
      </c>
      <c r="R522" t="str">
        <f t="shared" si="568"/>
        <v>6</v>
      </c>
      <c r="S522" t="str">
        <f>""</f>
        <v/>
      </c>
      <c r="T522" t="str">
        <f t="shared" si="589"/>
        <v xml:space="preserve">                                                                                                    </v>
      </c>
      <c r="U522" t="str">
        <f>"3         "</f>
        <v xml:space="preserve">3         </v>
      </c>
      <c r="V522" t="str">
        <f t="shared" si="601"/>
        <v>2</v>
      </c>
      <c r="W522" t="str">
        <f t="shared" si="572"/>
        <v>2</v>
      </c>
      <c r="X522" t="str">
        <f t="shared" si="547"/>
        <v>2</v>
      </c>
      <c r="Y522" t="str">
        <f t="shared" si="612"/>
        <v>2</v>
      </c>
      <c r="Z522" t="str">
        <f t="shared" si="612"/>
        <v>2</v>
      </c>
      <c r="AA522" t="str">
        <f t="shared" si="605"/>
        <v xml:space="preserve">          </v>
      </c>
      <c r="AB522" t="str">
        <f t="shared" si="594"/>
        <v>2</v>
      </c>
      <c r="AC522" t="str">
        <f t="shared" si="596"/>
        <v>2</v>
      </c>
      <c r="AD522" t="str">
        <f t="shared" si="613"/>
        <v>2</v>
      </c>
      <c r="AE522" t="str">
        <f t="shared" si="613"/>
        <v>2</v>
      </c>
      <c r="AF522" t="str">
        <f t="shared" si="613"/>
        <v>2</v>
      </c>
      <c r="AG522" t="str">
        <f t="shared" si="613"/>
        <v>2</v>
      </c>
      <c r="AH522" t="str">
        <f t="shared" si="573"/>
        <v>1</v>
      </c>
      <c r="AI522" t="str">
        <f>"1         "</f>
        <v xml:space="preserve">1         </v>
      </c>
      <c r="AJ522" t="str">
        <f t="shared" ref="AJ522:AJ585" si="616">"170"</f>
        <v>170</v>
      </c>
      <c r="AK522" t="str">
        <f>"05"</f>
        <v>05</v>
      </c>
      <c r="AL522" t="str">
        <f>"001"</f>
        <v>001</v>
      </c>
      <c r="AM522" t="str">
        <f>"05"</f>
        <v>05</v>
      </c>
      <c r="AN522" t="str">
        <f>"05001"</f>
        <v>05001</v>
      </c>
      <c r="AO522" t="str">
        <f>"13/01/2020 12:00:00 a. m."</f>
        <v>13/01/2020 12:00:00 a. m.</v>
      </c>
      <c r="AP522" t="str">
        <f>"20/12/2019 12:00:00 a. m."</f>
        <v>20/12/2019 12:00:00 a. m.</v>
      </c>
      <c r="AQ522" t="str">
        <f t="shared" si="602"/>
        <v>3</v>
      </c>
      <c r="AR522" t="str">
        <f t="shared" si="614"/>
        <v>1</v>
      </c>
      <c r="AS522" t="str">
        <f>"13/01/2020 12:00:00 a. m."</f>
        <v>13/01/2020 12:00:00 a. m.</v>
      </c>
      <c r="AT522" t="str">
        <f t="shared" si="567"/>
        <v>1</v>
      </c>
      <c r="AU522" t="str">
        <f>""</f>
        <v/>
      </c>
      <c r="AV522" t="str">
        <f>"0"</f>
        <v>0</v>
      </c>
      <c r="AW522" t="str">
        <f>"9/08/2016 12:00:00 a. m."</f>
        <v>9/08/2016 12:00:00 a. m.</v>
      </c>
      <c r="AX522" t="str">
        <f>""</f>
        <v/>
      </c>
      <c r="AY522" t="str">
        <f t="shared" si="606"/>
        <v>30/04/2021 12:00:00 a. m.</v>
      </c>
      <c r="AZ522" t="str">
        <f>"26/10/2020 12:00:00 a. m."</f>
        <v>26/10/2020 12:00:00 a. m.</v>
      </c>
      <c r="BA522" t="str">
        <f>""</f>
        <v/>
      </c>
      <c r="BB522" t="str">
        <f>""</f>
        <v/>
      </c>
      <c r="BC522" t="str">
        <f>""</f>
        <v/>
      </c>
      <c r="BD522" t="str">
        <f t="shared" ref="BD522:BE541" si="617">"1"</f>
        <v>1</v>
      </c>
      <c r="BE522" t="str">
        <f t="shared" si="617"/>
        <v>1</v>
      </c>
      <c r="BF522" t="str">
        <f t="shared" si="607"/>
        <v xml:space="preserve">3         </v>
      </c>
      <c r="BG522" t="str">
        <f t="shared" si="608"/>
        <v>Confirmado por laboratorio</v>
      </c>
      <c r="BH522" t="str">
        <f>"FUNDACION HOSPITALARIA SAN VICENTE DE PAUL"</f>
        <v>FUNDACION HOSPITALARIA SAN VICENTE DE PAUL</v>
      </c>
      <c r="BI522" t="str">
        <f t="shared" ref="BI522:BI585" si="618">"COLOMBIA"</f>
        <v>COLOMBIA</v>
      </c>
      <c r="BJ522" t="str">
        <f t="shared" si="609"/>
        <v>CANCER INFANTIL</v>
      </c>
      <c r="BK522" t="str">
        <f>"ANTIOQUIA"</f>
        <v>ANTIOQUIA</v>
      </c>
      <c r="BL522" t="str">
        <f>"MEDELLIN"</f>
        <v>MEDELLIN</v>
      </c>
      <c r="BM522" t="str">
        <f t="shared" ref="BM522:BM585" si="619">"COLOMBIA"</f>
        <v>COLOMBIA</v>
      </c>
      <c r="BN522" t="str">
        <f>"ANTIOQUIA"</f>
        <v>ANTIOQUIA</v>
      </c>
      <c r="BO522" t="str">
        <f>"MEDELLIN"</f>
        <v>MEDELLIN</v>
      </c>
      <c r="BP522" t="str">
        <f>"ANTIOQUIA"</f>
        <v>ANTIOQUIA</v>
      </c>
      <c r="BQ522" t="str">
        <f>"MEDELLIN"</f>
        <v>MEDELLIN</v>
      </c>
    </row>
    <row r="523" spans="1:69" x14ac:dyDescent="0.25">
      <c r="A523" t="str">
        <f>"7279051"</f>
        <v>7279051</v>
      </c>
      <c r="B523" t="str">
        <f t="shared" si="603"/>
        <v>459</v>
      </c>
      <c r="C523" t="str">
        <f>"3/12/2020 12:00:00 a. m."</f>
        <v>3/12/2020 12:00:00 a. m.</v>
      </c>
      <c r="D523" t="str">
        <f>"49"</f>
        <v>49</v>
      </c>
      <c r="E523" t="str">
        <f t="shared" si="604"/>
        <v>2020</v>
      </c>
      <c r="F523" t="str">
        <f>"6600100217"</f>
        <v>6600100217</v>
      </c>
      <c r="G523" t="str">
        <f>"10"</f>
        <v>10</v>
      </c>
      <c r="H523" t="str">
        <f>"4"</f>
        <v>4</v>
      </c>
      <c r="I523" t="str">
        <f t="shared" si="579"/>
        <v>1</v>
      </c>
      <c r="J523" t="str">
        <f>"F"</f>
        <v>F</v>
      </c>
      <c r="K523" t="str">
        <f t="shared" si="615"/>
        <v>170</v>
      </c>
      <c r="L523" t="str">
        <f>"76"</f>
        <v>76</v>
      </c>
      <c r="M523" t="str">
        <f>"400"</f>
        <v>400</v>
      </c>
      <c r="N523" t="str">
        <f>"2"</f>
        <v>2</v>
      </c>
      <c r="O523" t="str">
        <f>"9998"</f>
        <v>9998</v>
      </c>
      <c r="P523" t="str">
        <f>"S"</f>
        <v>S</v>
      </c>
      <c r="Q523" t="str">
        <f>"ESS076"</f>
        <v>ESS076</v>
      </c>
      <c r="R523" t="str">
        <f t="shared" si="568"/>
        <v>6</v>
      </c>
      <c r="S523" t="str">
        <f>""</f>
        <v/>
      </c>
      <c r="T523" t="str">
        <f t="shared" si="589"/>
        <v xml:space="preserve">                                                                                                    </v>
      </c>
      <c r="U523" t="str">
        <f>"3         "</f>
        <v xml:space="preserve">3         </v>
      </c>
      <c r="V523" t="str">
        <f t="shared" si="601"/>
        <v>2</v>
      </c>
      <c r="W523" t="str">
        <f t="shared" si="572"/>
        <v>2</v>
      </c>
      <c r="X523" t="str">
        <f t="shared" si="547"/>
        <v>2</v>
      </c>
      <c r="Y523" t="str">
        <f t="shared" si="612"/>
        <v>2</v>
      </c>
      <c r="Z523" t="str">
        <f t="shared" si="612"/>
        <v>2</v>
      </c>
      <c r="AA523" t="str">
        <f t="shared" si="605"/>
        <v xml:space="preserve">          </v>
      </c>
      <c r="AB523" t="str">
        <f t="shared" si="594"/>
        <v>2</v>
      </c>
      <c r="AC523" t="str">
        <f t="shared" si="596"/>
        <v>2</v>
      </c>
      <c r="AD523" t="str">
        <f t="shared" si="613"/>
        <v>2</v>
      </c>
      <c r="AE523" t="str">
        <f t="shared" si="613"/>
        <v>2</v>
      </c>
      <c r="AF523" t="str">
        <f t="shared" si="613"/>
        <v>2</v>
      </c>
      <c r="AG523" t="str">
        <f t="shared" si="613"/>
        <v>2</v>
      </c>
      <c r="AH523" t="str">
        <f t="shared" si="573"/>
        <v>1</v>
      </c>
      <c r="AI523" t="str">
        <f>"1         "</f>
        <v xml:space="preserve">1         </v>
      </c>
      <c r="AJ523" t="str">
        <f t="shared" si="616"/>
        <v>170</v>
      </c>
      <c r="AK523" t="str">
        <f>"76"</f>
        <v>76</v>
      </c>
      <c r="AL523" t="str">
        <f>"147"</f>
        <v>147</v>
      </c>
      <c r="AM523" t="str">
        <f>"66"</f>
        <v>66</v>
      </c>
      <c r="AN523" t="str">
        <f>"66001"</f>
        <v>66001</v>
      </c>
      <c r="AO523" t="str">
        <f>"3/12/2020 12:00:00 a. m."</f>
        <v>3/12/2020 12:00:00 a. m.</v>
      </c>
      <c r="AP523" t="str">
        <f>"3/10/2020 12:00:00 a. m."</f>
        <v>3/10/2020 12:00:00 a. m.</v>
      </c>
      <c r="AQ523" t="str">
        <f>"2"</f>
        <v>2</v>
      </c>
      <c r="AR523" t="str">
        <f t="shared" si="614"/>
        <v>1</v>
      </c>
      <c r="AS523" t="str">
        <f>"3/12/2020 12:00:00 a. m."</f>
        <v>3/12/2020 12:00:00 a. m.</v>
      </c>
      <c r="AT523" t="str">
        <f t="shared" si="567"/>
        <v>1</v>
      </c>
      <c r="AU523" t="str">
        <f>""</f>
        <v/>
      </c>
      <c r="AV523" t="str">
        <f>"3"</f>
        <v>3</v>
      </c>
      <c r="AW523" t="str">
        <f>"13/09/2016 12:00:00 a. m."</f>
        <v>13/09/2016 12:00:00 a. m.</v>
      </c>
      <c r="AX523" t="str">
        <f>""</f>
        <v/>
      </c>
      <c r="AY523" t="str">
        <f t="shared" si="606"/>
        <v>30/04/2021 12:00:00 a. m.</v>
      </c>
      <c r="AZ523" t="str">
        <f>"8/03/2021 12:00:00 a. m."</f>
        <v>8/03/2021 12:00:00 a. m.</v>
      </c>
      <c r="BA523" t="str">
        <f>""</f>
        <v/>
      </c>
      <c r="BB523" t="str">
        <f>""</f>
        <v/>
      </c>
      <c r="BC523" t="str">
        <f>""</f>
        <v/>
      </c>
      <c r="BD523" t="str">
        <f t="shared" si="617"/>
        <v>1</v>
      </c>
      <c r="BE523" t="str">
        <f t="shared" si="617"/>
        <v>1</v>
      </c>
      <c r="BF523" t="str">
        <f t="shared" si="607"/>
        <v xml:space="preserve">3         </v>
      </c>
      <c r="BG523" t="str">
        <f t="shared" si="608"/>
        <v>Confirmado por laboratorio</v>
      </c>
      <c r="BH523" t="str">
        <f>"COMFAMILIAR RISARALDA CLINICA COMFAMILIAR"</f>
        <v>COMFAMILIAR RISARALDA CLINICA COMFAMILIAR</v>
      </c>
      <c r="BI523" t="str">
        <f t="shared" si="618"/>
        <v>COLOMBIA</v>
      </c>
      <c r="BJ523" t="str">
        <f t="shared" si="609"/>
        <v>CANCER INFANTIL</v>
      </c>
      <c r="BK523" t="str">
        <f>"VALLE"</f>
        <v>VALLE</v>
      </c>
      <c r="BL523" t="str">
        <f>"LA UNION"</f>
        <v>LA UNION</v>
      </c>
      <c r="BM523" t="str">
        <f t="shared" si="619"/>
        <v>COLOMBIA</v>
      </c>
      <c r="BN523" t="str">
        <f>"VALLE"</f>
        <v>VALLE</v>
      </c>
      <c r="BO523" t="str">
        <f>"CARTAGO"</f>
        <v>CARTAGO</v>
      </c>
      <c r="BP523" t="str">
        <f>"RISARALDA"</f>
        <v>RISARALDA</v>
      </c>
      <c r="BQ523" t="str">
        <f>"PEREIRA"</f>
        <v>PEREIRA</v>
      </c>
    </row>
    <row r="524" spans="1:69" x14ac:dyDescent="0.25">
      <c r="A524" t="str">
        <f>"7278691"</f>
        <v>7278691</v>
      </c>
      <c r="B524" t="str">
        <f t="shared" si="603"/>
        <v>459</v>
      </c>
      <c r="C524" t="str">
        <f>"23/12/2020 12:00:00 a. m."</f>
        <v>23/12/2020 12:00:00 a. m.</v>
      </c>
      <c r="D524" t="str">
        <f>"41"</f>
        <v>41</v>
      </c>
      <c r="E524" t="str">
        <f t="shared" si="604"/>
        <v>2020</v>
      </c>
      <c r="F524" t="str">
        <f>"5000100321"</f>
        <v>5000100321</v>
      </c>
      <c r="G524" t="str">
        <f>"01"</f>
        <v>01</v>
      </c>
      <c r="H524" t="str">
        <f>"2"</f>
        <v>2</v>
      </c>
      <c r="I524" t="str">
        <f t="shared" si="579"/>
        <v>1</v>
      </c>
      <c r="J524" t="str">
        <f>"F"</f>
        <v>F</v>
      </c>
      <c r="K524" t="str">
        <f t="shared" si="615"/>
        <v>170</v>
      </c>
      <c r="L524" t="str">
        <f>"50"</f>
        <v>50</v>
      </c>
      <c r="M524" t="str">
        <f>"001"</f>
        <v>001</v>
      </c>
      <c r="N524" t="str">
        <f t="shared" ref="N524:N532" si="620">"1"</f>
        <v>1</v>
      </c>
      <c r="O524" t="str">
        <f>"9999"</f>
        <v>9999</v>
      </c>
      <c r="P524" t="str">
        <f>"P"</f>
        <v>P</v>
      </c>
      <c r="Q524" t="str">
        <f>"RES002"</f>
        <v>RES002</v>
      </c>
      <c r="R524" t="str">
        <f t="shared" si="568"/>
        <v>6</v>
      </c>
      <c r="S524" t="str">
        <f>""</f>
        <v/>
      </c>
      <c r="T524" t="str">
        <f t="shared" si="589"/>
        <v xml:space="preserve">                                                                                                    </v>
      </c>
      <c r="U524" t="str">
        <f>"2         "</f>
        <v xml:space="preserve">2         </v>
      </c>
      <c r="V524" t="str">
        <f t="shared" si="601"/>
        <v>2</v>
      </c>
      <c r="W524" t="str">
        <f t="shared" si="572"/>
        <v>2</v>
      </c>
      <c r="X524" t="str">
        <f t="shared" si="547"/>
        <v>2</v>
      </c>
      <c r="Y524" t="str">
        <f t="shared" si="612"/>
        <v>2</v>
      </c>
      <c r="Z524" t="str">
        <f t="shared" si="612"/>
        <v>2</v>
      </c>
      <c r="AA524" t="str">
        <f t="shared" si="605"/>
        <v xml:space="preserve">          </v>
      </c>
      <c r="AB524" t="str">
        <f t="shared" si="594"/>
        <v>2</v>
      </c>
      <c r="AC524" t="str">
        <f t="shared" si="596"/>
        <v>2</v>
      </c>
      <c r="AD524" t="str">
        <f t="shared" si="613"/>
        <v>2</v>
      </c>
      <c r="AE524" t="str">
        <f t="shared" si="613"/>
        <v>2</v>
      </c>
      <c r="AF524" t="str">
        <f t="shared" si="613"/>
        <v>2</v>
      </c>
      <c r="AG524" t="str">
        <f t="shared" si="613"/>
        <v>2</v>
      </c>
      <c r="AH524" t="str">
        <f t="shared" si="573"/>
        <v>1</v>
      </c>
      <c r="AI524" t="str">
        <f>"1         "</f>
        <v xml:space="preserve">1         </v>
      </c>
      <c r="AJ524" t="str">
        <f t="shared" si="616"/>
        <v>170</v>
      </c>
      <c r="AK524" t="str">
        <f>"50"</f>
        <v>50</v>
      </c>
      <c r="AL524" t="str">
        <f>"001"</f>
        <v>001</v>
      </c>
      <c r="AM524" t="str">
        <f>"50"</f>
        <v>50</v>
      </c>
      <c r="AN524" t="str">
        <f>"50001"</f>
        <v>50001</v>
      </c>
      <c r="AO524" t="str">
        <f>"4/10/2020 12:00:00 a. m."</f>
        <v>4/10/2020 12:00:00 a. m.</v>
      </c>
      <c r="AP524" t="str">
        <f>"4/10/2020 12:00:00 a. m."</f>
        <v>4/10/2020 12:00:00 a. m.</v>
      </c>
      <c r="AQ524" t="str">
        <f>"3"</f>
        <v>3</v>
      </c>
      <c r="AR524" t="str">
        <f t="shared" si="614"/>
        <v>1</v>
      </c>
      <c r="AS524" t="str">
        <f>"4/10/2020 12:00:00 a. m."</f>
        <v>4/10/2020 12:00:00 a. m.</v>
      </c>
      <c r="AT524" t="str">
        <f t="shared" si="567"/>
        <v>1</v>
      </c>
      <c r="AU524" t="str">
        <f>""</f>
        <v/>
      </c>
      <c r="AV524" t="str">
        <f>"0"</f>
        <v>0</v>
      </c>
      <c r="AW524" t="str">
        <f>"14/05/2018 12:00:00 a. m."</f>
        <v>14/05/2018 12:00:00 a. m.</v>
      </c>
      <c r="AX524" t="str">
        <f>""</f>
        <v/>
      </c>
      <c r="AY524" t="str">
        <f t="shared" si="606"/>
        <v>30/04/2021 12:00:00 a. m.</v>
      </c>
      <c r="AZ524" t="str">
        <f>"23/12/2020 12:00:00 a. m."</f>
        <v>23/12/2020 12:00:00 a. m.</v>
      </c>
      <c r="BA524" t="str">
        <f>""</f>
        <v/>
      </c>
      <c r="BB524" t="str">
        <f>""</f>
        <v/>
      </c>
      <c r="BC524" t="str">
        <f>""</f>
        <v/>
      </c>
      <c r="BD524" t="str">
        <f t="shared" si="617"/>
        <v>1</v>
      </c>
      <c r="BE524" t="str">
        <f t="shared" si="617"/>
        <v>1</v>
      </c>
      <c r="BF524" t="str">
        <f t="shared" si="607"/>
        <v xml:space="preserve">3         </v>
      </c>
      <c r="BG524" t="str">
        <f t="shared" si="608"/>
        <v>Confirmado por laboratorio</v>
      </c>
      <c r="BH524" t="str">
        <f>"INVERSIONES CLINICA DEL META SA"</f>
        <v>INVERSIONES CLINICA DEL META SA</v>
      </c>
      <c r="BI524" t="str">
        <f t="shared" si="618"/>
        <v>COLOMBIA</v>
      </c>
      <c r="BJ524" t="str">
        <f t="shared" si="609"/>
        <v>CANCER INFANTIL</v>
      </c>
      <c r="BK524" t="str">
        <f>"META"</f>
        <v>META</v>
      </c>
      <c r="BL524" t="str">
        <f>"VILLAVICENCIO"</f>
        <v>VILLAVICENCIO</v>
      </c>
      <c r="BM524" t="str">
        <f t="shared" si="619"/>
        <v>COLOMBIA</v>
      </c>
      <c r="BN524" t="str">
        <f>"META"</f>
        <v>META</v>
      </c>
      <c r="BO524" t="str">
        <f>"VILLAVICENCIO"</f>
        <v>VILLAVICENCIO</v>
      </c>
      <c r="BP524" t="str">
        <f>"META"</f>
        <v>META</v>
      </c>
      <c r="BQ524" t="str">
        <f>"VILLAVICENCIO"</f>
        <v>VILLAVICENCIO</v>
      </c>
    </row>
    <row r="525" spans="1:69" x14ac:dyDescent="0.25">
      <c r="A525" t="str">
        <f>"7278728"</f>
        <v>7278728</v>
      </c>
      <c r="B525" t="str">
        <f t="shared" si="603"/>
        <v>459</v>
      </c>
      <c r="C525" t="str">
        <f>"23/09/2020 12:00:00 a. m."</f>
        <v>23/09/2020 12:00:00 a. m.</v>
      </c>
      <c r="D525" t="str">
        <f>"01"</f>
        <v>01</v>
      </c>
      <c r="E525" t="str">
        <f t="shared" si="604"/>
        <v>2020</v>
      </c>
      <c r="F525" t="str">
        <f>"0500102175"</f>
        <v>0500102175</v>
      </c>
      <c r="G525" t="str">
        <f>"01"</f>
        <v>01</v>
      </c>
      <c r="H525" t="str">
        <f>"1"</f>
        <v>1</v>
      </c>
      <c r="I525" t="str">
        <f t="shared" si="579"/>
        <v>1</v>
      </c>
      <c r="J525" t="str">
        <f>"M"</f>
        <v>M</v>
      </c>
      <c r="K525" t="str">
        <f t="shared" si="615"/>
        <v>170</v>
      </c>
      <c r="L525" t="str">
        <f>"05"</f>
        <v>05</v>
      </c>
      <c r="M525" t="str">
        <f>"001"</f>
        <v>001</v>
      </c>
      <c r="N525" t="str">
        <f t="shared" si="620"/>
        <v>1</v>
      </c>
      <c r="O525" t="str">
        <f>"9999"</f>
        <v>9999</v>
      </c>
      <c r="P525" t="str">
        <f>"S"</f>
        <v>S</v>
      </c>
      <c r="Q525" t="str">
        <f>"EPSS37"</f>
        <v>EPSS37</v>
      </c>
      <c r="R525" t="str">
        <f t="shared" ref="R525:R556" si="621">"6"</f>
        <v>6</v>
      </c>
      <c r="S525" t="str">
        <f>""</f>
        <v/>
      </c>
      <c r="T525" t="str">
        <f t="shared" si="589"/>
        <v xml:space="preserve">                                                                                                    </v>
      </c>
      <c r="U525" t="str">
        <f>"2         "</f>
        <v xml:space="preserve">2         </v>
      </c>
      <c r="V525" t="str">
        <f t="shared" si="601"/>
        <v>2</v>
      </c>
      <c r="W525" t="str">
        <f t="shared" si="572"/>
        <v>2</v>
      </c>
      <c r="X525" t="str">
        <f t="shared" si="547"/>
        <v>2</v>
      </c>
      <c r="Y525" t="str">
        <f t="shared" si="612"/>
        <v>2</v>
      </c>
      <c r="Z525" t="str">
        <f t="shared" si="612"/>
        <v>2</v>
      </c>
      <c r="AA525" t="str">
        <f t="shared" si="605"/>
        <v xml:space="preserve">          </v>
      </c>
      <c r="AB525" t="str">
        <f t="shared" si="594"/>
        <v>2</v>
      </c>
      <c r="AC525" t="str">
        <f t="shared" si="596"/>
        <v>2</v>
      </c>
      <c r="AD525" t="str">
        <f t="shared" si="613"/>
        <v>2</v>
      </c>
      <c r="AE525" t="str">
        <f t="shared" si="613"/>
        <v>2</v>
      </c>
      <c r="AF525" t="str">
        <f t="shared" si="613"/>
        <v>2</v>
      </c>
      <c r="AG525" t="str">
        <f t="shared" si="613"/>
        <v>2</v>
      </c>
      <c r="AH525" t="str">
        <f t="shared" si="573"/>
        <v>1</v>
      </c>
      <c r="AI525" t="str">
        <f>"1         "</f>
        <v xml:space="preserve">1         </v>
      </c>
      <c r="AJ525" t="str">
        <f t="shared" si="616"/>
        <v>170</v>
      </c>
      <c r="AK525" t="str">
        <f>"05"</f>
        <v>05</v>
      </c>
      <c r="AL525" t="str">
        <f>"001"</f>
        <v>001</v>
      </c>
      <c r="AM525" t="str">
        <f>"05"</f>
        <v>05</v>
      </c>
      <c r="AN525" t="str">
        <f>"05001"</f>
        <v>05001</v>
      </c>
      <c r="AO525" t="str">
        <f>"2/01/2020 12:00:00 a. m."</f>
        <v>2/01/2020 12:00:00 a. m.</v>
      </c>
      <c r="AP525" t="str">
        <f>"20/12/2019 12:00:00 a. m."</f>
        <v>20/12/2019 12:00:00 a. m.</v>
      </c>
      <c r="AQ525" t="str">
        <f>"3"</f>
        <v>3</v>
      </c>
      <c r="AR525" t="str">
        <f t="shared" si="614"/>
        <v>1</v>
      </c>
      <c r="AS525" t="str">
        <f>"3/01/2020 12:00:00 a. m."</f>
        <v>3/01/2020 12:00:00 a. m.</v>
      </c>
      <c r="AT525" t="str">
        <f t="shared" si="567"/>
        <v>1</v>
      </c>
      <c r="AU525" t="str">
        <f>""</f>
        <v/>
      </c>
      <c r="AV525" t="str">
        <f>"0"</f>
        <v>0</v>
      </c>
      <c r="AW525" t="str">
        <f>"19/02/2019 12:00:00 a. m."</f>
        <v>19/02/2019 12:00:00 a. m.</v>
      </c>
      <c r="AX525" t="str">
        <f>""</f>
        <v/>
      </c>
      <c r="AY525" t="str">
        <f t="shared" si="606"/>
        <v>30/04/2021 12:00:00 a. m.</v>
      </c>
      <c r="AZ525" t="str">
        <f>"23/09/2020 12:00:00 a. m."</f>
        <v>23/09/2020 12:00:00 a. m.</v>
      </c>
      <c r="BA525" t="str">
        <f>""</f>
        <v/>
      </c>
      <c r="BB525" t="str">
        <f>""</f>
        <v/>
      </c>
      <c r="BC525" t="str">
        <f>""</f>
        <v/>
      </c>
      <c r="BD525" t="str">
        <f t="shared" si="617"/>
        <v>1</v>
      </c>
      <c r="BE525" t="str">
        <f t="shared" si="617"/>
        <v>1</v>
      </c>
      <c r="BF525" t="str">
        <f t="shared" si="607"/>
        <v xml:space="preserve">3         </v>
      </c>
      <c r="BG525" t="str">
        <f t="shared" si="608"/>
        <v>Confirmado por laboratorio</v>
      </c>
      <c r="BH525" t="str">
        <f>"FUNDACION HOSPITALARIA SAN VICENTE DE PAUL"</f>
        <v>FUNDACION HOSPITALARIA SAN VICENTE DE PAUL</v>
      </c>
      <c r="BI525" t="str">
        <f t="shared" si="618"/>
        <v>COLOMBIA</v>
      </c>
      <c r="BJ525" t="str">
        <f t="shared" si="609"/>
        <v>CANCER INFANTIL</v>
      </c>
      <c r="BK525" t="str">
        <f>"ANTIOQUIA"</f>
        <v>ANTIOQUIA</v>
      </c>
      <c r="BL525" t="str">
        <f>"MEDELLIN"</f>
        <v>MEDELLIN</v>
      </c>
      <c r="BM525" t="str">
        <f t="shared" si="619"/>
        <v>COLOMBIA</v>
      </c>
      <c r="BN525" t="str">
        <f>"ANTIOQUIA"</f>
        <v>ANTIOQUIA</v>
      </c>
      <c r="BO525" t="str">
        <f>"MEDELLIN"</f>
        <v>MEDELLIN</v>
      </c>
      <c r="BP525" t="str">
        <f>"ANTIOQUIA"</f>
        <v>ANTIOQUIA</v>
      </c>
      <c r="BQ525" t="str">
        <f>"MEDELLIN"</f>
        <v>MEDELLIN</v>
      </c>
    </row>
    <row r="526" spans="1:69" x14ac:dyDescent="0.25">
      <c r="A526" t="str">
        <f>"7278694"</f>
        <v>7278694</v>
      </c>
      <c r="B526" t="str">
        <f t="shared" si="603"/>
        <v>459</v>
      </c>
      <c r="C526" t="str">
        <f>"9/05/2020 12:00:00 a. m."</f>
        <v>9/05/2020 12:00:00 a. m.</v>
      </c>
      <c r="D526" t="str">
        <f>"14"</f>
        <v>14</v>
      </c>
      <c r="E526" t="str">
        <f t="shared" si="604"/>
        <v>2020</v>
      </c>
      <c r="F526" t="str">
        <f>"1100130291"</f>
        <v>1100130291</v>
      </c>
      <c r="G526" t="str">
        <f>"03"</f>
        <v>03</v>
      </c>
      <c r="H526" t="str">
        <f>"15"</f>
        <v>15</v>
      </c>
      <c r="I526" t="str">
        <f t="shared" si="579"/>
        <v>1</v>
      </c>
      <c r="J526" t="str">
        <f>"M"</f>
        <v>M</v>
      </c>
      <c r="K526" t="str">
        <f t="shared" si="615"/>
        <v>170</v>
      </c>
      <c r="L526" t="str">
        <f>"25"</f>
        <v>25</v>
      </c>
      <c r="M526" t="str">
        <f>"214"</f>
        <v>214</v>
      </c>
      <c r="N526" t="str">
        <f t="shared" si="620"/>
        <v>1</v>
      </c>
      <c r="O526" t="str">
        <f>"9997"</f>
        <v>9997</v>
      </c>
      <c r="P526" t="str">
        <f>"S"</f>
        <v>S</v>
      </c>
      <c r="Q526" t="str">
        <f>"ESS091"</f>
        <v>ESS091</v>
      </c>
      <c r="R526" t="str">
        <f t="shared" si="621"/>
        <v>6</v>
      </c>
      <c r="S526" t="str">
        <f>""</f>
        <v/>
      </c>
      <c r="T526" t="str">
        <f t="shared" si="589"/>
        <v xml:space="preserve">                                                                                                    </v>
      </c>
      <c r="U526" t="str">
        <f>"2         "</f>
        <v xml:space="preserve">2         </v>
      </c>
      <c r="V526" t="str">
        <f t="shared" si="601"/>
        <v>2</v>
      </c>
      <c r="W526" t="str">
        <f t="shared" si="572"/>
        <v>2</v>
      </c>
      <c r="X526" t="str">
        <f t="shared" si="547"/>
        <v>2</v>
      </c>
      <c r="Y526" t="str">
        <f t="shared" si="612"/>
        <v>2</v>
      </c>
      <c r="Z526" t="str">
        <f t="shared" si="612"/>
        <v>2</v>
      </c>
      <c r="AA526" t="str">
        <f t="shared" si="605"/>
        <v xml:space="preserve">          </v>
      </c>
      <c r="AB526" t="str">
        <f t="shared" si="594"/>
        <v>2</v>
      </c>
      <c r="AC526" t="str">
        <f t="shared" si="596"/>
        <v>2</v>
      </c>
      <c r="AD526" t="str">
        <f t="shared" si="613"/>
        <v>2</v>
      </c>
      <c r="AE526" t="str">
        <f t="shared" si="613"/>
        <v>2</v>
      </c>
      <c r="AF526" t="str">
        <f t="shared" si="613"/>
        <v>2</v>
      </c>
      <c r="AG526" t="str">
        <f t="shared" si="613"/>
        <v>2</v>
      </c>
      <c r="AH526" t="str">
        <f t="shared" si="573"/>
        <v>1</v>
      </c>
      <c r="AI526" t="str">
        <f>"2         "</f>
        <v xml:space="preserve">2         </v>
      </c>
      <c r="AJ526" t="str">
        <f t="shared" si="616"/>
        <v>170</v>
      </c>
      <c r="AK526" t="str">
        <f>"25"</f>
        <v>25</v>
      </c>
      <c r="AL526" t="str">
        <f>"214"</f>
        <v>214</v>
      </c>
      <c r="AM526" t="str">
        <f>"11"</f>
        <v>11</v>
      </c>
      <c r="AN526" t="str">
        <f>"11001"</f>
        <v>11001</v>
      </c>
      <c r="AO526" t="str">
        <f>"2/04/2020 12:00:00 a. m."</f>
        <v>2/04/2020 12:00:00 a. m.</v>
      </c>
      <c r="AP526" t="str">
        <f>"2/04/2020 12:00:00 a. m."</f>
        <v>2/04/2020 12:00:00 a. m.</v>
      </c>
      <c r="AQ526" t="str">
        <f>"2"</f>
        <v>2</v>
      </c>
      <c r="AR526" t="str">
        <f t="shared" si="614"/>
        <v>1</v>
      </c>
      <c r="AS526" t="str">
        <f>"2/04/2020 12:00:00 a. m."</f>
        <v>2/04/2020 12:00:00 a. m.</v>
      </c>
      <c r="AT526" t="str">
        <f t="shared" si="567"/>
        <v>1</v>
      </c>
      <c r="AU526" t="str">
        <f>""</f>
        <v/>
      </c>
      <c r="AV526" t="str">
        <f>"3"</f>
        <v>3</v>
      </c>
      <c r="AW526" t="str">
        <f>"11/08/2004 12:00:00 a. m."</f>
        <v>11/08/2004 12:00:00 a. m.</v>
      </c>
      <c r="AX526" t="str">
        <f>""</f>
        <v/>
      </c>
      <c r="AY526" t="str">
        <f t="shared" si="606"/>
        <v>30/04/2021 12:00:00 a. m.</v>
      </c>
      <c r="AZ526" t="str">
        <f>"7/07/2020 12:00:00 a. m."</f>
        <v>7/07/2020 12:00:00 a. m.</v>
      </c>
      <c r="BA526" t="str">
        <f>""</f>
        <v/>
      </c>
      <c r="BB526" t="str">
        <f>""</f>
        <v/>
      </c>
      <c r="BC526" t="str">
        <f>""</f>
        <v/>
      </c>
      <c r="BD526" t="str">
        <f t="shared" si="617"/>
        <v>1</v>
      </c>
      <c r="BE526" t="str">
        <f t="shared" si="617"/>
        <v>1</v>
      </c>
      <c r="BF526" t="str">
        <f t="shared" si="607"/>
        <v xml:space="preserve">3         </v>
      </c>
      <c r="BG526" t="str">
        <f t="shared" si="608"/>
        <v>Confirmado por laboratorio</v>
      </c>
      <c r="BH526" t="str">
        <f>"USS ENGATIVÁ CALLE 80"</f>
        <v>USS ENGATIVÁ CALLE 80</v>
      </c>
      <c r="BI526" t="str">
        <f t="shared" si="618"/>
        <v>COLOMBIA</v>
      </c>
      <c r="BJ526" t="str">
        <f t="shared" si="609"/>
        <v>CANCER INFANTIL</v>
      </c>
      <c r="BK526" t="str">
        <f>"CUNDINAMARCA"</f>
        <v>CUNDINAMARCA</v>
      </c>
      <c r="BL526" t="str">
        <f>"COTA"</f>
        <v>COTA</v>
      </c>
      <c r="BM526" t="str">
        <f t="shared" si="619"/>
        <v>COLOMBIA</v>
      </c>
      <c r="BN526" t="str">
        <f>"CUNDINAMARCA"</f>
        <v>CUNDINAMARCA</v>
      </c>
      <c r="BO526" t="str">
        <f>"COTA"</f>
        <v>COTA</v>
      </c>
      <c r="BP526" t="str">
        <f>"BOGOTA"</f>
        <v>BOGOTA</v>
      </c>
      <c r="BQ526" t="str">
        <f>"BOGOTA"</f>
        <v>BOGOTA</v>
      </c>
    </row>
    <row r="527" spans="1:69" x14ac:dyDescent="0.25">
      <c r="A527" t="str">
        <f>"7285579"</f>
        <v>7285579</v>
      </c>
      <c r="B527" t="str">
        <f t="shared" si="603"/>
        <v>459</v>
      </c>
      <c r="C527" t="str">
        <f>"14/09/2020 12:00:00 a. m."</f>
        <v>14/09/2020 12:00:00 a. m.</v>
      </c>
      <c r="D527" t="str">
        <f>"36"</f>
        <v>36</v>
      </c>
      <c r="E527" t="str">
        <f t="shared" si="604"/>
        <v>2020</v>
      </c>
      <c r="F527" t="str">
        <f>"1300101187"</f>
        <v>1300101187</v>
      </c>
      <c r="G527" t="str">
        <f t="shared" ref="G527:G539" si="622">"01"</f>
        <v>01</v>
      </c>
      <c r="H527" t="str">
        <f>"17"</f>
        <v>17</v>
      </c>
      <c r="I527" t="str">
        <f t="shared" si="579"/>
        <v>1</v>
      </c>
      <c r="J527" t="str">
        <f>"M"</f>
        <v>M</v>
      </c>
      <c r="K527" t="str">
        <f t="shared" si="615"/>
        <v>170</v>
      </c>
      <c r="L527" t="str">
        <f>"13"</f>
        <v>13</v>
      </c>
      <c r="M527" t="str">
        <f t="shared" ref="M527:M532" si="623">"001"</f>
        <v>001</v>
      </c>
      <c r="N527" t="str">
        <f t="shared" si="620"/>
        <v>1</v>
      </c>
      <c r="O527" t="str">
        <f>"9997"</f>
        <v>9997</v>
      </c>
      <c r="P527" t="str">
        <f>"C"</f>
        <v>C</v>
      </c>
      <c r="Q527" t="str">
        <f>"EPS008"</f>
        <v>EPS008</v>
      </c>
      <c r="R527" t="str">
        <f t="shared" si="621"/>
        <v>6</v>
      </c>
      <c r="S527" t="str">
        <f>""</f>
        <v/>
      </c>
      <c r="T527" t="str">
        <f t="shared" si="589"/>
        <v xml:space="preserve">                                                                                                    </v>
      </c>
      <c r="U527" t="str">
        <f>"1         "</f>
        <v xml:space="preserve">1         </v>
      </c>
      <c r="V527" t="str">
        <f t="shared" si="601"/>
        <v>2</v>
      </c>
      <c r="W527" t="str">
        <f t="shared" ref="W527:W558" si="624">"2"</f>
        <v>2</v>
      </c>
      <c r="X527" t="str">
        <f t="shared" si="547"/>
        <v>2</v>
      </c>
      <c r="Y527" t="str">
        <f t="shared" si="612"/>
        <v>2</v>
      </c>
      <c r="Z527" t="str">
        <f t="shared" si="612"/>
        <v>2</v>
      </c>
      <c r="AA527" t="str">
        <f t="shared" si="605"/>
        <v xml:space="preserve">          </v>
      </c>
      <c r="AB527" t="str">
        <f t="shared" si="594"/>
        <v>2</v>
      </c>
      <c r="AC527" t="str">
        <f t="shared" si="596"/>
        <v>2</v>
      </c>
      <c r="AD527" t="str">
        <f t="shared" si="613"/>
        <v>2</v>
      </c>
      <c r="AE527" t="str">
        <f t="shared" si="613"/>
        <v>2</v>
      </c>
      <c r="AF527" t="str">
        <f t="shared" si="613"/>
        <v>2</v>
      </c>
      <c r="AG527" t="str">
        <f t="shared" si="613"/>
        <v>2</v>
      </c>
      <c r="AH527" t="str">
        <f t="shared" ref="AH527:AH561" si="625">"1"</f>
        <v>1</v>
      </c>
      <c r="AI527" t="str">
        <f>"1         "</f>
        <v xml:space="preserve">1         </v>
      </c>
      <c r="AJ527" t="str">
        <f t="shared" si="616"/>
        <v>170</v>
      </c>
      <c r="AK527" t="str">
        <f>"13"</f>
        <v>13</v>
      </c>
      <c r="AL527" t="str">
        <f t="shared" ref="AL527:AL532" si="626">"001"</f>
        <v>001</v>
      </c>
      <c r="AM527" t="str">
        <f>"13"</f>
        <v>13</v>
      </c>
      <c r="AN527" t="str">
        <f>"13001"</f>
        <v>13001</v>
      </c>
      <c r="AO527" t="str">
        <f>"31/08/2020 12:00:00 a. m."</f>
        <v>31/08/2020 12:00:00 a. m.</v>
      </c>
      <c r="AP527" t="str">
        <f>"31/07/2020 12:00:00 a. m."</f>
        <v>31/07/2020 12:00:00 a. m.</v>
      </c>
      <c r="AQ527" t="str">
        <f>"2"</f>
        <v>2</v>
      </c>
      <c r="AR527" t="str">
        <f t="shared" si="614"/>
        <v>1</v>
      </c>
      <c r="AS527" t="str">
        <f>"31/08/2020 12:00:00 a. m."</f>
        <v>31/08/2020 12:00:00 a. m.</v>
      </c>
      <c r="AT527" t="str">
        <f t="shared" si="567"/>
        <v>1</v>
      </c>
      <c r="AU527" t="str">
        <f>""</f>
        <v/>
      </c>
      <c r="AV527" t="str">
        <f>"3"</f>
        <v>3</v>
      </c>
      <c r="AW527" t="str">
        <f>"7/05/2003 12:00:00 a. m."</f>
        <v>7/05/2003 12:00:00 a. m.</v>
      </c>
      <c r="AX527" t="str">
        <f>""</f>
        <v/>
      </c>
      <c r="AY527" t="str">
        <f t="shared" si="606"/>
        <v>30/04/2021 12:00:00 a. m.</v>
      </c>
      <c r="AZ527" t="str">
        <f>"14/12/2020 12:00:00 a. m."</f>
        <v>14/12/2020 12:00:00 a. m.</v>
      </c>
      <c r="BA527" t="str">
        <f>""</f>
        <v/>
      </c>
      <c r="BB527" t="str">
        <f>""</f>
        <v/>
      </c>
      <c r="BC527" t="str">
        <f>""</f>
        <v/>
      </c>
      <c r="BD527" t="str">
        <f t="shared" si="617"/>
        <v>1</v>
      </c>
      <c r="BE527" t="str">
        <f t="shared" si="617"/>
        <v>1</v>
      </c>
      <c r="BF527" t="str">
        <f t="shared" si="607"/>
        <v xml:space="preserve">3         </v>
      </c>
      <c r="BG527" t="str">
        <f t="shared" si="608"/>
        <v>Confirmado por laboratorio</v>
      </c>
      <c r="BH527" t="str">
        <f>"HOSPITAL INFANTIL NAPOLEON FRANCO PAREJA"</f>
        <v>HOSPITAL INFANTIL NAPOLEON FRANCO PAREJA</v>
      </c>
      <c r="BI527" t="str">
        <f t="shared" si="618"/>
        <v>COLOMBIA</v>
      </c>
      <c r="BJ527" t="str">
        <f t="shared" si="609"/>
        <v>CANCER INFANTIL</v>
      </c>
      <c r="BK527" t="str">
        <f>"BOLIVAR"</f>
        <v>BOLIVAR</v>
      </c>
      <c r="BL527" t="str">
        <f>"CARTAGENA"</f>
        <v>CARTAGENA</v>
      </c>
      <c r="BM527" t="str">
        <f t="shared" si="619"/>
        <v>COLOMBIA</v>
      </c>
      <c r="BN527" t="str">
        <f>"BOLIVAR"</f>
        <v>BOLIVAR</v>
      </c>
      <c r="BO527" t="str">
        <f>"CARTAGENA"</f>
        <v>CARTAGENA</v>
      </c>
      <c r="BP527" t="str">
        <f>"BOLIVAR"</f>
        <v>BOLIVAR</v>
      </c>
      <c r="BQ527" t="str">
        <f>"CARTAGENA"</f>
        <v>CARTAGENA</v>
      </c>
    </row>
    <row r="528" spans="1:69" x14ac:dyDescent="0.25">
      <c r="A528" t="str">
        <f>"7285748"</f>
        <v>7285748</v>
      </c>
      <c r="B528" t="str">
        <f t="shared" si="603"/>
        <v>459</v>
      </c>
      <c r="C528" t="str">
        <f>"8/10/2020 12:00:00 a. m."</f>
        <v>8/10/2020 12:00:00 a. m.</v>
      </c>
      <c r="D528" t="str">
        <f>"41"</f>
        <v>41</v>
      </c>
      <c r="E528" t="str">
        <f t="shared" si="604"/>
        <v>2020</v>
      </c>
      <c r="F528" t="str">
        <f>"1300100568"</f>
        <v>1300100568</v>
      </c>
      <c r="G528" t="str">
        <f t="shared" si="622"/>
        <v>01</v>
      </c>
      <c r="H528" t="str">
        <f>"6"</f>
        <v>6</v>
      </c>
      <c r="I528" t="str">
        <f t="shared" si="579"/>
        <v>1</v>
      </c>
      <c r="J528" t="str">
        <f>"F"</f>
        <v>F</v>
      </c>
      <c r="K528" t="str">
        <f t="shared" si="615"/>
        <v>170</v>
      </c>
      <c r="L528" t="str">
        <f>"13"</f>
        <v>13</v>
      </c>
      <c r="M528" t="str">
        <f t="shared" si="623"/>
        <v>001</v>
      </c>
      <c r="N528" t="str">
        <f t="shared" si="620"/>
        <v>1</v>
      </c>
      <c r="O528" t="str">
        <f t="shared" ref="O528:O534" si="627">"9999"</f>
        <v>9999</v>
      </c>
      <c r="P528" t="str">
        <f>"S"</f>
        <v>S</v>
      </c>
      <c r="Q528" t="str">
        <f>"ESS207"</f>
        <v>ESS207</v>
      </c>
      <c r="R528" t="str">
        <f t="shared" si="621"/>
        <v>6</v>
      </c>
      <c r="S528" t="str">
        <f>""</f>
        <v/>
      </c>
      <c r="T528" t="str">
        <f t="shared" si="589"/>
        <v xml:space="preserve">                                                                                                    </v>
      </c>
      <c r="U528" t="str">
        <f>"3         "</f>
        <v xml:space="preserve">3         </v>
      </c>
      <c r="V528" t="str">
        <f t="shared" si="601"/>
        <v>2</v>
      </c>
      <c r="W528" t="str">
        <f t="shared" si="624"/>
        <v>2</v>
      </c>
      <c r="X528" t="str">
        <f t="shared" si="547"/>
        <v>2</v>
      </c>
      <c r="Y528" t="str">
        <f t="shared" si="612"/>
        <v>2</v>
      </c>
      <c r="Z528" t="str">
        <f t="shared" si="612"/>
        <v>2</v>
      </c>
      <c r="AA528" t="str">
        <f t="shared" si="605"/>
        <v xml:space="preserve">          </v>
      </c>
      <c r="AB528" t="str">
        <f t="shared" si="594"/>
        <v>2</v>
      </c>
      <c r="AC528" t="str">
        <f t="shared" si="596"/>
        <v>2</v>
      </c>
      <c r="AD528" t="str">
        <f t="shared" si="613"/>
        <v>2</v>
      </c>
      <c r="AE528" t="str">
        <f t="shared" si="613"/>
        <v>2</v>
      </c>
      <c r="AF528" t="str">
        <f t="shared" si="613"/>
        <v>2</v>
      </c>
      <c r="AG528" t="str">
        <f t="shared" si="613"/>
        <v>2</v>
      </c>
      <c r="AH528" t="str">
        <f t="shared" si="625"/>
        <v>1</v>
      </c>
      <c r="AI528" t="str">
        <f>"1         "</f>
        <v xml:space="preserve">1         </v>
      </c>
      <c r="AJ528" t="str">
        <f t="shared" si="616"/>
        <v>170</v>
      </c>
      <c r="AK528" t="str">
        <f>"13"</f>
        <v>13</v>
      </c>
      <c r="AL528" t="str">
        <f t="shared" si="626"/>
        <v>001</v>
      </c>
      <c r="AM528" t="str">
        <f>"13"</f>
        <v>13</v>
      </c>
      <c r="AN528" t="str">
        <f>"13001"</f>
        <v>13001</v>
      </c>
      <c r="AO528" t="str">
        <f>"5/10/2020 12:00:00 a. m."</f>
        <v>5/10/2020 12:00:00 a. m.</v>
      </c>
      <c r="AP528" t="str">
        <f>"1/10/2020 12:00:00 a. m."</f>
        <v>1/10/2020 12:00:00 a. m.</v>
      </c>
      <c r="AQ528" t="str">
        <f>"3"</f>
        <v>3</v>
      </c>
      <c r="AR528" t="str">
        <f t="shared" si="614"/>
        <v>1</v>
      </c>
      <c r="AS528" t="str">
        <f>"5/10/2020 12:00:00 a. m."</f>
        <v>5/10/2020 12:00:00 a. m.</v>
      </c>
      <c r="AT528" t="str">
        <f>"2"</f>
        <v>2</v>
      </c>
      <c r="AU528" t="str">
        <f>"5/10/2020 12:00:00 a. m."</f>
        <v>5/10/2020 12:00:00 a. m.</v>
      </c>
      <c r="AV528" t="str">
        <f>"0"</f>
        <v>0</v>
      </c>
      <c r="AW528" t="str">
        <f>"14/08/2014 12:00:00 a. m."</f>
        <v>14/08/2014 12:00:00 a. m.</v>
      </c>
      <c r="AX528" t="str">
        <f>"C749"</f>
        <v>C749</v>
      </c>
      <c r="AY528" t="str">
        <f t="shared" si="606"/>
        <v>30/04/2021 12:00:00 a. m.</v>
      </c>
      <c r="AZ528" t="str">
        <f>"9/10/2020 12:00:00 a. m."</f>
        <v>9/10/2020 12:00:00 a. m.</v>
      </c>
      <c r="BA528" t="str">
        <f>""</f>
        <v/>
      </c>
      <c r="BB528" t="str">
        <f>""</f>
        <v/>
      </c>
      <c r="BC528" t="str">
        <f>""</f>
        <v/>
      </c>
      <c r="BD528" t="str">
        <f t="shared" si="617"/>
        <v>1</v>
      </c>
      <c r="BE528" t="str">
        <f t="shared" si="617"/>
        <v>1</v>
      </c>
      <c r="BF528" t="str">
        <f t="shared" si="607"/>
        <v xml:space="preserve">3         </v>
      </c>
      <c r="BG528" t="str">
        <f t="shared" si="608"/>
        <v>Confirmado por laboratorio</v>
      </c>
      <c r="BH528" t="str">
        <f>"CLINICA BLAS DE LEZO S.A."</f>
        <v>CLINICA BLAS DE LEZO S.A.</v>
      </c>
      <c r="BI528" t="str">
        <f t="shared" si="618"/>
        <v>COLOMBIA</v>
      </c>
      <c r="BJ528" t="str">
        <f t="shared" si="609"/>
        <v>CANCER INFANTIL</v>
      </c>
      <c r="BK528" t="str">
        <f>"BOLIVAR"</f>
        <v>BOLIVAR</v>
      </c>
      <c r="BL528" t="str">
        <f>"CARTAGENA"</f>
        <v>CARTAGENA</v>
      </c>
      <c r="BM528" t="str">
        <f t="shared" si="619"/>
        <v>COLOMBIA</v>
      </c>
      <c r="BN528" t="str">
        <f>"BOLIVAR"</f>
        <v>BOLIVAR</v>
      </c>
      <c r="BO528" t="str">
        <f>"CARTAGENA"</f>
        <v>CARTAGENA</v>
      </c>
      <c r="BP528" t="str">
        <f>"BOLIVAR"</f>
        <v>BOLIVAR</v>
      </c>
      <c r="BQ528" t="str">
        <f>"CARTAGENA"</f>
        <v>CARTAGENA</v>
      </c>
    </row>
    <row r="529" spans="1:69" x14ac:dyDescent="0.25">
      <c r="A529" t="str">
        <f>"7285501"</f>
        <v>7285501</v>
      </c>
      <c r="B529" t="str">
        <f t="shared" si="603"/>
        <v>459</v>
      </c>
      <c r="C529" t="str">
        <f>"28/07/2020 12:00:00 a. m."</f>
        <v>28/07/2020 12:00:00 a. m.</v>
      </c>
      <c r="D529" t="str">
        <f>"31"</f>
        <v>31</v>
      </c>
      <c r="E529" t="str">
        <f t="shared" si="604"/>
        <v>2020</v>
      </c>
      <c r="F529" t="str">
        <f>"0500102104"</f>
        <v>0500102104</v>
      </c>
      <c r="G529" t="str">
        <f t="shared" si="622"/>
        <v>01</v>
      </c>
      <c r="H529" t="str">
        <f>"2"</f>
        <v>2</v>
      </c>
      <c r="I529" t="str">
        <f t="shared" si="579"/>
        <v>1</v>
      </c>
      <c r="J529" t="str">
        <f t="shared" ref="J529:J538" si="628">"M"</f>
        <v>M</v>
      </c>
      <c r="K529" t="str">
        <f t="shared" si="615"/>
        <v>170</v>
      </c>
      <c r="L529" t="str">
        <f>"63"</f>
        <v>63</v>
      </c>
      <c r="M529" t="str">
        <f t="shared" si="623"/>
        <v>001</v>
      </c>
      <c r="N529" t="str">
        <f t="shared" si="620"/>
        <v>1</v>
      </c>
      <c r="O529" t="str">
        <f t="shared" si="627"/>
        <v>9999</v>
      </c>
      <c r="P529" t="str">
        <f>"C"</f>
        <v>C</v>
      </c>
      <c r="Q529" t="str">
        <f>"EPS005"</f>
        <v>EPS005</v>
      </c>
      <c r="R529" t="str">
        <f t="shared" si="621"/>
        <v>6</v>
      </c>
      <c r="S529" t="str">
        <f>""</f>
        <v/>
      </c>
      <c r="T529" t="str">
        <f t="shared" si="589"/>
        <v xml:space="preserve">                                                                                                    </v>
      </c>
      <c r="U529" t="str">
        <f>"2         "</f>
        <v xml:space="preserve">2         </v>
      </c>
      <c r="V529" t="str">
        <f t="shared" si="601"/>
        <v>2</v>
      </c>
      <c r="W529" t="str">
        <f t="shared" si="624"/>
        <v>2</v>
      </c>
      <c r="X529" t="str">
        <f t="shared" si="547"/>
        <v>2</v>
      </c>
      <c r="Y529" t="str">
        <f t="shared" si="612"/>
        <v>2</v>
      </c>
      <c r="Z529" t="str">
        <f t="shared" si="612"/>
        <v>2</v>
      </c>
      <c r="AA529" t="str">
        <f t="shared" si="605"/>
        <v xml:space="preserve">          </v>
      </c>
      <c r="AB529" t="str">
        <f t="shared" si="594"/>
        <v>2</v>
      </c>
      <c r="AC529" t="str">
        <f t="shared" si="596"/>
        <v>2</v>
      </c>
      <c r="AD529" t="str">
        <f t="shared" si="613"/>
        <v>2</v>
      </c>
      <c r="AE529" t="str">
        <f t="shared" si="613"/>
        <v>2</v>
      </c>
      <c r="AF529" t="str">
        <f t="shared" si="613"/>
        <v>2</v>
      </c>
      <c r="AG529" t="str">
        <f t="shared" si="613"/>
        <v>2</v>
      </c>
      <c r="AH529" t="str">
        <f t="shared" si="625"/>
        <v>1</v>
      </c>
      <c r="AI529" t="str">
        <f>"1         "</f>
        <v xml:space="preserve">1         </v>
      </c>
      <c r="AJ529" t="str">
        <f t="shared" si="616"/>
        <v>170</v>
      </c>
      <c r="AK529" t="str">
        <f>"63"</f>
        <v>63</v>
      </c>
      <c r="AL529" t="str">
        <f t="shared" si="626"/>
        <v>001</v>
      </c>
      <c r="AM529" t="str">
        <f>"05"</f>
        <v>05</v>
      </c>
      <c r="AN529" t="str">
        <f>"05001"</f>
        <v>05001</v>
      </c>
      <c r="AO529" t="str">
        <f>"27/07/2020 12:00:00 a. m."</f>
        <v>27/07/2020 12:00:00 a. m.</v>
      </c>
      <c r="AP529" t="str">
        <f>"12/07/2020 12:00:00 a. m."</f>
        <v>12/07/2020 12:00:00 a. m.</v>
      </c>
      <c r="AQ529" t="str">
        <f>"3"</f>
        <v>3</v>
      </c>
      <c r="AR529" t="str">
        <f t="shared" si="614"/>
        <v>1</v>
      </c>
      <c r="AS529" t="str">
        <f>"27/07/2020 12:00:00 a. m."</f>
        <v>27/07/2020 12:00:00 a. m.</v>
      </c>
      <c r="AT529" t="str">
        <f t="shared" ref="AT529:AT563" si="629">"1"</f>
        <v>1</v>
      </c>
      <c r="AU529" t="str">
        <f>""</f>
        <v/>
      </c>
      <c r="AV529" t="str">
        <f>"7"</f>
        <v>7</v>
      </c>
      <c r="AW529" t="str">
        <f>"3/11/2017 12:00:00 a. m."</f>
        <v>3/11/2017 12:00:00 a. m.</v>
      </c>
      <c r="AX529" t="str">
        <f>""</f>
        <v/>
      </c>
      <c r="AY529" t="str">
        <f t="shared" si="606"/>
        <v>30/04/2021 12:00:00 a. m.</v>
      </c>
      <c r="AZ529" t="str">
        <f>"4/08/2020 12:00:00 a. m."</f>
        <v>4/08/2020 12:00:00 a. m.</v>
      </c>
      <c r="BA529" t="str">
        <f>""</f>
        <v/>
      </c>
      <c r="BB529" t="str">
        <f>""</f>
        <v/>
      </c>
      <c r="BC529" t="str">
        <f>""</f>
        <v/>
      </c>
      <c r="BD529" t="str">
        <f t="shared" si="617"/>
        <v>1</v>
      </c>
      <c r="BE529" t="str">
        <f t="shared" si="617"/>
        <v>1</v>
      </c>
      <c r="BF529" t="str">
        <f t="shared" si="607"/>
        <v xml:space="preserve">3         </v>
      </c>
      <c r="BG529" t="str">
        <f t="shared" si="608"/>
        <v>Confirmado por laboratorio</v>
      </c>
      <c r="BH529" t="str">
        <f>"HOSPITAL PABLO TOBON URIBE"</f>
        <v>HOSPITAL PABLO TOBON URIBE</v>
      </c>
      <c r="BI529" t="str">
        <f t="shared" si="618"/>
        <v>COLOMBIA</v>
      </c>
      <c r="BJ529" t="str">
        <f t="shared" si="609"/>
        <v>CANCER INFANTIL</v>
      </c>
      <c r="BK529" t="str">
        <f>"QUINDIO"</f>
        <v>QUINDIO</v>
      </c>
      <c r="BL529" t="str">
        <f>"ARMENIA"</f>
        <v>ARMENIA</v>
      </c>
      <c r="BM529" t="str">
        <f t="shared" si="619"/>
        <v>COLOMBIA</v>
      </c>
      <c r="BN529" t="str">
        <f>"QUINDIO"</f>
        <v>QUINDIO</v>
      </c>
      <c r="BO529" t="str">
        <f>"ARMENIA"</f>
        <v>ARMENIA</v>
      </c>
      <c r="BP529" t="str">
        <f>"ANTIOQUIA"</f>
        <v>ANTIOQUIA</v>
      </c>
      <c r="BQ529" t="str">
        <f>"MEDELLIN"</f>
        <v>MEDELLIN</v>
      </c>
    </row>
    <row r="530" spans="1:69" x14ac:dyDescent="0.25">
      <c r="A530" t="str">
        <f>"7291558"</f>
        <v>7291558</v>
      </c>
      <c r="B530" t="str">
        <f t="shared" si="603"/>
        <v>459</v>
      </c>
      <c r="C530" t="str">
        <f>"13/02/2020 12:00:00 a. m."</f>
        <v>13/02/2020 12:00:00 a. m.</v>
      </c>
      <c r="D530" t="str">
        <f>"04"</f>
        <v>04</v>
      </c>
      <c r="E530" t="str">
        <f t="shared" si="604"/>
        <v>2020</v>
      </c>
      <c r="F530" t="str">
        <f>"1100105681"</f>
        <v>1100105681</v>
      </c>
      <c r="G530" t="str">
        <f t="shared" si="622"/>
        <v>01</v>
      </c>
      <c r="H530" t="str">
        <f>"1"</f>
        <v>1</v>
      </c>
      <c r="I530" t="str">
        <f t="shared" si="579"/>
        <v>1</v>
      </c>
      <c r="J530" t="str">
        <f t="shared" si="628"/>
        <v>M</v>
      </c>
      <c r="K530" t="str">
        <f t="shared" si="615"/>
        <v>170</v>
      </c>
      <c r="L530" t="str">
        <f>"11"</f>
        <v>11</v>
      </c>
      <c r="M530" t="str">
        <f t="shared" si="623"/>
        <v>001</v>
      </c>
      <c r="N530" t="str">
        <f t="shared" si="620"/>
        <v>1</v>
      </c>
      <c r="O530" t="str">
        <f t="shared" si="627"/>
        <v>9999</v>
      </c>
      <c r="P530" t="str">
        <f>"S"</f>
        <v>S</v>
      </c>
      <c r="Q530" t="str">
        <f>"EPSS34"</f>
        <v>EPSS34</v>
      </c>
      <c r="R530" t="str">
        <f t="shared" si="621"/>
        <v>6</v>
      </c>
      <c r="S530" t="str">
        <f>""</f>
        <v/>
      </c>
      <c r="T530" t="str">
        <f t="shared" si="589"/>
        <v xml:space="preserve">                                                                                                    </v>
      </c>
      <c r="U530" t="str">
        <f>"2         "</f>
        <v xml:space="preserve">2         </v>
      </c>
      <c r="V530" t="str">
        <f t="shared" si="601"/>
        <v>2</v>
      </c>
      <c r="W530" t="str">
        <f t="shared" si="624"/>
        <v>2</v>
      </c>
      <c r="X530" t="str">
        <f t="shared" si="547"/>
        <v>2</v>
      </c>
      <c r="Y530" t="str">
        <f t="shared" si="612"/>
        <v>2</v>
      </c>
      <c r="Z530" t="str">
        <f t="shared" si="612"/>
        <v>2</v>
      </c>
      <c r="AA530" t="str">
        <f t="shared" si="605"/>
        <v xml:space="preserve">          </v>
      </c>
      <c r="AB530" t="str">
        <f t="shared" si="594"/>
        <v>2</v>
      </c>
      <c r="AC530" t="str">
        <f t="shared" si="596"/>
        <v>2</v>
      </c>
      <c r="AD530" t="str">
        <f t="shared" si="613"/>
        <v>2</v>
      </c>
      <c r="AE530" t="str">
        <f t="shared" si="613"/>
        <v>2</v>
      </c>
      <c r="AF530" t="str">
        <f t="shared" si="613"/>
        <v>2</v>
      </c>
      <c r="AG530" t="str">
        <f t="shared" si="613"/>
        <v>2</v>
      </c>
      <c r="AH530" t="str">
        <f t="shared" si="625"/>
        <v>1</v>
      </c>
      <c r="AI530" t="str">
        <f>"2         "</f>
        <v xml:space="preserve">2         </v>
      </c>
      <c r="AJ530" t="str">
        <f t="shared" si="616"/>
        <v>170</v>
      </c>
      <c r="AK530" t="str">
        <f>"11"</f>
        <v>11</v>
      </c>
      <c r="AL530" t="str">
        <f t="shared" si="626"/>
        <v>001</v>
      </c>
      <c r="AM530" t="str">
        <f>"11"</f>
        <v>11</v>
      </c>
      <c r="AN530" t="str">
        <f>"11001"</f>
        <v>11001</v>
      </c>
      <c r="AO530" t="str">
        <f>"22/01/2020 12:00:00 a. m."</f>
        <v>22/01/2020 12:00:00 a. m.</v>
      </c>
      <c r="AP530" t="str">
        <f>"1/11/2019 12:00:00 a. m."</f>
        <v>1/11/2019 12:00:00 a. m.</v>
      </c>
      <c r="AQ530" t="str">
        <f>"3"</f>
        <v>3</v>
      </c>
      <c r="AR530" t="str">
        <f t="shared" si="614"/>
        <v>1</v>
      </c>
      <c r="AS530" t="str">
        <f>"22/01/2020 12:00:00 a. m."</f>
        <v>22/01/2020 12:00:00 a. m.</v>
      </c>
      <c r="AT530" t="str">
        <f t="shared" si="629"/>
        <v>1</v>
      </c>
      <c r="AU530" t="str">
        <f>""</f>
        <v/>
      </c>
      <c r="AV530" t="str">
        <f>"0"</f>
        <v>0</v>
      </c>
      <c r="AW530" t="str">
        <f>"23/10/2018 12:00:00 a. m."</f>
        <v>23/10/2018 12:00:00 a. m.</v>
      </c>
      <c r="AX530" t="str">
        <f>""</f>
        <v/>
      </c>
      <c r="AY530" t="str">
        <f t="shared" si="606"/>
        <v>30/04/2021 12:00:00 a. m.</v>
      </c>
      <c r="AZ530" t="str">
        <f>"26/03/2020 12:00:00 a. m."</f>
        <v>26/03/2020 12:00:00 a. m.</v>
      </c>
      <c r="BA530" t="str">
        <f>""</f>
        <v/>
      </c>
      <c r="BB530" t="str">
        <f>""</f>
        <v/>
      </c>
      <c r="BC530" t="str">
        <f>""</f>
        <v/>
      </c>
      <c r="BD530" t="str">
        <f t="shared" si="617"/>
        <v>1</v>
      </c>
      <c r="BE530" t="str">
        <f t="shared" si="617"/>
        <v>1</v>
      </c>
      <c r="BF530" t="str">
        <f t="shared" si="607"/>
        <v xml:space="preserve">3         </v>
      </c>
      <c r="BG530" t="str">
        <f t="shared" si="608"/>
        <v>Confirmado por laboratorio</v>
      </c>
      <c r="BH530" t="str">
        <f>"FUNDACION HOSPITAL DE LA MISERICORDIA"</f>
        <v>FUNDACION HOSPITAL DE LA MISERICORDIA</v>
      </c>
      <c r="BI530" t="str">
        <f t="shared" si="618"/>
        <v>COLOMBIA</v>
      </c>
      <c r="BJ530" t="str">
        <f t="shared" si="609"/>
        <v>CANCER INFANTIL</v>
      </c>
      <c r="BK530" t="str">
        <f>"BOGOTA"</f>
        <v>BOGOTA</v>
      </c>
      <c r="BL530" t="str">
        <f>"BOGOTA"</f>
        <v>BOGOTA</v>
      </c>
      <c r="BM530" t="str">
        <f t="shared" si="619"/>
        <v>COLOMBIA</v>
      </c>
      <c r="BN530" t="str">
        <f>"BOGOTA"</f>
        <v>BOGOTA</v>
      </c>
      <c r="BO530" t="str">
        <f>"BOGOTA"</f>
        <v>BOGOTA</v>
      </c>
      <c r="BP530" t="str">
        <f>"BOGOTA"</f>
        <v>BOGOTA</v>
      </c>
      <c r="BQ530" t="str">
        <f>"BOGOTA"</f>
        <v>BOGOTA</v>
      </c>
    </row>
    <row r="531" spans="1:69" x14ac:dyDescent="0.25">
      <c r="A531" t="str">
        <f>"7291560"</f>
        <v>7291560</v>
      </c>
      <c r="B531" t="str">
        <f t="shared" si="603"/>
        <v>459</v>
      </c>
      <c r="C531" t="str">
        <f>"27/01/2020 12:00:00 a. m."</f>
        <v>27/01/2020 12:00:00 a. m.</v>
      </c>
      <c r="D531" t="str">
        <f>"04"</f>
        <v>04</v>
      </c>
      <c r="E531" t="str">
        <f t="shared" si="604"/>
        <v>2020</v>
      </c>
      <c r="F531" t="str">
        <f>"7600102870"</f>
        <v>7600102870</v>
      </c>
      <c r="G531" t="str">
        <f t="shared" si="622"/>
        <v>01</v>
      </c>
      <c r="H531" t="str">
        <f>"4"</f>
        <v>4</v>
      </c>
      <c r="I531" t="str">
        <f t="shared" ref="I531:I554" si="630">"1"</f>
        <v>1</v>
      </c>
      <c r="J531" t="str">
        <f t="shared" si="628"/>
        <v>M</v>
      </c>
      <c r="K531" t="str">
        <f t="shared" si="615"/>
        <v>170</v>
      </c>
      <c r="L531" t="str">
        <f>"19"</f>
        <v>19</v>
      </c>
      <c r="M531" t="str">
        <f t="shared" si="623"/>
        <v>001</v>
      </c>
      <c r="N531" t="str">
        <f t="shared" si="620"/>
        <v>1</v>
      </c>
      <c r="O531" t="str">
        <f t="shared" si="627"/>
        <v>9999</v>
      </c>
      <c r="P531" t="str">
        <f>"S"</f>
        <v>S</v>
      </c>
      <c r="Q531" t="str">
        <f>"EPSS37"</f>
        <v>EPSS37</v>
      </c>
      <c r="R531" t="str">
        <f t="shared" si="621"/>
        <v>6</v>
      </c>
      <c r="S531" t="str">
        <f>""</f>
        <v/>
      </c>
      <c r="T531" t="str">
        <f t="shared" si="589"/>
        <v xml:space="preserve">                                                                                                    </v>
      </c>
      <c r="U531" t="str">
        <f>"          "</f>
        <v xml:space="preserve">          </v>
      </c>
      <c r="V531" t="str">
        <f t="shared" si="601"/>
        <v>2</v>
      </c>
      <c r="W531" t="str">
        <f t="shared" si="624"/>
        <v>2</v>
      </c>
      <c r="X531" t="str">
        <f t="shared" si="547"/>
        <v>2</v>
      </c>
      <c r="Y531" t="str">
        <f t="shared" si="612"/>
        <v>2</v>
      </c>
      <c r="Z531" t="str">
        <f t="shared" si="612"/>
        <v>2</v>
      </c>
      <c r="AA531" t="str">
        <f t="shared" si="605"/>
        <v xml:space="preserve">          </v>
      </c>
      <c r="AB531" t="str">
        <f t="shared" si="594"/>
        <v>2</v>
      </c>
      <c r="AC531" t="str">
        <f t="shared" si="596"/>
        <v>2</v>
      </c>
      <c r="AD531" t="str">
        <f t="shared" si="613"/>
        <v>2</v>
      </c>
      <c r="AE531" t="str">
        <f t="shared" si="613"/>
        <v>2</v>
      </c>
      <c r="AF531" t="str">
        <f t="shared" si="613"/>
        <v>2</v>
      </c>
      <c r="AG531" t="str">
        <f t="shared" si="613"/>
        <v>2</v>
      </c>
      <c r="AH531" t="str">
        <f t="shared" si="625"/>
        <v>1</v>
      </c>
      <c r="AI531" t="str">
        <f t="shared" ref="AI531:AI542" si="631">"1         "</f>
        <v xml:space="preserve">1         </v>
      </c>
      <c r="AJ531" t="str">
        <f t="shared" si="616"/>
        <v>170</v>
      </c>
      <c r="AK531" t="str">
        <f>"19"</f>
        <v>19</v>
      </c>
      <c r="AL531" t="str">
        <f t="shared" si="626"/>
        <v>001</v>
      </c>
      <c r="AM531" t="str">
        <f>"76"</f>
        <v>76</v>
      </c>
      <c r="AN531" t="str">
        <f>"76001"</f>
        <v>76001</v>
      </c>
      <c r="AO531" t="str">
        <f>"25/01/2020 12:00:00 a. m."</f>
        <v>25/01/2020 12:00:00 a. m.</v>
      </c>
      <c r="AP531" t="str">
        <f>"25/05/2019 12:00:00 a. m."</f>
        <v>25/05/2019 12:00:00 a. m.</v>
      </c>
      <c r="AQ531" t="str">
        <f>"2"</f>
        <v>2</v>
      </c>
      <c r="AR531" t="str">
        <f t="shared" si="614"/>
        <v>1</v>
      </c>
      <c r="AS531" t="str">
        <f>"25/01/2020 12:00:00 a. m."</f>
        <v>25/01/2020 12:00:00 a. m.</v>
      </c>
      <c r="AT531" t="str">
        <f t="shared" si="629"/>
        <v>1</v>
      </c>
      <c r="AU531" t="str">
        <f>""</f>
        <v/>
      </c>
      <c r="AV531" t="str">
        <f>"3"</f>
        <v>3</v>
      </c>
      <c r="AW531" t="str">
        <f>"28/07/2015 12:00:00 a. m."</f>
        <v>28/07/2015 12:00:00 a. m.</v>
      </c>
      <c r="AX531" t="str">
        <f>""</f>
        <v/>
      </c>
      <c r="AY531" t="str">
        <f t="shared" si="606"/>
        <v>30/04/2021 12:00:00 a. m.</v>
      </c>
      <c r="AZ531" t="str">
        <f>"3/02/2020 12:00:00 a. m."</f>
        <v>3/02/2020 12:00:00 a. m.</v>
      </c>
      <c r="BA531" t="str">
        <f>""</f>
        <v/>
      </c>
      <c r="BB531" t="str">
        <f>""</f>
        <v/>
      </c>
      <c r="BC531" t="str">
        <f>""</f>
        <v/>
      </c>
      <c r="BD531" t="str">
        <f t="shared" si="617"/>
        <v>1</v>
      </c>
      <c r="BE531" t="str">
        <f t="shared" si="617"/>
        <v>1</v>
      </c>
      <c r="BF531" t="str">
        <f t="shared" si="607"/>
        <v xml:space="preserve">3         </v>
      </c>
      <c r="BG531" t="str">
        <f t="shared" si="608"/>
        <v>Confirmado por laboratorio</v>
      </c>
      <c r="BH531" t="str">
        <f>"FUNDACION VALLE DEL LILI"</f>
        <v>FUNDACION VALLE DEL LILI</v>
      </c>
      <c r="BI531" t="str">
        <f t="shared" si="618"/>
        <v>COLOMBIA</v>
      </c>
      <c r="BJ531" t="str">
        <f t="shared" si="609"/>
        <v>CANCER INFANTIL</v>
      </c>
      <c r="BK531" t="str">
        <f>"CAUCA"</f>
        <v>CAUCA</v>
      </c>
      <c r="BL531" t="str">
        <f>"POPAYAN"</f>
        <v>POPAYAN</v>
      </c>
      <c r="BM531" t="str">
        <f t="shared" si="619"/>
        <v>COLOMBIA</v>
      </c>
      <c r="BN531" t="str">
        <f>"CAUCA"</f>
        <v>CAUCA</v>
      </c>
      <c r="BO531" t="str">
        <f>"POPAYAN"</f>
        <v>POPAYAN</v>
      </c>
      <c r="BP531" t="str">
        <f>"VALLE"</f>
        <v>VALLE</v>
      </c>
      <c r="BQ531" t="str">
        <f>"CALI"</f>
        <v>CALI</v>
      </c>
    </row>
    <row r="532" spans="1:69" x14ac:dyDescent="0.25">
      <c r="A532" t="str">
        <f>"7291570"</f>
        <v>7291570</v>
      </c>
      <c r="B532" t="str">
        <f t="shared" si="603"/>
        <v>459</v>
      </c>
      <c r="C532" t="str">
        <f>"30/09/2020 12:00:00 a. m."</f>
        <v>30/09/2020 12:00:00 a. m.</v>
      </c>
      <c r="D532" t="str">
        <f>"38"</f>
        <v>38</v>
      </c>
      <c r="E532" t="str">
        <f t="shared" si="604"/>
        <v>2020</v>
      </c>
      <c r="F532" t="str">
        <f>"7600102870"</f>
        <v>7600102870</v>
      </c>
      <c r="G532" t="str">
        <f t="shared" si="622"/>
        <v>01</v>
      </c>
      <c r="H532" t="str">
        <f>"7"</f>
        <v>7</v>
      </c>
      <c r="I532" t="str">
        <f t="shared" si="630"/>
        <v>1</v>
      </c>
      <c r="J532" t="str">
        <f t="shared" si="628"/>
        <v>M</v>
      </c>
      <c r="K532" t="str">
        <f t="shared" si="615"/>
        <v>170</v>
      </c>
      <c r="L532" t="str">
        <f>"76"</f>
        <v>76</v>
      </c>
      <c r="M532" t="str">
        <f t="shared" si="623"/>
        <v>001</v>
      </c>
      <c r="N532" t="str">
        <f t="shared" si="620"/>
        <v>1</v>
      </c>
      <c r="O532" t="str">
        <f t="shared" si="627"/>
        <v>9999</v>
      </c>
      <c r="P532" t="str">
        <f>"S"</f>
        <v>S</v>
      </c>
      <c r="Q532" t="str">
        <f>"EPSS37"</f>
        <v>EPSS37</v>
      </c>
      <c r="R532" t="str">
        <f t="shared" si="621"/>
        <v>6</v>
      </c>
      <c r="S532" t="str">
        <f>""</f>
        <v/>
      </c>
      <c r="T532" t="str">
        <f t="shared" si="589"/>
        <v xml:space="preserve">                                                                                                    </v>
      </c>
      <c r="U532" t="str">
        <f>"          "</f>
        <v xml:space="preserve">          </v>
      </c>
      <c r="V532" t="str">
        <f t="shared" si="601"/>
        <v>2</v>
      </c>
      <c r="W532" t="str">
        <f t="shared" si="624"/>
        <v>2</v>
      </c>
      <c r="X532" t="str">
        <f t="shared" si="547"/>
        <v>2</v>
      </c>
      <c r="Y532" t="str">
        <f t="shared" si="612"/>
        <v>2</v>
      </c>
      <c r="Z532" t="str">
        <f t="shared" si="612"/>
        <v>2</v>
      </c>
      <c r="AA532" t="str">
        <f t="shared" si="605"/>
        <v xml:space="preserve">          </v>
      </c>
      <c r="AB532" t="str">
        <f t="shared" si="594"/>
        <v>2</v>
      </c>
      <c r="AC532" t="str">
        <f t="shared" si="596"/>
        <v>2</v>
      </c>
      <c r="AD532" t="str">
        <f t="shared" si="613"/>
        <v>2</v>
      </c>
      <c r="AE532" t="str">
        <f t="shared" si="613"/>
        <v>2</v>
      </c>
      <c r="AF532" t="str">
        <f t="shared" si="613"/>
        <v>2</v>
      </c>
      <c r="AG532" t="str">
        <f t="shared" si="613"/>
        <v>2</v>
      </c>
      <c r="AH532" t="str">
        <f t="shared" si="625"/>
        <v>1</v>
      </c>
      <c r="AI532" t="str">
        <f t="shared" si="631"/>
        <v xml:space="preserve">1         </v>
      </c>
      <c r="AJ532" t="str">
        <f t="shared" si="616"/>
        <v>170</v>
      </c>
      <c r="AK532" t="str">
        <f>"76"</f>
        <v>76</v>
      </c>
      <c r="AL532" t="str">
        <f t="shared" si="626"/>
        <v>001</v>
      </c>
      <c r="AM532" t="str">
        <f>"76"</f>
        <v>76</v>
      </c>
      <c r="AN532" t="str">
        <f>"76001"</f>
        <v>76001</v>
      </c>
      <c r="AO532" t="str">
        <f>"16/09/2020 12:00:00 a. m."</f>
        <v>16/09/2020 12:00:00 a. m.</v>
      </c>
      <c r="AP532" t="str">
        <f>"16/07/2020 12:00:00 a. m."</f>
        <v>16/07/2020 12:00:00 a. m.</v>
      </c>
      <c r="AQ532" t="str">
        <f t="shared" ref="AQ532:AQ538" si="632">"3"</f>
        <v>3</v>
      </c>
      <c r="AR532" t="str">
        <f t="shared" si="614"/>
        <v>1</v>
      </c>
      <c r="AS532" t="str">
        <f>"17/09/2020 12:00:00 a. m."</f>
        <v>17/09/2020 12:00:00 a. m.</v>
      </c>
      <c r="AT532" t="str">
        <f t="shared" si="629"/>
        <v>1</v>
      </c>
      <c r="AU532" t="str">
        <f>""</f>
        <v/>
      </c>
      <c r="AV532" t="str">
        <f>"3"</f>
        <v>3</v>
      </c>
      <c r="AW532" t="str">
        <f>"28/10/2012 12:00:00 a. m."</f>
        <v>28/10/2012 12:00:00 a. m.</v>
      </c>
      <c r="AX532" t="str">
        <f>""</f>
        <v/>
      </c>
      <c r="AY532" t="str">
        <f t="shared" si="606"/>
        <v>30/04/2021 12:00:00 a. m.</v>
      </c>
      <c r="AZ532" t="str">
        <f>"18/10/2020 12:00:00 a. m."</f>
        <v>18/10/2020 12:00:00 a. m.</v>
      </c>
      <c r="BA532" t="str">
        <f>""</f>
        <v/>
      </c>
      <c r="BB532" t="str">
        <f>""</f>
        <v/>
      </c>
      <c r="BC532" t="str">
        <f>""</f>
        <v/>
      </c>
      <c r="BD532" t="str">
        <f t="shared" si="617"/>
        <v>1</v>
      </c>
      <c r="BE532" t="str">
        <f t="shared" si="617"/>
        <v>1</v>
      </c>
      <c r="BF532" t="str">
        <f t="shared" si="607"/>
        <v xml:space="preserve">3         </v>
      </c>
      <c r="BG532" t="str">
        <f t="shared" si="608"/>
        <v>Confirmado por laboratorio</v>
      </c>
      <c r="BH532" t="str">
        <f>"FUNDACION VALLE DEL LILI"</f>
        <v>FUNDACION VALLE DEL LILI</v>
      </c>
      <c r="BI532" t="str">
        <f t="shared" si="618"/>
        <v>COLOMBIA</v>
      </c>
      <c r="BJ532" t="str">
        <f t="shared" si="609"/>
        <v>CANCER INFANTIL</v>
      </c>
      <c r="BK532" t="str">
        <f>"VALLE"</f>
        <v>VALLE</v>
      </c>
      <c r="BL532" t="str">
        <f>"CALI"</f>
        <v>CALI</v>
      </c>
      <c r="BM532" t="str">
        <f t="shared" si="619"/>
        <v>COLOMBIA</v>
      </c>
      <c r="BN532" t="str">
        <f>"VALLE"</f>
        <v>VALLE</v>
      </c>
      <c r="BO532" t="str">
        <f>"CALI"</f>
        <v>CALI</v>
      </c>
      <c r="BP532" t="str">
        <f>"VALLE"</f>
        <v>VALLE</v>
      </c>
      <c r="BQ532" t="str">
        <f>"CALI"</f>
        <v>CALI</v>
      </c>
    </row>
    <row r="533" spans="1:69" x14ac:dyDescent="0.25">
      <c r="A533" t="str">
        <f>"7279180"</f>
        <v>7279180</v>
      </c>
      <c r="B533" t="str">
        <f t="shared" si="603"/>
        <v>459</v>
      </c>
      <c r="C533" t="str">
        <f>"23/10/2020 12:00:00 a. m."</f>
        <v>23/10/2020 12:00:00 a. m.</v>
      </c>
      <c r="D533" t="str">
        <f>"43"</f>
        <v>43</v>
      </c>
      <c r="E533" t="str">
        <f t="shared" si="604"/>
        <v>2020</v>
      </c>
      <c r="F533" t="str">
        <f>"7300102417"</f>
        <v>7300102417</v>
      </c>
      <c r="G533" t="str">
        <f t="shared" si="622"/>
        <v>01</v>
      </c>
      <c r="H533" t="str">
        <f>"11"</f>
        <v>11</v>
      </c>
      <c r="I533" t="str">
        <f t="shared" si="630"/>
        <v>1</v>
      </c>
      <c r="J533" t="str">
        <f t="shared" si="628"/>
        <v>M</v>
      </c>
      <c r="K533" t="str">
        <f t="shared" si="615"/>
        <v>170</v>
      </c>
      <c r="L533" t="str">
        <f>"73"</f>
        <v>73</v>
      </c>
      <c r="M533" t="str">
        <f>"168"</f>
        <v>168</v>
      </c>
      <c r="N533" t="str">
        <f>"3"</f>
        <v>3</v>
      </c>
      <c r="O533" t="str">
        <f t="shared" si="627"/>
        <v>9999</v>
      </c>
      <c r="P533" t="str">
        <f>"S"</f>
        <v>S</v>
      </c>
      <c r="Q533" t="str">
        <f>"EPSI06"</f>
        <v>EPSI06</v>
      </c>
      <c r="R533" t="str">
        <f t="shared" si="621"/>
        <v>6</v>
      </c>
      <c r="S533" t="str">
        <f>""</f>
        <v/>
      </c>
      <c r="T533" t="str">
        <f t="shared" si="589"/>
        <v xml:space="preserve">                                                                                                    </v>
      </c>
      <c r="U533" t="str">
        <f>"1         "</f>
        <v xml:space="preserve">1         </v>
      </c>
      <c r="V533" t="str">
        <f t="shared" si="601"/>
        <v>2</v>
      </c>
      <c r="W533" t="str">
        <f t="shared" si="624"/>
        <v>2</v>
      </c>
      <c r="X533" t="str">
        <f t="shared" si="547"/>
        <v>2</v>
      </c>
      <c r="Y533" t="str">
        <f t="shared" si="612"/>
        <v>2</v>
      </c>
      <c r="Z533" t="str">
        <f t="shared" si="612"/>
        <v>2</v>
      </c>
      <c r="AA533" t="str">
        <f t="shared" si="605"/>
        <v xml:space="preserve">          </v>
      </c>
      <c r="AB533" t="str">
        <f t="shared" si="594"/>
        <v>2</v>
      </c>
      <c r="AC533" t="str">
        <f t="shared" si="596"/>
        <v>2</v>
      </c>
      <c r="AD533" t="str">
        <f t="shared" si="613"/>
        <v>2</v>
      </c>
      <c r="AE533" t="str">
        <f t="shared" si="613"/>
        <v>2</v>
      </c>
      <c r="AF533" t="str">
        <f t="shared" si="613"/>
        <v>2</v>
      </c>
      <c r="AG533" t="str">
        <f t="shared" si="613"/>
        <v>2</v>
      </c>
      <c r="AH533" t="str">
        <f t="shared" si="625"/>
        <v>1</v>
      </c>
      <c r="AI533" t="str">
        <f t="shared" si="631"/>
        <v xml:space="preserve">1         </v>
      </c>
      <c r="AJ533" t="str">
        <f t="shared" si="616"/>
        <v>170</v>
      </c>
      <c r="AK533" t="str">
        <f>"73"</f>
        <v>73</v>
      </c>
      <c r="AL533" t="str">
        <f>"168"</f>
        <v>168</v>
      </c>
      <c r="AM533" t="str">
        <f>"73"</f>
        <v>73</v>
      </c>
      <c r="AN533" t="str">
        <f>"73001"</f>
        <v>73001</v>
      </c>
      <c r="AO533" t="str">
        <f>"20/10/2020 12:00:00 a. m."</f>
        <v>20/10/2020 12:00:00 a. m.</v>
      </c>
      <c r="AP533" t="str">
        <f>"1/10/2020 12:00:00 a. m."</f>
        <v>1/10/2020 12:00:00 a. m.</v>
      </c>
      <c r="AQ533" t="str">
        <f t="shared" si="632"/>
        <v>3</v>
      </c>
      <c r="AR533" t="str">
        <f t="shared" si="614"/>
        <v>1</v>
      </c>
      <c r="AS533" t="str">
        <f>"20/10/2020 12:00:00 a. m."</f>
        <v>20/10/2020 12:00:00 a. m.</v>
      </c>
      <c r="AT533" t="str">
        <f t="shared" si="629"/>
        <v>1</v>
      </c>
      <c r="AU533" t="str">
        <f>""</f>
        <v/>
      </c>
      <c r="AV533" t="str">
        <f>"0"</f>
        <v>0</v>
      </c>
      <c r="AW533" t="str">
        <f>"12/06/2009 12:00:00 a. m."</f>
        <v>12/06/2009 12:00:00 a. m.</v>
      </c>
      <c r="AX533" t="str">
        <f>""</f>
        <v/>
      </c>
      <c r="AY533" t="str">
        <f t="shared" si="606"/>
        <v>30/04/2021 12:00:00 a. m.</v>
      </c>
      <c r="AZ533" t="str">
        <f>"26/10/2020 12:00:00 a. m."</f>
        <v>26/10/2020 12:00:00 a. m.</v>
      </c>
      <c r="BA533" t="str">
        <f>""</f>
        <v/>
      </c>
      <c r="BB533" t="str">
        <f>""</f>
        <v/>
      </c>
      <c r="BC533" t="str">
        <f>""</f>
        <v/>
      </c>
      <c r="BD533" t="str">
        <f t="shared" si="617"/>
        <v>1</v>
      </c>
      <c r="BE533" t="str">
        <f t="shared" si="617"/>
        <v>1</v>
      </c>
      <c r="BF533" t="str">
        <f t="shared" si="607"/>
        <v xml:space="preserve">3         </v>
      </c>
      <c r="BG533" t="str">
        <f t="shared" si="608"/>
        <v>Confirmado por laboratorio</v>
      </c>
      <c r="BH533" t="str">
        <f>"CLINICA INTERNACIONAL DE ALTA TECNOLOGIA SAS"</f>
        <v>CLINICA INTERNACIONAL DE ALTA TECNOLOGIA SAS</v>
      </c>
      <c r="BI533" t="str">
        <f t="shared" si="618"/>
        <v>COLOMBIA</v>
      </c>
      <c r="BJ533" t="str">
        <f t="shared" si="609"/>
        <v>CANCER INFANTIL</v>
      </c>
      <c r="BK533" t="str">
        <f>"TOLIMA"</f>
        <v>TOLIMA</v>
      </c>
      <c r="BL533" t="str">
        <f>"CHAPARRAL"</f>
        <v>CHAPARRAL</v>
      </c>
      <c r="BM533" t="str">
        <f t="shared" si="619"/>
        <v>COLOMBIA</v>
      </c>
      <c r="BN533" t="str">
        <f>"TOLIMA"</f>
        <v>TOLIMA</v>
      </c>
      <c r="BO533" t="str">
        <f>"CHAPARRAL"</f>
        <v>CHAPARRAL</v>
      </c>
      <c r="BP533" t="str">
        <f>"TOLIMA"</f>
        <v>TOLIMA</v>
      </c>
      <c r="BQ533" t="str">
        <f>"IBAGUE"</f>
        <v>IBAGUE</v>
      </c>
    </row>
    <row r="534" spans="1:69" x14ac:dyDescent="0.25">
      <c r="A534" t="str">
        <f>"7279249"</f>
        <v>7279249</v>
      </c>
      <c r="B534" t="str">
        <f t="shared" si="603"/>
        <v>459</v>
      </c>
      <c r="C534" t="str">
        <f>"20/03/2020 12:00:00 a. m."</f>
        <v>20/03/2020 12:00:00 a. m.</v>
      </c>
      <c r="D534" t="str">
        <f>"12"</f>
        <v>12</v>
      </c>
      <c r="E534" t="str">
        <f t="shared" si="604"/>
        <v>2020</v>
      </c>
      <c r="F534" t="str">
        <f>"0500102104"</f>
        <v>0500102104</v>
      </c>
      <c r="G534" t="str">
        <f t="shared" si="622"/>
        <v>01</v>
      </c>
      <c r="H534" t="str">
        <f>"2"</f>
        <v>2</v>
      </c>
      <c r="I534" t="str">
        <f t="shared" si="630"/>
        <v>1</v>
      </c>
      <c r="J534" t="str">
        <f t="shared" si="628"/>
        <v>M</v>
      </c>
      <c r="K534" t="str">
        <f t="shared" si="615"/>
        <v>170</v>
      </c>
      <c r="L534" t="str">
        <f>"05"</f>
        <v>05</v>
      </c>
      <c r="M534" t="str">
        <f>"001"</f>
        <v>001</v>
      </c>
      <c r="N534" t="str">
        <f t="shared" ref="N534:N539" si="633">"1"</f>
        <v>1</v>
      </c>
      <c r="O534" t="str">
        <f t="shared" si="627"/>
        <v>9999</v>
      </c>
      <c r="P534" t="str">
        <f>"N"</f>
        <v>N</v>
      </c>
      <c r="Q534" t="str">
        <f>""</f>
        <v/>
      </c>
      <c r="R534" t="str">
        <f t="shared" si="621"/>
        <v>6</v>
      </c>
      <c r="S534" t="str">
        <f>""</f>
        <v/>
      </c>
      <c r="T534" t="str">
        <f t="shared" si="589"/>
        <v xml:space="preserve">                                                                                                    </v>
      </c>
      <c r="U534" t="str">
        <f>"2         "</f>
        <v xml:space="preserve">2         </v>
      </c>
      <c r="V534" t="str">
        <f t="shared" si="601"/>
        <v>2</v>
      </c>
      <c r="W534" t="str">
        <f t="shared" si="624"/>
        <v>2</v>
      </c>
      <c r="X534" t="str">
        <f t="shared" si="547"/>
        <v>2</v>
      </c>
      <c r="Y534" t="str">
        <f t="shared" si="612"/>
        <v>2</v>
      </c>
      <c r="Z534" t="str">
        <f t="shared" si="612"/>
        <v>2</v>
      </c>
      <c r="AA534" t="str">
        <f t="shared" si="605"/>
        <v xml:space="preserve">          </v>
      </c>
      <c r="AB534" t="str">
        <f t="shared" si="594"/>
        <v>2</v>
      </c>
      <c r="AC534" t="str">
        <f t="shared" si="596"/>
        <v>2</v>
      </c>
      <c r="AD534" t="str">
        <f t="shared" si="613"/>
        <v>2</v>
      </c>
      <c r="AE534" t="str">
        <f t="shared" si="613"/>
        <v>2</v>
      </c>
      <c r="AF534" t="str">
        <f t="shared" si="613"/>
        <v>2</v>
      </c>
      <c r="AG534" t="str">
        <f t="shared" si="613"/>
        <v>2</v>
      </c>
      <c r="AH534" t="str">
        <f t="shared" si="625"/>
        <v>1</v>
      </c>
      <c r="AI534" t="str">
        <f t="shared" si="631"/>
        <v xml:space="preserve">1         </v>
      </c>
      <c r="AJ534" t="str">
        <f t="shared" si="616"/>
        <v>170</v>
      </c>
      <c r="AK534" t="str">
        <f>"05"</f>
        <v>05</v>
      </c>
      <c r="AL534" t="str">
        <f>"001"</f>
        <v>001</v>
      </c>
      <c r="AM534" t="str">
        <f>"05"</f>
        <v>05</v>
      </c>
      <c r="AN534" t="str">
        <f>"05001"</f>
        <v>05001</v>
      </c>
      <c r="AO534" t="str">
        <f>"20/03/2020 12:00:00 a. m."</f>
        <v>20/03/2020 12:00:00 a. m.</v>
      </c>
      <c r="AP534" t="str">
        <f>"20/01/2020 12:00:00 a. m."</f>
        <v>20/01/2020 12:00:00 a. m.</v>
      </c>
      <c r="AQ534" t="str">
        <f t="shared" si="632"/>
        <v>3</v>
      </c>
      <c r="AR534" t="str">
        <f t="shared" si="614"/>
        <v>1</v>
      </c>
      <c r="AS534" t="str">
        <f>"20/03/2020 12:00:00 a. m."</f>
        <v>20/03/2020 12:00:00 a. m.</v>
      </c>
      <c r="AT534" t="str">
        <f t="shared" si="629"/>
        <v>1</v>
      </c>
      <c r="AU534" t="str">
        <f>""</f>
        <v/>
      </c>
      <c r="AV534" t="str">
        <f>"0"</f>
        <v>0</v>
      </c>
      <c r="AW534" t="str">
        <f>"19/05/2017 12:00:00 a. m."</f>
        <v>19/05/2017 12:00:00 a. m.</v>
      </c>
      <c r="AX534" t="str">
        <f>""</f>
        <v/>
      </c>
      <c r="AY534" t="str">
        <f t="shared" si="606"/>
        <v>30/04/2021 12:00:00 a. m.</v>
      </c>
      <c r="AZ534" t="str">
        <f>"15/04/2020 12:00:00 a. m."</f>
        <v>15/04/2020 12:00:00 a. m.</v>
      </c>
      <c r="BA534" t="str">
        <f>""</f>
        <v/>
      </c>
      <c r="BB534" t="str">
        <f>""</f>
        <v/>
      </c>
      <c r="BC534" t="str">
        <f>""</f>
        <v/>
      </c>
      <c r="BD534" t="str">
        <f t="shared" si="617"/>
        <v>1</v>
      </c>
      <c r="BE534" t="str">
        <f t="shared" si="617"/>
        <v>1</v>
      </c>
      <c r="BF534" t="str">
        <f t="shared" si="607"/>
        <v xml:space="preserve">3         </v>
      </c>
      <c r="BG534" t="str">
        <f t="shared" si="608"/>
        <v>Confirmado por laboratorio</v>
      </c>
      <c r="BH534" t="str">
        <f>"HOSPITAL PABLO TOBON URIBE"</f>
        <v>HOSPITAL PABLO TOBON URIBE</v>
      </c>
      <c r="BI534" t="str">
        <f t="shared" si="618"/>
        <v>COLOMBIA</v>
      </c>
      <c r="BJ534" t="str">
        <f t="shared" si="609"/>
        <v>CANCER INFANTIL</v>
      </c>
      <c r="BK534" t="str">
        <f>"ANTIOQUIA"</f>
        <v>ANTIOQUIA</v>
      </c>
      <c r="BL534" t="str">
        <f>"MEDELLIN"</f>
        <v>MEDELLIN</v>
      </c>
      <c r="BM534" t="str">
        <f t="shared" si="619"/>
        <v>COLOMBIA</v>
      </c>
      <c r="BN534" t="str">
        <f>"ANTIOQUIA"</f>
        <v>ANTIOQUIA</v>
      </c>
      <c r="BO534" t="str">
        <f>"MEDELLIN"</f>
        <v>MEDELLIN</v>
      </c>
      <c r="BP534" t="str">
        <f>"ANTIOQUIA"</f>
        <v>ANTIOQUIA</v>
      </c>
      <c r="BQ534" t="str">
        <f>"MEDELLIN"</f>
        <v>MEDELLIN</v>
      </c>
    </row>
    <row r="535" spans="1:69" x14ac:dyDescent="0.25">
      <c r="A535" t="str">
        <f>"7279270"</f>
        <v>7279270</v>
      </c>
      <c r="B535" t="str">
        <f t="shared" si="603"/>
        <v>459</v>
      </c>
      <c r="C535" t="str">
        <f>"11/09/2020 12:00:00 a. m."</f>
        <v>11/09/2020 12:00:00 a. m.</v>
      </c>
      <c r="D535" t="str">
        <f>"37"</f>
        <v>37</v>
      </c>
      <c r="E535" t="str">
        <f t="shared" si="604"/>
        <v>2020</v>
      </c>
      <c r="F535" t="str">
        <f>"0500102104"</f>
        <v>0500102104</v>
      </c>
      <c r="G535" t="str">
        <f t="shared" si="622"/>
        <v>01</v>
      </c>
      <c r="H535" t="str">
        <f>"17"</f>
        <v>17</v>
      </c>
      <c r="I535" t="str">
        <f t="shared" si="630"/>
        <v>1</v>
      </c>
      <c r="J535" t="str">
        <f t="shared" si="628"/>
        <v>M</v>
      </c>
      <c r="K535" t="str">
        <f t="shared" si="615"/>
        <v>170</v>
      </c>
      <c r="L535" t="str">
        <f>"05"</f>
        <v>05</v>
      </c>
      <c r="M535" t="str">
        <f>"001"</f>
        <v>001</v>
      </c>
      <c r="N535" t="str">
        <f t="shared" si="633"/>
        <v>1</v>
      </c>
      <c r="O535" t="str">
        <f>"9997"</f>
        <v>9997</v>
      </c>
      <c r="P535" t="str">
        <f>"C"</f>
        <v>C</v>
      </c>
      <c r="Q535" t="str">
        <f>"EPS010"</f>
        <v>EPS010</v>
      </c>
      <c r="R535" t="str">
        <f t="shared" si="621"/>
        <v>6</v>
      </c>
      <c r="S535" t="str">
        <f>""</f>
        <v/>
      </c>
      <c r="T535" t="str">
        <f t="shared" si="589"/>
        <v xml:space="preserve">                                                                                                    </v>
      </c>
      <c r="U535" t="str">
        <f>"3         "</f>
        <v xml:space="preserve">3         </v>
      </c>
      <c r="V535" t="str">
        <f t="shared" si="601"/>
        <v>2</v>
      </c>
      <c r="W535" t="str">
        <f t="shared" si="624"/>
        <v>2</v>
      </c>
      <c r="X535" t="str">
        <f t="shared" si="547"/>
        <v>2</v>
      </c>
      <c r="Y535" t="str">
        <f t="shared" si="612"/>
        <v>2</v>
      </c>
      <c r="Z535" t="str">
        <f t="shared" si="612"/>
        <v>2</v>
      </c>
      <c r="AA535" t="str">
        <f t="shared" si="605"/>
        <v xml:space="preserve">          </v>
      </c>
      <c r="AB535" t="str">
        <f t="shared" si="594"/>
        <v>2</v>
      </c>
      <c r="AC535" t="str">
        <f t="shared" si="596"/>
        <v>2</v>
      </c>
      <c r="AD535" t="str">
        <f t="shared" si="613"/>
        <v>2</v>
      </c>
      <c r="AE535" t="str">
        <f t="shared" si="613"/>
        <v>2</v>
      </c>
      <c r="AF535" t="str">
        <f t="shared" si="613"/>
        <v>2</v>
      </c>
      <c r="AG535" t="str">
        <f t="shared" si="613"/>
        <v>2</v>
      </c>
      <c r="AH535" t="str">
        <f t="shared" si="625"/>
        <v>1</v>
      </c>
      <c r="AI535" t="str">
        <f t="shared" si="631"/>
        <v xml:space="preserve">1         </v>
      </c>
      <c r="AJ535" t="str">
        <f t="shared" si="616"/>
        <v>170</v>
      </c>
      <c r="AK535" t="str">
        <f>"05"</f>
        <v>05</v>
      </c>
      <c r="AL535" t="str">
        <f>"001"</f>
        <v>001</v>
      </c>
      <c r="AM535" t="str">
        <f>"05"</f>
        <v>05</v>
      </c>
      <c r="AN535" t="str">
        <f>"05001"</f>
        <v>05001</v>
      </c>
      <c r="AO535" t="str">
        <f>"3/09/2020 12:00:00 a. m."</f>
        <v>3/09/2020 12:00:00 a. m.</v>
      </c>
      <c r="AP535" t="str">
        <f>"20/08/2020 12:00:00 a. m."</f>
        <v>20/08/2020 12:00:00 a. m.</v>
      </c>
      <c r="AQ535" t="str">
        <f t="shared" si="632"/>
        <v>3</v>
      </c>
      <c r="AR535" t="str">
        <f t="shared" si="614"/>
        <v>1</v>
      </c>
      <c r="AS535" t="str">
        <f>"3/09/2020 12:00:00 a. m."</f>
        <v>3/09/2020 12:00:00 a. m.</v>
      </c>
      <c r="AT535" t="str">
        <f t="shared" si="629"/>
        <v>1</v>
      </c>
      <c r="AU535" t="str">
        <f>""</f>
        <v/>
      </c>
      <c r="AV535" t="str">
        <f>"0"</f>
        <v>0</v>
      </c>
      <c r="AW535" t="str">
        <f>"11/09/2003 12:00:00 a. m."</f>
        <v>11/09/2003 12:00:00 a. m.</v>
      </c>
      <c r="AX535" t="str">
        <f>""</f>
        <v/>
      </c>
      <c r="AY535" t="str">
        <f t="shared" si="606"/>
        <v>30/04/2021 12:00:00 a. m.</v>
      </c>
      <c r="AZ535" t="str">
        <f>"17/09/2020 12:00:00 a. m."</f>
        <v>17/09/2020 12:00:00 a. m.</v>
      </c>
      <c r="BA535" t="str">
        <f>""</f>
        <v/>
      </c>
      <c r="BB535" t="str">
        <f>""</f>
        <v/>
      </c>
      <c r="BC535" t="str">
        <f>""</f>
        <v/>
      </c>
      <c r="BD535" t="str">
        <f t="shared" si="617"/>
        <v>1</v>
      </c>
      <c r="BE535" t="str">
        <f t="shared" si="617"/>
        <v>1</v>
      </c>
      <c r="BF535" t="str">
        <f t="shared" si="607"/>
        <v xml:space="preserve">3         </v>
      </c>
      <c r="BG535" t="str">
        <f t="shared" si="608"/>
        <v>Confirmado por laboratorio</v>
      </c>
      <c r="BH535" t="str">
        <f>"HOSPITAL PABLO TOBON URIBE"</f>
        <v>HOSPITAL PABLO TOBON URIBE</v>
      </c>
      <c r="BI535" t="str">
        <f t="shared" si="618"/>
        <v>COLOMBIA</v>
      </c>
      <c r="BJ535" t="str">
        <f t="shared" si="609"/>
        <v>CANCER INFANTIL</v>
      </c>
      <c r="BK535" t="str">
        <f>"ANTIOQUIA"</f>
        <v>ANTIOQUIA</v>
      </c>
      <c r="BL535" t="str">
        <f>"MEDELLIN"</f>
        <v>MEDELLIN</v>
      </c>
      <c r="BM535" t="str">
        <f t="shared" si="619"/>
        <v>COLOMBIA</v>
      </c>
      <c r="BN535" t="str">
        <f>"ANTIOQUIA"</f>
        <v>ANTIOQUIA</v>
      </c>
      <c r="BO535" t="str">
        <f>"MEDELLIN"</f>
        <v>MEDELLIN</v>
      </c>
      <c r="BP535" t="str">
        <f>"ANTIOQUIA"</f>
        <v>ANTIOQUIA</v>
      </c>
      <c r="BQ535" t="str">
        <f>"MEDELLIN"</f>
        <v>MEDELLIN</v>
      </c>
    </row>
    <row r="536" spans="1:69" x14ac:dyDescent="0.25">
      <c r="A536" t="str">
        <f>"7291571"</f>
        <v>7291571</v>
      </c>
      <c r="B536" t="str">
        <f t="shared" si="603"/>
        <v>459</v>
      </c>
      <c r="C536" t="str">
        <f>"21/08/2020 12:00:00 a. m."</f>
        <v>21/08/2020 12:00:00 a. m.</v>
      </c>
      <c r="D536" t="str">
        <f>"33"</f>
        <v>33</v>
      </c>
      <c r="E536" t="str">
        <f t="shared" si="604"/>
        <v>2020</v>
      </c>
      <c r="F536" t="str">
        <f>"7600102870"</f>
        <v>7600102870</v>
      </c>
      <c r="G536" t="str">
        <f t="shared" si="622"/>
        <v>01</v>
      </c>
      <c r="H536" t="str">
        <f>"6"</f>
        <v>6</v>
      </c>
      <c r="I536" t="str">
        <f t="shared" si="630"/>
        <v>1</v>
      </c>
      <c r="J536" t="str">
        <f t="shared" si="628"/>
        <v>M</v>
      </c>
      <c r="K536" t="str">
        <f t="shared" si="615"/>
        <v>170</v>
      </c>
      <c r="L536" t="str">
        <f>"19"</f>
        <v>19</v>
      </c>
      <c r="M536" t="str">
        <f>"001"</f>
        <v>001</v>
      </c>
      <c r="N536" t="str">
        <f t="shared" si="633"/>
        <v>1</v>
      </c>
      <c r="O536" t="str">
        <f>"9999"</f>
        <v>9999</v>
      </c>
      <c r="P536" t="str">
        <f>"C"</f>
        <v>C</v>
      </c>
      <c r="Q536" t="str">
        <f>"EPS010"</f>
        <v>EPS010</v>
      </c>
      <c r="R536" t="str">
        <f t="shared" si="621"/>
        <v>6</v>
      </c>
      <c r="S536" t="str">
        <f>""</f>
        <v/>
      </c>
      <c r="T536" t="str">
        <f t="shared" si="589"/>
        <v xml:space="preserve">                                                                                                    </v>
      </c>
      <c r="U536" t="str">
        <f>"          "</f>
        <v xml:space="preserve">          </v>
      </c>
      <c r="V536" t="str">
        <f t="shared" si="601"/>
        <v>2</v>
      </c>
      <c r="W536" t="str">
        <f t="shared" si="624"/>
        <v>2</v>
      </c>
      <c r="X536" t="str">
        <f t="shared" si="547"/>
        <v>2</v>
      </c>
      <c r="Y536" t="str">
        <f t="shared" si="612"/>
        <v>2</v>
      </c>
      <c r="Z536" t="str">
        <f t="shared" si="612"/>
        <v>2</v>
      </c>
      <c r="AA536" t="str">
        <f t="shared" si="605"/>
        <v xml:space="preserve">          </v>
      </c>
      <c r="AB536" t="str">
        <f t="shared" si="594"/>
        <v>2</v>
      </c>
      <c r="AC536" t="str">
        <f t="shared" si="596"/>
        <v>2</v>
      </c>
      <c r="AD536" t="str">
        <f t="shared" si="613"/>
        <v>2</v>
      </c>
      <c r="AE536" t="str">
        <f t="shared" si="613"/>
        <v>2</v>
      </c>
      <c r="AF536" t="str">
        <f t="shared" si="613"/>
        <v>2</v>
      </c>
      <c r="AG536" t="str">
        <f t="shared" si="613"/>
        <v>2</v>
      </c>
      <c r="AH536" t="str">
        <f t="shared" si="625"/>
        <v>1</v>
      </c>
      <c r="AI536" t="str">
        <f t="shared" si="631"/>
        <v xml:space="preserve">1         </v>
      </c>
      <c r="AJ536" t="str">
        <f t="shared" si="616"/>
        <v>170</v>
      </c>
      <c r="AK536" t="str">
        <f>"19"</f>
        <v>19</v>
      </c>
      <c r="AL536" t="str">
        <f>"001"</f>
        <v>001</v>
      </c>
      <c r="AM536" t="str">
        <f>"76"</f>
        <v>76</v>
      </c>
      <c r="AN536" t="str">
        <f>"76001"</f>
        <v>76001</v>
      </c>
      <c r="AO536" t="str">
        <f>"12/08/2020 12:00:00 a. m."</f>
        <v>12/08/2020 12:00:00 a. m.</v>
      </c>
      <c r="AP536" t="str">
        <f>"29/07/2020 12:00:00 a. m."</f>
        <v>29/07/2020 12:00:00 a. m.</v>
      </c>
      <c r="AQ536" t="str">
        <f t="shared" si="632"/>
        <v>3</v>
      </c>
      <c r="AR536" t="str">
        <f t="shared" si="614"/>
        <v>1</v>
      </c>
      <c r="AS536" t="str">
        <f>"12/08/2020 12:00:00 a. m."</f>
        <v>12/08/2020 12:00:00 a. m.</v>
      </c>
      <c r="AT536" t="str">
        <f t="shared" si="629"/>
        <v>1</v>
      </c>
      <c r="AU536" t="str">
        <f>""</f>
        <v/>
      </c>
      <c r="AV536" t="str">
        <f>"0"</f>
        <v>0</v>
      </c>
      <c r="AW536" t="str">
        <f>"29/08/2013 12:00:00 a. m."</f>
        <v>29/08/2013 12:00:00 a. m.</v>
      </c>
      <c r="AX536" t="str">
        <f>""</f>
        <v/>
      </c>
      <c r="AY536" t="str">
        <f t="shared" si="606"/>
        <v>30/04/2021 12:00:00 a. m.</v>
      </c>
      <c r="AZ536" t="str">
        <f>"21/08/2020 12:00:00 a. m."</f>
        <v>21/08/2020 12:00:00 a. m.</v>
      </c>
      <c r="BA536" t="str">
        <f>""</f>
        <v/>
      </c>
      <c r="BB536" t="str">
        <f>""</f>
        <v/>
      </c>
      <c r="BC536" t="str">
        <f>""</f>
        <v/>
      </c>
      <c r="BD536" t="str">
        <f t="shared" si="617"/>
        <v>1</v>
      </c>
      <c r="BE536" t="str">
        <f t="shared" si="617"/>
        <v>1</v>
      </c>
      <c r="BF536" t="str">
        <f t="shared" si="607"/>
        <v xml:space="preserve">3         </v>
      </c>
      <c r="BG536" t="str">
        <f t="shared" si="608"/>
        <v>Confirmado por laboratorio</v>
      </c>
      <c r="BH536" t="str">
        <f>"FUNDACION VALLE DEL LILI"</f>
        <v>FUNDACION VALLE DEL LILI</v>
      </c>
      <c r="BI536" t="str">
        <f t="shared" si="618"/>
        <v>COLOMBIA</v>
      </c>
      <c r="BJ536" t="str">
        <f t="shared" si="609"/>
        <v>CANCER INFANTIL</v>
      </c>
      <c r="BK536" t="str">
        <f>"CAUCA"</f>
        <v>CAUCA</v>
      </c>
      <c r="BL536" t="str">
        <f>"POPAYAN"</f>
        <v>POPAYAN</v>
      </c>
      <c r="BM536" t="str">
        <f t="shared" si="619"/>
        <v>COLOMBIA</v>
      </c>
      <c r="BN536" t="str">
        <f>"CAUCA"</f>
        <v>CAUCA</v>
      </c>
      <c r="BO536" t="str">
        <f>"POPAYAN"</f>
        <v>POPAYAN</v>
      </c>
      <c r="BP536" t="str">
        <f>"VALLE"</f>
        <v>VALLE</v>
      </c>
      <c r="BQ536" t="str">
        <f>"CALI"</f>
        <v>CALI</v>
      </c>
    </row>
    <row r="537" spans="1:69" x14ac:dyDescent="0.25">
      <c r="A537" t="str">
        <f>"7291582"</f>
        <v>7291582</v>
      </c>
      <c r="B537" t="str">
        <f t="shared" si="603"/>
        <v>459</v>
      </c>
      <c r="C537" t="str">
        <f>"30/09/2020 12:00:00 a. m."</f>
        <v>30/09/2020 12:00:00 a. m.</v>
      </c>
      <c r="D537" t="str">
        <f>"35"</f>
        <v>35</v>
      </c>
      <c r="E537" t="str">
        <f t="shared" si="604"/>
        <v>2020</v>
      </c>
      <c r="F537" t="str">
        <f>"2300100949"</f>
        <v>2300100949</v>
      </c>
      <c r="G537" t="str">
        <f t="shared" si="622"/>
        <v>01</v>
      </c>
      <c r="H537" t="str">
        <f>"4"</f>
        <v>4</v>
      </c>
      <c r="I537" t="str">
        <f t="shared" si="630"/>
        <v>1</v>
      </c>
      <c r="J537" t="str">
        <f t="shared" si="628"/>
        <v>M</v>
      </c>
      <c r="K537" t="str">
        <f t="shared" si="615"/>
        <v>170</v>
      </c>
      <c r="L537" t="str">
        <f>"23"</f>
        <v>23</v>
      </c>
      <c r="M537" t="str">
        <f>"001"</f>
        <v>001</v>
      </c>
      <c r="N537" t="str">
        <f t="shared" si="633"/>
        <v>1</v>
      </c>
      <c r="O537" t="str">
        <f>"9999"</f>
        <v>9999</v>
      </c>
      <c r="P537" t="str">
        <f>"C"</f>
        <v>C</v>
      </c>
      <c r="Q537" t="str">
        <f>"EPS002"</f>
        <v>EPS002</v>
      </c>
      <c r="R537" t="str">
        <f t="shared" si="621"/>
        <v>6</v>
      </c>
      <c r="S537" t="str">
        <f>""</f>
        <v/>
      </c>
      <c r="T537" t="str">
        <f t="shared" si="589"/>
        <v xml:space="preserve">                                                                                                    </v>
      </c>
      <c r="U537" t="str">
        <f>"2         "</f>
        <v xml:space="preserve">2         </v>
      </c>
      <c r="V537" t="str">
        <f t="shared" si="601"/>
        <v>2</v>
      </c>
      <c r="W537" t="str">
        <f t="shared" si="624"/>
        <v>2</v>
      </c>
      <c r="X537" t="str">
        <f t="shared" si="547"/>
        <v>2</v>
      </c>
      <c r="Y537" t="str">
        <f t="shared" si="612"/>
        <v>2</v>
      </c>
      <c r="Z537" t="str">
        <f t="shared" si="612"/>
        <v>2</v>
      </c>
      <c r="AA537" t="str">
        <f t="shared" si="605"/>
        <v xml:space="preserve">          </v>
      </c>
      <c r="AB537" t="str">
        <f t="shared" si="594"/>
        <v>2</v>
      </c>
      <c r="AC537" t="str">
        <f t="shared" si="596"/>
        <v>2</v>
      </c>
      <c r="AD537" t="str">
        <f t="shared" si="613"/>
        <v>2</v>
      </c>
      <c r="AE537" t="str">
        <f t="shared" si="613"/>
        <v>2</v>
      </c>
      <c r="AF537" t="str">
        <f t="shared" si="613"/>
        <v>2</v>
      </c>
      <c r="AG537" t="str">
        <f t="shared" si="613"/>
        <v>2</v>
      </c>
      <c r="AH537" t="str">
        <f t="shared" si="625"/>
        <v>1</v>
      </c>
      <c r="AI537" t="str">
        <f t="shared" si="631"/>
        <v xml:space="preserve">1         </v>
      </c>
      <c r="AJ537" t="str">
        <f t="shared" si="616"/>
        <v>170</v>
      </c>
      <c r="AK537" t="str">
        <f>"23"</f>
        <v>23</v>
      </c>
      <c r="AL537" t="str">
        <f>"001"</f>
        <v>001</v>
      </c>
      <c r="AM537" t="str">
        <f>"23"</f>
        <v>23</v>
      </c>
      <c r="AN537" t="str">
        <f>"23001"</f>
        <v>23001</v>
      </c>
      <c r="AO537" t="str">
        <f>"24/08/2020 12:00:00 a. m."</f>
        <v>24/08/2020 12:00:00 a. m.</v>
      </c>
      <c r="AP537" t="str">
        <f>"19/08/2019 12:00:00 a. m."</f>
        <v>19/08/2019 12:00:00 a. m.</v>
      </c>
      <c r="AQ537" t="str">
        <f t="shared" si="632"/>
        <v>3</v>
      </c>
      <c r="AR537" t="str">
        <f t="shared" si="614"/>
        <v>1</v>
      </c>
      <c r="AS537" t="str">
        <f>"23/09/2020 12:00:00 a. m."</f>
        <v>23/09/2020 12:00:00 a. m.</v>
      </c>
      <c r="AT537" t="str">
        <f t="shared" si="629"/>
        <v>1</v>
      </c>
      <c r="AU537" t="str">
        <f>""</f>
        <v/>
      </c>
      <c r="AV537" t="str">
        <f>"7"</f>
        <v>7</v>
      </c>
      <c r="AW537" t="str">
        <f>"20/03/2016 12:00:00 a. m."</f>
        <v>20/03/2016 12:00:00 a. m.</v>
      </c>
      <c r="AX537" t="str">
        <f>""</f>
        <v/>
      </c>
      <c r="AY537" t="str">
        <f t="shared" si="606"/>
        <v>30/04/2021 12:00:00 a. m.</v>
      </c>
      <c r="AZ537" t="str">
        <f>"4/12/2020 12:00:00 a. m."</f>
        <v>4/12/2020 12:00:00 a. m.</v>
      </c>
      <c r="BA537" t="str">
        <f>""</f>
        <v/>
      </c>
      <c r="BB537" t="str">
        <f>""</f>
        <v/>
      </c>
      <c r="BC537" t="str">
        <f>""</f>
        <v/>
      </c>
      <c r="BD537" t="str">
        <f t="shared" si="617"/>
        <v>1</v>
      </c>
      <c r="BE537" t="str">
        <f t="shared" si="617"/>
        <v>1</v>
      </c>
      <c r="BF537" t="str">
        <f t="shared" si="607"/>
        <v xml:space="preserve">3         </v>
      </c>
      <c r="BG537" t="str">
        <f t="shared" si="608"/>
        <v>Confirmado por laboratorio</v>
      </c>
      <c r="BH537" t="str">
        <f>"ONCOMEDICA S A"</f>
        <v>ONCOMEDICA S A</v>
      </c>
      <c r="BI537" t="str">
        <f t="shared" si="618"/>
        <v>COLOMBIA</v>
      </c>
      <c r="BJ537" t="str">
        <f t="shared" si="609"/>
        <v>CANCER INFANTIL</v>
      </c>
      <c r="BK537" t="str">
        <f>"CORDOBA"</f>
        <v>CORDOBA</v>
      </c>
      <c r="BL537" t="str">
        <f>"MONTERIA"</f>
        <v>MONTERIA</v>
      </c>
      <c r="BM537" t="str">
        <f t="shared" si="619"/>
        <v>COLOMBIA</v>
      </c>
      <c r="BN537" t="str">
        <f>"CORDOBA"</f>
        <v>CORDOBA</v>
      </c>
      <c r="BO537" t="str">
        <f>"MONTERIA"</f>
        <v>MONTERIA</v>
      </c>
      <c r="BP537" t="str">
        <f>"CORDOBA"</f>
        <v>CORDOBA</v>
      </c>
      <c r="BQ537" t="str">
        <f>"MONTERIA"</f>
        <v>MONTERIA</v>
      </c>
    </row>
    <row r="538" spans="1:69" x14ac:dyDescent="0.25">
      <c r="A538" t="str">
        <f>"7291578"</f>
        <v>7291578</v>
      </c>
      <c r="B538" t="str">
        <f t="shared" si="603"/>
        <v>459</v>
      </c>
      <c r="C538" t="str">
        <f>"21/08/2020 12:00:00 a. m."</f>
        <v>21/08/2020 12:00:00 a. m.</v>
      </c>
      <c r="D538" t="str">
        <f>"28"</f>
        <v>28</v>
      </c>
      <c r="E538" t="str">
        <f t="shared" si="604"/>
        <v>2020</v>
      </c>
      <c r="F538" t="str">
        <f>"7600101111"</f>
        <v>7600101111</v>
      </c>
      <c r="G538" t="str">
        <f t="shared" si="622"/>
        <v>01</v>
      </c>
      <c r="H538" t="str">
        <f>"4"</f>
        <v>4</v>
      </c>
      <c r="I538" t="str">
        <f t="shared" si="630"/>
        <v>1</v>
      </c>
      <c r="J538" t="str">
        <f t="shared" si="628"/>
        <v>M</v>
      </c>
      <c r="K538" t="str">
        <f t="shared" si="615"/>
        <v>170</v>
      </c>
      <c r="L538" t="str">
        <f>"76"</f>
        <v>76</v>
      </c>
      <c r="M538" t="str">
        <f>"001"</f>
        <v>001</v>
      </c>
      <c r="N538" t="str">
        <f t="shared" si="633"/>
        <v>1</v>
      </c>
      <c r="O538" t="str">
        <f>"9999"</f>
        <v>9999</v>
      </c>
      <c r="P538" t="str">
        <f>"C"</f>
        <v>C</v>
      </c>
      <c r="Q538" t="str">
        <f>"EPSIC3"</f>
        <v>EPSIC3</v>
      </c>
      <c r="R538" t="str">
        <f t="shared" si="621"/>
        <v>6</v>
      </c>
      <c r="S538" t="str">
        <f>""</f>
        <v/>
      </c>
      <c r="T538" t="str">
        <f t="shared" si="589"/>
        <v xml:space="preserve">                                                                                                    </v>
      </c>
      <c r="U538" t="str">
        <f>"3         "</f>
        <v xml:space="preserve">3         </v>
      </c>
      <c r="V538" t="str">
        <f t="shared" si="601"/>
        <v>2</v>
      </c>
      <c r="W538" t="str">
        <f t="shared" si="624"/>
        <v>2</v>
      </c>
      <c r="X538" t="str">
        <f t="shared" ref="X538:X601" si="634">"2"</f>
        <v>2</v>
      </c>
      <c r="Y538" t="str">
        <f t="shared" si="612"/>
        <v>2</v>
      </c>
      <c r="Z538" t="str">
        <f t="shared" si="612"/>
        <v>2</v>
      </c>
      <c r="AA538" t="str">
        <f t="shared" si="605"/>
        <v xml:space="preserve">          </v>
      </c>
      <c r="AB538" t="str">
        <f t="shared" si="594"/>
        <v>2</v>
      </c>
      <c r="AC538" t="str">
        <f t="shared" si="596"/>
        <v>2</v>
      </c>
      <c r="AD538" t="str">
        <f t="shared" si="613"/>
        <v>2</v>
      </c>
      <c r="AE538" t="str">
        <f t="shared" si="613"/>
        <v>2</v>
      </c>
      <c r="AF538" t="str">
        <f t="shared" si="613"/>
        <v>2</v>
      </c>
      <c r="AG538" t="str">
        <f t="shared" si="613"/>
        <v>2</v>
      </c>
      <c r="AH538" t="str">
        <f t="shared" si="625"/>
        <v>1</v>
      </c>
      <c r="AI538" t="str">
        <f t="shared" si="631"/>
        <v xml:space="preserve">1         </v>
      </c>
      <c r="AJ538" t="str">
        <f t="shared" si="616"/>
        <v>170</v>
      </c>
      <c r="AK538" t="str">
        <f>"76"</f>
        <v>76</v>
      </c>
      <c r="AL538" t="str">
        <f>"001"</f>
        <v>001</v>
      </c>
      <c r="AM538" t="str">
        <f>"76"</f>
        <v>76</v>
      </c>
      <c r="AN538" t="str">
        <f>"76001"</f>
        <v>76001</v>
      </c>
      <c r="AO538" t="str">
        <f>"7/07/2020 12:00:00 a. m."</f>
        <v>7/07/2020 12:00:00 a. m.</v>
      </c>
      <c r="AP538" t="str">
        <f>"3/07/2020 12:00:00 a. m."</f>
        <v>3/07/2020 12:00:00 a. m.</v>
      </c>
      <c r="AQ538" t="str">
        <f t="shared" si="632"/>
        <v>3</v>
      </c>
      <c r="AR538" t="str">
        <f t="shared" si="614"/>
        <v>1</v>
      </c>
      <c r="AS538" t="str">
        <f>"7/07/2020 12:00:00 a. m."</f>
        <v>7/07/2020 12:00:00 a. m.</v>
      </c>
      <c r="AT538" t="str">
        <f t="shared" si="629"/>
        <v>1</v>
      </c>
      <c r="AU538" t="str">
        <f>""</f>
        <v/>
      </c>
      <c r="AV538" t="str">
        <f>"0"</f>
        <v>0</v>
      </c>
      <c r="AW538" t="str">
        <f>"12/02/2016 12:00:00 a. m."</f>
        <v>12/02/2016 12:00:00 a. m.</v>
      </c>
      <c r="AX538" t="str">
        <f>""</f>
        <v/>
      </c>
      <c r="AY538" t="str">
        <f t="shared" si="606"/>
        <v>30/04/2021 12:00:00 a. m.</v>
      </c>
      <c r="AZ538" t="str">
        <f>"21/08/2020 12:00:00 a. m."</f>
        <v>21/08/2020 12:00:00 a. m.</v>
      </c>
      <c r="BA538" t="str">
        <f>""</f>
        <v/>
      </c>
      <c r="BB538" t="str">
        <f>""</f>
        <v/>
      </c>
      <c r="BC538" t="str">
        <f>""</f>
        <v/>
      </c>
      <c r="BD538" t="str">
        <f t="shared" si="617"/>
        <v>1</v>
      </c>
      <c r="BE538" t="str">
        <f t="shared" si="617"/>
        <v>1</v>
      </c>
      <c r="BF538" t="str">
        <f t="shared" si="607"/>
        <v xml:space="preserve">3         </v>
      </c>
      <c r="BG538" t="str">
        <f t="shared" si="608"/>
        <v>Confirmado por laboratorio</v>
      </c>
      <c r="BH538" t="str">
        <f>"CENTRO MEDICO IMBANACO CMI"</f>
        <v>CENTRO MEDICO IMBANACO CMI</v>
      </c>
      <c r="BI538" t="str">
        <f t="shared" si="618"/>
        <v>COLOMBIA</v>
      </c>
      <c r="BJ538" t="str">
        <f t="shared" si="609"/>
        <v>CANCER INFANTIL</v>
      </c>
      <c r="BK538" t="str">
        <f>"VALLE"</f>
        <v>VALLE</v>
      </c>
      <c r="BL538" t="str">
        <f>"CALI"</f>
        <v>CALI</v>
      </c>
      <c r="BM538" t="str">
        <f t="shared" si="619"/>
        <v>COLOMBIA</v>
      </c>
      <c r="BN538" t="str">
        <f>"VALLE"</f>
        <v>VALLE</v>
      </c>
      <c r="BO538" t="str">
        <f>"CALI"</f>
        <v>CALI</v>
      </c>
      <c r="BP538" t="str">
        <f>"VALLE"</f>
        <v>VALLE</v>
      </c>
      <c r="BQ538" t="str">
        <f>"CALI"</f>
        <v>CALI</v>
      </c>
    </row>
    <row r="539" spans="1:69" x14ac:dyDescent="0.25">
      <c r="A539" t="str">
        <f>"7291718"</f>
        <v>7291718</v>
      </c>
      <c r="B539" t="str">
        <f t="shared" si="603"/>
        <v>459</v>
      </c>
      <c r="C539" t="str">
        <f>"10/01/2020 12:00:00 a. m."</f>
        <v>10/01/2020 12:00:00 a. m.</v>
      </c>
      <c r="D539" t="str">
        <f>"02"</f>
        <v>02</v>
      </c>
      <c r="E539" t="str">
        <f t="shared" si="604"/>
        <v>2020</v>
      </c>
      <c r="F539" t="str">
        <f>"5200100283"</f>
        <v>5200100283</v>
      </c>
      <c r="G539" t="str">
        <f t="shared" si="622"/>
        <v>01</v>
      </c>
      <c r="H539" t="str">
        <f>"11"</f>
        <v>11</v>
      </c>
      <c r="I539" t="str">
        <f t="shared" si="630"/>
        <v>1</v>
      </c>
      <c r="J539" t="str">
        <f>"F"</f>
        <v>F</v>
      </c>
      <c r="K539" t="str">
        <f t="shared" si="615"/>
        <v>170</v>
      </c>
      <c r="L539" t="str">
        <f>"86"</f>
        <v>86</v>
      </c>
      <c r="M539" t="str">
        <f>"571"</f>
        <v>571</v>
      </c>
      <c r="N539" t="str">
        <f t="shared" si="633"/>
        <v>1</v>
      </c>
      <c r="O539" t="str">
        <f>"9999"</f>
        <v>9999</v>
      </c>
      <c r="P539" t="str">
        <f>"S"</f>
        <v>S</v>
      </c>
      <c r="Q539" t="str">
        <f>"ESS118"</f>
        <v>ESS118</v>
      </c>
      <c r="R539" t="str">
        <f t="shared" si="621"/>
        <v>6</v>
      </c>
      <c r="S539" t="str">
        <f>""</f>
        <v/>
      </c>
      <c r="T539" t="str">
        <f t="shared" si="589"/>
        <v xml:space="preserve">                                                                                                    </v>
      </c>
      <c r="U539" t="str">
        <f>"1         "</f>
        <v xml:space="preserve">1         </v>
      </c>
      <c r="V539" t="str">
        <f t="shared" si="601"/>
        <v>2</v>
      </c>
      <c r="W539" t="str">
        <f t="shared" si="624"/>
        <v>2</v>
      </c>
      <c r="X539" t="str">
        <f t="shared" si="634"/>
        <v>2</v>
      </c>
      <c r="Y539" t="str">
        <f t="shared" ref="Y539:Z558" si="635">"2"</f>
        <v>2</v>
      </c>
      <c r="Z539" t="str">
        <f t="shared" si="635"/>
        <v>2</v>
      </c>
      <c r="AA539" t="str">
        <f t="shared" si="605"/>
        <v xml:space="preserve">          </v>
      </c>
      <c r="AB539" t="str">
        <f t="shared" si="594"/>
        <v>2</v>
      </c>
      <c r="AC539" t="str">
        <f t="shared" si="596"/>
        <v>2</v>
      </c>
      <c r="AD539" t="str">
        <f t="shared" si="613"/>
        <v>2</v>
      </c>
      <c r="AE539" t="str">
        <f t="shared" si="613"/>
        <v>2</v>
      </c>
      <c r="AF539" t="str">
        <f t="shared" si="613"/>
        <v>2</v>
      </c>
      <c r="AG539" t="str">
        <f t="shared" si="613"/>
        <v>2</v>
      </c>
      <c r="AH539" t="str">
        <f t="shared" si="625"/>
        <v>1</v>
      </c>
      <c r="AI539" t="str">
        <f t="shared" si="631"/>
        <v xml:space="preserve">1         </v>
      </c>
      <c r="AJ539" t="str">
        <f t="shared" si="616"/>
        <v>170</v>
      </c>
      <c r="AK539" t="str">
        <f>"86"</f>
        <v>86</v>
      </c>
      <c r="AL539" t="str">
        <f>"571"</f>
        <v>571</v>
      </c>
      <c r="AM539" t="str">
        <f>"52"</f>
        <v>52</v>
      </c>
      <c r="AN539" t="str">
        <f>"52001"</f>
        <v>52001</v>
      </c>
      <c r="AO539" t="str">
        <f>"10/01/2020 12:00:00 a. m."</f>
        <v>10/01/2020 12:00:00 a. m.</v>
      </c>
      <c r="AP539" t="str">
        <f>"15/11/2019 12:00:00 a. m."</f>
        <v>15/11/2019 12:00:00 a. m.</v>
      </c>
      <c r="AQ539" t="str">
        <f>"2"</f>
        <v>2</v>
      </c>
      <c r="AR539" t="str">
        <f t="shared" si="614"/>
        <v>1</v>
      </c>
      <c r="AS539" t="str">
        <f>"10/01/2020 12:00:00 a. m."</f>
        <v>10/01/2020 12:00:00 a. m.</v>
      </c>
      <c r="AT539" t="str">
        <f t="shared" si="629"/>
        <v>1</v>
      </c>
      <c r="AU539" t="str">
        <f>""</f>
        <v/>
      </c>
      <c r="AV539" t="str">
        <f>"3"</f>
        <v>3</v>
      </c>
      <c r="AW539" t="str">
        <f>"5/02/2008 12:00:00 a. m."</f>
        <v>5/02/2008 12:00:00 a. m.</v>
      </c>
      <c r="AX539" t="str">
        <f>""</f>
        <v/>
      </c>
      <c r="AY539" t="str">
        <f t="shared" si="606"/>
        <v>30/04/2021 12:00:00 a. m.</v>
      </c>
      <c r="AZ539" t="str">
        <f>"10/06/2020 12:00:00 a. m."</f>
        <v>10/06/2020 12:00:00 a. m.</v>
      </c>
      <c r="BA539" t="str">
        <f>""</f>
        <v/>
      </c>
      <c r="BB539" t="str">
        <f>""</f>
        <v/>
      </c>
      <c r="BC539" t="str">
        <f>""</f>
        <v/>
      </c>
      <c r="BD539" t="str">
        <f t="shared" si="617"/>
        <v>1</v>
      </c>
      <c r="BE539" t="str">
        <f t="shared" si="617"/>
        <v>1</v>
      </c>
      <c r="BF539" t="str">
        <f t="shared" si="607"/>
        <v xml:space="preserve">3         </v>
      </c>
      <c r="BG539" t="str">
        <f t="shared" si="608"/>
        <v>Confirmado por laboratorio</v>
      </c>
      <c r="BH539" t="str">
        <f>"HOSPITAL INFANTIL LOS ANGELES"</f>
        <v>HOSPITAL INFANTIL LOS ANGELES</v>
      </c>
      <c r="BI539" t="str">
        <f t="shared" si="618"/>
        <v>COLOMBIA</v>
      </c>
      <c r="BJ539" t="str">
        <f t="shared" si="609"/>
        <v>CANCER INFANTIL</v>
      </c>
      <c r="BK539" t="str">
        <f>"PUTUMAYO"</f>
        <v>PUTUMAYO</v>
      </c>
      <c r="BL539" t="str">
        <f>"PUERTO GUZMAN"</f>
        <v>PUERTO GUZMAN</v>
      </c>
      <c r="BM539" t="str">
        <f t="shared" si="619"/>
        <v>COLOMBIA</v>
      </c>
      <c r="BN539" t="str">
        <f>"PUTUMAYO"</f>
        <v>PUTUMAYO</v>
      </c>
      <c r="BO539" t="str">
        <f>"PUERTO GUZMAN"</f>
        <v>PUERTO GUZMAN</v>
      </c>
      <c r="BP539" t="str">
        <f>"NARIÑO"</f>
        <v>NARIÑO</v>
      </c>
      <c r="BQ539" t="str">
        <f>"PASTO"</f>
        <v>PASTO</v>
      </c>
    </row>
    <row r="540" spans="1:69" x14ac:dyDescent="0.25">
      <c r="A540" t="str">
        <f>"7279031"</f>
        <v>7279031</v>
      </c>
      <c r="B540" t="str">
        <f t="shared" si="603"/>
        <v>459</v>
      </c>
      <c r="C540" t="str">
        <f>"12/02/2020 12:00:00 a. m."</f>
        <v>12/02/2020 12:00:00 a. m.</v>
      </c>
      <c r="D540" t="str">
        <f>"07"</f>
        <v>07</v>
      </c>
      <c r="E540" t="str">
        <f t="shared" si="604"/>
        <v>2020</v>
      </c>
      <c r="F540" t="str">
        <f>"6600100217"</f>
        <v>6600100217</v>
      </c>
      <c r="G540" t="str">
        <f>"10"</f>
        <v>10</v>
      </c>
      <c r="H540" t="str">
        <f>"8"</f>
        <v>8</v>
      </c>
      <c r="I540" t="str">
        <f t="shared" si="630"/>
        <v>1</v>
      </c>
      <c r="J540" t="str">
        <f>"F"</f>
        <v>F</v>
      </c>
      <c r="K540" t="str">
        <f t="shared" si="615"/>
        <v>170</v>
      </c>
      <c r="L540" t="str">
        <f>"66"</f>
        <v>66</v>
      </c>
      <c r="M540" t="str">
        <f>"400"</f>
        <v>400</v>
      </c>
      <c r="N540" t="str">
        <f>"2"</f>
        <v>2</v>
      </c>
      <c r="O540" t="str">
        <f>"9997"</f>
        <v>9997</v>
      </c>
      <c r="P540" t="str">
        <f>"C"</f>
        <v>C</v>
      </c>
      <c r="Q540" t="str">
        <f>"EPS018"</f>
        <v>EPS018</v>
      </c>
      <c r="R540" t="str">
        <f t="shared" si="621"/>
        <v>6</v>
      </c>
      <c r="S540" t="str">
        <f>""</f>
        <v/>
      </c>
      <c r="T540" t="str">
        <f t="shared" si="589"/>
        <v xml:space="preserve">                                                                                                    </v>
      </c>
      <c r="U540" t="str">
        <f>"2         "</f>
        <v xml:space="preserve">2         </v>
      </c>
      <c r="V540" t="str">
        <f t="shared" si="601"/>
        <v>2</v>
      </c>
      <c r="W540" t="str">
        <f t="shared" si="624"/>
        <v>2</v>
      </c>
      <c r="X540" t="str">
        <f t="shared" si="634"/>
        <v>2</v>
      </c>
      <c r="Y540" t="str">
        <f t="shared" si="635"/>
        <v>2</v>
      </c>
      <c r="Z540" t="str">
        <f t="shared" si="635"/>
        <v>2</v>
      </c>
      <c r="AA540" t="str">
        <f t="shared" si="605"/>
        <v xml:space="preserve">          </v>
      </c>
      <c r="AB540" t="str">
        <f t="shared" si="594"/>
        <v>2</v>
      </c>
      <c r="AC540" t="str">
        <f t="shared" si="596"/>
        <v>2</v>
      </c>
      <c r="AD540" t="str">
        <f t="shared" ref="AD540:AG559" si="636">"2"</f>
        <v>2</v>
      </c>
      <c r="AE540" t="str">
        <f t="shared" si="636"/>
        <v>2</v>
      </c>
      <c r="AF540" t="str">
        <f t="shared" si="636"/>
        <v>2</v>
      </c>
      <c r="AG540" t="str">
        <f t="shared" si="636"/>
        <v>2</v>
      </c>
      <c r="AH540" t="str">
        <f t="shared" si="625"/>
        <v>1</v>
      </c>
      <c r="AI540" t="str">
        <f t="shared" si="631"/>
        <v xml:space="preserve">1         </v>
      </c>
      <c r="AJ540" t="str">
        <f t="shared" si="616"/>
        <v>170</v>
      </c>
      <c r="AK540" t="str">
        <f>"66"</f>
        <v>66</v>
      </c>
      <c r="AL540" t="str">
        <f>"400"</f>
        <v>400</v>
      </c>
      <c r="AM540" t="str">
        <f>"66"</f>
        <v>66</v>
      </c>
      <c r="AN540" t="str">
        <f>"66001"</f>
        <v>66001</v>
      </c>
      <c r="AO540" t="str">
        <f>"12/02/2020 12:00:00 a. m."</f>
        <v>12/02/2020 12:00:00 a. m.</v>
      </c>
      <c r="AP540" t="str">
        <f>"12/02/2020 12:00:00 a. m."</f>
        <v>12/02/2020 12:00:00 a. m.</v>
      </c>
      <c r="AQ540" t="str">
        <f>"2"</f>
        <v>2</v>
      </c>
      <c r="AR540" t="str">
        <f t="shared" si="614"/>
        <v>1</v>
      </c>
      <c r="AS540" t="str">
        <f>"12/02/2020 12:00:00 a. m."</f>
        <v>12/02/2020 12:00:00 a. m.</v>
      </c>
      <c r="AT540" t="str">
        <f t="shared" si="629"/>
        <v>1</v>
      </c>
      <c r="AU540" t="str">
        <f>""</f>
        <v/>
      </c>
      <c r="AV540" t="str">
        <f>"3"</f>
        <v>3</v>
      </c>
      <c r="AW540" t="str">
        <f>"25/10/2011 12:00:00 a. m."</f>
        <v>25/10/2011 12:00:00 a. m.</v>
      </c>
      <c r="AX540" t="str">
        <f>""</f>
        <v/>
      </c>
      <c r="AY540" t="str">
        <f t="shared" si="606"/>
        <v>30/04/2021 12:00:00 a. m.</v>
      </c>
      <c r="AZ540" t="str">
        <f>"27/02/2020 12:00:00 a. m."</f>
        <v>27/02/2020 12:00:00 a. m.</v>
      </c>
      <c r="BA540" t="str">
        <f>""</f>
        <v/>
      </c>
      <c r="BB540" t="str">
        <f>""</f>
        <v/>
      </c>
      <c r="BC540" t="str">
        <f>""</f>
        <v/>
      </c>
      <c r="BD540" t="str">
        <f t="shared" si="617"/>
        <v>1</v>
      </c>
      <c r="BE540" t="str">
        <f t="shared" si="617"/>
        <v>1</v>
      </c>
      <c r="BF540" t="str">
        <f t="shared" si="607"/>
        <v xml:space="preserve">3         </v>
      </c>
      <c r="BG540" t="str">
        <f t="shared" si="608"/>
        <v>Confirmado por laboratorio</v>
      </c>
      <c r="BH540" t="str">
        <f>"COMFAMILIAR RISARALDA CLINICA COMFAMILIAR"</f>
        <v>COMFAMILIAR RISARALDA CLINICA COMFAMILIAR</v>
      </c>
      <c r="BI540" t="str">
        <f t="shared" si="618"/>
        <v>COLOMBIA</v>
      </c>
      <c r="BJ540" t="str">
        <f t="shared" si="609"/>
        <v>CANCER INFANTIL</v>
      </c>
      <c r="BK540" t="str">
        <f>"RISARALDA"</f>
        <v>RISARALDA</v>
      </c>
      <c r="BL540" t="str">
        <f>"LA VIRGINIA"</f>
        <v>LA VIRGINIA</v>
      </c>
      <c r="BM540" t="str">
        <f t="shared" si="619"/>
        <v>COLOMBIA</v>
      </c>
      <c r="BN540" t="str">
        <f>"RISARALDA"</f>
        <v>RISARALDA</v>
      </c>
      <c r="BO540" t="str">
        <f>"LA VIRGINIA"</f>
        <v>LA VIRGINIA</v>
      </c>
      <c r="BP540" t="str">
        <f>"RISARALDA"</f>
        <v>RISARALDA</v>
      </c>
      <c r="BQ540" t="str">
        <f>"PEREIRA"</f>
        <v>PEREIRA</v>
      </c>
    </row>
    <row r="541" spans="1:69" x14ac:dyDescent="0.25">
      <c r="A541" t="str">
        <f>"7278925"</f>
        <v>7278925</v>
      </c>
      <c r="B541" t="str">
        <f t="shared" si="603"/>
        <v>459</v>
      </c>
      <c r="C541" t="str">
        <f>"17/11/2020 12:00:00 a. m."</f>
        <v>17/11/2020 12:00:00 a. m.</v>
      </c>
      <c r="D541" t="str">
        <f>"47"</f>
        <v>47</v>
      </c>
      <c r="E541" t="str">
        <f t="shared" si="604"/>
        <v>2020</v>
      </c>
      <c r="F541" t="str">
        <f>"1100108171"</f>
        <v>1100108171</v>
      </c>
      <c r="G541" t="str">
        <f>"02"</f>
        <v>02</v>
      </c>
      <c r="H541" t="str">
        <f>"2"</f>
        <v>2</v>
      </c>
      <c r="I541" t="str">
        <f t="shared" si="630"/>
        <v>1</v>
      </c>
      <c r="J541" t="str">
        <f>"M"</f>
        <v>M</v>
      </c>
      <c r="K541" t="str">
        <f t="shared" si="615"/>
        <v>170</v>
      </c>
      <c r="L541" t="str">
        <f>"25"</f>
        <v>25</v>
      </c>
      <c r="M541" t="str">
        <f>"473"</f>
        <v>473</v>
      </c>
      <c r="N541" t="str">
        <f t="shared" ref="N541:N571" si="637">"1"</f>
        <v>1</v>
      </c>
      <c r="O541" t="str">
        <f>"9999"</f>
        <v>9999</v>
      </c>
      <c r="P541" t="str">
        <f>"C"</f>
        <v>C</v>
      </c>
      <c r="Q541" t="str">
        <f>"EPS017"</f>
        <v>EPS017</v>
      </c>
      <c r="R541" t="str">
        <f t="shared" si="621"/>
        <v>6</v>
      </c>
      <c r="S541" t="str">
        <f>""</f>
        <v/>
      </c>
      <c r="T541" t="str">
        <f t="shared" si="589"/>
        <v xml:space="preserve">                                                                                                    </v>
      </c>
      <c r="U541" t="str">
        <f>"1         "</f>
        <v xml:space="preserve">1         </v>
      </c>
      <c r="V541" t="str">
        <f t="shared" si="601"/>
        <v>2</v>
      </c>
      <c r="W541" t="str">
        <f t="shared" si="624"/>
        <v>2</v>
      </c>
      <c r="X541" t="str">
        <f t="shared" si="634"/>
        <v>2</v>
      </c>
      <c r="Y541" t="str">
        <f t="shared" si="635"/>
        <v>2</v>
      </c>
      <c r="Z541" t="str">
        <f t="shared" si="635"/>
        <v>2</v>
      </c>
      <c r="AA541" t="str">
        <f t="shared" si="605"/>
        <v xml:space="preserve">          </v>
      </c>
      <c r="AB541" t="str">
        <f t="shared" si="594"/>
        <v>2</v>
      </c>
      <c r="AC541" t="str">
        <f t="shared" si="596"/>
        <v>2</v>
      </c>
      <c r="AD541" t="str">
        <f t="shared" si="636"/>
        <v>2</v>
      </c>
      <c r="AE541" t="str">
        <f t="shared" si="636"/>
        <v>2</v>
      </c>
      <c r="AF541" t="str">
        <f t="shared" si="636"/>
        <v>2</v>
      </c>
      <c r="AG541" t="str">
        <f t="shared" si="636"/>
        <v>2</v>
      </c>
      <c r="AH541" t="str">
        <f t="shared" si="625"/>
        <v>1</v>
      </c>
      <c r="AI541" t="str">
        <f t="shared" si="631"/>
        <v xml:space="preserve">1         </v>
      </c>
      <c r="AJ541" t="str">
        <f t="shared" si="616"/>
        <v>170</v>
      </c>
      <c r="AK541" t="str">
        <f>"25"</f>
        <v>25</v>
      </c>
      <c r="AL541" t="str">
        <f>"473"</f>
        <v>473</v>
      </c>
      <c r="AM541" t="str">
        <f>"11"</f>
        <v>11</v>
      </c>
      <c r="AN541" t="str">
        <f>"11001"</f>
        <v>11001</v>
      </c>
      <c r="AO541" t="str">
        <f>"17/11/2020 12:00:00 a. m."</f>
        <v>17/11/2020 12:00:00 a. m.</v>
      </c>
      <c r="AP541" t="str">
        <f>"17/10/2020 12:00:00 a. m."</f>
        <v>17/10/2020 12:00:00 a. m.</v>
      </c>
      <c r="AQ541" t="str">
        <f>"2"</f>
        <v>2</v>
      </c>
      <c r="AR541" t="str">
        <f t="shared" si="614"/>
        <v>1</v>
      </c>
      <c r="AS541" t="str">
        <f>"17/11/2020 12:00:00 a. m."</f>
        <v>17/11/2020 12:00:00 a. m.</v>
      </c>
      <c r="AT541" t="str">
        <f t="shared" si="629"/>
        <v>1</v>
      </c>
      <c r="AU541" t="str">
        <f>""</f>
        <v/>
      </c>
      <c r="AV541" t="str">
        <f>"3"</f>
        <v>3</v>
      </c>
      <c r="AW541" t="str">
        <f>"25/06/2018 12:00:00 a. m."</f>
        <v>25/06/2018 12:00:00 a. m.</v>
      </c>
      <c r="AX541" t="str">
        <f>""</f>
        <v/>
      </c>
      <c r="AY541" t="str">
        <f t="shared" si="606"/>
        <v>30/04/2021 12:00:00 a. m.</v>
      </c>
      <c r="AZ541" t="str">
        <f>"2/12/2020 12:00:00 a. m."</f>
        <v>2/12/2020 12:00:00 a. m.</v>
      </c>
      <c r="BA541" t="str">
        <f>""</f>
        <v/>
      </c>
      <c r="BB541" t="str">
        <f>""</f>
        <v/>
      </c>
      <c r="BC541" t="str">
        <f>""</f>
        <v/>
      </c>
      <c r="BD541" t="str">
        <f t="shared" si="617"/>
        <v>1</v>
      </c>
      <c r="BE541" t="str">
        <f t="shared" si="617"/>
        <v>1</v>
      </c>
      <c r="BF541" t="str">
        <f t="shared" si="607"/>
        <v xml:space="preserve">3         </v>
      </c>
      <c r="BG541" t="str">
        <f t="shared" si="608"/>
        <v>Confirmado por laboratorio</v>
      </c>
      <c r="BH541" t="str">
        <f>"CLINICA INFANTIL COLSUBSIDIO"</f>
        <v>CLINICA INFANTIL COLSUBSIDIO</v>
      </c>
      <c r="BI541" t="str">
        <f t="shared" si="618"/>
        <v>COLOMBIA</v>
      </c>
      <c r="BJ541" t="str">
        <f t="shared" si="609"/>
        <v>CANCER INFANTIL</v>
      </c>
      <c r="BK541" t="str">
        <f>"CUNDINAMARCA"</f>
        <v>CUNDINAMARCA</v>
      </c>
      <c r="BL541" t="str">
        <f>"MOSQUERA"</f>
        <v>MOSQUERA</v>
      </c>
      <c r="BM541" t="str">
        <f t="shared" si="619"/>
        <v>COLOMBIA</v>
      </c>
      <c r="BN541" t="str">
        <f>"CUNDINAMARCA"</f>
        <v>CUNDINAMARCA</v>
      </c>
      <c r="BO541" t="str">
        <f>"MOSQUERA"</f>
        <v>MOSQUERA</v>
      </c>
      <c r="BP541" t="str">
        <f>"BOGOTA"</f>
        <v>BOGOTA</v>
      </c>
      <c r="BQ541" t="str">
        <f>"BOGOTA"</f>
        <v>BOGOTA</v>
      </c>
    </row>
    <row r="542" spans="1:69" x14ac:dyDescent="0.25">
      <c r="A542" t="str">
        <f>"7278839"</f>
        <v>7278839</v>
      </c>
      <c r="B542" t="str">
        <f t="shared" si="603"/>
        <v>459</v>
      </c>
      <c r="C542" t="str">
        <f>"5/05/2020 12:00:00 a. m."</f>
        <v>5/05/2020 12:00:00 a. m.</v>
      </c>
      <c r="D542" t="str">
        <f>"07"</f>
        <v>07</v>
      </c>
      <c r="E542" t="str">
        <f t="shared" si="604"/>
        <v>2020</v>
      </c>
      <c r="F542" t="str">
        <f>"0500102175"</f>
        <v>0500102175</v>
      </c>
      <c r="G542" t="str">
        <f>"01"</f>
        <v>01</v>
      </c>
      <c r="H542" t="str">
        <f>"1"</f>
        <v>1</v>
      </c>
      <c r="I542" t="str">
        <f t="shared" si="630"/>
        <v>1</v>
      </c>
      <c r="J542" t="str">
        <f>"M"</f>
        <v>M</v>
      </c>
      <c r="K542" t="str">
        <f t="shared" si="615"/>
        <v>170</v>
      </c>
      <c r="L542" t="str">
        <f>"05"</f>
        <v>05</v>
      </c>
      <c r="M542" t="str">
        <f>"001"</f>
        <v>001</v>
      </c>
      <c r="N542" t="str">
        <f t="shared" si="637"/>
        <v>1</v>
      </c>
      <c r="O542" t="str">
        <f>"9999"</f>
        <v>9999</v>
      </c>
      <c r="P542" t="str">
        <f>"C"</f>
        <v>C</v>
      </c>
      <c r="Q542" t="str">
        <f>"EPS010"</f>
        <v>EPS010</v>
      </c>
      <c r="R542" t="str">
        <f t="shared" si="621"/>
        <v>6</v>
      </c>
      <c r="S542" t="str">
        <f>""</f>
        <v/>
      </c>
      <c r="T542" t="str">
        <f t="shared" si="589"/>
        <v xml:space="preserve">                                                                                                    </v>
      </c>
      <c r="U542" t="str">
        <f>"2         "</f>
        <v xml:space="preserve">2         </v>
      </c>
      <c r="V542" t="str">
        <f t="shared" si="601"/>
        <v>2</v>
      </c>
      <c r="W542" t="str">
        <f t="shared" si="624"/>
        <v>2</v>
      </c>
      <c r="X542" t="str">
        <f t="shared" si="634"/>
        <v>2</v>
      </c>
      <c r="Y542" t="str">
        <f t="shared" si="635"/>
        <v>2</v>
      </c>
      <c r="Z542" t="str">
        <f t="shared" si="635"/>
        <v>2</v>
      </c>
      <c r="AA542" t="str">
        <f t="shared" si="605"/>
        <v xml:space="preserve">          </v>
      </c>
      <c r="AB542" t="str">
        <f t="shared" si="594"/>
        <v>2</v>
      </c>
      <c r="AC542" t="str">
        <f t="shared" si="596"/>
        <v>2</v>
      </c>
      <c r="AD542" t="str">
        <f t="shared" si="636"/>
        <v>2</v>
      </c>
      <c r="AE542" t="str">
        <f t="shared" si="636"/>
        <v>2</v>
      </c>
      <c r="AF542" t="str">
        <f t="shared" si="636"/>
        <v>2</v>
      </c>
      <c r="AG542" t="str">
        <f t="shared" si="636"/>
        <v>2</v>
      </c>
      <c r="AH542" t="str">
        <f t="shared" si="625"/>
        <v>1</v>
      </c>
      <c r="AI542" t="str">
        <f t="shared" si="631"/>
        <v xml:space="preserve">1         </v>
      </c>
      <c r="AJ542" t="str">
        <f t="shared" si="616"/>
        <v>170</v>
      </c>
      <c r="AK542" t="str">
        <f>"05"</f>
        <v>05</v>
      </c>
      <c r="AL542" t="str">
        <f>"001"</f>
        <v>001</v>
      </c>
      <c r="AM542" t="str">
        <f>"05"</f>
        <v>05</v>
      </c>
      <c r="AN542" t="str">
        <f>"05001"</f>
        <v>05001</v>
      </c>
      <c r="AO542" t="str">
        <f>"14/02/2020 12:00:00 a. m."</f>
        <v>14/02/2020 12:00:00 a. m.</v>
      </c>
      <c r="AP542" t="str">
        <f>"1/02/2020 12:00:00 a. m."</f>
        <v>1/02/2020 12:00:00 a. m.</v>
      </c>
      <c r="AQ542" t="str">
        <f>"3"</f>
        <v>3</v>
      </c>
      <c r="AR542" t="str">
        <f t="shared" si="614"/>
        <v>1</v>
      </c>
      <c r="AS542" t="str">
        <f>"14/02/2020 12:00:00 a. m."</f>
        <v>14/02/2020 12:00:00 a. m.</v>
      </c>
      <c r="AT542" t="str">
        <f t="shared" si="629"/>
        <v>1</v>
      </c>
      <c r="AU542" t="str">
        <f>""</f>
        <v/>
      </c>
      <c r="AV542" t="str">
        <f>"0"</f>
        <v>0</v>
      </c>
      <c r="AW542" t="str">
        <f>"29/05/2018 12:00:00 a. m."</f>
        <v>29/05/2018 12:00:00 a. m.</v>
      </c>
      <c r="AX542" t="str">
        <f>""</f>
        <v/>
      </c>
      <c r="AY542" t="str">
        <f t="shared" si="606"/>
        <v>30/04/2021 12:00:00 a. m.</v>
      </c>
      <c r="AZ542" t="str">
        <f>"5/05/2020 12:00:00 a. m."</f>
        <v>5/05/2020 12:00:00 a. m.</v>
      </c>
      <c r="BA542" t="str">
        <f>""</f>
        <v/>
      </c>
      <c r="BB542" t="str">
        <f>""</f>
        <v/>
      </c>
      <c r="BC542" t="str">
        <f>""</f>
        <v/>
      </c>
      <c r="BD542" t="str">
        <f t="shared" ref="BD542:BE561" si="638">"1"</f>
        <v>1</v>
      </c>
      <c r="BE542" t="str">
        <f t="shared" si="638"/>
        <v>1</v>
      </c>
      <c r="BF542" t="str">
        <f t="shared" si="607"/>
        <v xml:space="preserve">3         </v>
      </c>
      <c r="BG542" t="str">
        <f t="shared" si="608"/>
        <v>Confirmado por laboratorio</v>
      </c>
      <c r="BH542" t="str">
        <f>"FUNDACION HOSPITALARIA SAN VICENTE DE PAUL"</f>
        <v>FUNDACION HOSPITALARIA SAN VICENTE DE PAUL</v>
      </c>
      <c r="BI542" t="str">
        <f t="shared" si="618"/>
        <v>COLOMBIA</v>
      </c>
      <c r="BJ542" t="str">
        <f t="shared" si="609"/>
        <v>CANCER INFANTIL</v>
      </c>
      <c r="BK542" t="str">
        <f>"ANTIOQUIA"</f>
        <v>ANTIOQUIA</v>
      </c>
      <c r="BL542" t="str">
        <f>"MEDELLIN"</f>
        <v>MEDELLIN</v>
      </c>
      <c r="BM542" t="str">
        <f t="shared" si="619"/>
        <v>COLOMBIA</v>
      </c>
      <c r="BN542" t="str">
        <f>"ANTIOQUIA"</f>
        <v>ANTIOQUIA</v>
      </c>
      <c r="BO542" t="str">
        <f>"MEDELLIN"</f>
        <v>MEDELLIN</v>
      </c>
      <c r="BP542" t="str">
        <f>"ANTIOQUIA"</f>
        <v>ANTIOQUIA</v>
      </c>
      <c r="BQ542" t="str">
        <f>"MEDELLIN"</f>
        <v>MEDELLIN</v>
      </c>
    </row>
    <row r="543" spans="1:69" x14ac:dyDescent="0.25">
      <c r="A543" t="str">
        <f>"7285687"</f>
        <v>7285687</v>
      </c>
      <c r="B543" t="str">
        <f t="shared" si="603"/>
        <v>459</v>
      </c>
      <c r="C543" t="str">
        <f>"16/04/2020 12:00:00 a. m."</f>
        <v>16/04/2020 12:00:00 a. m.</v>
      </c>
      <c r="D543" t="str">
        <f>"13"</f>
        <v>13</v>
      </c>
      <c r="E543" t="str">
        <f t="shared" si="604"/>
        <v>2020</v>
      </c>
      <c r="F543" t="str">
        <f>"1100105681"</f>
        <v>1100105681</v>
      </c>
      <c r="G543" t="str">
        <f>"01"</f>
        <v>01</v>
      </c>
      <c r="H543" t="str">
        <f>"14"</f>
        <v>14</v>
      </c>
      <c r="I543" t="str">
        <f t="shared" si="630"/>
        <v>1</v>
      </c>
      <c r="J543" t="str">
        <f>"M"</f>
        <v>M</v>
      </c>
      <c r="K543" t="str">
        <f t="shared" si="615"/>
        <v>170</v>
      </c>
      <c r="L543" t="str">
        <f>"25"</f>
        <v>25</v>
      </c>
      <c r="M543" t="str">
        <f>"473"</f>
        <v>473</v>
      </c>
      <c r="N543" t="str">
        <f t="shared" si="637"/>
        <v>1</v>
      </c>
      <c r="O543" t="str">
        <f>"9997"</f>
        <v>9997</v>
      </c>
      <c r="P543" t="str">
        <f>"C"</f>
        <v>C</v>
      </c>
      <c r="Q543" t="str">
        <f>"EPS005"</f>
        <v>EPS005</v>
      </c>
      <c r="R543" t="str">
        <f t="shared" si="621"/>
        <v>6</v>
      </c>
      <c r="S543" t="str">
        <f>""</f>
        <v/>
      </c>
      <c r="T543" t="str">
        <f t="shared" si="589"/>
        <v xml:space="preserve">                                                                                                    </v>
      </c>
      <c r="U543" t="str">
        <f>"2         "</f>
        <v xml:space="preserve">2         </v>
      </c>
      <c r="V543" t="str">
        <f t="shared" ref="V543:V561" si="639">"2"</f>
        <v>2</v>
      </c>
      <c r="W543" t="str">
        <f t="shared" si="624"/>
        <v>2</v>
      </c>
      <c r="X543" t="str">
        <f t="shared" si="634"/>
        <v>2</v>
      </c>
      <c r="Y543" t="str">
        <f t="shared" si="635"/>
        <v>2</v>
      </c>
      <c r="Z543" t="str">
        <f t="shared" si="635"/>
        <v>2</v>
      </c>
      <c r="AA543" t="str">
        <f t="shared" si="605"/>
        <v xml:space="preserve">          </v>
      </c>
      <c r="AB543" t="str">
        <f t="shared" si="594"/>
        <v>2</v>
      </c>
      <c r="AC543" t="str">
        <f t="shared" si="596"/>
        <v>2</v>
      </c>
      <c r="AD543" t="str">
        <f t="shared" si="636"/>
        <v>2</v>
      </c>
      <c r="AE543" t="str">
        <f t="shared" si="636"/>
        <v>2</v>
      </c>
      <c r="AF543" t="str">
        <f t="shared" si="636"/>
        <v>2</v>
      </c>
      <c r="AG543" t="str">
        <f t="shared" si="636"/>
        <v>2</v>
      </c>
      <c r="AH543" t="str">
        <f t="shared" si="625"/>
        <v>1</v>
      </c>
      <c r="AI543" t="str">
        <f>"2         "</f>
        <v xml:space="preserve">2         </v>
      </c>
      <c r="AJ543" t="str">
        <f t="shared" si="616"/>
        <v>170</v>
      </c>
      <c r="AK543" t="str">
        <f>"25"</f>
        <v>25</v>
      </c>
      <c r="AL543" t="str">
        <f>"473"</f>
        <v>473</v>
      </c>
      <c r="AM543" t="str">
        <f>"11"</f>
        <v>11</v>
      </c>
      <c r="AN543" t="str">
        <f>"11001"</f>
        <v>11001</v>
      </c>
      <c r="AO543" t="str">
        <f>"25/03/2020 12:00:00 a. m."</f>
        <v>25/03/2020 12:00:00 a. m.</v>
      </c>
      <c r="AP543" t="str">
        <f>"21/12/2019 12:00:00 a. m."</f>
        <v>21/12/2019 12:00:00 a. m.</v>
      </c>
      <c r="AQ543" t="str">
        <f>"3"</f>
        <v>3</v>
      </c>
      <c r="AR543" t="str">
        <f t="shared" si="614"/>
        <v>1</v>
      </c>
      <c r="AS543" t="str">
        <f>"25/03/2020 12:00:00 a. m."</f>
        <v>25/03/2020 12:00:00 a. m.</v>
      </c>
      <c r="AT543" t="str">
        <f t="shared" si="629"/>
        <v>1</v>
      </c>
      <c r="AU543" t="str">
        <f>""</f>
        <v/>
      </c>
      <c r="AV543" t="str">
        <f>"0"</f>
        <v>0</v>
      </c>
      <c r="AW543" t="str">
        <f>"27/12/2005 12:00:00 a. m."</f>
        <v>27/12/2005 12:00:00 a. m.</v>
      </c>
      <c r="AX543" t="str">
        <f>""</f>
        <v/>
      </c>
      <c r="AY543" t="str">
        <f t="shared" si="606"/>
        <v>30/04/2021 12:00:00 a. m.</v>
      </c>
      <c r="AZ543" t="str">
        <f>"22/04/2020 12:00:00 a. m."</f>
        <v>22/04/2020 12:00:00 a. m.</v>
      </c>
      <c r="BA543" t="str">
        <f>""</f>
        <v/>
      </c>
      <c r="BB543" t="str">
        <f>""</f>
        <v/>
      </c>
      <c r="BC543" t="str">
        <f>""</f>
        <v/>
      </c>
      <c r="BD543" t="str">
        <f t="shared" si="638"/>
        <v>1</v>
      </c>
      <c r="BE543" t="str">
        <f t="shared" si="638"/>
        <v>1</v>
      </c>
      <c r="BF543" t="str">
        <f t="shared" si="607"/>
        <v xml:space="preserve">3         </v>
      </c>
      <c r="BG543" t="str">
        <f t="shared" si="608"/>
        <v>Confirmado por laboratorio</v>
      </c>
      <c r="BH543" t="str">
        <f>"FUNDACION HOSPITAL DE LA MISERICORDIA"</f>
        <v>FUNDACION HOSPITAL DE LA MISERICORDIA</v>
      </c>
      <c r="BI543" t="str">
        <f t="shared" si="618"/>
        <v>COLOMBIA</v>
      </c>
      <c r="BJ543" t="str">
        <f t="shared" si="609"/>
        <v>CANCER INFANTIL</v>
      </c>
      <c r="BK543" t="str">
        <f>"CUNDINAMARCA"</f>
        <v>CUNDINAMARCA</v>
      </c>
      <c r="BL543" t="str">
        <f>"MOSQUERA"</f>
        <v>MOSQUERA</v>
      </c>
      <c r="BM543" t="str">
        <f t="shared" si="619"/>
        <v>COLOMBIA</v>
      </c>
      <c r="BN543" t="str">
        <f>"CUNDINAMARCA"</f>
        <v>CUNDINAMARCA</v>
      </c>
      <c r="BO543" t="str">
        <f>"MOSQUERA"</f>
        <v>MOSQUERA</v>
      </c>
      <c r="BP543" t="str">
        <f>"BOGOTA"</f>
        <v>BOGOTA</v>
      </c>
      <c r="BQ543" t="str">
        <f>"BOGOTA"</f>
        <v>BOGOTA</v>
      </c>
    </row>
    <row r="544" spans="1:69" x14ac:dyDescent="0.25">
      <c r="A544" t="str">
        <f>"7285608"</f>
        <v>7285608</v>
      </c>
      <c r="B544" t="str">
        <f t="shared" si="603"/>
        <v>459</v>
      </c>
      <c r="C544" t="str">
        <f>"26/11/2020 12:00:00 a. m."</f>
        <v>26/11/2020 12:00:00 a. m.</v>
      </c>
      <c r="D544" t="str">
        <f>"48"</f>
        <v>48</v>
      </c>
      <c r="E544" t="str">
        <f t="shared" si="604"/>
        <v>2020</v>
      </c>
      <c r="F544" t="str">
        <f>"1100116338"</f>
        <v>1100116338</v>
      </c>
      <c r="G544" t="str">
        <f>"83"</f>
        <v>83</v>
      </c>
      <c r="H544" t="str">
        <f>"17"</f>
        <v>17</v>
      </c>
      <c r="I544" t="str">
        <f t="shared" si="630"/>
        <v>1</v>
      </c>
      <c r="J544" t="str">
        <f>"M"</f>
        <v>M</v>
      </c>
      <c r="K544" t="str">
        <f t="shared" si="615"/>
        <v>170</v>
      </c>
      <c r="L544" t="str">
        <f>"68"</f>
        <v>68</v>
      </c>
      <c r="M544" t="str">
        <f>"081"</f>
        <v>081</v>
      </c>
      <c r="N544" t="str">
        <f t="shared" si="637"/>
        <v>1</v>
      </c>
      <c r="O544" t="str">
        <f>"9997"</f>
        <v>9997</v>
      </c>
      <c r="P544" t="str">
        <f>"P"</f>
        <v>P</v>
      </c>
      <c r="Q544" t="str">
        <f>"RES003"</f>
        <v>RES003</v>
      </c>
      <c r="R544" t="str">
        <f t="shared" si="621"/>
        <v>6</v>
      </c>
      <c r="S544" t="str">
        <f>""</f>
        <v/>
      </c>
      <c r="T544" t="str">
        <f t="shared" si="589"/>
        <v xml:space="preserve">                                                                                                    </v>
      </c>
      <c r="U544" t="str">
        <f>"3         "</f>
        <v xml:space="preserve">3         </v>
      </c>
      <c r="V544" t="str">
        <f t="shared" si="639"/>
        <v>2</v>
      </c>
      <c r="W544" t="str">
        <f t="shared" si="624"/>
        <v>2</v>
      </c>
      <c r="X544" t="str">
        <f t="shared" si="634"/>
        <v>2</v>
      </c>
      <c r="Y544" t="str">
        <f t="shared" si="635"/>
        <v>2</v>
      </c>
      <c r="Z544" t="str">
        <f t="shared" si="635"/>
        <v>2</v>
      </c>
      <c r="AA544" t="str">
        <f t="shared" si="605"/>
        <v xml:space="preserve">          </v>
      </c>
      <c r="AB544" t="str">
        <f t="shared" si="594"/>
        <v>2</v>
      </c>
      <c r="AC544" t="str">
        <f t="shared" si="596"/>
        <v>2</v>
      </c>
      <c r="AD544" t="str">
        <f t="shared" si="636"/>
        <v>2</v>
      </c>
      <c r="AE544" t="str">
        <f t="shared" si="636"/>
        <v>2</v>
      </c>
      <c r="AF544" t="str">
        <f t="shared" si="636"/>
        <v>2</v>
      </c>
      <c r="AG544" t="str">
        <f t="shared" si="636"/>
        <v>2</v>
      </c>
      <c r="AH544" t="str">
        <f t="shared" si="625"/>
        <v>1</v>
      </c>
      <c r="AI544" t="str">
        <f t="shared" ref="AI544:AI551" si="640">"1         "</f>
        <v xml:space="preserve">1         </v>
      </c>
      <c r="AJ544" t="str">
        <f t="shared" si="616"/>
        <v>170</v>
      </c>
      <c r="AK544" t="str">
        <f>"68"</f>
        <v>68</v>
      </c>
      <c r="AL544" t="str">
        <f>"081"</f>
        <v>081</v>
      </c>
      <c r="AM544" t="str">
        <f>"11"</f>
        <v>11</v>
      </c>
      <c r="AN544" t="str">
        <f>"11001"</f>
        <v>11001</v>
      </c>
      <c r="AO544" t="str">
        <f>"24/11/2020 12:00:00 a. m."</f>
        <v>24/11/2020 12:00:00 a. m.</v>
      </c>
      <c r="AP544" t="str">
        <f>"21/11/2020 12:00:00 a. m."</f>
        <v>21/11/2020 12:00:00 a. m.</v>
      </c>
      <c r="AQ544" t="str">
        <f>"2"</f>
        <v>2</v>
      </c>
      <c r="AR544" t="str">
        <f t="shared" si="614"/>
        <v>1</v>
      </c>
      <c r="AS544" t="str">
        <f>"24/11/2020 12:00:00 a. m."</f>
        <v>24/11/2020 12:00:00 a. m.</v>
      </c>
      <c r="AT544" t="str">
        <f t="shared" si="629"/>
        <v>1</v>
      </c>
      <c r="AU544" t="str">
        <f>""</f>
        <v/>
      </c>
      <c r="AV544" t="str">
        <f>"3"</f>
        <v>3</v>
      </c>
      <c r="AW544" t="str">
        <f>"3/11/2003 12:00:00 a. m."</f>
        <v>3/11/2003 12:00:00 a. m.</v>
      </c>
      <c r="AX544" t="str">
        <f>""</f>
        <v/>
      </c>
      <c r="AY544" t="str">
        <f t="shared" si="606"/>
        <v>30/04/2021 12:00:00 a. m.</v>
      </c>
      <c r="AZ544" t="str">
        <f>"25/01/2021 12:00:00 a. m."</f>
        <v>25/01/2021 12:00:00 a. m.</v>
      </c>
      <c r="BA544" t="str">
        <f>""</f>
        <v/>
      </c>
      <c r="BB544" t="str">
        <f>""</f>
        <v/>
      </c>
      <c r="BC544" t="str">
        <f>""</f>
        <v/>
      </c>
      <c r="BD544" t="str">
        <f t="shared" si="638"/>
        <v>1</v>
      </c>
      <c r="BE544" t="str">
        <f t="shared" si="638"/>
        <v>1</v>
      </c>
      <c r="BF544" t="str">
        <f t="shared" si="607"/>
        <v xml:space="preserve">3         </v>
      </c>
      <c r="BG544" t="str">
        <f t="shared" si="608"/>
        <v>Confirmado por laboratorio</v>
      </c>
      <c r="BH544" t="str">
        <f>"HOSPITAL MILITAR CENTRAL CHAPINERO"</f>
        <v>HOSPITAL MILITAR CENTRAL CHAPINERO</v>
      </c>
      <c r="BI544" t="str">
        <f t="shared" si="618"/>
        <v>COLOMBIA</v>
      </c>
      <c r="BJ544" t="str">
        <f t="shared" si="609"/>
        <v>CANCER INFANTIL</v>
      </c>
      <c r="BK544" t="str">
        <f>"SANTANDER"</f>
        <v>SANTANDER</v>
      </c>
      <c r="BL544" t="str">
        <f>"BARRANCABERMEJA"</f>
        <v>BARRANCABERMEJA</v>
      </c>
      <c r="BM544" t="str">
        <f t="shared" si="619"/>
        <v>COLOMBIA</v>
      </c>
      <c r="BN544" t="str">
        <f>"SANTANDER"</f>
        <v>SANTANDER</v>
      </c>
      <c r="BO544" t="str">
        <f>"BARRANCABERMEJA"</f>
        <v>BARRANCABERMEJA</v>
      </c>
      <c r="BP544" t="str">
        <f>"BOGOTA"</f>
        <v>BOGOTA</v>
      </c>
      <c r="BQ544" t="str">
        <f>"BOGOTA"</f>
        <v>BOGOTA</v>
      </c>
    </row>
    <row r="545" spans="1:69" x14ac:dyDescent="0.25">
      <c r="A545" t="str">
        <f>"7285624"</f>
        <v>7285624</v>
      </c>
      <c r="B545" t="str">
        <f t="shared" si="603"/>
        <v>459</v>
      </c>
      <c r="C545" t="str">
        <f>"30/03/2020 12:00:00 a. m."</f>
        <v>30/03/2020 12:00:00 a. m.</v>
      </c>
      <c r="D545" t="str">
        <f>"14"</f>
        <v>14</v>
      </c>
      <c r="E545" t="str">
        <f t="shared" si="604"/>
        <v>2020</v>
      </c>
      <c r="F545" t="str">
        <f>"5000100529"</f>
        <v>5000100529</v>
      </c>
      <c r="G545" t="str">
        <f t="shared" ref="G545:G558" si="641">"01"</f>
        <v>01</v>
      </c>
      <c r="H545" t="str">
        <f>"16"</f>
        <v>16</v>
      </c>
      <c r="I545" t="str">
        <f t="shared" si="630"/>
        <v>1</v>
      </c>
      <c r="J545" t="str">
        <f>"F"</f>
        <v>F</v>
      </c>
      <c r="K545" t="str">
        <f t="shared" si="615"/>
        <v>170</v>
      </c>
      <c r="L545" t="str">
        <f>"50"</f>
        <v>50</v>
      </c>
      <c r="M545" t="str">
        <f>"001"</f>
        <v>001</v>
      </c>
      <c r="N545" t="str">
        <f t="shared" si="637"/>
        <v>1</v>
      </c>
      <c r="O545" t="str">
        <f>"9997"</f>
        <v>9997</v>
      </c>
      <c r="P545" t="str">
        <f>"P"</f>
        <v>P</v>
      </c>
      <c r="Q545" t="str">
        <f>"RES001"</f>
        <v>RES001</v>
      </c>
      <c r="R545" t="str">
        <f t="shared" si="621"/>
        <v>6</v>
      </c>
      <c r="S545" t="str">
        <f>""</f>
        <v/>
      </c>
      <c r="T545" t="str">
        <f t="shared" si="589"/>
        <v xml:space="preserve">                                                                                                    </v>
      </c>
      <c r="U545" t="str">
        <f>"3         "</f>
        <v xml:space="preserve">3         </v>
      </c>
      <c r="V545" t="str">
        <f t="shared" si="639"/>
        <v>2</v>
      </c>
      <c r="W545" t="str">
        <f t="shared" si="624"/>
        <v>2</v>
      </c>
      <c r="X545" t="str">
        <f t="shared" si="634"/>
        <v>2</v>
      </c>
      <c r="Y545" t="str">
        <f t="shared" si="635"/>
        <v>2</v>
      </c>
      <c r="Z545" t="str">
        <f t="shared" si="635"/>
        <v>2</v>
      </c>
      <c r="AA545" t="str">
        <f t="shared" si="605"/>
        <v xml:space="preserve">          </v>
      </c>
      <c r="AB545" t="str">
        <f t="shared" si="594"/>
        <v>2</v>
      </c>
      <c r="AC545" t="str">
        <f t="shared" si="596"/>
        <v>2</v>
      </c>
      <c r="AD545" t="str">
        <f t="shared" si="636"/>
        <v>2</v>
      </c>
      <c r="AE545" t="str">
        <f t="shared" si="636"/>
        <v>2</v>
      </c>
      <c r="AF545" t="str">
        <f t="shared" si="636"/>
        <v>2</v>
      </c>
      <c r="AG545" t="str">
        <f t="shared" si="636"/>
        <v>2</v>
      </c>
      <c r="AH545" t="str">
        <f t="shared" si="625"/>
        <v>1</v>
      </c>
      <c r="AI545" t="str">
        <f t="shared" si="640"/>
        <v xml:space="preserve">1         </v>
      </c>
      <c r="AJ545" t="str">
        <f t="shared" si="616"/>
        <v>170</v>
      </c>
      <c r="AK545" t="str">
        <f>"50"</f>
        <v>50</v>
      </c>
      <c r="AL545" t="str">
        <f>"001"</f>
        <v>001</v>
      </c>
      <c r="AM545" t="str">
        <f>"50"</f>
        <v>50</v>
      </c>
      <c r="AN545" t="str">
        <f>"50001"</f>
        <v>50001</v>
      </c>
      <c r="AO545" t="str">
        <f>"29/03/2020 12:00:00 a. m."</f>
        <v>29/03/2020 12:00:00 a. m.</v>
      </c>
      <c r="AP545" t="str">
        <f>"20/03/2020 12:00:00 a. m."</f>
        <v>20/03/2020 12:00:00 a. m.</v>
      </c>
      <c r="AQ545" t="str">
        <f>"2"</f>
        <v>2</v>
      </c>
      <c r="AR545" t="str">
        <f t="shared" si="614"/>
        <v>1</v>
      </c>
      <c r="AS545" t="str">
        <f>"29/03/2020 12:00:00 a. m."</f>
        <v>29/03/2020 12:00:00 a. m.</v>
      </c>
      <c r="AT545" t="str">
        <f t="shared" si="629"/>
        <v>1</v>
      </c>
      <c r="AU545" t="str">
        <f>""</f>
        <v/>
      </c>
      <c r="AV545" t="str">
        <f>"3"</f>
        <v>3</v>
      </c>
      <c r="AW545" t="str">
        <f>"5/10/2003 12:00:00 a. m."</f>
        <v>5/10/2003 12:00:00 a. m.</v>
      </c>
      <c r="AX545" t="str">
        <f>""</f>
        <v/>
      </c>
      <c r="AY545" t="str">
        <f t="shared" si="606"/>
        <v>30/04/2021 12:00:00 a. m.</v>
      </c>
      <c r="AZ545" t="str">
        <f>"17/05/2020 12:00:00 a. m."</f>
        <v>17/05/2020 12:00:00 a. m.</v>
      </c>
      <c r="BA545" t="str">
        <f>""</f>
        <v/>
      </c>
      <c r="BB545" t="str">
        <f>""</f>
        <v/>
      </c>
      <c r="BC545" t="str">
        <f>""</f>
        <v/>
      </c>
      <c r="BD545" t="str">
        <f t="shared" si="638"/>
        <v>1</v>
      </c>
      <c r="BE545" t="str">
        <f t="shared" si="638"/>
        <v>1</v>
      </c>
      <c r="BF545" t="str">
        <f t="shared" si="607"/>
        <v xml:space="preserve">3         </v>
      </c>
      <c r="BG545" t="str">
        <f t="shared" si="608"/>
        <v>Confirmado por laboratorio</v>
      </c>
      <c r="BH545" t="str">
        <f>"HOSPITAL DEPARTAMENTAL DE VILLAVICENCIO"</f>
        <v>HOSPITAL DEPARTAMENTAL DE VILLAVICENCIO</v>
      </c>
      <c r="BI545" t="str">
        <f t="shared" si="618"/>
        <v>COLOMBIA</v>
      </c>
      <c r="BJ545" t="str">
        <f t="shared" si="609"/>
        <v>CANCER INFANTIL</v>
      </c>
      <c r="BK545" t="str">
        <f>"META"</f>
        <v>META</v>
      </c>
      <c r="BL545" t="str">
        <f>"VILLAVICENCIO"</f>
        <v>VILLAVICENCIO</v>
      </c>
      <c r="BM545" t="str">
        <f t="shared" si="619"/>
        <v>COLOMBIA</v>
      </c>
      <c r="BN545" t="str">
        <f>"META"</f>
        <v>META</v>
      </c>
      <c r="BO545" t="str">
        <f>"VILLAVICENCIO"</f>
        <v>VILLAVICENCIO</v>
      </c>
      <c r="BP545" t="str">
        <f>"META"</f>
        <v>META</v>
      </c>
      <c r="BQ545" t="str">
        <f>"VILLAVICENCIO"</f>
        <v>VILLAVICENCIO</v>
      </c>
    </row>
    <row r="546" spans="1:69" x14ac:dyDescent="0.25">
      <c r="A546" t="str">
        <f>"7291527"</f>
        <v>7291527</v>
      </c>
      <c r="B546" t="str">
        <f t="shared" si="603"/>
        <v>459</v>
      </c>
      <c r="C546" t="str">
        <f>"21/10/2020 12:00:00 a. m."</f>
        <v>21/10/2020 12:00:00 a. m.</v>
      </c>
      <c r="D546" t="str">
        <f>"43"</f>
        <v>43</v>
      </c>
      <c r="E546" t="str">
        <f t="shared" si="604"/>
        <v>2020</v>
      </c>
      <c r="F546" t="str">
        <f>"0500102104"</f>
        <v>0500102104</v>
      </c>
      <c r="G546" t="str">
        <f t="shared" si="641"/>
        <v>01</v>
      </c>
      <c r="H546" t="str">
        <f>"15"</f>
        <v>15</v>
      </c>
      <c r="I546" t="str">
        <f t="shared" si="630"/>
        <v>1</v>
      </c>
      <c r="J546" t="str">
        <f>"F"</f>
        <v>F</v>
      </c>
      <c r="K546" t="str">
        <f t="shared" si="615"/>
        <v>170</v>
      </c>
      <c r="L546" t="str">
        <f>"05"</f>
        <v>05</v>
      </c>
      <c r="M546" t="str">
        <f>"001"</f>
        <v>001</v>
      </c>
      <c r="N546" t="str">
        <f t="shared" si="637"/>
        <v>1</v>
      </c>
      <c r="O546" t="str">
        <f>"9999"</f>
        <v>9999</v>
      </c>
      <c r="P546" t="str">
        <f t="shared" ref="P546:P551" si="642">"C"</f>
        <v>C</v>
      </c>
      <c r="Q546" t="str">
        <f>"EPS010"</f>
        <v>EPS010</v>
      </c>
      <c r="R546" t="str">
        <f t="shared" si="621"/>
        <v>6</v>
      </c>
      <c r="S546" t="str">
        <f>""</f>
        <v/>
      </c>
      <c r="T546" t="str">
        <f t="shared" si="589"/>
        <v xml:space="preserve">                                                                                                    </v>
      </c>
      <c r="U546" t="str">
        <f>"2         "</f>
        <v xml:space="preserve">2         </v>
      </c>
      <c r="V546" t="str">
        <f t="shared" si="639"/>
        <v>2</v>
      </c>
      <c r="W546" t="str">
        <f t="shared" si="624"/>
        <v>2</v>
      </c>
      <c r="X546" t="str">
        <f t="shared" si="634"/>
        <v>2</v>
      </c>
      <c r="Y546" t="str">
        <f t="shared" si="635"/>
        <v>2</v>
      </c>
      <c r="Z546" t="str">
        <f t="shared" si="635"/>
        <v>2</v>
      </c>
      <c r="AA546" t="str">
        <f t="shared" si="605"/>
        <v xml:space="preserve">          </v>
      </c>
      <c r="AB546" t="str">
        <f t="shared" si="594"/>
        <v>2</v>
      </c>
      <c r="AC546" t="str">
        <f t="shared" si="596"/>
        <v>2</v>
      </c>
      <c r="AD546" t="str">
        <f t="shared" si="636"/>
        <v>2</v>
      </c>
      <c r="AE546" t="str">
        <f t="shared" si="636"/>
        <v>2</v>
      </c>
      <c r="AF546" t="str">
        <f t="shared" si="636"/>
        <v>2</v>
      </c>
      <c r="AG546" t="str">
        <f t="shared" si="636"/>
        <v>2</v>
      </c>
      <c r="AH546" t="str">
        <f t="shared" si="625"/>
        <v>1</v>
      </c>
      <c r="AI546" t="str">
        <f t="shared" si="640"/>
        <v xml:space="preserve">1         </v>
      </c>
      <c r="AJ546" t="str">
        <f t="shared" si="616"/>
        <v>170</v>
      </c>
      <c r="AK546" t="str">
        <f>"05"</f>
        <v>05</v>
      </c>
      <c r="AL546" t="str">
        <f>"001"</f>
        <v>001</v>
      </c>
      <c r="AM546" t="str">
        <f>"05"</f>
        <v>05</v>
      </c>
      <c r="AN546" t="str">
        <f>"05001"</f>
        <v>05001</v>
      </c>
      <c r="AO546" t="str">
        <f>"21/10/2020 12:00:00 a. m."</f>
        <v>21/10/2020 12:00:00 a. m.</v>
      </c>
      <c r="AP546" t="str">
        <f>"15/09/2020 12:00:00 a. m."</f>
        <v>15/09/2020 12:00:00 a. m.</v>
      </c>
      <c r="AQ546" t="str">
        <f>"3"</f>
        <v>3</v>
      </c>
      <c r="AR546" t="str">
        <f t="shared" si="614"/>
        <v>1</v>
      </c>
      <c r="AS546" t="str">
        <f>"21/10/2020 12:00:00 a. m."</f>
        <v>21/10/2020 12:00:00 a. m.</v>
      </c>
      <c r="AT546" t="str">
        <f t="shared" si="629"/>
        <v>1</v>
      </c>
      <c r="AU546" t="str">
        <f>""</f>
        <v/>
      </c>
      <c r="AV546" t="str">
        <f>"0"</f>
        <v>0</v>
      </c>
      <c r="AW546" t="str">
        <f>"4/10/2005 12:00:00 a. m."</f>
        <v>4/10/2005 12:00:00 a. m.</v>
      </c>
      <c r="AX546" t="str">
        <f>""</f>
        <v/>
      </c>
      <c r="AY546" t="str">
        <f t="shared" si="606"/>
        <v>30/04/2021 12:00:00 a. m.</v>
      </c>
      <c r="AZ546" t="str">
        <f>"26/10/2020 12:00:00 a. m."</f>
        <v>26/10/2020 12:00:00 a. m.</v>
      </c>
      <c r="BA546" t="str">
        <f>""</f>
        <v/>
      </c>
      <c r="BB546" t="str">
        <f>""</f>
        <v/>
      </c>
      <c r="BC546" t="str">
        <f>""</f>
        <v/>
      </c>
      <c r="BD546" t="str">
        <f t="shared" si="638"/>
        <v>1</v>
      </c>
      <c r="BE546" t="str">
        <f t="shared" si="638"/>
        <v>1</v>
      </c>
      <c r="BF546" t="str">
        <f t="shared" si="607"/>
        <v xml:space="preserve">3         </v>
      </c>
      <c r="BG546" t="str">
        <f t="shared" si="608"/>
        <v>Confirmado por laboratorio</v>
      </c>
      <c r="BH546" t="str">
        <f>"HOSPITAL PABLO TOBON URIBE"</f>
        <v>HOSPITAL PABLO TOBON URIBE</v>
      </c>
      <c r="BI546" t="str">
        <f t="shared" si="618"/>
        <v>COLOMBIA</v>
      </c>
      <c r="BJ546" t="str">
        <f t="shared" si="609"/>
        <v>CANCER INFANTIL</v>
      </c>
      <c r="BK546" t="str">
        <f>"ANTIOQUIA"</f>
        <v>ANTIOQUIA</v>
      </c>
      <c r="BL546" t="str">
        <f>"MEDELLIN"</f>
        <v>MEDELLIN</v>
      </c>
      <c r="BM546" t="str">
        <f t="shared" si="619"/>
        <v>COLOMBIA</v>
      </c>
      <c r="BN546" t="str">
        <f>"ANTIOQUIA"</f>
        <v>ANTIOQUIA</v>
      </c>
      <c r="BO546" t="str">
        <f>"MEDELLIN"</f>
        <v>MEDELLIN</v>
      </c>
      <c r="BP546" t="str">
        <f>"ANTIOQUIA"</f>
        <v>ANTIOQUIA</v>
      </c>
      <c r="BQ546" t="str">
        <f>"MEDELLIN"</f>
        <v>MEDELLIN</v>
      </c>
    </row>
    <row r="547" spans="1:69" x14ac:dyDescent="0.25">
      <c r="A547" t="str">
        <f>"7291531"</f>
        <v>7291531</v>
      </c>
      <c r="B547" t="str">
        <f t="shared" si="603"/>
        <v>459</v>
      </c>
      <c r="C547" t="str">
        <f>"26/05/2020 12:00:00 a. m."</f>
        <v>26/05/2020 12:00:00 a. m.</v>
      </c>
      <c r="D547" t="str">
        <f>"20"</f>
        <v>20</v>
      </c>
      <c r="E547" t="str">
        <f t="shared" si="604"/>
        <v>2020</v>
      </c>
      <c r="F547" t="str">
        <f>"0500102104"</f>
        <v>0500102104</v>
      </c>
      <c r="G547" t="str">
        <f t="shared" si="641"/>
        <v>01</v>
      </c>
      <c r="H547" t="str">
        <f>"13"</f>
        <v>13</v>
      </c>
      <c r="I547" t="str">
        <f t="shared" si="630"/>
        <v>1</v>
      </c>
      <c r="J547" t="str">
        <f>"F"</f>
        <v>F</v>
      </c>
      <c r="K547" t="str">
        <f t="shared" si="615"/>
        <v>170</v>
      </c>
      <c r="L547" t="str">
        <f>"05"</f>
        <v>05</v>
      </c>
      <c r="M547" t="str">
        <f>"308"</f>
        <v>308</v>
      </c>
      <c r="N547" t="str">
        <f t="shared" si="637"/>
        <v>1</v>
      </c>
      <c r="O547" t="str">
        <f>"9999"</f>
        <v>9999</v>
      </c>
      <c r="P547" t="str">
        <f t="shared" si="642"/>
        <v>C</v>
      </c>
      <c r="Q547" t="str">
        <f>"EPS010"</f>
        <v>EPS010</v>
      </c>
      <c r="R547" t="str">
        <f t="shared" si="621"/>
        <v>6</v>
      </c>
      <c r="S547" t="str">
        <f>""</f>
        <v/>
      </c>
      <c r="T547" t="str">
        <f t="shared" si="589"/>
        <v xml:space="preserve">                                                                                                    </v>
      </c>
      <c r="U547" t="str">
        <f>"2         "</f>
        <v xml:space="preserve">2         </v>
      </c>
      <c r="V547" t="str">
        <f t="shared" si="639"/>
        <v>2</v>
      </c>
      <c r="W547" t="str">
        <f t="shared" si="624"/>
        <v>2</v>
      </c>
      <c r="X547" t="str">
        <f t="shared" si="634"/>
        <v>2</v>
      </c>
      <c r="Y547" t="str">
        <f t="shared" si="635"/>
        <v>2</v>
      </c>
      <c r="Z547" t="str">
        <f t="shared" si="635"/>
        <v>2</v>
      </c>
      <c r="AA547" t="str">
        <f t="shared" si="605"/>
        <v xml:space="preserve">          </v>
      </c>
      <c r="AB547" t="str">
        <f t="shared" si="594"/>
        <v>2</v>
      </c>
      <c r="AC547" t="str">
        <f t="shared" si="596"/>
        <v>2</v>
      </c>
      <c r="AD547" t="str">
        <f t="shared" si="636"/>
        <v>2</v>
      </c>
      <c r="AE547" t="str">
        <f t="shared" si="636"/>
        <v>2</v>
      </c>
      <c r="AF547" t="str">
        <f t="shared" si="636"/>
        <v>2</v>
      </c>
      <c r="AG547" t="str">
        <f t="shared" si="636"/>
        <v>2</v>
      </c>
      <c r="AH547" t="str">
        <f t="shared" si="625"/>
        <v>1</v>
      </c>
      <c r="AI547" t="str">
        <f t="shared" si="640"/>
        <v xml:space="preserve">1         </v>
      </c>
      <c r="AJ547" t="str">
        <f t="shared" si="616"/>
        <v>170</v>
      </c>
      <c r="AK547" t="str">
        <f>"05"</f>
        <v>05</v>
      </c>
      <c r="AL547" t="str">
        <f>"308"</f>
        <v>308</v>
      </c>
      <c r="AM547" t="str">
        <f>"05"</f>
        <v>05</v>
      </c>
      <c r="AN547" t="str">
        <f>"05001"</f>
        <v>05001</v>
      </c>
      <c r="AO547" t="str">
        <f>"14/05/2020 12:00:00 a. m."</f>
        <v>14/05/2020 12:00:00 a. m.</v>
      </c>
      <c r="AP547" t="str">
        <f>"14/04/2020 12:00:00 a. m."</f>
        <v>14/04/2020 12:00:00 a. m.</v>
      </c>
      <c r="AQ547" t="str">
        <f>"3"</f>
        <v>3</v>
      </c>
      <c r="AR547" t="str">
        <f t="shared" si="614"/>
        <v>1</v>
      </c>
      <c r="AS547" t="str">
        <f>"14/05/2020 12:00:00 a. m."</f>
        <v>14/05/2020 12:00:00 a. m.</v>
      </c>
      <c r="AT547" t="str">
        <f t="shared" si="629"/>
        <v>1</v>
      </c>
      <c r="AU547" t="str">
        <f>""</f>
        <v/>
      </c>
      <c r="AV547" t="str">
        <f>"7"</f>
        <v>7</v>
      </c>
      <c r="AW547" t="str">
        <f>"18/06/2007 12:00:00 a. m."</f>
        <v>18/06/2007 12:00:00 a. m.</v>
      </c>
      <c r="AX547" t="str">
        <f>""</f>
        <v/>
      </c>
      <c r="AY547" t="str">
        <f t="shared" si="606"/>
        <v>30/04/2021 12:00:00 a. m.</v>
      </c>
      <c r="AZ547" t="str">
        <f>"4/08/2020 12:00:00 a. m."</f>
        <v>4/08/2020 12:00:00 a. m.</v>
      </c>
      <c r="BA547" t="str">
        <f>""</f>
        <v/>
      </c>
      <c r="BB547" t="str">
        <f>""</f>
        <v/>
      </c>
      <c r="BC547" t="str">
        <f>""</f>
        <v/>
      </c>
      <c r="BD547" t="str">
        <f t="shared" si="638"/>
        <v>1</v>
      </c>
      <c r="BE547" t="str">
        <f t="shared" si="638"/>
        <v>1</v>
      </c>
      <c r="BF547" t="str">
        <f t="shared" si="607"/>
        <v xml:space="preserve">3         </v>
      </c>
      <c r="BG547" t="str">
        <f t="shared" si="608"/>
        <v>Confirmado por laboratorio</v>
      </c>
      <c r="BH547" t="str">
        <f>"HOSPITAL PABLO TOBON URIBE"</f>
        <v>HOSPITAL PABLO TOBON URIBE</v>
      </c>
      <c r="BI547" t="str">
        <f t="shared" si="618"/>
        <v>COLOMBIA</v>
      </c>
      <c r="BJ547" t="str">
        <f t="shared" si="609"/>
        <v>CANCER INFANTIL</v>
      </c>
      <c r="BK547" t="str">
        <f>"ANTIOQUIA"</f>
        <v>ANTIOQUIA</v>
      </c>
      <c r="BL547" t="str">
        <f>"GIRARDOTA"</f>
        <v>GIRARDOTA</v>
      </c>
      <c r="BM547" t="str">
        <f t="shared" si="619"/>
        <v>COLOMBIA</v>
      </c>
      <c r="BN547" t="str">
        <f>"ANTIOQUIA"</f>
        <v>ANTIOQUIA</v>
      </c>
      <c r="BO547" t="str">
        <f>"GIRARDOTA"</f>
        <v>GIRARDOTA</v>
      </c>
      <c r="BP547" t="str">
        <f>"ANTIOQUIA"</f>
        <v>ANTIOQUIA</v>
      </c>
      <c r="BQ547" t="str">
        <f>"MEDELLIN"</f>
        <v>MEDELLIN</v>
      </c>
    </row>
    <row r="548" spans="1:69" x14ac:dyDescent="0.25">
      <c r="A548" t="str">
        <f>"7291457"</f>
        <v>7291457</v>
      </c>
      <c r="B548" t="str">
        <f t="shared" si="603"/>
        <v>459</v>
      </c>
      <c r="C548" t="str">
        <f>"19/03/2020 12:00:00 a. m."</f>
        <v>19/03/2020 12:00:00 a. m.</v>
      </c>
      <c r="D548" t="str">
        <f>"12"</f>
        <v>12</v>
      </c>
      <c r="E548" t="str">
        <f t="shared" si="604"/>
        <v>2020</v>
      </c>
      <c r="F548" t="str">
        <f>"1100109456"</f>
        <v>1100109456</v>
      </c>
      <c r="G548" t="str">
        <f t="shared" si="641"/>
        <v>01</v>
      </c>
      <c r="H548" t="str">
        <f>"12"</f>
        <v>12</v>
      </c>
      <c r="I548" t="str">
        <f t="shared" si="630"/>
        <v>1</v>
      </c>
      <c r="J548" t="str">
        <f>"M"</f>
        <v>M</v>
      </c>
      <c r="K548" t="str">
        <f t="shared" si="615"/>
        <v>170</v>
      </c>
      <c r="L548" t="str">
        <f>"73"</f>
        <v>73</v>
      </c>
      <c r="M548" t="str">
        <f>"616"</f>
        <v>616</v>
      </c>
      <c r="N548" t="str">
        <f t="shared" si="637"/>
        <v>1</v>
      </c>
      <c r="O548" t="str">
        <f>"9997"</f>
        <v>9997</v>
      </c>
      <c r="P548" t="str">
        <f t="shared" si="642"/>
        <v>C</v>
      </c>
      <c r="Q548" t="str">
        <f>"EPS037"</f>
        <v>EPS037</v>
      </c>
      <c r="R548" t="str">
        <f t="shared" si="621"/>
        <v>6</v>
      </c>
      <c r="S548" t="str">
        <f>""</f>
        <v/>
      </c>
      <c r="T548" t="str">
        <f t="shared" si="589"/>
        <v xml:space="preserve">                                                                                                    </v>
      </c>
      <c r="U548" t="str">
        <f>"2         "</f>
        <v xml:space="preserve">2         </v>
      </c>
      <c r="V548" t="str">
        <f t="shared" si="639"/>
        <v>2</v>
      </c>
      <c r="W548" t="str">
        <f t="shared" si="624"/>
        <v>2</v>
      </c>
      <c r="X548" t="str">
        <f t="shared" si="634"/>
        <v>2</v>
      </c>
      <c r="Y548" t="str">
        <f t="shared" si="635"/>
        <v>2</v>
      </c>
      <c r="Z548" t="str">
        <f t="shared" si="635"/>
        <v>2</v>
      </c>
      <c r="AA548" t="str">
        <f t="shared" si="605"/>
        <v xml:space="preserve">          </v>
      </c>
      <c r="AB548" t="str">
        <f t="shared" si="594"/>
        <v>2</v>
      </c>
      <c r="AC548" t="str">
        <f t="shared" si="596"/>
        <v>2</v>
      </c>
      <c r="AD548" t="str">
        <f t="shared" si="636"/>
        <v>2</v>
      </c>
      <c r="AE548" t="str">
        <f t="shared" si="636"/>
        <v>2</v>
      </c>
      <c r="AF548" t="str">
        <f t="shared" si="636"/>
        <v>2</v>
      </c>
      <c r="AG548" t="str">
        <f t="shared" si="636"/>
        <v>2</v>
      </c>
      <c r="AH548" t="str">
        <f t="shared" si="625"/>
        <v>1</v>
      </c>
      <c r="AI548" t="str">
        <f t="shared" si="640"/>
        <v xml:space="preserve">1         </v>
      </c>
      <c r="AJ548" t="str">
        <f t="shared" si="616"/>
        <v>170</v>
      </c>
      <c r="AK548" t="str">
        <f>"73"</f>
        <v>73</v>
      </c>
      <c r="AL548" t="str">
        <f>"616"</f>
        <v>616</v>
      </c>
      <c r="AM548" t="str">
        <f>"11"</f>
        <v>11</v>
      </c>
      <c r="AN548" t="str">
        <f>"11001"</f>
        <v>11001</v>
      </c>
      <c r="AO548" t="str">
        <f>"18/03/2020 12:00:00 a. m."</f>
        <v>18/03/2020 12:00:00 a. m.</v>
      </c>
      <c r="AP548" t="str">
        <f>"10/05/2019 12:00:00 a. m."</f>
        <v>10/05/2019 12:00:00 a. m.</v>
      </c>
      <c r="AQ548" t="str">
        <f>"2"</f>
        <v>2</v>
      </c>
      <c r="AR548" t="str">
        <f t="shared" si="614"/>
        <v>1</v>
      </c>
      <c r="AS548" t="str">
        <f>"18/03/2020 12:00:00 a. m."</f>
        <v>18/03/2020 12:00:00 a. m.</v>
      </c>
      <c r="AT548" t="str">
        <f t="shared" si="629"/>
        <v>1</v>
      </c>
      <c r="AU548" t="str">
        <f>""</f>
        <v/>
      </c>
      <c r="AV548" t="str">
        <f>"3"</f>
        <v>3</v>
      </c>
      <c r="AW548" t="str">
        <f>"25/11/2007 12:00:00 a. m."</f>
        <v>25/11/2007 12:00:00 a. m.</v>
      </c>
      <c r="AX548" t="str">
        <f>""</f>
        <v/>
      </c>
      <c r="AY548" t="str">
        <f t="shared" si="606"/>
        <v>30/04/2021 12:00:00 a. m.</v>
      </c>
      <c r="AZ548" t="str">
        <f>"13/04/2020 12:00:00 a. m."</f>
        <v>13/04/2020 12:00:00 a. m.</v>
      </c>
      <c r="BA548" t="str">
        <f>""</f>
        <v/>
      </c>
      <c r="BB548" t="str">
        <f>""</f>
        <v/>
      </c>
      <c r="BC548" t="str">
        <f>""</f>
        <v/>
      </c>
      <c r="BD548" t="str">
        <f t="shared" si="638"/>
        <v>1</v>
      </c>
      <c r="BE548" t="str">
        <f t="shared" si="638"/>
        <v>1</v>
      </c>
      <c r="BF548" t="str">
        <f t="shared" si="607"/>
        <v xml:space="preserve">3         </v>
      </c>
      <c r="BG548" t="str">
        <f t="shared" si="608"/>
        <v>Confirmado por laboratorio</v>
      </c>
      <c r="BH548" t="str">
        <f>"HOSPITAL UNIVERSITARIO SAN IGNACIO"</f>
        <v>HOSPITAL UNIVERSITARIO SAN IGNACIO</v>
      </c>
      <c r="BI548" t="str">
        <f t="shared" si="618"/>
        <v>COLOMBIA</v>
      </c>
      <c r="BJ548" t="str">
        <f t="shared" si="609"/>
        <v>CANCER INFANTIL</v>
      </c>
      <c r="BK548" t="str">
        <f>"TOLIMA"</f>
        <v>TOLIMA</v>
      </c>
      <c r="BL548" t="str">
        <f>"RIOBLANCO"</f>
        <v>RIOBLANCO</v>
      </c>
      <c r="BM548" t="str">
        <f t="shared" si="619"/>
        <v>COLOMBIA</v>
      </c>
      <c r="BN548" t="str">
        <f>"TOLIMA"</f>
        <v>TOLIMA</v>
      </c>
      <c r="BO548" t="str">
        <f>"RIOBLANCO"</f>
        <v>RIOBLANCO</v>
      </c>
      <c r="BP548" t="str">
        <f t="shared" ref="BP548:BQ551" si="643">"BOGOTA"</f>
        <v>BOGOTA</v>
      </c>
      <c r="BQ548" t="str">
        <f t="shared" si="643"/>
        <v>BOGOTA</v>
      </c>
    </row>
    <row r="549" spans="1:69" x14ac:dyDescent="0.25">
      <c r="A549" t="str">
        <f>"7278885"</f>
        <v>7278885</v>
      </c>
      <c r="B549" t="str">
        <f t="shared" si="603"/>
        <v>459</v>
      </c>
      <c r="C549" t="str">
        <f>"4/02/2021 12:00:00 a. m."</f>
        <v>4/02/2021 12:00:00 a. m.</v>
      </c>
      <c r="D549" t="str">
        <f>"48"</f>
        <v>48</v>
      </c>
      <c r="E549" t="str">
        <f t="shared" si="604"/>
        <v>2020</v>
      </c>
      <c r="F549" t="str">
        <f>"1100105681"</f>
        <v>1100105681</v>
      </c>
      <c r="G549" t="str">
        <f t="shared" si="641"/>
        <v>01</v>
      </c>
      <c r="H549" t="str">
        <f>"1"</f>
        <v>1</v>
      </c>
      <c r="I549" t="str">
        <f t="shared" si="630"/>
        <v>1</v>
      </c>
      <c r="J549" t="str">
        <f>"F"</f>
        <v>F</v>
      </c>
      <c r="K549" t="str">
        <f t="shared" si="615"/>
        <v>170</v>
      </c>
      <c r="L549" t="str">
        <f>"11"</f>
        <v>11</v>
      </c>
      <c r="M549" t="str">
        <f>"001"</f>
        <v>001</v>
      </c>
      <c r="N549" t="str">
        <f t="shared" si="637"/>
        <v>1</v>
      </c>
      <c r="O549" t="str">
        <f>"9999"</f>
        <v>9999</v>
      </c>
      <c r="P549" t="str">
        <f t="shared" si="642"/>
        <v>C</v>
      </c>
      <c r="Q549" t="str">
        <f>"EPS002"</f>
        <v>EPS002</v>
      </c>
      <c r="R549" t="str">
        <f t="shared" si="621"/>
        <v>6</v>
      </c>
      <c r="S549" t="str">
        <f>""</f>
        <v/>
      </c>
      <c r="T549" t="str">
        <f t="shared" si="589"/>
        <v xml:space="preserve">                                                                                                    </v>
      </c>
      <c r="U549" t="str">
        <f>"2         "</f>
        <v xml:space="preserve">2         </v>
      </c>
      <c r="V549" t="str">
        <f t="shared" si="639"/>
        <v>2</v>
      </c>
      <c r="W549" t="str">
        <f t="shared" si="624"/>
        <v>2</v>
      </c>
      <c r="X549" t="str">
        <f t="shared" si="634"/>
        <v>2</v>
      </c>
      <c r="Y549" t="str">
        <f t="shared" si="635"/>
        <v>2</v>
      </c>
      <c r="Z549" t="str">
        <f t="shared" si="635"/>
        <v>2</v>
      </c>
      <c r="AA549" t="str">
        <f t="shared" si="605"/>
        <v xml:space="preserve">          </v>
      </c>
      <c r="AB549" t="str">
        <f t="shared" si="594"/>
        <v>2</v>
      </c>
      <c r="AC549" t="str">
        <f t="shared" si="596"/>
        <v>2</v>
      </c>
      <c r="AD549" t="str">
        <f t="shared" si="636"/>
        <v>2</v>
      </c>
      <c r="AE549" t="str">
        <f t="shared" si="636"/>
        <v>2</v>
      </c>
      <c r="AF549" t="str">
        <f t="shared" si="636"/>
        <v>2</v>
      </c>
      <c r="AG549" t="str">
        <f t="shared" si="636"/>
        <v>2</v>
      </c>
      <c r="AH549" t="str">
        <f t="shared" si="625"/>
        <v>1</v>
      </c>
      <c r="AI549" t="str">
        <f t="shared" si="640"/>
        <v xml:space="preserve">1         </v>
      </c>
      <c r="AJ549" t="str">
        <f t="shared" si="616"/>
        <v>170</v>
      </c>
      <c r="AK549" t="str">
        <f>"11"</f>
        <v>11</v>
      </c>
      <c r="AL549" t="str">
        <f>"001"</f>
        <v>001</v>
      </c>
      <c r="AM549" t="str">
        <f>"11"</f>
        <v>11</v>
      </c>
      <c r="AN549" t="str">
        <f>"11001"</f>
        <v>11001</v>
      </c>
      <c r="AO549" t="str">
        <f>"23/11/2020 12:00:00 a. m."</f>
        <v>23/11/2020 12:00:00 a. m.</v>
      </c>
      <c r="AP549" t="str">
        <f>"23/08/2020 12:00:00 a. m."</f>
        <v>23/08/2020 12:00:00 a. m.</v>
      </c>
      <c r="AQ549" t="str">
        <f t="shared" ref="AQ549:AQ557" si="644">"3"</f>
        <v>3</v>
      </c>
      <c r="AR549" t="str">
        <f t="shared" si="614"/>
        <v>1</v>
      </c>
      <c r="AS549" t="str">
        <f>"23/11/2020 12:00:00 a. m."</f>
        <v>23/11/2020 12:00:00 a. m.</v>
      </c>
      <c r="AT549" t="str">
        <f t="shared" si="629"/>
        <v>1</v>
      </c>
      <c r="AU549" t="str">
        <f>""</f>
        <v/>
      </c>
      <c r="AV549" t="str">
        <f>"0"</f>
        <v>0</v>
      </c>
      <c r="AW549" t="str">
        <f>"19/02/2019 12:00:00 a. m."</f>
        <v>19/02/2019 12:00:00 a. m.</v>
      </c>
      <c r="AX549" t="str">
        <f>""</f>
        <v/>
      </c>
      <c r="AY549" t="str">
        <f t="shared" si="606"/>
        <v>30/04/2021 12:00:00 a. m.</v>
      </c>
      <c r="AZ549" t="str">
        <f>"4/02/2021 12:00:00 a. m."</f>
        <v>4/02/2021 12:00:00 a. m.</v>
      </c>
      <c r="BA549" t="str">
        <f>""</f>
        <v/>
      </c>
      <c r="BB549" t="str">
        <f>""</f>
        <v/>
      </c>
      <c r="BC549" t="str">
        <f>""</f>
        <v/>
      </c>
      <c r="BD549" t="str">
        <f t="shared" si="638"/>
        <v>1</v>
      </c>
      <c r="BE549" t="str">
        <f t="shared" si="638"/>
        <v>1</v>
      </c>
      <c r="BF549" t="str">
        <f t="shared" si="607"/>
        <v xml:space="preserve">3         </v>
      </c>
      <c r="BG549" t="str">
        <f t="shared" si="608"/>
        <v>Confirmado por laboratorio</v>
      </c>
      <c r="BH549" t="str">
        <f>"FUNDACION HOSPITAL DE LA MISERICORDIA"</f>
        <v>FUNDACION HOSPITAL DE LA MISERICORDIA</v>
      </c>
      <c r="BI549" t="str">
        <f t="shared" si="618"/>
        <v>COLOMBIA</v>
      </c>
      <c r="BJ549" t="str">
        <f t="shared" si="609"/>
        <v>CANCER INFANTIL</v>
      </c>
      <c r="BK549" t="str">
        <f t="shared" ref="BK549:BL551" si="645">"BOGOTA"</f>
        <v>BOGOTA</v>
      </c>
      <c r="BL549" t="str">
        <f t="shared" si="645"/>
        <v>BOGOTA</v>
      </c>
      <c r="BM549" t="str">
        <f t="shared" si="619"/>
        <v>COLOMBIA</v>
      </c>
      <c r="BN549" t="str">
        <f t="shared" ref="BN549:BO551" si="646">"BOGOTA"</f>
        <v>BOGOTA</v>
      </c>
      <c r="BO549" t="str">
        <f t="shared" si="646"/>
        <v>BOGOTA</v>
      </c>
      <c r="BP549" t="str">
        <f t="shared" si="643"/>
        <v>BOGOTA</v>
      </c>
      <c r="BQ549" t="str">
        <f t="shared" si="643"/>
        <v>BOGOTA</v>
      </c>
    </row>
    <row r="550" spans="1:69" x14ac:dyDescent="0.25">
      <c r="A550" t="str">
        <f>"7278886"</f>
        <v>7278886</v>
      </c>
      <c r="B550" t="str">
        <f t="shared" si="603"/>
        <v>459</v>
      </c>
      <c r="C550" t="str">
        <f>"25/08/2020 12:00:00 a. m."</f>
        <v>25/08/2020 12:00:00 a. m.</v>
      </c>
      <c r="D550" t="str">
        <f>"28"</f>
        <v>28</v>
      </c>
      <c r="E550" t="str">
        <f t="shared" si="604"/>
        <v>2020</v>
      </c>
      <c r="F550" t="str">
        <f>"1100105681"</f>
        <v>1100105681</v>
      </c>
      <c r="G550" t="str">
        <f t="shared" si="641"/>
        <v>01</v>
      </c>
      <c r="H550" t="str">
        <f>"5"</f>
        <v>5</v>
      </c>
      <c r="I550" t="str">
        <f t="shared" si="630"/>
        <v>1</v>
      </c>
      <c r="J550" t="str">
        <f>"F"</f>
        <v>F</v>
      </c>
      <c r="K550" t="str">
        <f t="shared" si="615"/>
        <v>170</v>
      </c>
      <c r="L550" t="str">
        <f>"11"</f>
        <v>11</v>
      </c>
      <c r="M550" t="str">
        <f>"001"</f>
        <v>001</v>
      </c>
      <c r="N550" t="str">
        <f t="shared" si="637"/>
        <v>1</v>
      </c>
      <c r="O550" t="str">
        <f>"9999"</f>
        <v>9999</v>
      </c>
      <c r="P550" t="str">
        <f t="shared" si="642"/>
        <v>C</v>
      </c>
      <c r="Q550" t="str">
        <f>"EPS017"</f>
        <v>EPS017</v>
      </c>
      <c r="R550" t="str">
        <f t="shared" si="621"/>
        <v>6</v>
      </c>
      <c r="S550" t="str">
        <f>""</f>
        <v/>
      </c>
      <c r="T550" t="str">
        <f t="shared" si="589"/>
        <v xml:space="preserve">                                                                                                    </v>
      </c>
      <c r="U550" t="str">
        <f>"2         "</f>
        <v xml:space="preserve">2         </v>
      </c>
      <c r="V550" t="str">
        <f t="shared" si="639"/>
        <v>2</v>
      </c>
      <c r="W550" t="str">
        <f t="shared" si="624"/>
        <v>2</v>
      </c>
      <c r="X550" t="str">
        <f t="shared" si="634"/>
        <v>2</v>
      </c>
      <c r="Y550" t="str">
        <f t="shared" si="635"/>
        <v>2</v>
      </c>
      <c r="Z550" t="str">
        <f t="shared" si="635"/>
        <v>2</v>
      </c>
      <c r="AA550" t="str">
        <f t="shared" si="605"/>
        <v xml:space="preserve">          </v>
      </c>
      <c r="AB550" t="str">
        <f t="shared" si="594"/>
        <v>2</v>
      </c>
      <c r="AC550" t="str">
        <f t="shared" si="596"/>
        <v>2</v>
      </c>
      <c r="AD550" t="str">
        <f t="shared" si="636"/>
        <v>2</v>
      </c>
      <c r="AE550" t="str">
        <f t="shared" si="636"/>
        <v>2</v>
      </c>
      <c r="AF550" t="str">
        <f t="shared" si="636"/>
        <v>2</v>
      </c>
      <c r="AG550" t="str">
        <f t="shared" si="636"/>
        <v>2</v>
      </c>
      <c r="AH550" t="str">
        <f t="shared" si="625"/>
        <v>1</v>
      </c>
      <c r="AI550" t="str">
        <f t="shared" si="640"/>
        <v xml:space="preserve">1         </v>
      </c>
      <c r="AJ550" t="str">
        <f t="shared" si="616"/>
        <v>170</v>
      </c>
      <c r="AK550" t="str">
        <f>"11"</f>
        <v>11</v>
      </c>
      <c r="AL550" t="str">
        <f>"001"</f>
        <v>001</v>
      </c>
      <c r="AM550" t="str">
        <f>"11"</f>
        <v>11</v>
      </c>
      <c r="AN550" t="str">
        <f>"11001"</f>
        <v>11001</v>
      </c>
      <c r="AO550" t="str">
        <f>"5/07/2020 12:00:00 a. m."</f>
        <v>5/07/2020 12:00:00 a. m.</v>
      </c>
      <c r="AP550" t="str">
        <f>"5/07/2020 12:00:00 a. m."</f>
        <v>5/07/2020 12:00:00 a. m.</v>
      </c>
      <c r="AQ550" t="str">
        <f t="shared" si="644"/>
        <v>3</v>
      </c>
      <c r="AR550" t="str">
        <f t="shared" si="614"/>
        <v>1</v>
      </c>
      <c r="AS550" t="str">
        <f>"5/07/2020 12:00:00 a. m."</f>
        <v>5/07/2020 12:00:00 a. m.</v>
      </c>
      <c r="AT550" t="str">
        <f t="shared" si="629"/>
        <v>1</v>
      </c>
      <c r="AU550" t="str">
        <f>""</f>
        <v/>
      </c>
      <c r="AV550" t="str">
        <f>"0"</f>
        <v>0</v>
      </c>
      <c r="AW550" t="str">
        <f>"10/06/2015 12:00:00 a. m."</f>
        <v>10/06/2015 12:00:00 a. m.</v>
      </c>
      <c r="AX550" t="str">
        <f>""</f>
        <v/>
      </c>
      <c r="AY550" t="str">
        <f t="shared" si="606"/>
        <v>30/04/2021 12:00:00 a. m.</v>
      </c>
      <c r="AZ550" t="str">
        <f>"2/09/2020 12:00:00 a. m."</f>
        <v>2/09/2020 12:00:00 a. m.</v>
      </c>
      <c r="BA550" t="str">
        <f>""</f>
        <v/>
      </c>
      <c r="BB550" t="str">
        <f>""</f>
        <v/>
      </c>
      <c r="BC550" t="str">
        <f>""</f>
        <v/>
      </c>
      <c r="BD550" t="str">
        <f t="shared" si="638"/>
        <v>1</v>
      </c>
      <c r="BE550" t="str">
        <f t="shared" si="638"/>
        <v>1</v>
      </c>
      <c r="BF550" t="str">
        <f t="shared" si="607"/>
        <v xml:space="preserve">3         </v>
      </c>
      <c r="BG550" t="str">
        <f t="shared" si="608"/>
        <v>Confirmado por laboratorio</v>
      </c>
      <c r="BH550" t="str">
        <f>"FUNDACION HOSPITAL DE LA MISERICORDIA"</f>
        <v>FUNDACION HOSPITAL DE LA MISERICORDIA</v>
      </c>
      <c r="BI550" t="str">
        <f t="shared" si="618"/>
        <v>COLOMBIA</v>
      </c>
      <c r="BJ550" t="str">
        <f t="shared" si="609"/>
        <v>CANCER INFANTIL</v>
      </c>
      <c r="BK550" t="str">
        <f t="shared" si="645"/>
        <v>BOGOTA</v>
      </c>
      <c r="BL550" t="str">
        <f t="shared" si="645"/>
        <v>BOGOTA</v>
      </c>
      <c r="BM550" t="str">
        <f t="shared" si="619"/>
        <v>COLOMBIA</v>
      </c>
      <c r="BN550" t="str">
        <f t="shared" si="646"/>
        <v>BOGOTA</v>
      </c>
      <c r="BO550" t="str">
        <f t="shared" si="646"/>
        <v>BOGOTA</v>
      </c>
      <c r="BP550" t="str">
        <f t="shared" si="643"/>
        <v>BOGOTA</v>
      </c>
      <c r="BQ550" t="str">
        <f t="shared" si="643"/>
        <v>BOGOTA</v>
      </c>
    </row>
    <row r="551" spans="1:69" x14ac:dyDescent="0.25">
      <c r="A551" t="str">
        <f>"7278833"</f>
        <v>7278833</v>
      </c>
      <c r="B551" t="str">
        <f t="shared" si="603"/>
        <v>459</v>
      </c>
      <c r="C551" t="str">
        <f>"29/10/2020 12:00:00 a. m."</f>
        <v>29/10/2020 12:00:00 a. m.</v>
      </c>
      <c r="D551" t="str">
        <f>"42"</f>
        <v>42</v>
      </c>
      <c r="E551" t="str">
        <f t="shared" si="604"/>
        <v>2020</v>
      </c>
      <c r="F551" t="str">
        <f>"1100105681"</f>
        <v>1100105681</v>
      </c>
      <c r="G551" t="str">
        <f t="shared" si="641"/>
        <v>01</v>
      </c>
      <c r="H551" t="str">
        <f>"3"</f>
        <v>3</v>
      </c>
      <c r="I551" t="str">
        <f t="shared" si="630"/>
        <v>1</v>
      </c>
      <c r="J551" t="str">
        <f>"F"</f>
        <v>F</v>
      </c>
      <c r="K551" t="str">
        <f t="shared" si="615"/>
        <v>170</v>
      </c>
      <c r="L551" t="str">
        <f>"11"</f>
        <v>11</v>
      </c>
      <c r="M551" t="str">
        <f>"001"</f>
        <v>001</v>
      </c>
      <c r="N551" t="str">
        <f t="shared" si="637"/>
        <v>1</v>
      </c>
      <c r="O551" t="str">
        <f>"9999"</f>
        <v>9999</v>
      </c>
      <c r="P551" t="str">
        <f t="shared" si="642"/>
        <v>C</v>
      </c>
      <c r="Q551" t="str">
        <f>"EPS002"</f>
        <v>EPS002</v>
      </c>
      <c r="R551" t="str">
        <f t="shared" si="621"/>
        <v>6</v>
      </c>
      <c r="S551" t="str">
        <f>""</f>
        <v/>
      </c>
      <c r="T551" t="str">
        <f t="shared" si="589"/>
        <v xml:space="preserve">                                                                                                    </v>
      </c>
      <c r="U551" t="str">
        <f>"1         "</f>
        <v xml:space="preserve">1         </v>
      </c>
      <c r="V551" t="str">
        <f t="shared" si="639"/>
        <v>2</v>
      </c>
      <c r="W551" t="str">
        <f t="shared" si="624"/>
        <v>2</v>
      </c>
      <c r="X551" t="str">
        <f t="shared" si="634"/>
        <v>2</v>
      </c>
      <c r="Y551" t="str">
        <f t="shared" si="635"/>
        <v>2</v>
      </c>
      <c r="Z551" t="str">
        <f t="shared" si="635"/>
        <v>2</v>
      </c>
      <c r="AA551" t="str">
        <f t="shared" si="605"/>
        <v xml:space="preserve">          </v>
      </c>
      <c r="AB551" t="str">
        <f t="shared" si="594"/>
        <v>2</v>
      </c>
      <c r="AC551" t="str">
        <f t="shared" si="596"/>
        <v>2</v>
      </c>
      <c r="AD551" t="str">
        <f t="shared" si="636"/>
        <v>2</v>
      </c>
      <c r="AE551" t="str">
        <f t="shared" si="636"/>
        <v>2</v>
      </c>
      <c r="AF551" t="str">
        <f t="shared" si="636"/>
        <v>2</v>
      </c>
      <c r="AG551" t="str">
        <f t="shared" si="636"/>
        <v>2</v>
      </c>
      <c r="AH551" t="str">
        <f t="shared" si="625"/>
        <v>1</v>
      </c>
      <c r="AI551" t="str">
        <f t="shared" si="640"/>
        <v xml:space="preserve">1         </v>
      </c>
      <c r="AJ551" t="str">
        <f t="shared" si="616"/>
        <v>170</v>
      </c>
      <c r="AK551" t="str">
        <f>"11"</f>
        <v>11</v>
      </c>
      <c r="AL551" t="str">
        <f>"001"</f>
        <v>001</v>
      </c>
      <c r="AM551" t="str">
        <f>"11"</f>
        <v>11</v>
      </c>
      <c r="AN551" t="str">
        <f>"11001"</f>
        <v>11001</v>
      </c>
      <c r="AO551" t="str">
        <f>"15/10/2020 12:00:00 a. m."</f>
        <v>15/10/2020 12:00:00 a. m.</v>
      </c>
      <c r="AP551" t="str">
        <f>"1/03/2020 12:00:00 a. m."</f>
        <v>1/03/2020 12:00:00 a. m.</v>
      </c>
      <c r="AQ551" t="str">
        <f t="shared" si="644"/>
        <v>3</v>
      </c>
      <c r="AR551" t="str">
        <f t="shared" si="614"/>
        <v>1</v>
      </c>
      <c r="AS551" t="str">
        <f>"15/10/2020 12:00:00 a. m."</f>
        <v>15/10/2020 12:00:00 a. m.</v>
      </c>
      <c r="AT551" t="str">
        <f t="shared" si="629"/>
        <v>1</v>
      </c>
      <c r="AU551" t="str">
        <f>""</f>
        <v/>
      </c>
      <c r="AV551" t="str">
        <f>"0"</f>
        <v>0</v>
      </c>
      <c r="AW551" t="str">
        <f>"2/03/2017 12:00:00 a. m."</f>
        <v>2/03/2017 12:00:00 a. m.</v>
      </c>
      <c r="AX551" t="str">
        <f>""</f>
        <v/>
      </c>
      <c r="AY551" t="str">
        <f t="shared" si="606"/>
        <v>30/04/2021 12:00:00 a. m.</v>
      </c>
      <c r="AZ551" t="str">
        <f>"1/12/2020 12:00:00 a. m."</f>
        <v>1/12/2020 12:00:00 a. m.</v>
      </c>
      <c r="BA551" t="str">
        <f>""</f>
        <v/>
      </c>
      <c r="BB551" t="str">
        <f>""</f>
        <v/>
      </c>
      <c r="BC551" t="str">
        <f>""</f>
        <v/>
      </c>
      <c r="BD551" t="str">
        <f t="shared" si="638"/>
        <v>1</v>
      </c>
      <c r="BE551" t="str">
        <f t="shared" si="638"/>
        <v>1</v>
      </c>
      <c r="BF551" t="str">
        <f t="shared" si="607"/>
        <v xml:space="preserve">3         </v>
      </c>
      <c r="BG551" t="str">
        <f t="shared" si="608"/>
        <v>Confirmado por laboratorio</v>
      </c>
      <c r="BH551" t="str">
        <f>"FUNDACION HOSPITAL DE LA MISERICORDIA"</f>
        <v>FUNDACION HOSPITAL DE LA MISERICORDIA</v>
      </c>
      <c r="BI551" t="str">
        <f t="shared" si="618"/>
        <v>COLOMBIA</v>
      </c>
      <c r="BJ551" t="str">
        <f t="shared" si="609"/>
        <v>CANCER INFANTIL</v>
      </c>
      <c r="BK551" t="str">
        <f t="shared" si="645"/>
        <v>BOGOTA</v>
      </c>
      <c r="BL551" t="str">
        <f t="shared" si="645"/>
        <v>BOGOTA</v>
      </c>
      <c r="BM551" t="str">
        <f t="shared" si="619"/>
        <v>COLOMBIA</v>
      </c>
      <c r="BN551" t="str">
        <f t="shared" si="646"/>
        <v>BOGOTA</v>
      </c>
      <c r="BO551" t="str">
        <f t="shared" si="646"/>
        <v>BOGOTA</v>
      </c>
      <c r="BP551" t="str">
        <f t="shared" si="643"/>
        <v>BOGOTA</v>
      </c>
      <c r="BQ551" t="str">
        <f t="shared" si="643"/>
        <v>BOGOTA</v>
      </c>
    </row>
    <row r="552" spans="1:69" x14ac:dyDescent="0.25">
      <c r="A552" t="str">
        <f>"7279114"</f>
        <v>7279114</v>
      </c>
      <c r="B552" t="str">
        <f t="shared" si="603"/>
        <v>459</v>
      </c>
      <c r="C552" t="str">
        <f>"30/08/2020 12:00:00 a. m."</f>
        <v>30/08/2020 12:00:00 a. m.</v>
      </c>
      <c r="D552" t="str">
        <f>"31"</f>
        <v>31</v>
      </c>
      <c r="E552" t="str">
        <f t="shared" si="604"/>
        <v>2020</v>
      </c>
      <c r="F552" t="str">
        <f>"0800103250"</f>
        <v>0800103250</v>
      </c>
      <c r="G552" t="str">
        <f t="shared" si="641"/>
        <v>01</v>
      </c>
      <c r="H552" t="str">
        <f>"15"</f>
        <v>15</v>
      </c>
      <c r="I552" t="str">
        <f t="shared" si="630"/>
        <v>1</v>
      </c>
      <c r="J552" t="str">
        <f>"M"</f>
        <v>M</v>
      </c>
      <c r="K552" t="str">
        <f t="shared" si="615"/>
        <v>170</v>
      </c>
      <c r="L552" t="str">
        <f>"08"</f>
        <v>08</v>
      </c>
      <c r="M552" t="str">
        <f>"001"</f>
        <v>001</v>
      </c>
      <c r="N552" t="str">
        <f t="shared" si="637"/>
        <v>1</v>
      </c>
      <c r="O552" t="str">
        <f>"9996"</f>
        <v>9996</v>
      </c>
      <c r="P552" t="str">
        <f>"S"</f>
        <v>S</v>
      </c>
      <c r="Q552" t="str">
        <f>"ESS207"</f>
        <v>ESS207</v>
      </c>
      <c r="R552" t="str">
        <f t="shared" si="621"/>
        <v>6</v>
      </c>
      <c r="S552" t="str">
        <f>""</f>
        <v/>
      </c>
      <c r="T552" t="str">
        <f t="shared" si="589"/>
        <v xml:space="preserve">                                                                                                    </v>
      </c>
      <c r="U552" t="str">
        <f>"2         "</f>
        <v xml:space="preserve">2         </v>
      </c>
      <c r="V552" t="str">
        <f t="shared" si="639"/>
        <v>2</v>
      </c>
      <c r="W552" t="str">
        <f t="shared" si="624"/>
        <v>2</v>
      </c>
      <c r="X552" t="str">
        <f t="shared" si="634"/>
        <v>2</v>
      </c>
      <c r="Y552" t="str">
        <f t="shared" si="635"/>
        <v>2</v>
      </c>
      <c r="Z552" t="str">
        <f t="shared" si="635"/>
        <v>2</v>
      </c>
      <c r="AA552" t="str">
        <f t="shared" si="605"/>
        <v xml:space="preserve">          </v>
      </c>
      <c r="AB552" t="str">
        <f t="shared" si="594"/>
        <v>2</v>
      </c>
      <c r="AC552" t="str">
        <f t="shared" si="596"/>
        <v>2</v>
      </c>
      <c r="AD552" t="str">
        <f t="shared" si="636"/>
        <v>2</v>
      </c>
      <c r="AE552" t="str">
        <f t="shared" si="636"/>
        <v>2</v>
      </c>
      <c r="AF552" t="str">
        <f t="shared" si="636"/>
        <v>2</v>
      </c>
      <c r="AG552" t="str">
        <f t="shared" si="636"/>
        <v>2</v>
      </c>
      <c r="AH552" t="str">
        <f t="shared" si="625"/>
        <v>1</v>
      </c>
      <c r="AI552" t="str">
        <f>"2         "</f>
        <v xml:space="preserve">2         </v>
      </c>
      <c r="AJ552" t="str">
        <f t="shared" si="616"/>
        <v>170</v>
      </c>
      <c r="AK552" t="str">
        <f>"08"</f>
        <v>08</v>
      </c>
      <c r="AL552" t="str">
        <f>"001"</f>
        <v>001</v>
      </c>
      <c r="AM552" t="str">
        <f>"08"</f>
        <v>08</v>
      </c>
      <c r="AN552" t="str">
        <f>"08001"</f>
        <v>08001</v>
      </c>
      <c r="AO552" t="str">
        <f>"28/07/2020 12:00:00 a. m."</f>
        <v>28/07/2020 12:00:00 a. m.</v>
      </c>
      <c r="AP552" t="str">
        <f>"14/07/2020 12:00:00 a. m."</f>
        <v>14/07/2020 12:00:00 a. m.</v>
      </c>
      <c r="AQ552" t="str">
        <f t="shared" si="644"/>
        <v>3</v>
      </c>
      <c r="AR552" t="str">
        <f t="shared" si="614"/>
        <v>1</v>
      </c>
      <c r="AS552" t="str">
        <f>"28/07/2020 12:00:00 a. m."</f>
        <v>28/07/2020 12:00:00 a. m.</v>
      </c>
      <c r="AT552" t="str">
        <f t="shared" si="629"/>
        <v>1</v>
      </c>
      <c r="AU552" t="str">
        <f>""</f>
        <v/>
      </c>
      <c r="AV552" t="str">
        <f>"0"</f>
        <v>0</v>
      </c>
      <c r="AW552" t="str">
        <f>"1/12/2004 12:00:00 a. m."</f>
        <v>1/12/2004 12:00:00 a. m.</v>
      </c>
      <c r="AX552" t="str">
        <f>""</f>
        <v/>
      </c>
      <c r="AY552" t="str">
        <f t="shared" si="606"/>
        <v>30/04/2021 12:00:00 a. m.</v>
      </c>
      <c r="AZ552" t="str">
        <f>"20/10/2020 12:00:00 a. m."</f>
        <v>20/10/2020 12:00:00 a. m.</v>
      </c>
      <c r="BA552" t="str">
        <f>""</f>
        <v/>
      </c>
      <c r="BB552" t="str">
        <f>""</f>
        <v/>
      </c>
      <c r="BC552" t="str">
        <f>""</f>
        <v/>
      </c>
      <c r="BD552" t="str">
        <f t="shared" si="638"/>
        <v>1</v>
      </c>
      <c r="BE552" t="str">
        <f t="shared" si="638"/>
        <v>1</v>
      </c>
      <c r="BF552" t="str">
        <f t="shared" si="607"/>
        <v xml:space="preserve">3         </v>
      </c>
      <c r="BG552" t="str">
        <f t="shared" si="608"/>
        <v>Confirmado por laboratorio</v>
      </c>
      <c r="BH552" t="str">
        <f>"CLINICA SAN MARTIN BARRANQUILLA"</f>
        <v>CLINICA SAN MARTIN BARRANQUILLA</v>
      </c>
      <c r="BI552" t="str">
        <f t="shared" si="618"/>
        <v>COLOMBIA</v>
      </c>
      <c r="BJ552" t="str">
        <f t="shared" si="609"/>
        <v>CANCER INFANTIL</v>
      </c>
      <c r="BK552" t="str">
        <f>"ATLANTICO"</f>
        <v>ATLANTICO</v>
      </c>
      <c r="BL552" t="str">
        <f>"BARRANQUILLA"</f>
        <v>BARRANQUILLA</v>
      </c>
      <c r="BM552" t="str">
        <f t="shared" si="619"/>
        <v>COLOMBIA</v>
      </c>
      <c r="BN552" t="str">
        <f>"ATLANTICO"</f>
        <v>ATLANTICO</v>
      </c>
      <c r="BO552" t="str">
        <f>"BARRANQUILLA"</f>
        <v>BARRANQUILLA</v>
      </c>
      <c r="BP552" t="str">
        <f>"ATLANTICO"</f>
        <v>ATLANTICO</v>
      </c>
      <c r="BQ552" t="str">
        <f>"BARRANQUILLA"</f>
        <v>BARRANQUILLA</v>
      </c>
    </row>
    <row r="553" spans="1:69" x14ac:dyDescent="0.25">
      <c r="A553" t="str">
        <f>"7279116"</f>
        <v>7279116</v>
      </c>
      <c r="B553" t="str">
        <f t="shared" si="603"/>
        <v>459</v>
      </c>
      <c r="C553" t="str">
        <f>"29/08/2020 12:00:00 a. m."</f>
        <v>29/08/2020 12:00:00 a. m.</v>
      </c>
      <c r="D553" t="str">
        <f>"13"</f>
        <v>13</v>
      </c>
      <c r="E553" t="str">
        <f t="shared" si="604"/>
        <v>2020</v>
      </c>
      <c r="F553" t="str">
        <f>"0800100623"</f>
        <v>0800100623</v>
      </c>
      <c r="G553" t="str">
        <f t="shared" si="641"/>
        <v>01</v>
      </c>
      <c r="H553" t="str">
        <f>"13"</f>
        <v>13</v>
      </c>
      <c r="I553" t="str">
        <f t="shared" si="630"/>
        <v>1</v>
      </c>
      <c r="J553" t="str">
        <f>"F"</f>
        <v>F</v>
      </c>
      <c r="K553" t="str">
        <f t="shared" si="615"/>
        <v>170</v>
      </c>
      <c r="L553" t="str">
        <f>"08"</f>
        <v>08</v>
      </c>
      <c r="M553" t="str">
        <f>"001"</f>
        <v>001</v>
      </c>
      <c r="N553" t="str">
        <f t="shared" si="637"/>
        <v>1</v>
      </c>
      <c r="O553" t="str">
        <f>"9997"</f>
        <v>9997</v>
      </c>
      <c r="P553" t="str">
        <f>"S"</f>
        <v>S</v>
      </c>
      <c r="Q553" t="str">
        <f>"ESS207"</f>
        <v>ESS207</v>
      </c>
      <c r="R553" t="str">
        <f t="shared" si="621"/>
        <v>6</v>
      </c>
      <c r="S553" t="str">
        <f>""</f>
        <v/>
      </c>
      <c r="T553" t="str">
        <f t="shared" si="589"/>
        <v xml:space="preserve">                                                                                                    </v>
      </c>
      <c r="U553" t="str">
        <f>"2         "</f>
        <v xml:space="preserve">2         </v>
      </c>
      <c r="V553" t="str">
        <f t="shared" si="639"/>
        <v>2</v>
      </c>
      <c r="W553" t="str">
        <f t="shared" si="624"/>
        <v>2</v>
      </c>
      <c r="X553" t="str">
        <f t="shared" si="634"/>
        <v>2</v>
      </c>
      <c r="Y553" t="str">
        <f t="shared" si="635"/>
        <v>2</v>
      </c>
      <c r="Z553" t="str">
        <f t="shared" si="635"/>
        <v>2</v>
      </c>
      <c r="AA553" t="str">
        <f t="shared" si="605"/>
        <v xml:space="preserve">          </v>
      </c>
      <c r="AB553" t="str">
        <f t="shared" si="594"/>
        <v>2</v>
      </c>
      <c r="AC553" t="str">
        <f t="shared" si="596"/>
        <v>2</v>
      </c>
      <c r="AD553" t="str">
        <f t="shared" si="636"/>
        <v>2</v>
      </c>
      <c r="AE553" t="str">
        <f t="shared" si="636"/>
        <v>2</v>
      </c>
      <c r="AF553" t="str">
        <f t="shared" si="636"/>
        <v>2</v>
      </c>
      <c r="AG553" t="str">
        <f t="shared" si="636"/>
        <v>2</v>
      </c>
      <c r="AH553" t="str">
        <f t="shared" si="625"/>
        <v>1</v>
      </c>
      <c r="AI553" t="str">
        <f t="shared" ref="AI553:AI558" si="647">"1         "</f>
        <v xml:space="preserve">1         </v>
      </c>
      <c r="AJ553" t="str">
        <f t="shared" si="616"/>
        <v>170</v>
      </c>
      <c r="AK553" t="str">
        <f>"08"</f>
        <v>08</v>
      </c>
      <c r="AL553" t="str">
        <f>"001"</f>
        <v>001</v>
      </c>
      <c r="AM553" t="str">
        <f>"08"</f>
        <v>08</v>
      </c>
      <c r="AN553" t="str">
        <f>"08001"</f>
        <v>08001</v>
      </c>
      <c r="AO553" t="str">
        <f>"27/03/2020 12:00:00 a. m."</f>
        <v>27/03/2020 12:00:00 a. m.</v>
      </c>
      <c r="AP553" t="str">
        <f>"1/03/2020 12:00:00 a. m."</f>
        <v>1/03/2020 12:00:00 a. m.</v>
      </c>
      <c r="AQ553" t="str">
        <f t="shared" si="644"/>
        <v>3</v>
      </c>
      <c r="AR553" t="str">
        <f>"2"</f>
        <v>2</v>
      </c>
      <c r="AS553" t="str">
        <f>""</f>
        <v/>
      </c>
      <c r="AT553" t="str">
        <f t="shared" si="629"/>
        <v>1</v>
      </c>
      <c r="AU553" t="str">
        <f>""</f>
        <v/>
      </c>
      <c r="AV553" t="str">
        <f>"7"</f>
        <v>7</v>
      </c>
      <c r="AW553" t="str">
        <f>"29/11/2006 12:00:00 a. m."</f>
        <v>29/11/2006 12:00:00 a. m.</v>
      </c>
      <c r="AX553" t="str">
        <f>""</f>
        <v/>
      </c>
      <c r="AY553" t="str">
        <f t="shared" si="606"/>
        <v>30/04/2021 12:00:00 a. m.</v>
      </c>
      <c r="AZ553" t="str">
        <f>"16/02/2021 12:00:00 a. m."</f>
        <v>16/02/2021 12:00:00 a. m.</v>
      </c>
      <c r="BA553" t="str">
        <f>""</f>
        <v/>
      </c>
      <c r="BB553" t="str">
        <f>""</f>
        <v/>
      </c>
      <c r="BC553" t="str">
        <f>""</f>
        <v/>
      </c>
      <c r="BD553" t="str">
        <f t="shared" si="638"/>
        <v>1</v>
      </c>
      <c r="BE553" t="str">
        <f t="shared" si="638"/>
        <v>1</v>
      </c>
      <c r="BF553" t="str">
        <f t="shared" si="607"/>
        <v xml:space="preserve">3         </v>
      </c>
      <c r="BG553" t="str">
        <f t="shared" si="608"/>
        <v>Confirmado por laboratorio</v>
      </c>
      <c r="BH553" t="str">
        <f>"CENTRO CANCEROLOGICO DEL CARIBE CECAC LTDA"</f>
        <v>CENTRO CANCEROLOGICO DEL CARIBE CECAC LTDA</v>
      </c>
      <c r="BI553" t="str">
        <f t="shared" si="618"/>
        <v>COLOMBIA</v>
      </c>
      <c r="BJ553" t="str">
        <f t="shared" si="609"/>
        <v>CANCER INFANTIL</v>
      </c>
      <c r="BK553" t="str">
        <f>"ATLANTICO"</f>
        <v>ATLANTICO</v>
      </c>
      <c r="BL553" t="str">
        <f>"BARRANQUILLA"</f>
        <v>BARRANQUILLA</v>
      </c>
      <c r="BM553" t="str">
        <f t="shared" si="619"/>
        <v>COLOMBIA</v>
      </c>
      <c r="BN553" t="str">
        <f>"ATLANTICO"</f>
        <v>ATLANTICO</v>
      </c>
      <c r="BO553" t="str">
        <f>"BARRANQUILLA"</f>
        <v>BARRANQUILLA</v>
      </c>
      <c r="BP553" t="str">
        <f>"ATLANTICO"</f>
        <v>ATLANTICO</v>
      </c>
      <c r="BQ553" t="str">
        <f>"BARRANQUILLA"</f>
        <v>BARRANQUILLA</v>
      </c>
    </row>
    <row r="554" spans="1:69" x14ac:dyDescent="0.25">
      <c r="A554" t="str">
        <f>"7279123"</f>
        <v>7279123</v>
      </c>
      <c r="B554" t="str">
        <f t="shared" si="603"/>
        <v>459</v>
      </c>
      <c r="C554" t="str">
        <f>"18/02/2020 12:00:00 a. m."</f>
        <v>18/02/2020 12:00:00 a. m.</v>
      </c>
      <c r="D554" t="str">
        <f>"08"</f>
        <v>08</v>
      </c>
      <c r="E554" t="str">
        <f t="shared" si="604"/>
        <v>2020</v>
      </c>
      <c r="F554" t="str">
        <f>"1100109456"</f>
        <v>1100109456</v>
      </c>
      <c r="G554" t="str">
        <f t="shared" si="641"/>
        <v>01</v>
      </c>
      <c r="H554" t="str">
        <f>"10"</f>
        <v>10</v>
      </c>
      <c r="I554" t="str">
        <f t="shared" si="630"/>
        <v>1</v>
      </c>
      <c r="J554" t="str">
        <f>"F"</f>
        <v>F</v>
      </c>
      <c r="K554" t="str">
        <f t="shared" si="615"/>
        <v>170</v>
      </c>
      <c r="L554" t="str">
        <f>"15"</f>
        <v>15</v>
      </c>
      <c r="M554" t="str">
        <f>"238"</f>
        <v>238</v>
      </c>
      <c r="N554" t="str">
        <f t="shared" si="637"/>
        <v>1</v>
      </c>
      <c r="O554" t="str">
        <f>"9997"</f>
        <v>9997</v>
      </c>
      <c r="P554" t="str">
        <f>"C"</f>
        <v>C</v>
      </c>
      <c r="Q554" t="str">
        <f>"EPS008"</f>
        <v>EPS008</v>
      </c>
      <c r="R554" t="str">
        <f t="shared" si="621"/>
        <v>6</v>
      </c>
      <c r="S554" t="str">
        <f>""</f>
        <v/>
      </c>
      <c r="T554" t="str">
        <f t="shared" si="589"/>
        <v xml:space="preserve">                                                                                                    </v>
      </c>
      <c r="U554" t="str">
        <f>"3         "</f>
        <v xml:space="preserve">3         </v>
      </c>
      <c r="V554" t="str">
        <f t="shared" si="639"/>
        <v>2</v>
      </c>
      <c r="W554" t="str">
        <f t="shared" si="624"/>
        <v>2</v>
      </c>
      <c r="X554" t="str">
        <f t="shared" si="634"/>
        <v>2</v>
      </c>
      <c r="Y554" t="str">
        <f t="shared" si="635"/>
        <v>2</v>
      </c>
      <c r="Z554" t="str">
        <f t="shared" si="635"/>
        <v>2</v>
      </c>
      <c r="AA554" t="str">
        <f t="shared" si="605"/>
        <v xml:space="preserve">          </v>
      </c>
      <c r="AB554" t="str">
        <f t="shared" si="594"/>
        <v>2</v>
      </c>
      <c r="AC554" t="str">
        <f t="shared" si="596"/>
        <v>2</v>
      </c>
      <c r="AD554" t="str">
        <f t="shared" si="636"/>
        <v>2</v>
      </c>
      <c r="AE554" t="str">
        <f t="shared" si="636"/>
        <v>2</v>
      </c>
      <c r="AF554" t="str">
        <f t="shared" si="636"/>
        <v>2</v>
      </c>
      <c r="AG554" t="str">
        <f t="shared" si="636"/>
        <v>2</v>
      </c>
      <c r="AH554" t="str">
        <f t="shared" si="625"/>
        <v>1</v>
      </c>
      <c r="AI554" t="str">
        <f t="shared" si="647"/>
        <v xml:space="preserve">1         </v>
      </c>
      <c r="AJ554" t="str">
        <f t="shared" si="616"/>
        <v>170</v>
      </c>
      <c r="AK554" t="str">
        <f>"15"</f>
        <v>15</v>
      </c>
      <c r="AL554" t="str">
        <f>"238"</f>
        <v>238</v>
      </c>
      <c r="AM554" t="str">
        <f>"11"</f>
        <v>11</v>
      </c>
      <c r="AN554" t="str">
        <f>"11001"</f>
        <v>11001</v>
      </c>
      <c r="AO554" t="str">
        <f>"17/02/2020 12:00:00 a. m."</f>
        <v>17/02/2020 12:00:00 a. m.</v>
      </c>
      <c r="AP554" t="str">
        <f>"7/02/2019 12:00:00 a. m."</f>
        <v>7/02/2019 12:00:00 a. m.</v>
      </c>
      <c r="AQ554" t="str">
        <f t="shared" si="644"/>
        <v>3</v>
      </c>
      <c r="AR554" t="str">
        <f>"1"</f>
        <v>1</v>
      </c>
      <c r="AS554" t="str">
        <f>"17/02/2020 12:00:00 a. m."</f>
        <v>17/02/2020 12:00:00 a. m.</v>
      </c>
      <c r="AT554" t="str">
        <f t="shared" si="629"/>
        <v>1</v>
      </c>
      <c r="AU554" t="str">
        <f>""</f>
        <v/>
      </c>
      <c r="AV554" t="str">
        <f>"0"</f>
        <v>0</v>
      </c>
      <c r="AW554" t="str">
        <f>"7/02/2010 12:00:00 a. m."</f>
        <v>7/02/2010 12:00:00 a. m.</v>
      </c>
      <c r="AX554" t="str">
        <f>""</f>
        <v/>
      </c>
      <c r="AY554" t="str">
        <f t="shared" si="606"/>
        <v>30/04/2021 12:00:00 a. m.</v>
      </c>
      <c r="AZ554" t="str">
        <f>"18/02/2020 12:00:00 a. m."</f>
        <v>18/02/2020 12:00:00 a. m.</v>
      </c>
      <c r="BA554" t="str">
        <f>""</f>
        <v/>
      </c>
      <c r="BB554" t="str">
        <f>""</f>
        <v/>
      </c>
      <c r="BC554" t="str">
        <f>""</f>
        <v/>
      </c>
      <c r="BD554" t="str">
        <f t="shared" si="638"/>
        <v>1</v>
      </c>
      <c r="BE554" t="str">
        <f t="shared" si="638"/>
        <v>1</v>
      </c>
      <c r="BF554" t="str">
        <f t="shared" si="607"/>
        <v xml:space="preserve">3         </v>
      </c>
      <c r="BG554" t="str">
        <f t="shared" si="608"/>
        <v>Confirmado por laboratorio</v>
      </c>
      <c r="BH554" t="str">
        <f>"HOSPITAL UNIVERSITARIO SAN IGNACIO"</f>
        <v>HOSPITAL UNIVERSITARIO SAN IGNACIO</v>
      </c>
      <c r="BI554" t="str">
        <f t="shared" si="618"/>
        <v>COLOMBIA</v>
      </c>
      <c r="BJ554" t="str">
        <f t="shared" si="609"/>
        <v>CANCER INFANTIL</v>
      </c>
      <c r="BK554" t="str">
        <f>"BOYACA"</f>
        <v>BOYACA</v>
      </c>
      <c r="BL554" t="str">
        <f>"DUITAMA"</f>
        <v>DUITAMA</v>
      </c>
      <c r="BM554" t="str">
        <f t="shared" si="619"/>
        <v>COLOMBIA</v>
      </c>
      <c r="BN554" t="str">
        <f>"BOYACA"</f>
        <v>BOYACA</v>
      </c>
      <c r="BO554" t="str">
        <f>"DUITAMA"</f>
        <v>DUITAMA</v>
      </c>
      <c r="BP554" t="str">
        <f>"BOGOTA"</f>
        <v>BOGOTA</v>
      </c>
      <c r="BQ554" t="str">
        <f>"BOGOTA"</f>
        <v>BOGOTA</v>
      </c>
    </row>
    <row r="555" spans="1:69" x14ac:dyDescent="0.25">
      <c r="A555" t="str">
        <f>"7278926"</f>
        <v>7278926</v>
      </c>
      <c r="B555" t="str">
        <f t="shared" si="603"/>
        <v>459</v>
      </c>
      <c r="C555" t="str">
        <f>"22/09/2020 12:00:00 a. m."</f>
        <v>22/09/2020 12:00:00 a. m.</v>
      </c>
      <c r="D555" t="str">
        <f>"37"</f>
        <v>37</v>
      </c>
      <c r="E555" t="str">
        <f t="shared" si="604"/>
        <v>2020</v>
      </c>
      <c r="F555" t="str">
        <f>"1100105681"</f>
        <v>1100105681</v>
      </c>
      <c r="G555" t="str">
        <f t="shared" si="641"/>
        <v>01</v>
      </c>
      <c r="H555" t="str">
        <f>"3"</f>
        <v>3</v>
      </c>
      <c r="I555" t="str">
        <f>"2"</f>
        <v>2</v>
      </c>
      <c r="J555" t="str">
        <f>"F"</f>
        <v>F</v>
      </c>
      <c r="K555" t="str">
        <f t="shared" si="615"/>
        <v>170</v>
      </c>
      <c r="L555" t="str">
        <f>"25"</f>
        <v>25</v>
      </c>
      <c r="M555" t="str">
        <f>"473"</f>
        <v>473</v>
      </c>
      <c r="N555" t="str">
        <f t="shared" si="637"/>
        <v>1</v>
      </c>
      <c r="O555" t="str">
        <f>"9999"</f>
        <v>9999</v>
      </c>
      <c r="P555" t="str">
        <f>"C"</f>
        <v>C</v>
      </c>
      <c r="Q555" t="str">
        <f>"EPS005"</f>
        <v>EPS005</v>
      </c>
      <c r="R555" t="str">
        <f t="shared" si="621"/>
        <v>6</v>
      </c>
      <c r="S555" t="str">
        <f>""</f>
        <v/>
      </c>
      <c r="T555" t="str">
        <f t="shared" si="589"/>
        <v xml:space="preserve">                                                                                                    </v>
      </c>
      <c r="U555" t="str">
        <f>"2         "</f>
        <v xml:space="preserve">2         </v>
      </c>
      <c r="V555" t="str">
        <f t="shared" si="639"/>
        <v>2</v>
      </c>
      <c r="W555" t="str">
        <f t="shared" si="624"/>
        <v>2</v>
      </c>
      <c r="X555" t="str">
        <f t="shared" si="634"/>
        <v>2</v>
      </c>
      <c r="Y555" t="str">
        <f t="shared" si="635"/>
        <v>2</v>
      </c>
      <c r="Z555" t="str">
        <f t="shared" si="635"/>
        <v>2</v>
      </c>
      <c r="AA555" t="str">
        <f t="shared" si="605"/>
        <v xml:space="preserve">          </v>
      </c>
      <c r="AB555" t="str">
        <f t="shared" si="594"/>
        <v>2</v>
      </c>
      <c r="AC555" t="str">
        <f t="shared" si="596"/>
        <v>2</v>
      </c>
      <c r="AD555" t="str">
        <f t="shared" si="636"/>
        <v>2</v>
      </c>
      <c r="AE555" t="str">
        <f t="shared" si="636"/>
        <v>2</v>
      </c>
      <c r="AF555" t="str">
        <f t="shared" si="636"/>
        <v>2</v>
      </c>
      <c r="AG555" t="str">
        <f t="shared" si="636"/>
        <v>2</v>
      </c>
      <c r="AH555" t="str">
        <f t="shared" si="625"/>
        <v>1</v>
      </c>
      <c r="AI555" t="str">
        <f t="shared" si="647"/>
        <v xml:space="preserve">1         </v>
      </c>
      <c r="AJ555" t="str">
        <f t="shared" si="616"/>
        <v>170</v>
      </c>
      <c r="AK555" t="str">
        <f>"25"</f>
        <v>25</v>
      </c>
      <c r="AL555" t="str">
        <f>"473"</f>
        <v>473</v>
      </c>
      <c r="AM555" t="str">
        <f>"11"</f>
        <v>11</v>
      </c>
      <c r="AN555" t="str">
        <f>"11001"</f>
        <v>11001</v>
      </c>
      <c r="AO555" t="str">
        <f>"12/09/2020 12:00:00 a. m."</f>
        <v>12/09/2020 12:00:00 a. m.</v>
      </c>
      <c r="AP555" t="str">
        <f>"12/08/2020 12:00:00 a. m."</f>
        <v>12/08/2020 12:00:00 a. m.</v>
      </c>
      <c r="AQ555" t="str">
        <f t="shared" si="644"/>
        <v>3</v>
      </c>
      <c r="AR555" t="str">
        <f>"1"</f>
        <v>1</v>
      </c>
      <c r="AS555" t="str">
        <f>"12/09/2020 12:00:00 a. m."</f>
        <v>12/09/2020 12:00:00 a. m.</v>
      </c>
      <c r="AT555" t="str">
        <f t="shared" si="629"/>
        <v>1</v>
      </c>
      <c r="AU555" t="str">
        <f>""</f>
        <v/>
      </c>
      <c r="AV555" t="str">
        <f>"0"</f>
        <v>0</v>
      </c>
      <c r="AW555" t="str">
        <f>"30/05/2020 12:00:00 a. m."</f>
        <v>30/05/2020 12:00:00 a. m.</v>
      </c>
      <c r="AX555" t="str">
        <f>""</f>
        <v/>
      </c>
      <c r="AY555" t="str">
        <f t="shared" si="606"/>
        <v>30/04/2021 12:00:00 a. m.</v>
      </c>
      <c r="AZ555" t="str">
        <f>"28/09/2020 12:00:00 a. m."</f>
        <v>28/09/2020 12:00:00 a. m.</v>
      </c>
      <c r="BA555" t="str">
        <f>""</f>
        <v/>
      </c>
      <c r="BB555" t="str">
        <f>""</f>
        <v/>
      </c>
      <c r="BC555" t="str">
        <f>""</f>
        <v/>
      </c>
      <c r="BD555" t="str">
        <f t="shared" si="638"/>
        <v>1</v>
      </c>
      <c r="BE555" t="str">
        <f t="shared" si="638"/>
        <v>1</v>
      </c>
      <c r="BF555" t="str">
        <f t="shared" si="607"/>
        <v xml:space="preserve">3         </v>
      </c>
      <c r="BG555" t="str">
        <f t="shared" si="608"/>
        <v>Confirmado por laboratorio</v>
      </c>
      <c r="BH555" t="str">
        <f>"FUNDACION HOSPITAL DE LA MISERICORDIA"</f>
        <v>FUNDACION HOSPITAL DE LA MISERICORDIA</v>
      </c>
      <c r="BI555" t="str">
        <f t="shared" si="618"/>
        <v>COLOMBIA</v>
      </c>
      <c r="BJ555" t="str">
        <f t="shared" si="609"/>
        <v>CANCER INFANTIL</v>
      </c>
      <c r="BK555" t="str">
        <f>"CUNDINAMARCA"</f>
        <v>CUNDINAMARCA</v>
      </c>
      <c r="BL555" t="str">
        <f>"MOSQUERA"</f>
        <v>MOSQUERA</v>
      </c>
      <c r="BM555" t="str">
        <f t="shared" si="619"/>
        <v>COLOMBIA</v>
      </c>
      <c r="BN555" t="str">
        <f>"CUNDINAMARCA"</f>
        <v>CUNDINAMARCA</v>
      </c>
      <c r="BO555" t="str">
        <f>"MOSQUERA"</f>
        <v>MOSQUERA</v>
      </c>
      <c r="BP555" t="str">
        <f>"BOGOTA"</f>
        <v>BOGOTA</v>
      </c>
      <c r="BQ555" t="str">
        <f>"BOGOTA"</f>
        <v>BOGOTA</v>
      </c>
    </row>
    <row r="556" spans="1:69" x14ac:dyDescent="0.25">
      <c r="A556" t="str">
        <f>"7278840"</f>
        <v>7278840</v>
      </c>
      <c r="B556" t="str">
        <f t="shared" si="603"/>
        <v>459</v>
      </c>
      <c r="C556" t="str">
        <f>"12/08/2020 12:00:00 a. m."</f>
        <v>12/08/2020 12:00:00 a. m.</v>
      </c>
      <c r="D556" t="str">
        <f>"29"</f>
        <v>29</v>
      </c>
      <c r="E556" t="str">
        <f t="shared" si="604"/>
        <v>2020</v>
      </c>
      <c r="F556" t="str">
        <f>"0500102175"</f>
        <v>0500102175</v>
      </c>
      <c r="G556" t="str">
        <f t="shared" si="641"/>
        <v>01</v>
      </c>
      <c r="H556" t="str">
        <f>"7"</f>
        <v>7</v>
      </c>
      <c r="I556" t="str">
        <f>"2"</f>
        <v>2</v>
      </c>
      <c r="J556" t="str">
        <f>"F"</f>
        <v>F</v>
      </c>
      <c r="K556" t="str">
        <f t="shared" si="615"/>
        <v>170</v>
      </c>
      <c r="L556" t="str">
        <f>"05"</f>
        <v>05</v>
      </c>
      <c r="M556" t="str">
        <f t="shared" ref="M556:M561" si="648">"001"</f>
        <v>001</v>
      </c>
      <c r="N556" t="str">
        <f t="shared" si="637"/>
        <v>1</v>
      </c>
      <c r="O556" t="str">
        <f>"9999"</f>
        <v>9999</v>
      </c>
      <c r="P556" t="str">
        <f>"C"</f>
        <v>C</v>
      </c>
      <c r="Q556" t="str">
        <f>"EPS044"</f>
        <v>EPS044</v>
      </c>
      <c r="R556" t="str">
        <f t="shared" si="621"/>
        <v>6</v>
      </c>
      <c r="S556" t="str">
        <f>""</f>
        <v/>
      </c>
      <c r="T556" t="str">
        <f t="shared" si="589"/>
        <v xml:space="preserve">                                                                                                    </v>
      </c>
      <c r="U556" t="str">
        <f>"2         "</f>
        <v xml:space="preserve">2         </v>
      </c>
      <c r="V556" t="str">
        <f t="shared" si="639"/>
        <v>2</v>
      </c>
      <c r="W556" t="str">
        <f t="shared" si="624"/>
        <v>2</v>
      </c>
      <c r="X556" t="str">
        <f t="shared" si="634"/>
        <v>2</v>
      </c>
      <c r="Y556" t="str">
        <f t="shared" si="635"/>
        <v>2</v>
      </c>
      <c r="Z556" t="str">
        <f t="shared" si="635"/>
        <v>2</v>
      </c>
      <c r="AA556" t="str">
        <f t="shared" si="605"/>
        <v xml:space="preserve">          </v>
      </c>
      <c r="AB556" t="str">
        <f t="shared" si="594"/>
        <v>2</v>
      </c>
      <c r="AC556" t="str">
        <f t="shared" si="596"/>
        <v>2</v>
      </c>
      <c r="AD556" t="str">
        <f t="shared" si="636"/>
        <v>2</v>
      </c>
      <c r="AE556" t="str">
        <f t="shared" si="636"/>
        <v>2</v>
      </c>
      <c r="AF556" t="str">
        <f t="shared" si="636"/>
        <v>2</v>
      </c>
      <c r="AG556" t="str">
        <f t="shared" si="636"/>
        <v>2</v>
      </c>
      <c r="AH556" t="str">
        <f t="shared" si="625"/>
        <v>1</v>
      </c>
      <c r="AI556" t="str">
        <f t="shared" si="647"/>
        <v xml:space="preserve">1         </v>
      </c>
      <c r="AJ556" t="str">
        <f t="shared" si="616"/>
        <v>170</v>
      </c>
      <c r="AK556" t="str">
        <f>"05"</f>
        <v>05</v>
      </c>
      <c r="AL556" t="str">
        <f t="shared" ref="AL556:AL561" si="649">"001"</f>
        <v>001</v>
      </c>
      <c r="AM556" t="str">
        <f>"05"</f>
        <v>05</v>
      </c>
      <c r="AN556" t="str">
        <f>"05001"</f>
        <v>05001</v>
      </c>
      <c r="AO556" t="str">
        <f>"14/07/2020 12:00:00 a. m."</f>
        <v>14/07/2020 12:00:00 a. m.</v>
      </c>
      <c r="AP556" t="str">
        <f>"1/07/2020 12:00:00 a. m."</f>
        <v>1/07/2020 12:00:00 a. m.</v>
      </c>
      <c r="AQ556" t="str">
        <f t="shared" si="644"/>
        <v>3</v>
      </c>
      <c r="AR556" t="str">
        <f>"1"</f>
        <v>1</v>
      </c>
      <c r="AS556" t="str">
        <f>"14/07/2020 12:00:00 a. m."</f>
        <v>14/07/2020 12:00:00 a. m.</v>
      </c>
      <c r="AT556" t="str">
        <f t="shared" si="629"/>
        <v>1</v>
      </c>
      <c r="AU556" t="str">
        <f>""</f>
        <v/>
      </c>
      <c r="AV556" t="str">
        <f>"0"</f>
        <v>0</v>
      </c>
      <c r="AW556" t="str">
        <f>"24/12/2019 12:00:00 a. m."</f>
        <v>24/12/2019 12:00:00 a. m.</v>
      </c>
      <c r="AX556" t="str">
        <f>""</f>
        <v/>
      </c>
      <c r="AY556" t="str">
        <f t="shared" si="606"/>
        <v>30/04/2021 12:00:00 a. m.</v>
      </c>
      <c r="AZ556" t="str">
        <f>"12/08/2020 12:00:00 a. m."</f>
        <v>12/08/2020 12:00:00 a. m.</v>
      </c>
      <c r="BA556" t="str">
        <f>""</f>
        <v/>
      </c>
      <c r="BB556" t="str">
        <f>""</f>
        <v/>
      </c>
      <c r="BC556" t="str">
        <f>""</f>
        <v/>
      </c>
      <c r="BD556" t="str">
        <f t="shared" si="638"/>
        <v>1</v>
      </c>
      <c r="BE556" t="str">
        <f t="shared" si="638"/>
        <v>1</v>
      </c>
      <c r="BF556" t="str">
        <f t="shared" si="607"/>
        <v xml:space="preserve">3         </v>
      </c>
      <c r="BG556" t="str">
        <f t="shared" si="608"/>
        <v>Confirmado por laboratorio</v>
      </c>
      <c r="BH556" t="str">
        <f>"FUNDACION HOSPITALARIA SAN VICENTE DE PAUL"</f>
        <v>FUNDACION HOSPITALARIA SAN VICENTE DE PAUL</v>
      </c>
      <c r="BI556" t="str">
        <f t="shared" si="618"/>
        <v>COLOMBIA</v>
      </c>
      <c r="BJ556" t="str">
        <f t="shared" si="609"/>
        <v>CANCER INFANTIL</v>
      </c>
      <c r="BK556" t="str">
        <f>"ANTIOQUIA"</f>
        <v>ANTIOQUIA</v>
      </c>
      <c r="BL556" t="str">
        <f>"MEDELLIN"</f>
        <v>MEDELLIN</v>
      </c>
      <c r="BM556" t="str">
        <f t="shared" si="619"/>
        <v>COLOMBIA</v>
      </c>
      <c r="BN556" t="str">
        <f>"ANTIOQUIA"</f>
        <v>ANTIOQUIA</v>
      </c>
      <c r="BO556" t="str">
        <f>"MEDELLIN"</f>
        <v>MEDELLIN</v>
      </c>
      <c r="BP556" t="str">
        <f>"ANTIOQUIA"</f>
        <v>ANTIOQUIA</v>
      </c>
      <c r="BQ556" t="str">
        <f>"MEDELLIN"</f>
        <v>MEDELLIN</v>
      </c>
    </row>
    <row r="557" spans="1:69" x14ac:dyDescent="0.25">
      <c r="A557" t="str">
        <f>"7278950"</f>
        <v>7278950</v>
      </c>
      <c r="B557" t="str">
        <f t="shared" si="603"/>
        <v>459</v>
      </c>
      <c r="C557" t="str">
        <f>"28/04/2020 12:00:00 a. m."</f>
        <v>28/04/2020 12:00:00 a. m.</v>
      </c>
      <c r="D557" t="str">
        <f>"18"</f>
        <v>18</v>
      </c>
      <c r="E557" t="str">
        <f t="shared" si="604"/>
        <v>2020</v>
      </c>
      <c r="F557" t="str">
        <f>"0500102104"</f>
        <v>0500102104</v>
      </c>
      <c r="G557" t="str">
        <f t="shared" si="641"/>
        <v>01</v>
      </c>
      <c r="H557" t="str">
        <f>"13"</f>
        <v>13</v>
      </c>
      <c r="I557" t="str">
        <f t="shared" ref="I557:I563" si="650">"1"</f>
        <v>1</v>
      </c>
      <c r="J557" t="str">
        <f>"M"</f>
        <v>M</v>
      </c>
      <c r="K557" t="str">
        <f t="shared" si="615"/>
        <v>170</v>
      </c>
      <c r="L557" t="str">
        <f>"05"</f>
        <v>05</v>
      </c>
      <c r="M557" t="str">
        <f t="shared" si="648"/>
        <v>001</v>
      </c>
      <c r="N557" t="str">
        <f t="shared" si="637"/>
        <v>1</v>
      </c>
      <c r="O557" t="str">
        <f>"9999"</f>
        <v>9999</v>
      </c>
      <c r="P557" t="str">
        <f>"P"</f>
        <v>P</v>
      </c>
      <c r="Q557" t="str">
        <f>"RES003"</f>
        <v>RES003</v>
      </c>
      <c r="R557" t="str">
        <f t="shared" ref="R557:R592" si="651">"6"</f>
        <v>6</v>
      </c>
      <c r="S557" t="str">
        <f>""</f>
        <v/>
      </c>
      <c r="T557" t="str">
        <f t="shared" si="589"/>
        <v xml:space="preserve">                                                                                                    </v>
      </c>
      <c r="U557" t="str">
        <f>"2         "</f>
        <v xml:space="preserve">2         </v>
      </c>
      <c r="V557" t="str">
        <f t="shared" si="639"/>
        <v>2</v>
      </c>
      <c r="W557" t="str">
        <f t="shared" si="624"/>
        <v>2</v>
      </c>
      <c r="X557" t="str">
        <f t="shared" si="634"/>
        <v>2</v>
      </c>
      <c r="Y557" t="str">
        <f t="shared" si="635"/>
        <v>2</v>
      </c>
      <c r="Z557" t="str">
        <f t="shared" si="635"/>
        <v>2</v>
      </c>
      <c r="AA557" t="str">
        <f t="shared" si="605"/>
        <v xml:space="preserve">          </v>
      </c>
      <c r="AB557" t="str">
        <f t="shared" si="594"/>
        <v>2</v>
      </c>
      <c r="AC557" t="str">
        <f t="shared" si="596"/>
        <v>2</v>
      </c>
      <c r="AD557" t="str">
        <f t="shared" si="636"/>
        <v>2</v>
      </c>
      <c r="AE557" t="str">
        <f t="shared" si="636"/>
        <v>2</v>
      </c>
      <c r="AF557" t="str">
        <f t="shared" si="636"/>
        <v>2</v>
      </c>
      <c r="AG557" t="str">
        <f t="shared" si="636"/>
        <v>2</v>
      </c>
      <c r="AH557" t="str">
        <f t="shared" si="625"/>
        <v>1</v>
      </c>
      <c r="AI557" t="str">
        <f t="shared" si="647"/>
        <v xml:space="preserve">1         </v>
      </c>
      <c r="AJ557" t="str">
        <f t="shared" si="616"/>
        <v>170</v>
      </c>
      <c r="AK557" t="str">
        <f>"05"</f>
        <v>05</v>
      </c>
      <c r="AL557" t="str">
        <f t="shared" si="649"/>
        <v>001</v>
      </c>
      <c r="AM557" t="str">
        <f>"05"</f>
        <v>05</v>
      </c>
      <c r="AN557" t="str">
        <f>"05001"</f>
        <v>05001</v>
      </c>
      <c r="AO557" t="str">
        <f>"28/04/2020 12:00:00 a. m."</f>
        <v>28/04/2020 12:00:00 a. m.</v>
      </c>
      <c r="AP557" t="str">
        <f>"28/10/2019 12:00:00 a. m."</f>
        <v>28/10/2019 12:00:00 a. m.</v>
      </c>
      <c r="AQ557" t="str">
        <f t="shared" si="644"/>
        <v>3</v>
      </c>
      <c r="AR557" t="str">
        <f>"2"</f>
        <v>2</v>
      </c>
      <c r="AS557" t="str">
        <f>""</f>
        <v/>
      </c>
      <c r="AT557" t="str">
        <f t="shared" si="629"/>
        <v>1</v>
      </c>
      <c r="AU557" t="str">
        <f>""</f>
        <v/>
      </c>
      <c r="AV557" t="str">
        <f>"0"</f>
        <v>0</v>
      </c>
      <c r="AW557" t="str">
        <f>"21/12/2006 12:00:00 a. m."</f>
        <v>21/12/2006 12:00:00 a. m.</v>
      </c>
      <c r="AX557" t="str">
        <f>""</f>
        <v/>
      </c>
      <c r="AY557" t="str">
        <f t="shared" si="606"/>
        <v>30/04/2021 12:00:00 a. m.</v>
      </c>
      <c r="AZ557" t="str">
        <f>"16/05/2020 12:00:00 a. m."</f>
        <v>16/05/2020 12:00:00 a. m.</v>
      </c>
      <c r="BA557" t="str">
        <f>""</f>
        <v/>
      </c>
      <c r="BB557" t="str">
        <f>""</f>
        <v/>
      </c>
      <c r="BC557" t="str">
        <f>""</f>
        <v/>
      </c>
      <c r="BD557" t="str">
        <f t="shared" si="638"/>
        <v>1</v>
      </c>
      <c r="BE557" t="str">
        <f t="shared" si="638"/>
        <v>1</v>
      </c>
      <c r="BF557" t="str">
        <f t="shared" si="607"/>
        <v xml:space="preserve">3         </v>
      </c>
      <c r="BG557" t="str">
        <f t="shared" si="608"/>
        <v>Confirmado por laboratorio</v>
      </c>
      <c r="BH557" t="str">
        <f>"HOSPITAL PABLO TOBON URIBE"</f>
        <v>HOSPITAL PABLO TOBON URIBE</v>
      </c>
      <c r="BI557" t="str">
        <f t="shared" si="618"/>
        <v>COLOMBIA</v>
      </c>
      <c r="BJ557" t="str">
        <f t="shared" si="609"/>
        <v>CANCER INFANTIL</v>
      </c>
      <c r="BK557" t="str">
        <f>"ANTIOQUIA"</f>
        <v>ANTIOQUIA</v>
      </c>
      <c r="BL557" t="str">
        <f>"MEDELLIN"</f>
        <v>MEDELLIN</v>
      </c>
      <c r="BM557" t="str">
        <f t="shared" si="619"/>
        <v>COLOMBIA</v>
      </c>
      <c r="BN557" t="str">
        <f>"ANTIOQUIA"</f>
        <v>ANTIOQUIA</v>
      </c>
      <c r="BO557" t="str">
        <f>"MEDELLIN"</f>
        <v>MEDELLIN</v>
      </c>
      <c r="BP557" t="str">
        <f>"ANTIOQUIA"</f>
        <v>ANTIOQUIA</v>
      </c>
      <c r="BQ557" t="str">
        <f>"MEDELLIN"</f>
        <v>MEDELLIN</v>
      </c>
    </row>
    <row r="558" spans="1:69" x14ac:dyDescent="0.25">
      <c r="A558" t="str">
        <f>"7278692"</f>
        <v>7278692</v>
      </c>
      <c r="B558" t="str">
        <f t="shared" si="603"/>
        <v>459</v>
      </c>
      <c r="C558" t="str">
        <f>"10/09/2020 12:00:00 a. m."</f>
        <v>10/09/2020 12:00:00 a. m.</v>
      </c>
      <c r="D558" t="str">
        <f>"37"</f>
        <v>37</v>
      </c>
      <c r="E558" t="str">
        <f t="shared" si="604"/>
        <v>2020</v>
      </c>
      <c r="F558" t="str">
        <f>"1100109456"</f>
        <v>1100109456</v>
      </c>
      <c r="G558" t="str">
        <f t="shared" si="641"/>
        <v>01</v>
      </c>
      <c r="H558" t="str">
        <f>"13"</f>
        <v>13</v>
      </c>
      <c r="I558" t="str">
        <f t="shared" si="650"/>
        <v>1</v>
      </c>
      <c r="J558" t="str">
        <f>"M"</f>
        <v>M</v>
      </c>
      <c r="K558" t="str">
        <f t="shared" si="615"/>
        <v>170</v>
      </c>
      <c r="L558" t="str">
        <f>"11"</f>
        <v>11</v>
      </c>
      <c r="M558" t="str">
        <f t="shared" si="648"/>
        <v>001</v>
      </c>
      <c r="N558" t="str">
        <f t="shared" si="637"/>
        <v>1</v>
      </c>
      <c r="O558" t="str">
        <f>"9997"</f>
        <v>9997</v>
      </c>
      <c r="P558" t="str">
        <f>"C"</f>
        <v>C</v>
      </c>
      <c r="Q558" t="str">
        <f>"EPS008"</f>
        <v>EPS008</v>
      </c>
      <c r="R558" t="str">
        <f t="shared" si="651"/>
        <v>6</v>
      </c>
      <c r="S558" t="str">
        <f>""</f>
        <v/>
      </c>
      <c r="T558" t="str">
        <f t="shared" si="589"/>
        <v xml:space="preserve">                                                                                                    </v>
      </c>
      <c r="U558" t="str">
        <f>"2         "</f>
        <v xml:space="preserve">2         </v>
      </c>
      <c r="V558" t="str">
        <f t="shared" si="639"/>
        <v>2</v>
      </c>
      <c r="W558" t="str">
        <f t="shared" si="624"/>
        <v>2</v>
      </c>
      <c r="X558" t="str">
        <f t="shared" si="634"/>
        <v>2</v>
      </c>
      <c r="Y558" t="str">
        <f t="shared" si="635"/>
        <v>2</v>
      </c>
      <c r="Z558" t="str">
        <f t="shared" si="635"/>
        <v>2</v>
      </c>
      <c r="AA558" t="str">
        <f t="shared" si="605"/>
        <v xml:space="preserve">          </v>
      </c>
      <c r="AB558" t="str">
        <f t="shared" si="594"/>
        <v>2</v>
      </c>
      <c r="AC558" t="str">
        <f t="shared" si="596"/>
        <v>2</v>
      </c>
      <c r="AD558" t="str">
        <f t="shared" si="636"/>
        <v>2</v>
      </c>
      <c r="AE558" t="str">
        <f t="shared" si="636"/>
        <v>2</v>
      </c>
      <c r="AF558" t="str">
        <f t="shared" si="636"/>
        <v>2</v>
      </c>
      <c r="AG558" t="str">
        <f t="shared" si="636"/>
        <v>2</v>
      </c>
      <c r="AH558" t="str">
        <f t="shared" si="625"/>
        <v>1</v>
      </c>
      <c r="AI558" t="str">
        <f t="shared" si="647"/>
        <v xml:space="preserve">1         </v>
      </c>
      <c r="AJ558" t="str">
        <f t="shared" si="616"/>
        <v>170</v>
      </c>
      <c r="AK558" t="str">
        <f>"11"</f>
        <v>11</v>
      </c>
      <c r="AL558" t="str">
        <f t="shared" si="649"/>
        <v>001</v>
      </c>
      <c r="AM558" t="str">
        <f>"11"</f>
        <v>11</v>
      </c>
      <c r="AN558" t="str">
        <f>"11001"</f>
        <v>11001</v>
      </c>
      <c r="AO558" t="str">
        <f>"8/09/2020 12:00:00 a. m."</f>
        <v>8/09/2020 12:00:00 a. m.</v>
      </c>
      <c r="AP558" t="str">
        <f>"8/09/2020 12:00:00 a. m."</f>
        <v>8/09/2020 12:00:00 a. m.</v>
      </c>
      <c r="AQ558" t="str">
        <f>"2"</f>
        <v>2</v>
      </c>
      <c r="AR558" t="str">
        <f t="shared" ref="AR558:AR568" si="652">"1"</f>
        <v>1</v>
      </c>
      <c r="AS558" t="str">
        <f>"8/09/2020 12:00:00 a. m."</f>
        <v>8/09/2020 12:00:00 a. m.</v>
      </c>
      <c r="AT558" t="str">
        <f t="shared" si="629"/>
        <v>1</v>
      </c>
      <c r="AU558" t="str">
        <f>""</f>
        <v/>
      </c>
      <c r="AV558" t="str">
        <f>"3"</f>
        <v>3</v>
      </c>
      <c r="AW558" t="str">
        <f>"27/03/2007 12:00:00 a. m."</f>
        <v>27/03/2007 12:00:00 a. m.</v>
      </c>
      <c r="AX558" t="str">
        <f>""</f>
        <v/>
      </c>
      <c r="AY558" t="str">
        <f t="shared" si="606"/>
        <v>30/04/2021 12:00:00 a. m.</v>
      </c>
      <c r="AZ558" t="str">
        <f>"14/12/2020 12:00:00 a. m."</f>
        <v>14/12/2020 12:00:00 a. m.</v>
      </c>
      <c r="BA558" t="str">
        <f>""</f>
        <v/>
      </c>
      <c r="BB558" t="str">
        <f>""</f>
        <v/>
      </c>
      <c r="BC558" t="str">
        <f>""</f>
        <v/>
      </c>
      <c r="BD558" t="str">
        <f t="shared" si="638"/>
        <v>1</v>
      </c>
      <c r="BE558" t="str">
        <f t="shared" si="638"/>
        <v>1</v>
      </c>
      <c r="BF558" t="str">
        <f t="shared" si="607"/>
        <v xml:space="preserve">3         </v>
      </c>
      <c r="BG558" t="str">
        <f t="shared" si="608"/>
        <v>Confirmado por laboratorio</v>
      </c>
      <c r="BH558" t="str">
        <f>"HOSPITAL UNIVERSITARIO SAN IGNACIO"</f>
        <v>HOSPITAL UNIVERSITARIO SAN IGNACIO</v>
      </c>
      <c r="BI558" t="str">
        <f t="shared" si="618"/>
        <v>COLOMBIA</v>
      </c>
      <c r="BJ558" t="str">
        <f t="shared" si="609"/>
        <v>CANCER INFANTIL</v>
      </c>
      <c r="BK558" t="str">
        <f t="shared" ref="BK558:BL561" si="653">"BOGOTA"</f>
        <v>BOGOTA</v>
      </c>
      <c r="BL558" t="str">
        <f t="shared" si="653"/>
        <v>BOGOTA</v>
      </c>
      <c r="BM558" t="str">
        <f t="shared" si="619"/>
        <v>COLOMBIA</v>
      </c>
      <c r="BN558" t="str">
        <f t="shared" ref="BN558:BQ561" si="654">"BOGOTA"</f>
        <v>BOGOTA</v>
      </c>
      <c r="BO558" t="str">
        <f t="shared" si="654"/>
        <v>BOGOTA</v>
      </c>
      <c r="BP558" t="str">
        <f t="shared" si="654"/>
        <v>BOGOTA</v>
      </c>
      <c r="BQ558" t="str">
        <f t="shared" si="654"/>
        <v>BOGOTA</v>
      </c>
    </row>
    <row r="559" spans="1:69" x14ac:dyDescent="0.25">
      <c r="A559" t="str">
        <f>"7278684"</f>
        <v>7278684</v>
      </c>
      <c r="B559" t="str">
        <f t="shared" si="603"/>
        <v>459</v>
      </c>
      <c r="C559" t="str">
        <f>"24/12/2020 12:00:00 a. m."</f>
        <v>24/12/2020 12:00:00 a. m.</v>
      </c>
      <c r="D559" t="str">
        <f>"52"</f>
        <v>52</v>
      </c>
      <c r="E559" t="str">
        <f t="shared" si="604"/>
        <v>2020</v>
      </c>
      <c r="F559" t="str">
        <f>"1100108171"</f>
        <v>1100108171</v>
      </c>
      <c r="G559" t="str">
        <f>"02"</f>
        <v>02</v>
      </c>
      <c r="H559" t="str">
        <f>"1"</f>
        <v>1</v>
      </c>
      <c r="I559" t="str">
        <f t="shared" si="650"/>
        <v>1</v>
      </c>
      <c r="J559" t="str">
        <f>"F"</f>
        <v>F</v>
      </c>
      <c r="K559" t="str">
        <f t="shared" si="615"/>
        <v>170</v>
      </c>
      <c r="L559" t="str">
        <f>"11"</f>
        <v>11</v>
      </c>
      <c r="M559" t="str">
        <f t="shared" si="648"/>
        <v>001</v>
      </c>
      <c r="N559" t="str">
        <f t="shared" si="637"/>
        <v>1</v>
      </c>
      <c r="O559" t="str">
        <f>"9999"</f>
        <v>9999</v>
      </c>
      <c r="P559" t="str">
        <f>"C"</f>
        <v>C</v>
      </c>
      <c r="Q559" t="str">
        <f>"EPS017"</f>
        <v>EPS017</v>
      </c>
      <c r="R559" t="str">
        <f t="shared" si="651"/>
        <v>6</v>
      </c>
      <c r="S559" t="str">
        <f>""</f>
        <v/>
      </c>
      <c r="T559" t="str">
        <f t="shared" si="589"/>
        <v xml:space="preserve">                                                                                                    </v>
      </c>
      <c r="U559" t="str">
        <f>"3         "</f>
        <v xml:space="preserve">3         </v>
      </c>
      <c r="V559" t="str">
        <f t="shared" si="639"/>
        <v>2</v>
      </c>
      <c r="W559" t="str">
        <f t="shared" ref="W559:W591" si="655">"2"</f>
        <v>2</v>
      </c>
      <c r="X559" t="str">
        <f t="shared" si="634"/>
        <v>2</v>
      </c>
      <c r="Y559" t="str">
        <f t="shared" ref="Y559:Z578" si="656">"2"</f>
        <v>2</v>
      </c>
      <c r="Z559" t="str">
        <f t="shared" si="656"/>
        <v>2</v>
      </c>
      <c r="AA559" t="str">
        <f t="shared" si="605"/>
        <v xml:space="preserve">          </v>
      </c>
      <c r="AB559" t="str">
        <f t="shared" si="594"/>
        <v>2</v>
      </c>
      <c r="AC559" t="str">
        <f t="shared" si="596"/>
        <v>2</v>
      </c>
      <c r="AD559" t="str">
        <f t="shared" si="636"/>
        <v>2</v>
      </c>
      <c r="AE559" t="str">
        <f t="shared" si="636"/>
        <v>2</v>
      </c>
      <c r="AF559" t="str">
        <f t="shared" si="636"/>
        <v>2</v>
      </c>
      <c r="AG559" t="str">
        <f t="shared" si="636"/>
        <v>2</v>
      </c>
      <c r="AH559" t="str">
        <f t="shared" si="625"/>
        <v>1</v>
      </c>
      <c r="AI559" t="str">
        <f>"2         "</f>
        <v xml:space="preserve">2         </v>
      </c>
      <c r="AJ559" t="str">
        <f t="shared" si="616"/>
        <v>170</v>
      </c>
      <c r="AK559" t="str">
        <f>"11"</f>
        <v>11</v>
      </c>
      <c r="AL559" t="str">
        <f t="shared" si="649"/>
        <v>001</v>
      </c>
      <c r="AM559" t="str">
        <f>"11"</f>
        <v>11</v>
      </c>
      <c r="AN559" t="str">
        <f>"11001"</f>
        <v>11001</v>
      </c>
      <c r="AO559" t="str">
        <f>"22/12/2020 12:00:00 a. m."</f>
        <v>22/12/2020 12:00:00 a. m.</v>
      </c>
      <c r="AP559" t="str">
        <f>"10/10/2020 12:00:00 a. m."</f>
        <v>10/10/2020 12:00:00 a. m.</v>
      </c>
      <c r="AQ559" t="str">
        <f>"2"</f>
        <v>2</v>
      </c>
      <c r="AR559" t="str">
        <f t="shared" si="652"/>
        <v>1</v>
      </c>
      <c r="AS559" t="str">
        <f>"22/12/2020 12:00:00 a. m."</f>
        <v>22/12/2020 12:00:00 a. m.</v>
      </c>
      <c r="AT559" t="str">
        <f t="shared" si="629"/>
        <v>1</v>
      </c>
      <c r="AU559" t="str">
        <f>""</f>
        <v/>
      </c>
      <c r="AV559" t="str">
        <f>"3"</f>
        <v>3</v>
      </c>
      <c r="AW559" t="str">
        <f>"2/01/2019 12:00:00 a. m."</f>
        <v>2/01/2019 12:00:00 a. m.</v>
      </c>
      <c r="AX559" t="str">
        <f>""</f>
        <v/>
      </c>
      <c r="AY559" t="str">
        <f t="shared" si="606"/>
        <v>30/04/2021 12:00:00 a. m.</v>
      </c>
      <c r="AZ559" t="str">
        <f>"21/01/2021 12:00:00 a. m."</f>
        <v>21/01/2021 12:00:00 a. m.</v>
      </c>
      <c r="BA559" t="str">
        <f>""</f>
        <v/>
      </c>
      <c r="BB559" t="str">
        <f>""</f>
        <v/>
      </c>
      <c r="BC559" t="str">
        <f>""</f>
        <v/>
      </c>
      <c r="BD559" t="str">
        <f t="shared" si="638"/>
        <v>1</v>
      </c>
      <c r="BE559" t="str">
        <f t="shared" si="638"/>
        <v>1</v>
      </c>
      <c r="BF559" t="str">
        <f t="shared" si="607"/>
        <v xml:space="preserve">3         </v>
      </c>
      <c r="BG559" t="str">
        <f t="shared" si="608"/>
        <v>Confirmado por laboratorio</v>
      </c>
      <c r="BH559" t="str">
        <f>"CLINICA INFANTIL COLSUBSIDIO"</f>
        <v>CLINICA INFANTIL COLSUBSIDIO</v>
      </c>
      <c r="BI559" t="str">
        <f t="shared" si="618"/>
        <v>COLOMBIA</v>
      </c>
      <c r="BJ559" t="str">
        <f t="shared" si="609"/>
        <v>CANCER INFANTIL</v>
      </c>
      <c r="BK559" t="str">
        <f t="shared" si="653"/>
        <v>BOGOTA</v>
      </c>
      <c r="BL559" t="str">
        <f t="shared" si="653"/>
        <v>BOGOTA</v>
      </c>
      <c r="BM559" t="str">
        <f t="shared" si="619"/>
        <v>COLOMBIA</v>
      </c>
      <c r="BN559" t="str">
        <f t="shared" si="654"/>
        <v>BOGOTA</v>
      </c>
      <c r="BO559" t="str">
        <f t="shared" si="654"/>
        <v>BOGOTA</v>
      </c>
      <c r="BP559" t="str">
        <f t="shared" si="654"/>
        <v>BOGOTA</v>
      </c>
      <c r="BQ559" t="str">
        <f t="shared" si="654"/>
        <v>BOGOTA</v>
      </c>
    </row>
    <row r="560" spans="1:69" x14ac:dyDescent="0.25">
      <c r="A560" t="str">
        <f>"7278718"</f>
        <v>7278718</v>
      </c>
      <c r="B560" t="str">
        <f t="shared" si="603"/>
        <v>459</v>
      </c>
      <c r="C560" t="str">
        <f>"20/04/2020 12:00:00 a. m."</f>
        <v>20/04/2020 12:00:00 a. m.</v>
      </c>
      <c r="D560" t="str">
        <f>"17"</f>
        <v>17</v>
      </c>
      <c r="E560" t="str">
        <f t="shared" si="604"/>
        <v>2020</v>
      </c>
      <c r="F560" t="str">
        <f>"1100125070"</f>
        <v>1100125070</v>
      </c>
      <c r="G560" t="str">
        <f>"01"</f>
        <v>01</v>
      </c>
      <c r="H560" t="str">
        <f>"10"</f>
        <v>10</v>
      </c>
      <c r="I560" t="str">
        <f t="shared" si="650"/>
        <v>1</v>
      </c>
      <c r="J560" t="str">
        <f>"M"</f>
        <v>M</v>
      </c>
      <c r="K560" t="str">
        <f t="shared" si="615"/>
        <v>170</v>
      </c>
      <c r="L560" t="str">
        <f>"11"</f>
        <v>11</v>
      </c>
      <c r="M560" t="str">
        <f t="shared" si="648"/>
        <v>001</v>
      </c>
      <c r="N560" t="str">
        <f t="shared" si="637"/>
        <v>1</v>
      </c>
      <c r="O560" t="str">
        <f>"9997"</f>
        <v>9997</v>
      </c>
      <c r="P560" t="str">
        <f>"C"</f>
        <v>C</v>
      </c>
      <c r="Q560" t="str">
        <f>"EPS008"</f>
        <v>EPS008</v>
      </c>
      <c r="R560" t="str">
        <f t="shared" si="651"/>
        <v>6</v>
      </c>
      <c r="S560" t="str">
        <f>""</f>
        <v/>
      </c>
      <c r="T560" t="str">
        <f t="shared" si="589"/>
        <v xml:space="preserve">                                                                                                    </v>
      </c>
      <c r="U560" t="str">
        <f>"3         "</f>
        <v xml:space="preserve">3         </v>
      </c>
      <c r="V560" t="str">
        <f t="shared" si="639"/>
        <v>2</v>
      </c>
      <c r="W560" t="str">
        <f t="shared" si="655"/>
        <v>2</v>
      </c>
      <c r="X560" t="str">
        <f t="shared" si="634"/>
        <v>2</v>
      </c>
      <c r="Y560" t="str">
        <f t="shared" si="656"/>
        <v>2</v>
      </c>
      <c r="Z560" t="str">
        <f t="shared" si="656"/>
        <v>2</v>
      </c>
      <c r="AA560" t="str">
        <f t="shared" si="605"/>
        <v xml:space="preserve">          </v>
      </c>
      <c r="AB560" t="str">
        <f t="shared" si="594"/>
        <v>2</v>
      </c>
      <c r="AC560" t="str">
        <f t="shared" si="596"/>
        <v>2</v>
      </c>
      <c r="AD560" t="str">
        <f t="shared" ref="AD560:AG579" si="657">"2"</f>
        <v>2</v>
      </c>
      <c r="AE560" t="str">
        <f t="shared" si="657"/>
        <v>2</v>
      </c>
      <c r="AF560" t="str">
        <f t="shared" si="657"/>
        <v>2</v>
      </c>
      <c r="AG560" t="str">
        <f t="shared" si="657"/>
        <v>2</v>
      </c>
      <c r="AH560" t="str">
        <f t="shared" si="625"/>
        <v>1</v>
      </c>
      <c r="AI560" t="str">
        <f>"1         "</f>
        <v xml:space="preserve">1         </v>
      </c>
      <c r="AJ560" t="str">
        <f t="shared" si="616"/>
        <v>170</v>
      </c>
      <c r="AK560" t="str">
        <f>"11"</f>
        <v>11</v>
      </c>
      <c r="AL560" t="str">
        <f t="shared" si="649"/>
        <v>001</v>
      </c>
      <c r="AM560" t="str">
        <f>"11"</f>
        <v>11</v>
      </c>
      <c r="AN560" t="str">
        <f>"11001"</f>
        <v>11001</v>
      </c>
      <c r="AO560" t="str">
        <f>"20/04/2020 12:00:00 a. m."</f>
        <v>20/04/2020 12:00:00 a. m.</v>
      </c>
      <c r="AP560" t="str">
        <f>"1/02/2020 12:00:00 a. m."</f>
        <v>1/02/2020 12:00:00 a. m.</v>
      </c>
      <c r="AQ560" t="str">
        <f>"2"</f>
        <v>2</v>
      </c>
      <c r="AR560" t="str">
        <f t="shared" si="652"/>
        <v>1</v>
      </c>
      <c r="AS560" t="str">
        <f>"20/04/2020 12:00:00 a. m."</f>
        <v>20/04/2020 12:00:00 a. m.</v>
      </c>
      <c r="AT560" t="str">
        <f t="shared" si="629"/>
        <v>1</v>
      </c>
      <c r="AU560" t="str">
        <f>""</f>
        <v/>
      </c>
      <c r="AV560" t="str">
        <f>"3"</f>
        <v>3</v>
      </c>
      <c r="AW560" t="str">
        <f>"12/01/2010 12:00:00 a. m."</f>
        <v>12/01/2010 12:00:00 a. m.</v>
      </c>
      <c r="AX560" t="str">
        <f>""</f>
        <v/>
      </c>
      <c r="AY560" t="str">
        <f t="shared" si="606"/>
        <v>30/04/2021 12:00:00 a. m.</v>
      </c>
      <c r="AZ560" t="str">
        <f>"20/06/2020 12:00:00 a. m."</f>
        <v>20/06/2020 12:00:00 a. m.</v>
      </c>
      <c r="BA560" t="str">
        <f>""</f>
        <v/>
      </c>
      <c r="BB560" t="str">
        <f>""</f>
        <v/>
      </c>
      <c r="BC560" t="str">
        <f>""</f>
        <v/>
      </c>
      <c r="BD560" t="str">
        <f t="shared" si="638"/>
        <v>1</v>
      </c>
      <c r="BE560" t="str">
        <f t="shared" si="638"/>
        <v>1</v>
      </c>
      <c r="BF560" t="str">
        <f t="shared" si="607"/>
        <v xml:space="preserve">3         </v>
      </c>
      <c r="BG560" t="str">
        <f t="shared" si="608"/>
        <v>Confirmado por laboratorio</v>
      </c>
      <c r="BH560" t="str">
        <f>"ADMINISTRADORA CLINICA LA COLINA"</f>
        <v>ADMINISTRADORA CLINICA LA COLINA</v>
      </c>
      <c r="BI560" t="str">
        <f t="shared" si="618"/>
        <v>COLOMBIA</v>
      </c>
      <c r="BJ560" t="str">
        <f t="shared" si="609"/>
        <v>CANCER INFANTIL</v>
      </c>
      <c r="BK560" t="str">
        <f t="shared" si="653"/>
        <v>BOGOTA</v>
      </c>
      <c r="BL560" t="str">
        <f t="shared" si="653"/>
        <v>BOGOTA</v>
      </c>
      <c r="BM560" t="str">
        <f t="shared" si="619"/>
        <v>COLOMBIA</v>
      </c>
      <c r="BN560" t="str">
        <f t="shared" si="654"/>
        <v>BOGOTA</v>
      </c>
      <c r="BO560" t="str">
        <f t="shared" si="654"/>
        <v>BOGOTA</v>
      </c>
      <c r="BP560" t="str">
        <f t="shared" si="654"/>
        <v>BOGOTA</v>
      </c>
      <c r="BQ560" t="str">
        <f t="shared" si="654"/>
        <v>BOGOTA</v>
      </c>
    </row>
    <row r="561" spans="1:69" x14ac:dyDescent="0.25">
      <c r="A561" t="str">
        <f>"7291480"</f>
        <v>7291480</v>
      </c>
      <c r="B561" t="str">
        <f t="shared" si="603"/>
        <v>459</v>
      </c>
      <c r="C561" t="str">
        <f>"20/10/2020 12:00:00 a. m."</f>
        <v>20/10/2020 12:00:00 a. m.</v>
      </c>
      <c r="D561" t="str">
        <f>"42"</f>
        <v>42</v>
      </c>
      <c r="E561" t="str">
        <f t="shared" si="604"/>
        <v>2020</v>
      </c>
      <c r="F561" t="str">
        <f>"1100108171"</f>
        <v>1100108171</v>
      </c>
      <c r="G561" t="str">
        <f>"02"</f>
        <v>02</v>
      </c>
      <c r="H561" t="str">
        <f>"6"</f>
        <v>6</v>
      </c>
      <c r="I561" t="str">
        <f t="shared" si="650"/>
        <v>1</v>
      </c>
      <c r="J561" t="str">
        <f>"M"</f>
        <v>M</v>
      </c>
      <c r="K561" t="str">
        <f t="shared" si="615"/>
        <v>170</v>
      </c>
      <c r="L561" t="str">
        <f>"11"</f>
        <v>11</v>
      </c>
      <c r="M561" t="str">
        <f t="shared" si="648"/>
        <v>001</v>
      </c>
      <c r="N561" t="str">
        <f t="shared" si="637"/>
        <v>1</v>
      </c>
      <c r="O561" t="str">
        <f>"9997"</f>
        <v>9997</v>
      </c>
      <c r="P561" t="str">
        <f>"C"</f>
        <v>C</v>
      </c>
      <c r="Q561" t="str">
        <f>"EPS017"</f>
        <v>EPS017</v>
      </c>
      <c r="R561" t="str">
        <f t="shared" si="651"/>
        <v>6</v>
      </c>
      <c r="S561" t="str">
        <f>""</f>
        <v/>
      </c>
      <c r="T561" t="str">
        <f t="shared" si="589"/>
        <v xml:space="preserve">                                                                                                    </v>
      </c>
      <c r="U561" t="str">
        <f>"3         "</f>
        <v xml:space="preserve">3         </v>
      </c>
      <c r="V561" t="str">
        <f t="shared" si="639"/>
        <v>2</v>
      </c>
      <c r="W561" t="str">
        <f t="shared" si="655"/>
        <v>2</v>
      </c>
      <c r="X561" t="str">
        <f t="shared" si="634"/>
        <v>2</v>
      </c>
      <c r="Y561" t="str">
        <f t="shared" si="656"/>
        <v>2</v>
      </c>
      <c r="Z561" t="str">
        <f t="shared" si="656"/>
        <v>2</v>
      </c>
      <c r="AA561" t="str">
        <f t="shared" si="605"/>
        <v xml:space="preserve">          </v>
      </c>
      <c r="AB561" t="str">
        <f t="shared" si="594"/>
        <v>2</v>
      </c>
      <c r="AC561" t="str">
        <f t="shared" si="596"/>
        <v>2</v>
      </c>
      <c r="AD561" t="str">
        <f t="shared" si="657"/>
        <v>2</v>
      </c>
      <c r="AE561" t="str">
        <f t="shared" si="657"/>
        <v>2</v>
      </c>
      <c r="AF561" t="str">
        <f t="shared" si="657"/>
        <v>2</v>
      </c>
      <c r="AG561" t="str">
        <f t="shared" si="657"/>
        <v>2</v>
      </c>
      <c r="AH561" t="str">
        <f t="shared" si="625"/>
        <v>1</v>
      </c>
      <c r="AI561" t="str">
        <f>"1         "</f>
        <v xml:space="preserve">1         </v>
      </c>
      <c r="AJ561" t="str">
        <f t="shared" si="616"/>
        <v>170</v>
      </c>
      <c r="AK561" t="str">
        <f>"11"</f>
        <v>11</v>
      </c>
      <c r="AL561" t="str">
        <f t="shared" si="649"/>
        <v>001</v>
      </c>
      <c r="AM561" t="str">
        <f>"11"</f>
        <v>11</v>
      </c>
      <c r="AN561" t="str">
        <f>"11001"</f>
        <v>11001</v>
      </c>
      <c r="AO561" t="str">
        <f>"16/10/2020 12:00:00 a. m."</f>
        <v>16/10/2020 12:00:00 a. m.</v>
      </c>
      <c r="AP561" t="str">
        <f>"1/09/2020 12:00:00 a. m."</f>
        <v>1/09/2020 12:00:00 a. m.</v>
      </c>
      <c r="AQ561" t="str">
        <f>"2"</f>
        <v>2</v>
      </c>
      <c r="AR561" t="str">
        <f t="shared" si="652"/>
        <v>1</v>
      </c>
      <c r="AS561" t="str">
        <f>"16/10/2020 12:00:00 a. m."</f>
        <v>16/10/2020 12:00:00 a. m.</v>
      </c>
      <c r="AT561" t="str">
        <f t="shared" si="629"/>
        <v>1</v>
      </c>
      <c r="AU561" t="str">
        <f>""</f>
        <v/>
      </c>
      <c r="AV561" t="str">
        <f>"3"</f>
        <v>3</v>
      </c>
      <c r="AW561" t="str">
        <f>"13/10/2014 12:00:00 a. m."</f>
        <v>13/10/2014 12:00:00 a. m.</v>
      </c>
      <c r="AX561" t="str">
        <f>""</f>
        <v/>
      </c>
      <c r="AY561" t="str">
        <f t="shared" si="606"/>
        <v>30/04/2021 12:00:00 a. m.</v>
      </c>
      <c r="AZ561" t="str">
        <f>"17/11/2020 12:00:00 a. m."</f>
        <v>17/11/2020 12:00:00 a. m.</v>
      </c>
      <c r="BA561" t="str">
        <f>""</f>
        <v/>
      </c>
      <c r="BB561" t="str">
        <f>""</f>
        <v/>
      </c>
      <c r="BC561" t="str">
        <f>""</f>
        <v/>
      </c>
      <c r="BD561" t="str">
        <f t="shared" si="638"/>
        <v>1</v>
      </c>
      <c r="BE561" t="str">
        <f t="shared" si="638"/>
        <v>1</v>
      </c>
      <c r="BF561" t="str">
        <f t="shared" si="607"/>
        <v xml:space="preserve">3         </v>
      </c>
      <c r="BG561" t="str">
        <f t="shared" si="608"/>
        <v>Confirmado por laboratorio</v>
      </c>
      <c r="BH561" t="str">
        <f>"CLINICA INFANTIL COLSUBSIDIO"</f>
        <v>CLINICA INFANTIL COLSUBSIDIO</v>
      </c>
      <c r="BI561" t="str">
        <f t="shared" si="618"/>
        <v>COLOMBIA</v>
      </c>
      <c r="BJ561" t="str">
        <f t="shared" si="609"/>
        <v>CANCER INFANTIL</v>
      </c>
      <c r="BK561" t="str">
        <f t="shared" si="653"/>
        <v>BOGOTA</v>
      </c>
      <c r="BL561" t="str">
        <f t="shared" si="653"/>
        <v>BOGOTA</v>
      </c>
      <c r="BM561" t="str">
        <f t="shared" si="619"/>
        <v>COLOMBIA</v>
      </c>
      <c r="BN561" t="str">
        <f t="shared" si="654"/>
        <v>BOGOTA</v>
      </c>
      <c r="BO561" t="str">
        <f t="shared" si="654"/>
        <v>BOGOTA</v>
      </c>
      <c r="BP561" t="str">
        <f t="shared" si="654"/>
        <v>BOGOTA</v>
      </c>
      <c r="BQ561" t="str">
        <f t="shared" si="654"/>
        <v>BOGOTA</v>
      </c>
    </row>
    <row r="562" spans="1:69" x14ac:dyDescent="0.25">
      <c r="A562" t="str">
        <f>"7291631"</f>
        <v>7291631</v>
      </c>
      <c r="B562" t="str">
        <f t="shared" si="603"/>
        <v>459</v>
      </c>
      <c r="C562" t="str">
        <f>"21/09/2020 12:00:00 a. m."</f>
        <v>21/09/2020 12:00:00 a. m.</v>
      </c>
      <c r="D562" t="str">
        <f>"36"</f>
        <v>36</v>
      </c>
      <c r="E562" t="str">
        <f t="shared" si="604"/>
        <v>2020</v>
      </c>
      <c r="F562" t="str">
        <f>"0800100037"</f>
        <v>0800100037</v>
      </c>
      <c r="G562" t="str">
        <f>"01"</f>
        <v>01</v>
      </c>
      <c r="H562" t="str">
        <f>"15"</f>
        <v>15</v>
      </c>
      <c r="I562" t="str">
        <f t="shared" si="650"/>
        <v>1</v>
      </c>
      <c r="J562" t="str">
        <f>"F"</f>
        <v>F</v>
      </c>
      <c r="K562" t="str">
        <f t="shared" si="615"/>
        <v>170</v>
      </c>
      <c r="L562" t="str">
        <f>"08"</f>
        <v>08</v>
      </c>
      <c r="M562" t="str">
        <f>"758"</f>
        <v>758</v>
      </c>
      <c r="N562" t="str">
        <f t="shared" si="637"/>
        <v>1</v>
      </c>
      <c r="O562" t="str">
        <f>"9997"</f>
        <v>9997</v>
      </c>
      <c r="P562" t="str">
        <f>"S"</f>
        <v>S</v>
      </c>
      <c r="Q562" t="str">
        <f>"EPSS41"</f>
        <v>EPSS41</v>
      </c>
      <c r="R562" t="str">
        <f t="shared" si="651"/>
        <v>6</v>
      </c>
      <c r="S562" t="str">
        <f>""</f>
        <v/>
      </c>
      <c r="T562" t="str">
        <f t="shared" si="589"/>
        <v xml:space="preserve">                                                                                                    </v>
      </c>
      <c r="U562" t="str">
        <f>"2         "</f>
        <v xml:space="preserve">2         </v>
      </c>
      <c r="V562" t="str">
        <f>"1"</f>
        <v>1</v>
      </c>
      <c r="W562" t="str">
        <f t="shared" si="655"/>
        <v>2</v>
      </c>
      <c r="X562" t="str">
        <f t="shared" si="634"/>
        <v>2</v>
      </c>
      <c r="Y562" t="str">
        <f t="shared" si="656"/>
        <v>2</v>
      </c>
      <c r="Z562" t="str">
        <f t="shared" si="656"/>
        <v>2</v>
      </c>
      <c r="AA562" t="str">
        <f t="shared" si="605"/>
        <v xml:space="preserve">          </v>
      </c>
      <c r="AB562" t="str">
        <f t="shared" si="594"/>
        <v>2</v>
      </c>
      <c r="AC562" t="str">
        <f t="shared" si="596"/>
        <v>2</v>
      </c>
      <c r="AD562" t="str">
        <f t="shared" si="657"/>
        <v>2</v>
      </c>
      <c r="AE562" t="str">
        <f t="shared" si="657"/>
        <v>2</v>
      </c>
      <c r="AF562" t="str">
        <f t="shared" si="657"/>
        <v>2</v>
      </c>
      <c r="AG562" t="str">
        <f t="shared" si="657"/>
        <v>2</v>
      </c>
      <c r="AH562" t="str">
        <f>"2"</f>
        <v>2</v>
      </c>
      <c r="AI562" t="str">
        <f>"4         "</f>
        <v xml:space="preserve">4         </v>
      </c>
      <c r="AJ562" t="str">
        <f t="shared" si="616"/>
        <v>170</v>
      </c>
      <c r="AK562" t="str">
        <f>"08"</f>
        <v>08</v>
      </c>
      <c r="AL562" t="str">
        <f>"758"</f>
        <v>758</v>
      </c>
      <c r="AM562" t="str">
        <f>"08"</f>
        <v>08</v>
      </c>
      <c r="AN562" t="str">
        <f>"08001"</f>
        <v>08001</v>
      </c>
      <c r="AO562" t="str">
        <f>"1/09/2020 12:00:00 a. m."</f>
        <v>1/09/2020 12:00:00 a. m.</v>
      </c>
      <c r="AP562" t="str">
        <f>"4/06/2020 12:00:00 a. m."</f>
        <v>4/06/2020 12:00:00 a. m.</v>
      </c>
      <c r="AQ562" t="str">
        <f>"3"</f>
        <v>3</v>
      </c>
      <c r="AR562" t="str">
        <f t="shared" si="652"/>
        <v>1</v>
      </c>
      <c r="AS562" t="str">
        <f>"1/09/2020 12:00:00 a. m."</f>
        <v>1/09/2020 12:00:00 a. m.</v>
      </c>
      <c r="AT562" t="str">
        <f t="shared" si="629"/>
        <v>1</v>
      </c>
      <c r="AU562" t="str">
        <f>""</f>
        <v/>
      </c>
      <c r="AV562" t="str">
        <f>"0"</f>
        <v>0</v>
      </c>
      <c r="AW562" t="str">
        <f>"14/12/2004 12:00:00 a. m."</f>
        <v>14/12/2004 12:00:00 a. m.</v>
      </c>
      <c r="AX562" t="str">
        <f>""</f>
        <v/>
      </c>
      <c r="AY562" t="str">
        <f t="shared" si="606"/>
        <v>30/04/2021 12:00:00 a. m.</v>
      </c>
      <c r="AZ562" t="str">
        <f>"21/09/2020 12:00:00 a. m."</f>
        <v>21/09/2020 12:00:00 a. m.</v>
      </c>
      <c r="BA562" t="str">
        <f>""</f>
        <v/>
      </c>
      <c r="BB562" t="str">
        <f>""</f>
        <v/>
      </c>
      <c r="BC562" t="str">
        <f>""</f>
        <v/>
      </c>
      <c r="BD562" t="str">
        <f t="shared" ref="BD562:BE581" si="658">"1"</f>
        <v>1</v>
      </c>
      <c r="BE562" t="str">
        <f t="shared" si="658"/>
        <v>1</v>
      </c>
      <c r="BF562" t="str">
        <f t="shared" si="607"/>
        <v xml:space="preserve">3         </v>
      </c>
      <c r="BG562" t="str">
        <f t="shared" si="608"/>
        <v>Confirmado por laboratorio</v>
      </c>
      <c r="BH562" t="str">
        <f>"CLINICA GENERAL DEL NORTE"</f>
        <v>CLINICA GENERAL DEL NORTE</v>
      </c>
      <c r="BI562" t="str">
        <f t="shared" si="618"/>
        <v>COLOMBIA</v>
      </c>
      <c r="BJ562" t="str">
        <f t="shared" si="609"/>
        <v>CANCER INFANTIL</v>
      </c>
      <c r="BK562" t="str">
        <f>"ATLANTICO"</f>
        <v>ATLANTICO</v>
      </c>
      <c r="BL562" t="str">
        <f>"SOLEDAD"</f>
        <v>SOLEDAD</v>
      </c>
      <c r="BM562" t="str">
        <f t="shared" si="619"/>
        <v>COLOMBIA</v>
      </c>
      <c r="BN562" t="str">
        <f>"ATLANTICO"</f>
        <v>ATLANTICO</v>
      </c>
      <c r="BO562" t="str">
        <f>"SOLEDAD"</f>
        <v>SOLEDAD</v>
      </c>
      <c r="BP562" t="str">
        <f>"ATLANTICO"</f>
        <v>ATLANTICO</v>
      </c>
      <c r="BQ562" t="str">
        <f>"BARRANQUILLA"</f>
        <v>BARRANQUILLA</v>
      </c>
    </row>
    <row r="563" spans="1:69" x14ac:dyDescent="0.25">
      <c r="A563" t="str">
        <f>"7291481"</f>
        <v>7291481</v>
      </c>
      <c r="B563" t="str">
        <f t="shared" si="603"/>
        <v>459</v>
      </c>
      <c r="C563" t="str">
        <f>"7/04/2020 12:00:00 a. m."</f>
        <v>7/04/2020 12:00:00 a. m.</v>
      </c>
      <c r="D563" t="str">
        <f>"15"</f>
        <v>15</v>
      </c>
      <c r="E563" t="str">
        <f t="shared" si="604"/>
        <v>2020</v>
      </c>
      <c r="F563" t="str">
        <f>"1100108171"</f>
        <v>1100108171</v>
      </c>
      <c r="G563" t="str">
        <f>"02"</f>
        <v>02</v>
      </c>
      <c r="H563" t="str">
        <f>"5"</f>
        <v>5</v>
      </c>
      <c r="I563" t="str">
        <f t="shared" si="650"/>
        <v>1</v>
      </c>
      <c r="J563" t="str">
        <f>"M"</f>
        <v>M</v>
      </c>
      <c r="K563" t="str">
        <f t="shared" si="615"/>
        <v>170</v>
      </c>
      <c r="L563" t="str">
        <f>"25"</f>
        <v>25</v>
      </c>
      <c r="M563" t="str">
        <f>"307"</f>
        <v>307</v>
      </c>
      <c r="N563" t="str">
        <f t="shared" si="637"/>
        <v>1</v>
      </c>
      <c r="O563" t="str">
        <f>"9997"</f>
        <v>9997</v>
      </c>
      <c r="P563" t="str">
        <f t="shared" ref="P563:P569" si="659">"C"</f>
        <v>C</v>
      </c>
      <c r="Q563" t="str">
        <f>"EPS017"</f>
        <v>EPS017</v>
      </c>
      <c r="R563" t="str">
        <f t="shared" si="651"/>
        <v>6</v>
      </c>
      <c r="S563" t="str">
        <f>""</f>
        <v/>
      </c>
      <c r="T563" t="str">
        <f t="shared" si="589"/>
        <v xml:space="preserve">                                                                                                    </v>
      </c>
      <c r="U563" t="str">
        <f>"2         "</f>
        <v xml:space="preserve">2         </v>
      </c>
      <c r="V563" t="str">
        <f t="shared" ref="V563:V626" si="660">"2"</f>
        <v>2</v>
      </c>
      <c r="W563" t="str">
        <f t="shared" si="655"/>
        <v>2</v>
      </c>
      <c r="X563" t="str">
        <f t="shared" si="634"/>
        <v>2</v>
      </c>
      <c r="Y563" t="str">
        <f t="shared" si="656"/>
        <v>2</v>
      </c>
      <c r="Z563" t="str">
        <f t="shared" si="656"/>
        <v>2</v>
      </c>
      <c r="AA563" t="str">
        <f t="shared" si="605"/>
        <v xml:space="preserve">          </v>
      </c>
      <c r="AB563" t="str">
        <f t="shared" si="594"/>
        <v>2</v>
      </c>
      <c r="AC563" t="str">
        <f t="shared" si="596"/>
        <v>2</v>
      </c>
      <c r="AD563" t="str">
        <f t="shared" si="657"/>
        <v>2</v>
      </c>
      <c r="AE563" t="str">
        <f t="shared" si="657"/>
        <v>2</v>
      </c>
      <c r="AF563" t="str">
        <f t="shared" si="657"/>
        <v>2</v>
      </c>
      <c r="AG563" t="str">
        <f t="shared" si="657"/>
        <v>2</v>
      </c>
      <c r="AH563" t="str">
        <f t="shared" ref="AH563:AH594" si="661">"1"</f>
        <v>1</v>
      </c>
      <c r="AI563" t="str">
        <f>"1         "</f>
        <v xml:space="preserve">1         </v>
      </c>
      <c r="AJ563" t="str">
        <f t="shared" si="616"/>
        <v>170</v>
      </c>
      <c r="AK563" t="str">
        <f>"25"</f>
        <v>25</v>
      </c>
      <c r="AL563" t="str">
        <f>"307"</f>
        <v>307</v>
      </c>
      <c r="AM563" t="str">
        <f>"11"</f>
        <v>11</v>
      </c>
      <c r="AN563" t="str">
        <f>"11001"</f>
        <v>11001</v>
      </c>
      <c r="AO563" t="str">
        <f>"6/04/2020 12:00:00 a. m."</f>
        <v>6/04/2020 12:00:00 a. m.</v>
      </c>
      <c r="AP563" t="str">
        <f>"1/01/2020 12:00:00 a. m."</f>
        <v>1/01/2020 12:00:00 a. m.</v>
      </c>
      <c r="AQ563" t="str">
        <f>"2"</f>
        <v>2</v>
      </c>
      <c r="AR563" t="str">
        <f t="shared" si="652"/>
        <v>1</v>
      </c>
      <c r="AS563" t="str">
        <f>"6/04/2020 12:00:00 a. m."</f>
        <v>6/04/2020 12:00:00 a. m.</v>
      </c>
      <c r="AT563" t="str">
        <f t="shared" si="629"/>
        <v>1</v>
      </c>
      <c r="AU563" t="str">
        <f>""</f>
        <v/>
      </c>
      <c r="AV563" t="str">
        <f>"3"</f>
        <v>3</v>
      </c>
      <c r="AW563" t="str">
        <f>"5/02/2015 12:00:00 a. m."</f>
        <v>5/02/2015 12:00:00 a. m.</v>
      </c>
      <c r="AX563" t="str">
        <f>""</f>
        <v/>
      </c>
      <c r="AY563" t="str">
        <f t="shared" si="606"/>
        <v>30/04/2021 12:00:00 a. m.</v>
      </c>
      <c r="AZ563" t="str">
        <f>"21/04/2020 12:00:00 a. m."</f>
        <v>21/04/2020 12:00:00 a. m.</v>
      </c>
      <c r="BA563" t="str">
        <f>""</f>
        <v/>
      </c>
      <c r="BB563" t="str">
        <f>""</f>
        <v/>
      </c>
      <c r="BC563" t="str">
        <f>""</f>
        <v/>
      </c>
      <c r="BD563" t="str">
        <f t="shared" si="658"/>
        <v>1</v>
      </c>
      <c r="BE563" t="str">
        <f t="shared" si="658"/>
        <v>1</v>
      </c>
      <c r="BF563" t="str">
        <f t="shared" si="607"/>
        <v xml:space="preserve">3         </v>
      </c>
      <c r="BG563" t="str">
        <f t="shared" si="608"/>
        <v>Confirmado por laboratorio</v>
      </c>
      <c r="BH563" t="str">
        <f>"CLINICA INFANTIL COLSUBSIDIO"</f>
        <v>CLINICA INFANTIL COLSUBSIDIO</v>
      </c>
      <c r="BI563" t="str">
        <f t="shared" si="618"/>
        <v>COLOMBIA</v>
      </c>
      <c r="BJ563" t="str">
        <f t="shared" si="609"/>
        <v>CANCER INFANTIL</v>
      </c>
      <c r="BK563" t="str">
        <f>"CUNDINAMARCA"</f>
        <v>CUNDINAMARCA</v>
      </c>
      <c r="BL563" t="str">
        <f>"GIRARDOT"</f>
        <v>GIRARDOT</v>
      </c>
      <c r="BM563" t="str">
        <f t="shared" si="619"/>
        <v>COLOMBIA</v>
      </c>
      <c r="BN563" t="str">
        <f>"CUNDINAMARCA"</f>
        <v>CUNDINAMARCA</v>
      </c>
      <c r="BO563" t="str">
        <f>"GIRARDOT"</f>
        <v>GIRARDOT</v>
      </c>
      <c r="BP563" t="str">
        <f t="shared" ref="BP563:BQ567" si="662">"BOGOTA"</f>
        <v>BOGOTA</v>
      </c>
      <c r="BQ563" t="str">
        <f t="shared" si="662"/>
        <v>BOGOTA</v>
      </c>
    </row>
    <row r="564" spans="1:69" x14ac:dyDescent="0.25">
      <c r="A564" t="str">
        <f>"7291483"</f>
        <v>7291483</v>
      </c>
      <c r="B564" t="str">
        <f t="shared" si="603"/>
        <v>459</v>
      </c>
      <c r="C564" t="str">
        <f>"21/04/2020 12:00:00 a. m."</f>
        <v>21/04/2020 12:00:00 a. m.</v>
      </c>
      <c r="D564" t="str">
        <f>"16"</f>
        <v>16</v>
      </c>
      <c r="E564" t="str">
        <f t="shared" si="604"/>
        <v>2020</v>
      </c>
      <c r="F564" t="str">
        <f>"1100108171"</f>
        <v>1100108171</v>
      </c>
      <c r="G564" t="str">
        <f>"02"</f>
        <v>02</v>
      </c>
      <c r="H564" t="str">
        <f>"8"</f>
        <v>8</v>
      </c>
      <c r="I564" t="str">
        <f>"2"</f>
        <v>2</v>
      </c>
      <c r="J564" t="str">
        <f>"F"</f>
        <v>F</v>
      </c>
      <c r="K564" t="str">
        <f t="shared" si="615"/>
        <v>170</v>
      </c>
      <c r="L564" t="str">
        <f>"11"</f>
        <v>11</v>
      </c>
      <c r="M564" t="str">
        <f>"001"</f>
        <v>001</v>
      </c>
      <c r="N564" t="str">
        <f t="shared" si="637"/>
        <v>1</v>
      </c>
      <c r="O564" t="str">
        <f>"9999"</f>
        <v>9999</v>
      </c>
      <c r="P564" t="str">
        <f t="shared" si="659"/>
        <v>C</v>
      </c>
      <c r="Q564" t="str">
        <f>"EPS017"</f>
        <v>EPS017</v>
      </c>
      <c r="R564" t="str">
        <f t="shared" si="651"/>
        <v>6</v>
      </c>
      <c r="S564" t="str">
        <f>""</f>
        <v/>
      </c>
      <c r="T564" t="str">
        <f t="shared" si="589"/>
        <v xml:space="preserve">                                                                                                    </v>
      </c>
      <c r="U564" t="str">
        <f>"1         "</f>
        <v xml:space="preserve">1         </v>
      </c>
      <c r="V564" t="str">
        <f t="shared" si="660"/>
        <v>2</v>
      </c>
      <c r="W564" t="str">
        <f t="shared" si="655"/>
        <v>2</v>
      </c>
      <c r="X564" t="str">
        <f t="shared" si="634"/>
        <v>2</v>
      </c>
      <c r="Y564" t="str">
        <f t="shared" si="656"/>
        <v>2</v>
      </c>
      <c r="Z564" t="str">
        <f t="shared" si="656"/>
        <v>2</v>
      </c>
      <c r="AA564" t="str">
        <f t="shared" si="605"/>
        <v xml:space="preserve">          </v>
      </c>
      <c r="AB564" t="str">
        <f t="shared" si="594"/>
        <v>2</v>
      </c>
      <c r="AC564" t="str">
        <f t="shared" si="596"/>
        <v>2</v>
      </c>
      <c r="AD564" t="str">
        <f t="shared" si="657"/>
        <v>2</v>
      </c>
      <c r="AE564" t="str">
        <f t="shared" si="657"/>
        <v>2</v>
      </c>
      <c r="AF564" t="str">
        <f t="shared" si="657"/>
        <v>2</v>
      </c>
      <c r="AG564" t="str">
        <f t="shared" si="657"/>
        <v>2</v>
      </c>
      <c r="AH564" t="str">
        <f t="shared" si="661"/>
        <v>1</v>
      </c>
      <c r="AI564" t="str">
        <f>"2         "</f>
        <v xml:space="preserve">2         </v>
      </c>
      <c r="AJ564" t="str">
        <f t="shared" si="616"/>
        <v>170</v>
      </c>
      <c r="AK564" t="str">
        <f>"11"</f>
        <v>11</v>
      </c>
      <c r="AL564" t="str">
        <f>"001"</f>
        <v>001</v>
      </c>
      <c r="AM564" t="str">
        <f>"11"</f>
        <v>11</v>
      </c>
      <c r="AN564" t="str">
        <f>"11001"</f>
        <v>11001</v>
      </c>
      <c r="AO564" t="str">
        <f>"14/04/2020 12:00:00 a. m."</f>
        <v>14/04/2020 12:00:00 a. m.</v>
      </c>
      <c r="AP564" t="str">
        <f>"31/03/2020 12:00:00 a. m."</f>
        <v>31/03/2020 12:00:00 a. m.</v>
      </c>
      <c r="AQ564" t="str">
        <f>"2"</f>
        <v>2</v>
      </c>
      <c r="AR564" t="str">
        <f t="shared" si="652"/>
        <v>1</v>
      </c>
      <c r="AS564" t="str">
        <f>"14/04/2020 12:00:00 a. m."</f>
        <v>14/04/2020 12:00:00 a. m.</v>
      </c>
      <c r="AT564" t="str">
        <f>"2"</f>
        <v>2</v>
      </c>
      <c r="AU564" t="str">
        <f>"18/12/2020 12:00:00 a. m."</f>
        <v>18/12/2020 12:00:00 a. m.</v>
      </c>
      <c r="AV564" t="str">
        <f>"3"</f>
        <v>3</v>
      </c>
      <c r="AW564" t="str">
        <f>"13/08/2019 12:00:00 a. m."</f>
        <v>13/08/2019 12:00:00 a. m.</v>
      </c>
      <c r="AX564" t="str">
        <f>"D760"</f>
        <v>D760</v>
      </c>
      <c r="AY564" t="str">
        <f t="shared" si="606"/>
        <v>30/04/2021 12:00:00 a. m.</v>
      </c>
      <c r="AZ564" t="str">
        <f>"8/05/2020 12:00:00 a. m."</f>
        <v>8/05/2020 12:00:00 a. m.</v>
      </c>
      <c r="BA564" t="str">
        <f>""</f>
        <v/>
      </c>
      <c r="BB564" t="str">
        <f>""</f>
        <v/>
      </c>
      <c r="BC564" t="str">
        <f>""</f>
        <v/>
      </c>
      <c r="BD564" t="str">
        <f t="shared" si="658"/>
        <v>1</v>
      </c>
      <c r="BE564" t="str">
        <f t="shared" si="658"/>
        <v>1</v>
      </c>
      <c r="BF564" t="str">
        <f t="shared" si="607"/>
        <v xml:space="preserve">3         </v>
      </c>
      <c r="BG564" t="str">
        <f t="shared" si="608"/>
        <v>Confirmado por laboratorio</v>
      </c>
      <c r="BH564" t="str">
        <f>"CLINICA INFANTIL COLSUBSIDIO"</f>
        <v>CLINICA INFANTIL COLSUBSIDIO</v>
      </c>
      <c r="BI564" t="str">
        <f t="shared" si="618"/>
        <v>COLOMBIA</v>
      </c>
      <c r="BJ564" t="str">
        <f t="shared" si="609"/>
        <v>CANCER INFANTIL</v>
      </c>
      <c r="BK564" t="str">
        <f t="shared" ref="BK564:BL566" si="663">"BOGOTA"</f>
        <v>BOGOTA</v>
      </c>
      <c r="BL564" t="str">
        <f t="shared" si="663"/>
        <v>BOGOTA</v>
      </c>
      <c r="BM564" t="str">
        <f t="shared" si="619"/>
        <v>COLOMBIA</v>
      </c>
      <c r="BN564" t="str">
        <f t="shared" ref="BN564:BO566" si="664">"BOGOTA"</f>
        <v>BOGOTA</v>
      </c>
      <c r="BO564" t="str">
        <f t="shared" si="664"/>
        <v>BOGOTA</v>
      </c>
      <c r="BP564" t="str">
        <f t="shared" si="662"/>
        <v>BOGOTA</v>
      </c>
      <c r="BQ564" t="str">
        <f t="shared" si="662"/>
        <v>BOGOTA</v>
      </c>
    </row>
    <row r="565" spans="1:69" x14ac:dyDescent="0.25">
      <c r="A565" t="str">
        <f>"7291486"</f>
        <v>7291486</v>
      </c>
      <c r="B565" t="str">
        <f t="shared" si="603"/>
        <v>459</v>
      </c>
      <c r="C565" t="str">
        <f>"25/07/2020 12:00:00 a. m."</f>
        <v>25/07/2020 12:00:00 a. m.</v>
      </c>
      <c r="D565" t="str">
        <f>"29"</f>
        <v>29</v>
      </c>
      <c r="E565" t="str">
        <f t="shared" si="604"/>
        <v>2020</v>
      </c>
      <c r="F565" t="str">
        <f>"1100108171"</f>
        <v>1100108171</v>
      </c>
      <c r="G565" t="str">
        <f>"02"</f>
        <v>02</v>
      </c>
      <c r="H565" t="str">
        <f>"12"</f>
        <v>12</v>
      </c>
      <c r="I565" t="str">
        <f t="shared" ref="I565:I597" si="665">"1"</f>
        <v>1</v>
      </c>
      <c r="J565" t="str">
        <f>"M"</f>
        <v>M</v>
      </c>
      <c r="K565" t="str">
        <f t="shared" si="615"/>
        <v>170</v>
      </c>
      <c r="L565" t="str">
        <f>"11"</f>
        <v>11</v>
      </c>
      <c r="M565" t="str">
        <f>"001"</f>
        <v>001</v>
      </c>
      <c r="N565" t="str">
        <f t="shared" si="637"/>
        <v>1</v>
      </c>
      <c r="O565" t="str">
        <f>"9997"</f>
        <v>9997</v>
      </c>
      <c r="P565" t="str">
        <f t="shared" si="659"/>
        <v>C</v>
      </c>
      <c r="Q565" t="str">
        <f>"EPS017"</f>
        <v>EPS017</v>
      </c>
      <c r="R565" t="str">
        <f t="shared" si="651"/>
        <v>6</v>
      </c>
      <c r="S565" t="str">
        <f>""</f>
        <v/>
      </c>
      <c r="T565" t="str">
        <f t="shared" ref="T565:T628" si="666">"                                                                                                    "</f>
        <v xml:space="preserve">                                                                                                    </v>
      </c>
      <c r="U565" t="str">
        <f>"3         "</f>
        <v xml:space="preserve">3         </v>
      </c>
      <c r="V565" t="str">
        <f t="shared" si="660"/>
        <v>2</v>
      </c>
      <c r="W565" t="str">
        <f t="shared" si="655"/>
        <v>2</v>
      </c>
      <c r="X565" t="str">
        <f t="shared" si="634"/>
        <v>2</v>
      </c>
      <c r="Y565" t="str">
        <f t="shared" si="656"/>
        <v>2</v>
      </c>
      <c r="Z565" t="str">
        <f t="shared" si="656"/>
        <v>2</v>
      </c>
      <c r="AA565" t="str">
        <f t="shared" si="605"/>
        <v xml:space="preserve">          </v>
      </c>
      <c r="AB565" t="str">
        <f t="shared" si="594"/>
        <v>2</v>
      </c>
      <c r="AC565" t="str">
        <f t="shared" si="596"/>
        <v>2</v>
      </c>
      <c r="AD565" t="str">
        <f t="shared" si="657"/>
        <v>2</v>
      </c>
      <c r="AE565" t="str">
        <f t="shared" si="657"/>
        <v>2</v>
      </c>
      <c r="AF565" t="str">
        <f t="shared" si="657"/>
        <v>2</v>
      </c>
      <c r="AG565" t="str">
        <f t="shared" si="657"/>
        <v>2</v>
      </c>
      <c r="AH565" t="str">
        <f t="shared" si="661"/>
        <v>1</v>
      </c>
      <c r="AI565" t="str">
        <f t="shared" ref="AI565:AI571" si="667">"1         "</f>
        <v xml:space="preserve">1         </v>
      </c>
      <c r="AJ565" t="str">
        <f t="shared" si="616"/>
        <v>170</v>
      </c>
      <c r="AK565" t="str">
        <f>"11"</f>
        <v>11</v>
      </c>
      <c r="AL565" t="str">
        <f>"001"</f>
        <v>001</v>
      </c>
      <c r="AM565" t="str">
        <f>"11"</f>
        <v>11</v>
      </c>
      <c r="AN565" t="str">
        <f>"11001"</f>
        <v>11001</v>
      </c>
      <c r="AO565" t="str">
        <f>"15/07/2020 12:00:00 a. m."</f>
        <v>15/07/2020 12:00:00 a. m.</v>
      </c>
      <c r="AP565" t="str">
        <f>"1/01/2020 12:00:00 a. m."</f>
        <v>1/01/2020 12:00:00 a. m.</v>
      </c>
      <c r="AQ565" t="str">
        <f>"2"</f>
        <v>2</v>
      </c>
      <c r="AR565" t="str">
        <f t="shared" si="652"/>
        <v>1</v>
      </c>
      <c r="AS565" t="str">
        <f>"15/07/2020 12:00:00 a. m."</f>
        <v>15/07/2020 12:00:00 a. m.</v>
      </c>
      <c r="AT565" t="str">
        <f>"1"</f>
        <v>1</v>
      </c>
      <c r="AU565" t="str">
        <f>""</f>
        <v/>
      </c>
      <c r="AV565" t="str">
        <f>"3"</f>
        <v>3</v>
      </c>
      <c r="AW565" t="str">
        <f>"19/08/2007 12:00:00 a. m."</f>
        <v>19/08/2007 12:00:00 a. m.</v>
      </c>
      <c r="AX565" t="str">
        <f>""</f>
        <v/>
      </c>
      <c r="AY565" t="str">
        <f t="shared" si="606"/>
        <v>30/04/2021 12:00:00 a. m.</v>
      </c>
      <c r="AZ565" t="str">
        <f>"6/08/2020 12:00:00 a. m."</f>
        <v>6/08/2020 12:00:00 a. m.</v>
      </c>
      <c r="BA565" t="str">
        <f>""</f>
        <v/>
      </c>
      <c r="BB565" t="str">
        <f>""</f>
        <v/>
      </c>
      <c r="BC565" t="str">
        <f>""</f>
        <v/>
      </c>
      <c r="BD565" t="str">
        <f t="shared" si="658"/>
        <v>1</v>
      </c>
      <c r="BE565" t="str">
        <f t="shared" si="658"/>
        <v>1</v>
      </c>
      <c r="BF565" t="str">
        <f t="shared" si="607"/>
        <v xml:space="preserve">3         </v>
      </c>
      <c r="BG565" t="str">
        <f t="shared" si="608"/>
        <v>Confirmado por laboratorio</v>
      </c>
      <c r="BH565" t="str">
        <f>"CLINICA INFANTIL COLSUBSIDIO"</f>
        <v>CLINICA INFANTIL COLSUBSIDIO</v>
      </c>
      <c r="BI565" t="str">
        <f t="shared" si="618"/>
        <v>COLOMBIA</v>
      </c>
      <c r="BJ565" t="str">
        <f t="shared" si="609"/>
        <v>CANCER INFANTIL</v>
      </c>
      <c r="BK565" t="str">
        <f t="shared" si="663"/>
        <v>BOGOTA</v>
      </c>
      <c r="BL565" t="str">
        <f t="shared" si="663"/>
        <v>BOGOTA</v>
      </c>
      <c r="BM565" t="str">
        <f t="shared" si="619"/>
        <v>COLOMBIA</v>
      </c>
      <c r="BN565" t="str">
        <f t="shared" si="664"/>
        <v>BOGOTA</v>
      </c>
      <c r="BO565" t="str">
        <f t="shared" si="664"/>
        <v>BOGOTA</v>
      </c>
      <c r="BP565" t="str">
        <f t="shared" si="662"/>
        <v>BOGOTA</v>
      </c>
      <c r="BQ565" t="str">
        <f t="shared" si="662"/>
        <v>BOGOTA</v>
      </c>
    </row>
    <row r="566" spans="1:69" x14ac:dyDescent="0.25">
      <c r="A566" t="str">
        <f>"7291485"</f>
        <v>7291485</v>
      </c>
      <c r="B566" t="str">
        <f t="shared" si="603"/>
        <v>459</v>
      </c>
      <c r="C566" t="str">
        <f>"24/08/2020 12:00:00 a. m."</f>
        <v>24/08/2020 12:00:00 a. m.</v>
      </c>
      <c r="D566" t="str">
        <f>"30"</f>
        <v>30</v>
      </c>
      <c r="E566" t="str">
        <f t="shared" si="604"/>
        <v>2020</v>
      </c>
      <c r="F566" t="str">
        <f>"1100105681"</f>
        <v>1100105681</v>
      </c>
      <c r="G566" t="str">
        <f t="shared" ref="G566:G576" si="668">"01"</f>
        <v>01</v>
      </c>
      <c r="H566" t="str">
        <f>"13"</f>
        <v>13</v>
      </c>
      <c r="I566" t="str">
        <f t="shared" si="665"/>
        <v>1</v>
      </c>
      <c r="J566" t="str">
        <f>"F"</f>
        <v>F</v>
      </c>
      <c r="K566" t="str">
        <f t="shared" si="615"/>
        <v>170</v>
      </c>
      <c r="L566" t="str">
        <f>"11"</f>
        <v>11</v>
      </c>
      <c r="M566" t="str">
        <f>"001"</f>
        <v>001</v>
      </c>
      <c r="N566" t="str">
        <f t="shared" si="637"/>
        <v>1</v>
      </c>
      <c r="O566" t="str">
        <f>"9997"</f>
        <v>9997</v>
      </c>
      <c r="P566" t="str">
        <f t="shared" si="659"/>
        <v>C</v>
      </c>
      <c r="Q566" t="str">
        <f>"EPS008"</f>
        <v>EPS008</v>
      </c>
      <c r="R566" t="str">
        <f t="shared" si="651"/>
        <v>6</v>
      </c>
      <c r="S566" t="str">
        <f>""</f>
        <v/>
      </c>
      <c r="T566" t="str">
        <f t="shared" si="666"/>
        <v xml:space="preserve">                                                                                                    </v>
      </c>
      <c r="U566" t="str">
        <f>"1         "</f>
        <v xml:space="preserve">1         </v>
      </c>
      <c r="V566" t="str">
        <f t="shared" si="660"/>
        <v>2</v>
      </c>
      <c r="W566" t="str">
        <f t="shared" si="655"/>
        <v>2</v>
      </c>
      <c r="X566" t="str">
        <f t="shared" si="634"/>
        <v>2</v>
      </c>
      <c r="Y566" t="str">
        <f t="shared" si="656"/>
        <v>2</v>
      </c>
      <c r="Z566" t="str">
        <f t="shared" si="656"/>
        <v>2</v>
      </c>
      <c r="AA566" t="str">
        <f t="shared" si="605"/>
        <v xml:space="preserve">          </v>
      </c>
      <c r="AB566" t="str">
        <f t="shared" si="594"/>
        <v>2</v>
      </c>
      <c r="AC566" t="str">
        <f t="shared" si="596"/>
        <v>2</v>
      </c>
      <c r="AD566" t="str">
        <f t="shared" si="657"/>
        <v>2</v>
      </c>
      <c r="AE566" t="str">
        <f t="shared" si="657"/>
        <v>2</v>
      </c>
      <c r="AF566" t="str">
        <f t="shared" si="657"/>
        <v>2</v>
      </c>
      <c r="AG566" t="str">
        <f t="shared" si="657"/>
        <v>2</v>
      </c>
      <c r="AH566" t="str">
        <f t="shared" si="661"/>
        <v>1</v>
      </c>
      <c r="AI566" t="str">
        <f t="shared" si="667"/>
        <v xml:space="preserve">1         </v>
      </c>
      <c r="AJ566" t="str">
        <f t="shared" si="616"/>
        <v>170</v>
      </c>
      <c r="AK566" t="str">
        <f>"11"</f>
        <v>11</v>
      </c>
      <c r="AL566" t="str">
        <f>"001"</f>
        <v>001</v>
      </c>
      <c r="AM566" t="str">
        <f>"11"</f>
        <v>11</v>
      </c>
      <c r="AN566" t="str">
        <f>"11001"</f>
        <v>11001</v>
      </c>
      <c r="AO566" t="str">
        <f>"21/07/2020 12:00:00 a. m."</f>
        <v>21/07/2020 12:00:00 a. m.</v>
      </c>
      <c r="AP566" t="str">
        <f>"6/07/2020 12:00:00 a. m."</f>
        <v>6/07/2020 12:00:00 a. m.</v>
      </c>
      <c r="AQ566" t="str">
        <f t="shared" ref="AQ566:AQ573" si="669">"3"</f>
        <v>3</v>
      </c>
      <c r="AR566" t="str">
        <f t="shared" si="652"/>
        <v>1</v>
      </c>
      <c r="AS566" t="str">
        <f>"21/07/2020 12:00:00 a. m."</f>
        <v>21/07/2020 12:00:00 a. m.</v>
      </c>
      <c r="AT566" t="str">
        <f>"2"</f>
        <v>2</v>
      </c>
      <c r="AU566" t="str">
        <f>"15/08/2020 12:00:00 a. m."</f>
        <v>15/08/2020 12:00:00 a. m.</v>
      </c>
      <c r="AV566" t="str">
        <f>"0"</f>
        <v>0</v>
      </c>
      <c r="AW566" t="str">
        <f>"15/06/2007 12:00:00 a. m."</f>
        <v>15/06/2007 12:00:00 a. m.</v>
      </c>
      <c r="AX566" t="str">
        <f>"C919"</f>
        <v>C919</v>
      </c>
      <c r="AY566" t="str">
        <f t="shared" si="606"/>
        <v>30/04/2021 12:00:00 a. m.</v>
      </c>
      <c r="AZ566" t="str">
        <f>"27/08/2020 12:00:00 a. m."</f>
        <v>27/08/2020 12:00:00 a. m.</v>
      </c>
      <c r="BA566" t="str">
        <f>""</f>
        <v/>
      </c>
      <c r="BB566" t="str">
        <f>""</f>
        <v/>
      </c>
      <c r="BC566" t="str">
        <f>""</f>
        <v/>
      </c>
      <c r="BD566" t="str">
        <f t="shared" si="658"/>
        <v>1</v>
      </c>
      <c r="BE566" t="str">
        <f t="shared" si="658"/>
        <v>1</v>
      </c>
      <c r="BF566" t="str">
        <f t="shared" si="607"/>
        <v xml:space="preserve">3         </v>
      </c>
      <c r="BG566" t="str">
        <f t="shared" si="608"/>
        <v>Confirmado por laboratorio</v>
      </c>
      <c r="BH566" t="str">
        <f>"FUNDACION HOSPITAL DE LA MISERICORDIA"</f>
        <v>FUNDACION HOSPITAL DE LA MISERICORDIA</v>
      </c>
      <c r="BI566" t="str">
        <f t="shared" si="618"/>
        <v>COLOMBIA</v>
      </c>
      <c r="BJ566" t="str">
        <f t="shared" si="609"/>
        <v>CANCER INFANTIL</v>
      </c>
      <c r="BK566" t="str">
        <f t="shared" si="663"/>
        <v>BOGOTA</v>
      </c>
      <c r="BL566" t="str">
        <f t="shared" si="663"/>
        <v>BOGOTA</v>
      </c>
      <c r="BM566" t="str">
        <f t="shared" si="619"/>
        <v>COLOMBIA</v>
      </c>
      <c r="BN566" t="str">
        <f t="shared" si="664"/>
        <v>BOGOTA</v>
      </c>
      <c r="BO566" t="str">
        <f t="shared" si="664"/>
        <v>BOGOTA</v>
      </c>
      <c r="BP566" t="str">
        <f t="shared" si="662"/>
        <v>BOGOTA</v>
      </c>
      <c r="BQ566" t="str">
        <f t="shared" si="662"/>
        <v>BOGOTA</v>
      </c>
    </row>
    <row r="567" spans="1:69" x14ac:dyDescent="0.25">
      <c r="A567" t="str">
        <f>"7291367"</f>
        <v>7291367</v>
      </c>
      <c r="B567" t="str">
        <f t="shared" si="603"/>
        <v>459</v>
      </c>
      <c r="C567" t="str">
        <f>"16/09/2020 12:00:00 a. m."</f>
        <v>16/09/2020 12:00:00 a. m.</v>
      </c>
      <c r="D567" t="str">
        <f>"27"</f>
        <v>27</v>
      </c>
      <c r="E567" t="str">
        <f t="shared" si="604"/>
        <v>2020</v>
      </c>
      <c r="F567" t="str">
        <f>"1100105681"</f>
        <v>1100105681</v>
      </c>
      <c r="G567" t="str">
        <f t="shared" si="668"/>
        <v>01</v>
      </c>
      <c r="H567" t="str">
        <f>"7"</f>
        <v>7</v>
      </c>
      <c r="I567" t="str">
        <f t="shared" si="665"/>
        <v>1</v>
      </c>
      <c r="J567" t="str">
        <f>"F"</f>
        <v>F</v>
      </c>
      <c r="K567" t="str">
        <f t="shared" si="615"/>
        <v>170</v>
      </c>
      <c r="L567" t="str">
        <f>"73"</f>
        <v>73</v>
      </c>
      <c r="M567" t="str">
        <f>"319"</f>
        <v>319</v>
      </c>
      <c r="N567" t="str">
        <f t="shared" si="637"/>
        <v>1</v>
      </c>
      <c r="O567" t="str">
        <f>"9997"</f>
        <v>9997</v>
      </c>
      <c r="P567" t="str">
        <f t="shared" si="659"/>
        <v>C</v>
      </c>
      <c r="Q567" t="str">
        <f>"EPS002"</f>
        <v>EPS002</v>
      </c>
      <c r="R567" t="str">
        <f t="shared" si="651"/>
        <v>6</v>
      </c>
      <c r="S567" t="str">
        <f>""</f>
        <v/>
      </c>
      <c r="T567" t="str">
        <f t="shared" si="666"/>
        <v xml:space="preserve">                                                                                                    </v>
      </c>
      <c r="U567" t="str">
        <f>"2         "</f>
        <v xml:space="preserve">2         </v>
      </c>
      <c r="V567" t="str">
        <f t="shared" si="660"/>
        <v>2</v>
      </c>
      <c r="W567" t="str">
        <f t="shared" si="655"/>
        <v>2</v>
      </c>
      <c r="X567" t="str">
        <f t="shared" si="634"/>
        <v>2</v>
      </c>
      <c r="Y567" t="str">
        <f t="shared" si="656"/>
        <v>2</v>
      </c>
      <c r="Z567" t="str">
        <f t="shared" si="656"/>
        <v>2</v>
      </c>
      <c r="AA567" t="str">
        <f t="shared" si="605"/>
        <v xml:space="preserve">          </v>
      </c>
      <c r="AB567" t="str">
        <f t="shared" si="594"/>
        <v>2</v>
      </c>
      <c r="AC567" t="str">
        <f t="shared" si="596"/>
        <v>2</v>
      </c>
      <c r="AD567" t="str">
        <f t="shared" si="657"/>
        <v>2</v>
      </c>
      <c r="AE567" t="str">
        <f t="shared" si="657"/>
        <v>2</v>
      </c>
      <c r="AF567" t="str">
        <f t="shared" si="657"/>
        <v>2</v>
      </c>
      <c r="AG567" t="str">
        <f t="shared" si="657"/>
        <v>2</v>
      </c>
      <c r="AH567" t="str">
        <f t="shared" si="661"/>
        <v>1</v>
      </c>
      <c r="AI567" t="str">
        <f t="shared" si="667"/>
        <v xml:space="preserve">1         </v>
      </c>
      <c r="AJ567" t="str">
        <f t="shared" si="616"/>
        <v>170</v>
      </c>
      <c r="AK567" t="str">
        <f>"73"</f>
        <v>73</v>
      </c>
      <c r="AL567" t="str">
        <f>"319"</f>
        <v>319</v>
      </c>
      <c r="AM567" t="str">
        <f>"11"</f>
        <v>11</v>
      </c>
      <c r="AN567" t="str">
        <f>"11001"</f>
        <v>11001</v>
      </c>
      <c r="AO567" t="str">
        <f>"2/07/2020 12:00:00 a. m."</f>
        <v>2/07/2020 12:00:00 a. m.</v>
      </c>
      <c r="AP567" t="str">
        <f>"2/05/2020 12:00:00 a. m."</f>
        <v>2/05/2020 12:00:00 a. m.</v>
      </c>
      <c r="AQ567" t="str">
        <f t="shared" si="669"/>
        <v>3</v>
      </c>
      <c r="AR567" t="str">
        <f t="shared" si="652"/>
        <v>1</v>
      </c>
      <c r="AS567" t="str">
        <f>"2/07/2020 12:00:00 a. m."</f>
        <v>2/07/2020 12:00:00 a. m.</v>
      </c>
      <c r="AT567" t="str">
        <f>"1"</f>
        <v>1</v>
      </c>
      <c r="AU567" t="str">
        <f>""</f>
        <v/>
      </c>
      <c r="AV567" t="str">
        <f>"0"</f>
        <v>0</v>
      </c>
      <c r="AW567" t="str">
        <f>"9/01/2013 12:00:00 a. m."</f>
        <v>9/01/2013 12:00:00 a. m.</v>
      </c>
      <c r="AX567" t="str">
        <f>""</f>
        <v/>
      </c>
      <c r="AY567" t="str">
        <f t="shared" si="606"/>
        <v>30/04/2021 12:00:00 a. m.</v>
      </c>
      <c r="AZ567" t="str">
        <f>"25/09/2020 12:00:00 a. m."</f>
        <v>25/09/2020 12:00:00 a. m.</v>
      </c>
      <c r="BA567" t="str">
        <f>""</f>
        <v/>
      </c>
      <c r="BB567" t="str">
        <f>""</f>
        <v/>
      </c>
      <c r="BC567" t="str">
        <f>""</f>
        <v/>
      </c>
      <c r="BD567" t="str">
        <f t="shared" si="658"/>
        <v>1</v>
      </c>
      <c r="BE567" t="str">
        <f t="shared" si="658"/>
        <v>1</v>
      </c>
      <c r="BF567" t="str">
        <f t="shared" si="607"/>
        <v xml:space="preserve">3         </v>
      </c>
      <c r="BG567" t="str">
        <f t="shared" si="608"/>
        <v>Confirmado por laboratorio</v>
      </c>
      <c r="BH567" t="str">
        <f>"FUNDACION HOSPITAL DE LA MISERICORDIA"</f>
        <v>FUNDACION HOSPITAL DE LA MISERICORDIA</v>
      </c>
      <c r="BI567" t="str">
        <f t="shared" si="618"/>
        <v>COLOMBIA</v>
      </c>
      <c r="BJ567" t="str">
        <f t="shared" si="609"/>
        <v>CANCER INFANTIL</v>
      </c>
      <c r="BK567" t="str">
        <f>"TOLIMA"</f>
        <v>TOLIMA</v>
      </c>
      <c r="BL567" t="str">
        <f>"GUAMO"</f>
        <v>GUAMO</v>
      </c>
      <c r="BM567" t="str">
        <f t="shared" si="619"/>
        <v>COLOMBIA</v>
      </c>
      <c r="BN567" t="str">
        <f>"TOLIMA"</f>
        <v>TOLIMA</v>
      </c>
      <c r="BO567" t="str">
        <f>"GUAMO"</f>
        <v>GUAMO</v>
      </c>
      <c r="BP567" t="str">
        <f t="shared" si="662"/>
        <v>BOGOTA</v>
      </c>
      <c r="BQ567" t="str">
        <f t="shared" si="662"/>
        <v>BOGOTA</v>
      </c>
    </row>
    <row r="568" spans="1:69" x14ac:dyDescent="0.25">
      <c r="A568" t="str">
        <f>"7291429"</f>
        <v>7291429</v>
      </c>
      <c r="B568" t="str">
        <f t="shared" si="603"/>
        <v>459</v>
      </c>
      <c r="C568" t="str">
        <f>"16/10/2020 12:00:00 a. m."</f>
        <v>16/10/2020 12:00:00 a. m.</v>
      </c>
      <c r="D568" t="str">
        <f>"42"</f>
        <v>42</v>
      </c>
      <c r="E568" t="str">
        <f t="shared" si="604"/>
        <v>2020</v>
      </c>
      <c r="F568" t="str">
        <f>"7600102870"</f>
        <v>7600102870</v>
      </c>
      <c r="G568" t="str">
        <f t="shared" si="668"/>
        <v>01</v>
      </c>
      <c r="H568" t="str">
        <f>"13"</f>
        <v>13</v>
      </c>
      <c r="I568" t="str">
        <f t="shared" si="665"/>
        <v>1</v>
      </c>
      <c r="J568" t="str">
        <f>"M"</f>
        <v>M</v>
      </c>
      <c r="K568" t="str">
        <f t="shared" si="615"/>
        <v>170</v>
      </c>
      <c r="L568" t="str">
        <f>"76"</f>
        <v>76</v>
      </c>
      <c r="M568" t="str">
        <f>"520"</f>
        <v>520</v>
      </c>
      <c r="N568" t="str">
        <f t="shared" si="637"/>
        <v>1</v>
      </c>
      <c r="O568" t="str">
        <f>"9999"</f>
        <v>9999</v>
      </c>
      <c r="P568" t="str">
        <f t="shared" si="659"/>
        <v>C</v>
      </c>
      <c r="Q568" t="str">
        <f>"EPS037"</f>
        <v>EPS037</v>
      </c>
      <c r="R568" t="str">
        <f t="shared" si="651"/>
        <v>6</v>
      </c>
      <c r="S568" t="str">
        <f>""</f>
        <v/>
      </c>
      <c r="T568" t="str">
        <f t="shared" si="666"/>
        <v xml:space="preserve">                                                                                                    </v>
      </c>
      <c r="U568" t="str">
        <f>"          "</f>
        <v xml:space="preserve">          </v>
      </c>
      <c r="V568" t="str">
        <f t="shared" si="660"/>
        <v>2</v>
      </c>
      <c r="W568" t="str">
        <f t="shared" si="655"/>
        <v>2</v>
      </c>
      <c r="X568" t="str">
        <f t="shared" si="634"/>
        <v>2</v>
      </c>
      <c r="Y568" t="str">
        <f t="shared" si="656"/>
        <v>2</v>
      </c>
      <c r="Z568" t="str">
        <f t="shared" si="656"/>
        <v>2</v>
      </c>
      <c r="AA568" t="str">
        <f t="shared" si="605"/>
        <v xml:space="preserve">          </v>
      </c>
      <c r="AB568" t="str">
        <f t="shared" si="594"/>
        <v>2</v>
      </c>
      <c r="AC568" t="str">
        <f t="shared" si="596"/>
        <v>2</v>
      </c>
      <c r="AD568" t="str">
        <f t="shared" si="657"/>
        <v>2</v>
      </c>
      <c r="AE568" t="str">
        <f t="shared" si="657"/>
        <v>2</v>
      </c>
      <c r="AF568" t="str">
        <f t="shared" si="657"/>
        <v>2</v>
      </c>
      <c r="AG568" t="str">
        <f t="shared" si="657"/>
        <v>2</v>
      </c>
      <c r="AH568" t="str">
        <f t="shared" si="661"/>
        <v>1</v>
      </c>
      <c r="AI568" t="str">
        <f t="shared" si="667"/>
        <v xml:space="preserve">1         </v>
      </c>
      <c r="AJ568" t="str">
        <f t="shared" si="616"/>
        <v>170</v>
      </c>
      <c r="AK568" t="str">
        <f>"76"</f>
        <v>76</v>
      </c>
      <c r="AL568" t="str">
        <f>"520"</f>
        <v>520</v>
      </c>
      <c r="AM568" t="str">
        <f>"76"</f>
        <v>76</v>
      </c>
      <c r="AN568" t="str">
        <f>"76001"</f>
        <v>76001</v>
      </c>
      <c r="AO568" t="str">
        <f>"11/10/2020 12:00:00 a. m."</f>
        <v>11/10/2020 12:00:00 a. m.</v>
      </c>
      <c r="AP568" t="str">
        <f>"1/06/2020 12:00:00 a. m."</f>
        <v>1/06/2020 12:00:00 a. m.</v>
      </c>
      <c r="AQ568" t="str">
        <f t="shared" si="669"/>
        <v>3</v>
      </c>
      <c r="AR568" t="str">
        <f t="shared" si="652"/>
        <v>1</v>
      </c>
      <c r="AS568" t="str">
        <f>"11/10/2020 12:00:00 a. m."</f>
        <v>11/10/2020 12:00:00 a. m.</v>
      </c>
      <c r="AT568" t="str">
        <f>"1"</f>
        <v>1</v>
      </c>
      <c r="AU568" t="str">
        <f>""</f>
        <v/>
      </c>
      <c r="AV568" t="str">
        <f>"7"</f>
        <v>7</v>
      </c>
      <c r="AW568" t="str">
        <f>"2/08/2007 12:00:00 a. m."</f>
        <v>2/08/2007 12:00:00 a. m.</v>
      </c>
      <c r="AX568" t="str">
        <f>""</f>
        <v/>
      </c>
      <c r="AY568" t="str">
        <f t="shared" si="606"/>
        <v>30/04/2021 12:00:00 a. m.</v>
      </c>
      <c r="AZ568" t="str">
        <f>"6/11/2020 12:00:00 a. m."</f>
        <v>6/11/2020 12:00:00 a. m.</v>
      </c>
      <c r="BA568" t="str">
        <f>""</f>
        <v/>
      </c>
      <c r="BB568" t="str">
        <f>""</f>
        <v/>
      </c>
      <c r="BC568" t="str">
        <f>""</f>
        <v/>
      </c>
      <c r="BD568" t="str">
        <f t="shared" si="658"/>
        <v>1</v>
      </c>
      <c r="BE568" t="str">
        <f t="shared" si="658"/>
        <v>1</v>
      </c>
      <c r="BF568" t="str">
        <f t="shared" si="607"/>
        <v xml:space="preserve">3         </v>
      </c>
      <c r="BG568" t="str">
        <f t="shared" si="608"/>
        <v>Confirmado por laboratorio</v>
      </c>
      <c r="BH568" t="str">
        <f>"FUNDACION VALLE DEL LILI"</f>
        <v>FUNDACION VALLE DEL LILI</v>
      </c>
      <c r="BI568" t="str">
        <f t="shared" si="618"/>
        <v>COLOMBIA</v>
      </c>
      <c r="BJ568" t="str">
        <f t="shared" si="609"/>
        <v>CANCER INFANTIL</v>
      </c>
      <c r="BK568" t="str">
        <f>"VALLE"</f>
        <v>VALLE</v>
      </c>
      <c r="BL568" t="str">
        <f>"PALMIRA"</f>
        <v>PALMIRA</v>
      </c>
      <c r="BM568" t="str">
        <f t="shared" si="619"/>
        <v>COLOMBIA</v>
      </c>
      <c r="BN568" t="str">
        <f>"VALLE"</f>
        <v>VALLE</v>
      </c>
      <c r="BO568" t="str">
        <f>"PALMIRA"</f>
        <v>PALMIRA</v>
      </c>
      <c r="BP568" t="str">
        <f>"VALLE"</f>
        <v>VALLE</v>
      </c>
      <c r="BQ568" t="str">
        <f>"CALI"</f>
        <v>CALI</v>
      </c>
    </row>
    <row r="569" spans="1:69" x14ac:dyDescent="0.25">
      <c r="A569" t="str">
        <f>"7291450"</f>
        <v>7291450</v>
      </c>
      <c r="B569" t="str">
        <f t="shared" si="603"/>
        <v>459</v>
      </c>
      <c r="C569" t="str">
        <f>"12/01/2020 12:00:00 a. m."</f>
        <v>12/01/2020 12:00:00 a. m.</v>
      </c>
      <c r="D569" t="str">
        <f>"03"</f>
        <v>03</v>
      </c>
      <c r="E569" t="str">
        <f t="shared" si="604"/>
        <v>2020</v>
      </c>
      <c r="F569" t="str">
        <f>"0500102104"</f>
        <v>0500102104</v>
      </c>
      <c r="G569" t="str">
        <f t="shared" si="668"/>
        <v>01</v>
      </c>
      <c r="H569" t="str">
        <f>"13"</f>
        <v>13</v>
      </c>
      <c r="I569" t="str">
        <f t="shared" si="665"/>
        <v>1</v>
      </c>
      <c r="J569" t="str">
        <f>"M"</f>
        <v>M</v>
      </c>
      <c r="K569" t="str">
        <f t="shared" si="615"/>
        <v>170</v>
      </c>
      <c r="L569" t="str">
        <f>"05"</f>
        <v>05</v>
      </c>
      <c r="M569" t="str">
        <f>"001"</f>
        <v>001</v>
      </c>
      <c r="N569" t="str">
        <f t="shared" si="637"/>
        <v>1</v>
      </c>
      <c r="O569" t="str">
        <f>"9999"</f>
        <v>9999</v>
      </c>
      <c r="P569" t="str">
        <f t="shared" si="659"/>
        <v>C</v>
      </c>
      <c r="Q569" t="str">
        <f>"EPS016"</f>
        <v>EPS016</v>
      </c>
      <c r="R569" t="str">
        <f t="shared" si="651"/>
        <v>6</v>
      </c>
      <c r="S569" t="str">
        <f>""</f>
        <v/>
      </c>
      <c r="T569" t="str">
        <f t="shared" si="666"/>
        <v xml:space="preserve">                                                                                                    </v>
      </c>
      <c r="U569" t="str">
        <f>"2         "</f>
        <v xml:space="preserve">2         </v>
      </c>
      <c r="V569" t="str">
        <f t="shared" si="660"/>
        <v>2</v>
      </c>
      <c r="W569" t="str">
        <f t="shared" si="655"/>
        <v>2</v>
      </c>
      <c r="X569" t="str">
        <f t="shared" si="634"/>
        <v>2</v>
      </c>
      <c r="Y569" t="str">
        <f t="shared" si="656"/>
        <v>2</v>
      </c>
      <c r="Z569" t="str">
        <f t="shared" si="656"/>
        <v>2</v>
      </c>
      <c r="AA569" t="str">
        <f t="shared" si="605"/>
        <v xml:space="preserve">          </v>
      </c>
      <c r="AB569" t="str">
        <f t="shared" si="594"/>
        <v>2</v>
      </c>
      <c r="AC569" t="str">
        <f t="shared" si="596"/>
        <v>2</v>
      </c>
      <c r="AD569" t="str">
        <f t="shared" si="657"/>
        <v>2</v>
      </c>
      <c r="AE569" t="str">
        <f t="shared" si="657"/>
        <v>2</v>
      </c>
      <c r="AF569" t="str">
        <f t="shared" si="657"/>
        <v>2</v>
      </c>
      <c r="AG569" t="str">
        <f t="shared" si="657"/>
        <v>2</v>
      </c>
      <c r="AH569" t="str">
        <f t="shared" si="661"/>
        <v>1</v>
      </c>
      <c r="AI569" t="str">
        <f t="shared" si="667"/>
        <v xml:space="preserve">1         </v>
      </c>
      <c r="AJ569" t="str">
        <f t="shared" si="616"/>
        <v>170</v>
      </c>
      <c r="AK569" t="str">
        <f>"05"</f>
        <v>05</v>
      </c>
      <c r="AL569" t="str">
        <f>"001"</f>
        <v>001</v>
      </c>
      <c r="AM569" t="str">
        <f>"05"</f>
        <v>05</v>
      </c>
      <c r="AN569" t="str">
        <f>"05001"</f>
        <v>05001</v>
      </c>
      <c r="AO569" t="str">
        <f>"12/01/2020 12:00:00 a. m."</f>
        <v>12/01/2020 12:00:00 a. m.</v>
      </c>
      <c r="AP569" t="str">
        <f>"12/12/2019 12:00:00 a. m."</f>
        <v>12/12/2019 12:00:00 a. m.</v>
      </c>
      <c r="AQ569" t="str">
        <f t="shared" si="669"/>
        <v>3</v>
      </c>
      <c r="AR569" t="str">
        <f>"2"</f>
        <v>2</v>
      </c>
      <c r="AS569" t="str">
        <f>""</f>
        <v/>
      </c>
      <c r="AT569" t="str">
        <f>"2"</f>
        <v>2</v>
      </c>
      <c r="AU569" t="str">
        <f>"16/01/2020 12:00:00 a. m."</f>
        <v>16/01/2020 12:00:00 a. m.</v>
      </c>
      <c r="AV569" t="str">
        <f>"0"</f>
        <v>0</v>
      </c>
      <c r="AW569" t="str">
        <f>"15/07/2006 12:00:00 a. m."</f>
        <v>15/07/2006 12:00:00 a. m.</v>
      </c>
      <c r="AX569" t="str">
        <f>"9999"</f>
        <v>9999</v>
      </c>
      <c r="AY569" t="str">
        <f t="shared" si="606"/>
        <v>30/04/2021 12:00:00 a. m.</v>
      </c>
      <c r="AZ569" t="str">
        <f>"17/01/2020 12:00:00 a. m."</f>
        <v>17/01/2020 12:00:00 a. m.</v>
      </c>
      <c r="BA569" t="str">
        <f>""</f>
        <v/>
      </c>
      <c r="BB569" t="str">
        <f>""</f>
        <v/>
      </c>
      <c r="BC569" t="str">
        <f>""</f>
        <v/>
      </c>
      <c r="BD569" t="str">
        <f t="shared" si="658"/>
        <v>1</v>
      </c>
      <c r="BE569" t="str">
        <f t="shared" si="658"/>
        <v>1</v>
      </c>
      <c r="BF569" t="str">
        <f t="shared" si="607"/>
        <v xml:space="preserve">3         </v>
      </c>
      <c r="BG569" t="str">
        <f t="shared" si="608"/>
        <v>Confirmado por laboratorio</v>
      </c>
      <c r="BH569" t="str">
        <f>"HOSPITAL PABLO TOBON URIBE"</f>
        <v>HOSPITAL PABLO TOBON URIBE</v>
      </c>
      <c r="BI569" t="str">
        <f t="shared" si="618"/>
        <v>COLOMBIA</v>
      </c>
      <c r="BJ569" t="str">
        <f t="shared" si="609"/>
        <v>CANCER INFANTIL</v>
      </c>
      <c r="BK569" t="str">
        <f>"ANTIOQUIA"</f>
        <v>ANTIOQUIA</v>
      </c>
      <c r="BL569" t="str">
        <f>"MEDELLIN"</f>
        <v>MEDELLIN</v>
      </c>
      <c r="BM569" t="str">
        <f t="shared" si="619"/>
        <v>COLOMBIA</v>
      </c>
      <c r="BN569" t="str">
        <f>"ANTIOQUIA"</f>
        <v>ANTIOQUIA</v>
      </c>
      <c r="BO569" t="str">
        <f>"MEDELLIN"</f>
        <v>MEDELLIN</v>
      </c>
      <c r="BP569" t="str">
        <f>"ANTIOQUIA"</f>
        <v>ANTIOQUIA</v>
      </c>
      <c r="BQ569" t="str">
        <f>"MEDELLIN"</f>
        <v>MEDELLIN</v>
      </c>
    </row>
    <row r="570" spans="1:69" x14ac:dyDescent="0.25">
      <c r="A570" t="str">
        <f>"7279144"</f>
        <v>7279144</v>
      </c>
      <c r="B570" t="str">
        <f t="shared" si="603"/>
        <v>459</v>
      </c>
      <c r="C570" t="str">
        <f>"21/09/2020 12:00:00 a. m."</f>
        <v>21/09/2020 12:00:00 a. m.</v>
      </c>
      <c r="D570" t="str">
        <f>"37"</f>
        <v>37</v>
      </c>
      <c r="E570" t="str">
        <f t="shared" si="604"/>
        <v>2020</v>
      </c>
      <c r="F570" t="str">
        <f>"1100105681"</f>
        <v>1100105681</v>
      </c>
      <c r="G570" t="str">
        <f t="shared" si="668"/>
        <v>01</v>
      </c>
      <c r="H570" t="str">
        <f>"8"</f>
        <v>8</v>
      </c>
      <c r="I570" t="str">
        <f t="shared" si="665"/>
        <v>1</v>
      </c>
      <c r="J570" t="str">
        <f>"M"</f>
        <v>M</v>
      </c>
      <c r="K570" t="str">
        <f t="shared" si="615"/>
        <v>170</v>
      </c>
      <c r="L570" t="str">
        <f>"94"</f>
        <v>94</v>
      </c>
      <c r="M570" t="str">
        <f>"888"</f>
        <v>888</v>
      </c>
      <c r="N570" t="str">
        <f t="shared" si="637"/>
        <v>1</v>
      </c>
      <c r="O570" t="str">
        <f>"9997"</f>
        <v>9997</v>
      </c>
      <c r="P570" t="str">
        <f>"S"</f>
        <v>S</v>
      </c>
      <c r="Q570" t="str">
        <f>"ESS024"</f>
        <v>ESS024</v>
      </c>
      <c r="R570" t="str">
        <f t="shared" si="651"/>
        <v>6</v>
      </c>
      <c r="S570" t="str">
        <f>""</f>
        <v/>
      </c>
      <c r="T570" t="str">
        <f t="shared" si="666"/>
        <v xml:space="preserve">                                                                                                    </v>
      </c>
      <c r="U570" t="str">
        <f>"1         "</f>
        <v xml:space="preserve">1         </v>
      </c>
      <c r="V570" t="str">
        <f t="shared" si="660"/>
        <v>2</v>
      </c>
      <c r="W570" t="str">
        <f t="shared" si="655"/>
        <v>2</v>
      </c>
      <c r="X570" t="str">
        <f t="shared" si="634"/>
        <v>2</v>
      </c>
      <c r="Y570" t="str">
        <f t="shared" si="656"/>
        <v>2</v>
      </c>
      <c r="Z570" t="str">
        <f t="shared" si="656"/>
        <v>2</v>
      </c>
      <c r="AA570" t="str">
        <f t="shared" si="605"/>
        <v xml:space="preserve">          </v>
      </c>
      <c r="AB570" t="str">
        <f t="shared" si="594"/>
        <v>2</v>
      </c>
      <c r="AC570" t="str">
        <f t="shared" si="596"/>
        <v>2</v>
      </c>
      <c r="AD570" t="str">
        <f t="shared" si="657"/>
        <v>2</v>
      </c>
      <c r="AE570" t="str">
        <f t="shared" si="657"/>
        <v>2</v>
      </c>
      <c r="AF570" t="str">
        <f t="shared" si="657"/>
        <v>2</v>
      </c>
      <c r="AG570" t="str">
        <f t="shared" si="657"/>
        <v>2</v>
      </c>
      <c r="AH570" t="str">
        <f t="shared" si="661"/>
        <v>1</v>
      </c>
      <c r="AI570" t="str">
        <f t="shared" si="667"/>
        <v xml:space="preserve">1         </v>
      </c>
      <c r="AJ570" t="str">
        <f t="shared" si="616"/>
        <v>170</v>
      </c>
      <c r="AK570" t="str">
        <f>"94"</f>
        <v>94</v>
      </c>
      <c r="AL570" t="str">
        <f>"888"</f>
        <v>888</v>
      </c>
      <c r="AM570" t="str">
        <f>"11"</f>
        <v>11</v>
      </c>
      <c r="AN570" t="str">
        <f>"11001"</f>
        <v>11001</v>
      </c>
      <c r="AO570" t="str">
        <f>"11/09/2020 12:00:00 a. m."</f>
        <v>11/09/2020 12:00:00 a. m.</v>
      </c>
      <c r="AP570" t="str">
        <f>"12/08/2020 12:00:00 a. m."</f>
        <v>12/08/2020 12:00:00 a. m.</v>
      </c>
      <c r="AQ570" t="str">
        <f t="shared" si="669"/>
        <v>3</v>
      </c>
      <c r="AR570" t="str">
        <f>"1"</f>
        <v>1</v>
      </c>
      <c r="AS570" t="str">
        <f>"11/09/2020 12:00:00 a. m."</f>
        <v>11/09/2020 12:00:00 a. m.</v>
      </c>
      <c r="AT570" t="str">
        <f t="shared" ref="AT570:AT592" si="670">"1"</f>
        <v>1</v>
      </c>
      <c r="AU570" t="str">
        <f>""</f>
        <v/>
      </c>
      <c r="AV570" t="str">
        <f>"0"</f>
        <v>0</v>
      </c>
      <c r="AW570" t="str">
        <f>"9/06/2012 12:00:00 a. m."</f>
        <v>9/06/2012 12:00:00 a. m.</v>
      </c>
      <c r="AX570" t="str">
        <f>""</f>
        <v/>
      </c>
      <c r="AY570" t="str">
        <f t="shared" si="606"/>
        <v>30/04/2021 12:00:00 a. m.</v>
      </c>
      <c r="AZ570" t="str">
        <f>"29/09/2020 12:00:00 a. m."</f>
        <v>29/09/2020 12:00:00 a. m.</v>
      </c>
      <c r="BA570" t="str">
        <f>""</f>
        <v/>
      </c>
      <c r="BB570" t="str">
        <f>""</f>
        <v/>
      </c>
      <c r="BC570" t="str">
        <f>""</f>
        <v/>
      </c>
      <c r="BD570" t="str">
        <f t="shared" si="658"/>
        <v>1</v>
      </c>
      <c r="BE570" t="str">
        <f t="shared" si="658"/>
        <v>1</v>
      </c>
      <c r="BF570" t="str">
        <f t="shared" si="607"/>
        <v xml:space="preserve">3         </v>
      </c>
      <c r="BG570" t="str">
        <f t="shared" si="608"/>
        <v>Confirmado por laboratorio</v>
      </c>
      <c r="BH570" t="str">
        <f>"FUNDACION HOSPITAL DE LA MISERICORDIA"</f>
        <v>FUNDACION HOSPITAL DE LA MISERICORDIA</v>
      </c>
      <c r="BI570" t="str">
        <f t="shared" si="618"/>
        <v>COLOMBIA</v>
      </c>
      <c r="BJ570" t="str">
        <f t="shared" si="609"/>
        <v>CANCER INFANTIL</v>
      </c>
      <c r="BK570" t="str">
        <f>"GUAINIA"</f>
        <v>GUAINIA</v>
      </c>
      <c r="BL570" t="str">
        <f>"MORICHAL (MORICHAL NUEVO) (CD)"</f>
        <v>MORICHAL (MORICHAL NUEVO) (CD)</v>
      </c>
      <c r="BM570" t="str">
        <f t="shared" si="619"/>
        <v>COLOMBIA</v>
      </c>
      <c r="BN570" t="str">
        <f>"GUAINIA"</f>
        <v>GUAINIA</v>
      </c>
      <c r="BO570" t="str">
        <f>"MORICHAL (MORICHAL NUEVO) (CD)"</f>
        <v>MORICHAL (MORICHAL NUEVO) (CD)</v>
      </c>
      <c r="BP570" t="str">
        <f>"BOGOTA"</f>
        <v>BOGOTA</v>
      </c>
      <c r="BQ570" t="str">
        <f>"BOGOTA"</f>
        <v>BOGOTA</v>
      </c>
    </row>
    <row r="571" spans="1:69" x14ac:dyDescent="0.25">
      <c r="A571" t="str">
        <f>"7279277"</f>
        <v>7279277</v>
      </c>
      <c r="B571" t="str">
        <f t="shared" si="603"/>
        <v>459</v>
      </c>
      <c r="C571" t="str">
        <f>"26/12/2020 12:00:00 a. m."</f>
        <v>26/12/2020 12:00:00 a. m.</v>
      </c>
      <c r="D571" t="str">
        <f>"52"</f>
        <v>52</v>
      </c>
      <c r="E571" t="str">
        <f t="shared" si="604"/>
        <v>2020</v>
      </c>
      <c r="F571" t="str">
        <f>"0500108165"</f>
        <v>0500108165</v>
      </c>
      <c r="G571" t="str">
        <f t="shared" si="668"/>
        <v>01</v>
      </c>
      <c r="H571" t="str">
        <f>"17"</f>
        <v>17</v>
      </c>
      <c r="I571" t="str">
        <f t="shared" si="665"/>
        <v>1</v>
      </c>
      <c r="J571" t="str">
        <f>"F"</f>
        <v>F</v>
      </c>
      <c r="K571" t="str">
        <f t="shared" si="615"/>
        <v>170</v>
      </c>
      <c r="L571" t="str">
        <f>"05"</f>
        <v>05</v>
      </c>
      <c r="M571" t="str">
        <f>"001"</f>
        <v>001</v>
      </c>
      <c r="N571" t="str">
        <f t="shared" si="637"/>
        <v>1</v>
      </c>
      <c r="O571" t="str">
        <f>"9997"</f>
        <v>9997</v>
      </c>
      <c r="P571" t="str">
        <f>"C"</f>
        <v>C</v>
      </c>
      <c r="Q571" t="str">
        <f>"EMP021"</f>
        <v>EMP021</v>
      </c>
      <c r="R571" t="str">
        <f t="shared" si="651"/>
        <v>6</v>
      </c>
      <c r="S571" t="str">
        <f>""</f>
        <v/>
      </c>
      <c r="T571" t="str">
        <f t="shared" si="666"/>
        <v xml:space="preserve">                                                                                                    </v>
      </c>
      <c r="U571" t="str">
        <f>"6         "</f>
        <v xml:space="preserve">6         </v>
      </c>
      <c r="V571" t="str">
        <f t="shared" si="660"/>
        <v>2</v>
      </c>
      <c r="W571" t="str">
        <f t="shared" si="655"/>
        <v>2</v>
      </c>
      <c r="X571" t="str">
        <f t="shared" si="634"/>
        <v>2</v>
      </c>
      <c r="Y571" t="str">
        <f t="shared" si="656"/>
        <v>2</v>
      </c>
      <c r="Z571" t="str">
        <f t="shared" si="656"/>
        <v>2</v>
      </c>
      <c r="AA571" t="str">
        <f t="shared" si="605"/>
        <v xml:space="preserve">          </v>
      </c>
      <c r="AB571" t="str">
        <f t="shared" si="594"/>
        <v>2</v>
      </c>
      <c r="AC571" t="str">
        <f t="shared" si="596"/>
        <v>2</v>
      </c>
      <c r="AD571" t="str">
        <f t="shared" si="657"/>
        <v>2</v>
      </c>
      <c r="AE571" t="str">
        <f t="shared" si="657"/>
        <v>2</v>
      </c>
      <c r="AF571" t="str">
        <f t="shared" si="657"/>
        <v>2</v>
      </c>
      <c r="AG571" t="str">
        <f t="shared" si="657"/>
        <v>2</v>
      </c>
      <c r="AH571" t="str">
        <f t="shared" si="661"/>
        <v>1</v>
      </c>
      <c r="AI571" t="str">
        <f t="shared" si="667"/>
        <v xml:space="preserve">1         </v>
      </c>
      <c r="AJ571" t="str">
        <f t="shared" si="616"/>
        <v>170</v>
      </c>
      <c r="AK571" t="str">
        <f>"05"</f>
        <v>05</v>
      </c>
      <c r="AL571" t="str">
        <f>"001"</f>
        <v>001</v>
      </c>
      <c r="AM571" t="str">
        <f>"05"</f>
        <v>05</v>
      </c>
      <c r="AN571" t="str">
        <f>"05001"</f>
        <v>05001</v>
      </c>
      <c r="AO571" t="str">
        <f>"23/12/2020 12:00:00 a. m."</f>
        <v>23/12/2020 12:00:00 a. m.</v>
      </c>
      <c r="AP571" t="str">
        <f>"8/12/2020 12:00:00 a. m."</f>
        <v>8/12/2020 12:00:00 a. m.</v>
      </c>
      <c r="AQ571" t="str">
        <f t="shared" si="669"/>
        <v>3</v>
      </c>
      <c r="AR571" t="str">
        <f>"2"</f>
        <v>2</v>
      </c>
      <c r="AS571" t="str">
        <f>""</f>
        <v/>
      </c>
      <c r="AT571" t="str">
        <f t="shared" si="670"/>
        <v>1</v>
      </c>
      <c r="AU571" t="str">
        <f>""</f>
        <v/>
      </c>
      <c r="AV571" t="str">
        <f>"0"</f>
        <v>0</v>
      </c>
      <c r="AW571" t="str">
        <f>"7/06/2003 12:00:00 a. m."</f>
        <v>7/06/2003 12:00:00 a. m.</v>
      </c>
      <c r="AX571" t="str">
        <f>""</f>
        <v/>
      </c>
      <c r="AY571" t="str">
        <f t="shared" si="606"/>
        <v>30/04/2021 12:00:00 a. m.</v>
      </c>
      <c r="AZ571" t="str">
        <f>"28/12/2020 12:00:00 a. m."</f>
        <v>28/12/2020 12:00:00 a. m.</v>
      </c>
      <c r="BA571" t="str">
        <f>""</f>
        <v/>
      </c>
      <c r="BB571" t="str">
        <f>""</f>
        <v/>
      </c>
      <c r="BC571" t="str">
        <f>""</f>
        <v/>
      </c>
      <c r="BD571" t="str">
        <f t="shared" si="658"/>
        <v>1</v>
      </c>
      <c r="BE571" t="str">
        <f t="shared" si="658"/>
        <v>1</v>
      </c>
      <c r="BF571" t="str">
        <f t="shared" si="607"/>
        <v xml:space="preserve">3         </v>
      </c>
      <c r="BG571" t="str">
        <f t="shared" si="608"/>
        <v>Confirmado por laboratorio</v>
      </c>
      <c r="BH571" t="str">
        <f>"GRUPO ONCOLOGICO INTERNACIONAL SA YO CLINICA DE"</f>
        <v>GRUPO ONCOLOGICO INTERNACIONAL SA YO CLINICA DE</v>
      </c>
      <c r="BI571" t="str">
        <f t="shared" si="618"/>
        <v>COLOMBIA</v>
      </c>
      <c r="BJ571" t="str">
        <f t="shared" si="609"/>
        <v>CANCER INFANTIL</v>
      </c>
      <c r="BK571" t="str">
        <f>"ANTIOQUIA"</f>
        <v>ANTIOQUIA</v>
      </c>
      <c r="BL571" t="str">
        <f>"MEDELLIN"</f>
        <v>MEDELLIN</v>
      </c>
      <c r="BM571" t="str">
        <f t="shared" si="619"/>
        <v>COLOMBIA</v>
      </c>
      <c r="BN571" t="str">
        <f>"ANTIOQUIA"</f>
        <v>ANTIOQUIA</v>
      </c>
      <c r="BO571" t="str">
        <f>"MEDELLIN"</f>
        <v>MEDELLIN</v>
      </c>
      <c r="BP571" t="str">
        <f>"ANTIOQUIA"</f>
        <v>ANTIOQUIA</v>
      </c>
      <c r="BQ571" t="str">
        <f>"MEDELLIN"</f>
        <v>MEDELLIN</v>
      </c>
    </row>
    <row r="572" spans="1:69" x14ac:dyDescent="0.25">
      <c r="A572" t="str">
        <f>"7279256"</f>
        <v>7279256</v>
      </c>
      <c r="B572" t="str">
        <f t="shared" si="603"/>
        <v>459</v>
      </c>
      <c r="C572" t="str">
        <f>"7/11/2020 12:00:00 a. m."</f>
        <v>7/11/2020 12:00:00 a. m.</v>
      </c>
      <c r="D572" t="str">
        <f>"39"</f>
        <v>39</v>
      </c>
      <c r="E572" t="str">
        <f t="shared" si="604"/>
        <v>2020</v>
      </c>
      <c r="F572" t="str">
        <f>"2300100949"</f>
        <v>2300100949</v>
      </c>
      <c r="G572" t="str">
        <f t="shared" si="668"/>
        <v>01</v>
      </c>
      <c r="H572" t="str">
        <f>"15"</f>
        <v>15</v>
      </c>
      <c r="I572" t="str">
        <f t="shared" si="665"/>
        <v>1</v>
      </c>
      <c r="J572" t="str">
        <f>"F"</f>
        <v>F</v>
      </c>
      <c r="K572" t="str">
        <f t="shared" si="615"/>
        <v>170</v>
      </c>
      <c r="L572" t="str">
        <f>"70"</f>
        <v>70</v>
      </c>
      <c r="M572" t="str">
        <f>"400"</f>
        <v>400</v>
      </c>
      <c r="N572" t="str">
        <f>"2"</f>
        <v>2</v>
      </c>
      <c r="O572" t="str">
        <f>"9997"</f>
        <v>9997</v>
      </c>
      <c r="P572" t="str">
        <f>"S"</f>
        <v>S</v>
      </c>
      <c r="Q572" t="str">
        <f>"ESS133"</f>
        <v>ESS133</v>
      </c>
      <c r="R572" t="str">
        <f t="shared" si="651"/>
        <v>6</v>
      </c>
      <c r="S572" t="str">
        <f>""</f>
        <v/>
      </c>
      <c r="T572" t="str">
        <f t="shared" si="666"/>
        <v xml:space="preserve">                                                                                                    </v>
      </c>
      <c r="U572" t="str">
        <f>"1         "</f>
        <v xml:space="preserve">1         </v>
      </c>
      <c r="V572" t="str">
        <f t="shared" si="660"/>
        <v>2</v>
      </c>
      <c r="W572" t="str">
        <f t="shared" si="655"/>
        <v>2</v>
      </c>
      <c r="X572" t="str">
        <f t="shared" si="634"/>
        <v>2</v>
      </c>
      <c r="Y572" t="str">
        <f t="shared" si="656"/>
        <v>2</v>
      </c>
      <c r="Z572" t="str">
        <f t="shared" si="656"/>
        <v>2</v>
      </c>
      <c r="AA572" t="str">
        <f t="shared" si="605"/>
        <v xml:space="preserve">          </v>
      </c>
      <c r="AB572" t="str">
        <f t="shared" ref="AB572:AB635" si="671">"2"</f>
        <v>2</v>
      </c>
      <c r="AC572" t="str">
        <f t="shared" si="596"/>
        <v>2</v>
      </c>
      <c r="AD572" t="str">
        <f t="shared" si="657"/>
        <v>2</v>
      </c>
      <c r="AE572" t="str">
        <f t="shared" si="657"/>
        <v>2</v>
      </c>
      <c r="AF572" t="str">
        <f t="shared" si="657"/>
        <v>2</v>
      </c>
      <c r="AG572" t="str">
        <f t="shared" si="657"/>
        <v>2</v>
      </c>
      <c r="AH572" t="str">
        <f t="shared" si="661"/>
        <v>1</v>
      </c>
      <c r="AI572" t="str">
        <f>"2         "</f>
        <v xml:space="preserve">2         </v>
      </c>
      <c r="AJ572" t="str">
        <f t="shared" si="616"/>
        <v>170</v>
      </c>
      <c r="AK572" t="str">
        <f>"70"</f>
        <v>70</v>
      </c>
      <c r="AL572" t="str">
        <f>"400"</f>
        <v>400</v>
      </c>
      <c r="AM572" t="str">
        <f>"23"</f>
        <v>23</v>
      </c>
      <c r="AN572" t="str">
        <f>"23001"</f>
        <v>23001</v>
      </c>
      <c r="AO572" t="str">
        <f>"23/09/2020 12:00:00 a. m."</f>
        <v>23/09/2020 12:00:00 a. m.</v>
      </c>
      <c r="AP572" t="str">
        <f>"10/07/2020 12:00:00 a. m."</f>
        <v>10/07/2020 12:00:00 a. m.</v>
      </c>
      <c r="AQ572" t="str">
        <f t="shared" si="669"/>
        <v>3</v>
      </c>
      <c r="AR572" t="str">
        <f t="shared" ref="AR572:AR584" si="672">"1"</f>
        <v>1</v>
      </c>
      <c r="AS572" t="str">
        <f>"23/09/2020 12:00:00 a. m."</f>
        <v>23/09/2020 12:00:00 a. m.</v>
      </c>
      <c r="AT572" t="str">
        <f t="shared" si="670"/>
        <v>1</v>
      </c>
      <c r="AU572" t="str">
        <f>""</f>
        <v/>
      </c>
      <c r="AV572" t="str">
        <f>"7"</f>
        <v>7</v>
      </c>
      <c r="AW572" t="str">
        <f>"13/12/2004 12:00:00 a. m."</f>
        <v>13/12/2004 12:00:00 a. m.</v>
      </c>
      <c r="AX572" t="str">
        <f>""</f>
        <v/>
      </c>
      <c r="AY572" t="str">
        <f t="shared" si="606"/>
        <v>30/04/2021 12:00:00 a. m.</v>
      </c>
      <c r="AZ572" t="str">
        <f>"4/12/2020 12:00:00 a. m."</f>
        <v>4/12/2020 12:00:00 a. m.</v>
      </c>
      <c r="BA572" t="str">
        <f>""</f>
        <v/>
      </c>
      <c r="BB572" t="str">
        <f>""</f>
        <v/>
      </c>
      <c r="BC572" t="str">
        <f>""</f>
        <v/>
      </c>
      <c r="BD572" t="str">
        <f t="shared" si="658"/>
        <v>1</v>
      </c>
      <c r="BE572" t="str">
        <f t="shared" si="658"/>
        <v>1</v>
      </c>
      <c r="BF572" t="str">
        <f t="shared" si="607"/>
        <v xml:space="preserve">3         </v>
      </c>
      <c r="BG572" t="str">
        <f t="shared" si="608"/>
        <v>Confirmado por laboratorio</v>
      </c>
      <c r="BH572" t="str">
        <f>"ONCOMEDICA S A"</f>
        <v>ONCOMEDICA S A</v>
      </c>
      <c r="BI572" t="str">
        <f t="shared" si="618"/>
        <v>COLOMBIA</v>
      </c>
      <c r="BJ572" t="str">
        <f t="shared" si="609"/>
        <v>CANCER INFANTIL</v>
      </c>
      <c r="BK572" t="str">
        <f>"SUCRE"</f>
        <v>SUCRE</v>
      </c>
      <c r="BL572" t="str">
        <f>"LA UNION"</f>
        <v>LA UNION</v>
      </c>
      <c r="BM572" t="str">
        <f t="shared" si="619"/>
        <v>COLOMBIA</v>
      </c>
      <c r="BN572" t="str">
        <f>"SUCRE"</f>
        <v>SUCRE</v>
      </c>
      <c r="BO572" t="str">
        <f>"LA UNION"</f>
        <v>LA UNION</v>
      </c>
      <c r="BP572" t="str">
        <f>"CORDOBA"</f>
        <v>CORDOBA</v>
      </c>
      <c r="BQ572" t="str">
        <f>"MONTERIA"</f>
        <v>MONTERIA</v>
      </c>
    </row>
    <row r="573" spans="1:69" x14ac:dyDescent="0.25">
      <c r="A573" t="str">
        <f>"7278719"</f>
        <v>7278719</v>
      </c>
      <c r="B573" t="str">
        <f t="shared" si="603"/>
        <v>459</v>
      </c>
      <c r="C573" t="str">
        <f>"17/03/2020 12:00:00 a. m."</f>
        <v>17/03/2020 12:00:00 a. m.</v>
      </c>
      <c r="D573" t="str">
        <f>"06"</f>
        <v>06</v>
      </c>
      <c r="E573" t="str">
        <f t="shared" si="604"/>
        <v>2020</v>
      </c>
      <c r="F573" t="str">
        <f>"1100105681"</f>
        <v>1100105681</v>
      </c>
      <c r="G573" t="str">
        <f t="shared" si="668"/>
        <v>01</v>
      </c>
      <c r="H573" t="str">
        <f>"9"</f>
        <v>9</v>
      </c>
      <c r="I573" t="str">
        <f t="shared" si="665"/>
        <v>1</v>
      </c>
      <c r="J573" t="str">
        <f>"F"</f>
        <v>F</v>
      </c>
      <c r="K573" t="str">
        <f t="shared" si="615"/>
        <v>170</v>
      </c>
      <c r="L573" t="str">
        <f>"11"</f>
        <v>11</v>
      </c>
      <c r="M573" t="str">
        <f t="shared" ref="M573:M579" si="673">"001"</f>
        <v>001</v>
      </c>
      <c r="N573" t="str">
        <f t="shared" ref="N573:N583" si="674">"1"</f>
        <v>1</v>
      </c>
      <c r="O573" t="str">
        <f>"9997"</f>
        <v>9997</v>
      </c>
      <c r="P573" t="str">
        <f t="shared" ref="P573:P579" si="675">"C"</f>
        <v>C</v>
      </c>
      <c r="Q573" t="str">
        <f>"EPS008"</f>
        <v>EPS008</v>
      </c>
      <c r="R573" t="str">
        <f t="shared" si="651"/>
        <v>6</v>
      </c>
      <c r="S573" t="str">
        <f>""</f>
        <v/>
      </c>
      <c r="T573" t="str">
        <f t="shared" si="666"/>
        <v xml:space="preserve">                                                                                                    </v>
      </c>
      <c r="U573" t="str">
        <f>"2         "</f>
        <v xml:space="preserve">2         </v>
      </c>
      <c r="V573" t="str">
        <f t="shared" si="660"/>
        <v>2</v>
      </c>
      <c r="W573" t="str">
        <f t="shared" si="655"/>
        <v>2</v>
      </c>
      <c r="X573" t="str">
        <f t="shared" si="634"/>
        <v>2</v>
      </c>
      <c r="Y573" t="str">
        <f t="shared" si="656"/>
        <v>2</v>
      </c>
      <c r="Z573" t="str">
        <f t="shared" si="656"/>
        <v>2</v>
      </c>
      <c r="AA573" t="str">
        <f t="shared" si="605"/>
        <v xml:space="preserve">          </v>
      </c>
      <c r="AB573" t="str">
        <f t="shared" si="671"/>
        <v>2</v>
      </c>
      <c r="AC573" t="str">
        <f t="shared" ref="AC573:AC636" si="676">"2"</f>
        <v>2</v>
      </c>
      <c r="AD573" t="str">
        <f t="shared" si="657"/>
        <v>2</v>
      </c>
      <c r="AE573" t="str">
        <f t="shared" si="657"/>
        <v>2</v>
      </c>
      <c r="AF573" t="str">
        <f t="shared" si="657"/>
        <v>2</v>
      </c>
      <c r="AG573" t="str">
        <f t="shared" si="657"/>
        <v>2</v>
      </c>
      <c r="AH573" t="str">
        <f t="shared" si="661"/>
        <v>1</v>
      </c>
      <c r="AI573" t="str">
        <f t="shared" ref="AI573:AI580" si="677">"1         "</f>
        <v xml:space="preserve">1         </v>
      </c>
      <c r="AJ573" t="str">
        <f t="shared" si="616"/>
        <v>170</v>
      </c>
      <c r="AK573" t="str">
        <f>"11"</f>
        <v>11</v>
      </c>
      <c r="AL573" t="str">
        <f t="shared" ref="AL573:AL579" si="678">"001"</f>
        <v>001</v>
      </c>
      <c r="AM573" t="str">
        <f>"11"</f>
        <v>11</v>
      </c>
      <c r="AN573" t="str">
        <f>"11001"</f>
        <v>11001</v>
      </c>
      <c r="AO573" t="str">
        <f>"7/02/2020 12:00:00 a. m."</f>
        <v>7/02/2020 12:00:00 a. m.</v>
      </c>
      <c r="AP573" t="str">
        <f>"1/06/2019 12:00:00 a. m."</f>
        <v>1/06/2019 12:00:00 a. m.</v>
      </c>
      <c r="AQ573" t="str">
        <f t="shared" si="669"/>
        <v>3</v>
      </c>
      <c r="AR573" t="str">
        <f t="shared" si="672"/>
        <v>1</v>
      </c>
      <c r="AS573" t="str">
        <f>"7/02/2020 12:00:00 a. m."</f>
        <v>7/02/2020 12:00:00 a. m.</v>
      </c>
      <c r="AT573" t="str">
        <f t="shared" si="670"/>
        <v>1</v>
      </c>
      <c r="AU573" t="str">
        <f>""</f>
        <v/>
      </c>
      <c r="AV573" t="str">
        <f>"7"</f>
        <v>7</v>
      </c>
      <c r="AW573" t="str">
        <f>"3/08/2010 12:00:00 a. m."</f>
        <v>3/08/2010 12:00:00 a. m.</v>
      </c>
      <c r="AX573" t="str">
        <f>""</f>
        <v/>
      </c>
      <c r="AY573" t="str">
        <f t="shared" si="606"/>
        <v>30/04/2021 12:00:00 a. m.</v>
      </c>
      <c r="AZ573" t="str">
        <f>"5/04/2021 12:00:00 a. m."</f>
        <v>5/04/2021 12:00:00 a. m.</v>
      </c>
      <c r="BA573" t="str">
        <f>""</f>
        <v/>
      </c>
      <c r="BB573" t="str">
        <f>""</f>
        <v/>
      </c>
      <c r="BC573" t="str">
        <f>""</f>
        <v/>
      </c>
      <c r="BD573" t="str">
        <f t="shared" si="658"/>
        <v>1</v>
      </c>
      <c r="BE573" t="str">
        <f t="shared" si="658"/>
        <v>1</v>
      </c>
      <c r="BF573" t="str">
        <f t="shared" si="607"/>
        <v xml:space="preserve">3         </v>
      </c>
      <c r="BG573" t="str">
        <f t="shared" si="608"/>
        <v>Confirmado por laboratorio</v>
      </c>
      <c r="BH573" t="str">
        <f>"FUNDACION HOSPITAL DE LA MISERICORDIA"</f>
        <v>FUNDACION HOSPITAL DE LA MISERICORDIA</v>
      </c>
      <c r="BI573" t="str">
        <f t="shared" si="618"/>
        <v>COLOMBIA</v>
      </c>
      <c r="BJ573" t="str">
        <f t="shared" si="609"/>
        <v>CANCER INFANTIL</v>
      </c>
      <c r="BK573" t="str">
        <f>"BOGOTA"</f>
        <v>BOGOTA</v>
      </c>
      <c r="BL573" t="str">
        <f>"BOGOTA"</f>
        <v>BOGOTA</v>
      </c>
      <c r="BM573" t="str">
        <f t="shared" si="619"/>
        <v>COLOMBIA</v>
      </c>
      <c r="BN573" t="str">
        <f>"BOGOTA"</f>
        <v>BOGOTA</v>
      </c>
      <c r="BO573" t="str">
        <f>"BOGOTA"</f>
        <v>BOGOTA</v>
      </c>
      <c r="BP573" t="str">
        <f>"BOGOTA"</f>
        <v>BOGOTA</v>
      </c>
      <c r="BQ573" t="str">
        <f>"BOGOTA"</f>
        <v>BOGOTA</v>
      </c>
    </row>
    <row r="574" spans="1:69" x14ac:dyDescent="0.25">
      <c r="A574" t="str">
        <f>"7291391"</f>
        <v>7291391</v>
      </c>
      <c r="B574" t="str">
        <f t="shared" si="603"/>
        <v>459</v>
      </c>
      <c r="C574" t="str">
        <f>"13/11/2020 12:00:00 a. m."</f>
        <v>13/11/2020 12:00:00 a. m.</v>
      </c>
      <c r="D574" t="str">
        <f>"45"</f>
        <v>45</v>
      </c>
      <c r="E574" t="str">
        <f t="shared" si="604"/>
        <v>2020</v>
      </c>
      <c r="F574" t="str">
        <f>"7600102870"</f>
        <v>7600102870</v>
      </c>
      <c r="G574" t="str">
        <f t="shared" si="668"/>
        <v>01</v>
      </c>
      <c r="H574" t="str">
        <f>"16"</f>
        <v>16</v>
      </c>
      <c r="I574" t="str">
        <f t="shared" si="665"/>
        <v>1</v>
      </c>
      <c r="J574" t="str">
        <f>"F"</f>
        <v>F</v>
      </c>
      <c r="K574" t="str">
        <f t="shared" si="615"/>
        <v>170</v>
      </c>
      <c r="L574" t="str">
        <f>"76"</f>
        <v>76</v>
      </c>
      <c r="M574" t="str">
        <f t="shared" si="673"/>
        <v>001</v>
      </c>
      <c r="N574" t="str">
        <f t="shared" si="674"/>
        <v>1</v>
      </c>
      <c r="O574" t="str">
        <f>"9999"</f>
        <v>9999</v>
      </c>
      <c r="P574" t="str">
        <f t="shared" si="675"/>
        <v>C</v>
      </c>
      <c r="Q574" t="str">
        <f>"EPS018"</f>
        <v>EPS018</v>
      </c>
      <c r="R574" t="str">
        <f t="shared" si="651"/>
        <v>6</v>
      </c>
      <c r="S574" t="str">
        <f>""</f>
        <v/>
      </c>
      <c r="T574" t="str">
        <f t="shared" si="666"/>
        <v xml:space="preserve">                                                                                                    </v>
      </c>
      <c r="U574" t="str">
        <f>"          "</f>
        <v xml:space="preserve">          </v>
      </c>
      <c r="V574" t="str">
        <f t="shared" si="660"/>
        <v>2</v>
      </c>
      <c r="W574" t="str">
        <f t="shared" si="655"/>
        <v>2</v>
      </c>
      <c r="X574" t="str">
        <f t="shared" si="634"/>
        <v>2</v>
      </c>
      <c r="Y574" t="str">
        <f t="shared" si="656"/>
        <v>2</v>
      </c>
      <c r="Z574" t="str">
        <f t="shared" si="656"/>
        <v>2</v>
      </c>
      <c r="AA574" t="str">
        <f t="shared" si="605"/>
        <v xml:space="preserve">          </v>
      </c>
      <c r="AB574" t="str">
        <f t="shared" si="671"/>
        <v>2</v>
      </c>
      <c r="AC574" t="str">
        <f t="shared" si="676"/>
        <v>2</v>
      </c>
      <c r="AD574" t="str">
        <f t="shared" si="657"/>
        <v>2</v>
      </c>
      <c r="AE574" t="str">
        <f t="shared" si="657"/>
        <v>2</v>
      </c>
      <c r="AF574" t="str">
        <f t="shared" si="657"/>
        <v>2</v>
      </c>
      <c r="AG574" t="str">
        <f t="shared" si="657"/>
        <v>2</v>
      </c>
      <c r="AH574" t="str">
        <f t="shared" si="661"/>
        <v>1</v>
      </c>
      <c r="AI574" t="str">
        <f t="shared" si="677"/>
        <v xml:space="preserve">1         </v>
      </c>
      <c r="AJ574" t="str">
        <f t="shared" si="616"/>
        <v>170</v>
      </c>
      <c r="AK574" t="str">
        <f>"76"</f>
        <v>76</v>
      </c>
      <c r="AL574" t="str">
        <f t="shared" si="678"/>
        <v>001</v>
      </c>
      <c r="AM574" t="str">
        <f>"76"</f>
        <v>76</v>
      </c>
      <c r="AN574" t="str">
        <f>"76001"</f>
        <v>76001</v>
      </c>
      <c r="AO574" t="str">
        <f>"7/11/2020 12:00:00 a. m."</f>
        <v>7/11/2020 12:00:00 a. m.</v>
      </c>
      <c r="AP574" t="str">
        <f>"7/10/2020 12:00:00 a. m."</f>
        <v>7/10/2020 12:00:00 a. m.</v>
      </c>
      <c r="AQ574" t="str">
        <f>"2"</f>
        <v>2</v>
      </c>
      <c r="AR574" t="str">
        <f t="shared" si="672"/>
        <v>1</v>
      </c>
      <c r="AS574" t="str">
        <f>"7/11/2020 12:00:00 a. m."</f>
        <v>7/11/2020 12:00:00 a. m.</v>
      </c>
      <c r="AT574" t="str">
        <f t="shared" si="670"/>
        <v>1</v>
      </c>
      <c r="AU574" t="str">
        <f>""</f>
        <v/>
      </c>
      <c r="AV574" t="str">
        <f>"3"</f>
        <v>3</v>
      </c>
      <c r="AW574" t="str">
        <f>"19/06/2004 12:00:00 a. m."</f>
        <v>19/06/2004 12:00:00 a. m.</v>
      </c>
      <c r="AX574" t="str">
        <f>""</f>
        <v/>
      </c>
      <c r="AY574" t="str">
        <f t="shared" si="606"/>
        <v>30/04/2021 12:00:00 a. m.</v>
      </c>
      <c r="AZ574" t="str">
        <f>"15/01/2021 12:00:00 a. m."</f>
        <v>15/01/2021 12:00:00 a. m.</v>
      </c>
      <c r="BA574" t="str">
        <f>""</f>
        <v/>
      </c>
      <c r="BB574" t="str">
        <f>""</f>
        <v/>
      </c>
      <c r="BC574" t="str">
        <f>""</f>
        <v/>
      </c>
      <c r="BD574" t="str">
        <f t="shared" si="658"/>
        <v>1</v>
      </c>
      <c r="BE574" t="str">
        <f t="shared" si="658"/>
        <v>1</v>
      </c>
      <c r="BF574" t="str">
        <f t="shared" si="607"/>
        <v xml:space="preserve">3         </v>
      </c>
      <c r="BG574" t="str">
        <f t="shared" si="608"/>
        <v>Confirmado por laboratorio</v>
      </c>
      <c r="BH574" t="str">
        <f>"FUNDACION VALLE DEL LILI"</f>
        <v>FUNDACION VALLE DEL LILI</v>
      </c>
      <c r="BI574" t="str">
        <f t="shared" si="618"/>
        <v>COLOMBIA</v>
      </c>
      <c r="BJ574" t="str">
        <f t="shared" si="609"/>
        <v>CANCER INFANTIL</v>
      </c>
      <c r="BK574" t="str">
        <f>"VALLE"</f>
        <v>VALLE</v>
      </c>
      <c r="BL574" t="str">
        <f>"CALI"</f>
        <v>CALI</v>
      </c>
      <c r="BM574" t="str">
        <f t="shared" si="619"/>
        <v>COLOMBIA</v>
      </c>
      <c r="BN574" t="str">
        <f>"VALLE"</f>
        <v>VALLE</v>
      </c>
      <c r="BO574" t="str">
        <f>"CALI"</f>
        <v>CALI</v>
      </c>
      <c r="BP574" t="str">
        <f>"VALLE"</f>
        <v>VALLE</v>
      </c>
      <c r="BQ574" t="str">
        <f>"CALI"</f>
        <v>CALI</v>
      </c>
    </row>
    <row r="575" spans="1:69" x14ac:dyDescent="0.25">
      <c r="A575" t="str">
        <f>"7291392"</f>
        <v>7291392</v>
      </c>
      <c r="B575" t="str">
        <f t="shared" si="603"/>
        <v>459</v>
      </c>
      <c r="C575" t="str">
        <f>"4/12/2020 12:00:00 a. m."</f>
        <v>4/12/2020 12:00:00 a. m.</v>
      </c>
      <c r="D575" t="str">
        <f>"36"</f>
        <v>36</v>
      </c>
      <c r="E575" t="str">
        <f t="shared" si="604"/>
        <v>2020</v>
      </c>
      <c r="F575" t="str">
        <f>"7600101111"</f>
        <v>7600101111</v>
      </c>
      <c r="G575" t="str">
        <f t="shared" si="668"/>
        <v>01</v>
      </c>
      <c r="H575" t="str">
        <f>"15"</f>
        <v>15</v>
      </c>
      <c r="I575" t="str">
        <f t="shared" si="665"/>
        <v>1</v>
      </c>
      <c r="J575" t="str">
        <f>"M"</f>
        <v>M</v>
      </c>
      <c r="K575" t="str">
        <f t="shared" si="615"/>
        <v>170</v>
      </c>
      <c r="L575" t="str">
        <f>"76"</f>
        <v>76</v>
      </c>
      <c r="M575" t="str">
        <f t="shared" si="673"/>
        <v>001</v>
      </c>
      <c r="N575" t="str">
        <f t="shared" si="674"/>
        <v>1</v>
      </c>
      <c r="O575" t="str">
        <f>"9999"</f>
        <v>9999</v>
      </c>
      <c r="P575" t="str">
        <f t="shared" si="675"/>
        <v>C</v>
      </c>
      <c r="Q575" t="str">
        <f>"EMP028"</f>
        <v>EMP028</v>
      </c>
      <c r="R575" t="str">
        <f t="shared" si="651"/>
        <v>6</v>
      </c>
      <c r="S575" t="str">
        <f>""</f>
        <v/>
      </c>
      <c r="T575" t="str">
        <f t="shared" si="666"/>
        <v xml:space="preserve">                                                                                                    </v>
      </c>
      <c r="U575" t="str">
        <f>"          "</f>
        <v xml:space="preserve">          </v>
      </c>
      <c r="V575" t="str">
        <f t="shared" si="660"/>
        <v>2</v>
      </c>
      <c r="W575" t="str">
        <f t="shared" si="655"/>
        <v>2</v>
      </c>
      <c r="X575" t="str">
        <f t="shared" si="634"/>
        <v>2</v>
      </c>
      <c r="Y575" t="str">
        <f t="shared" si="656"/>
        <v>2</v>
      </c>
      <c r="Z575" t="str">
        <f t="shared" si="656"/>
        <v>2</v>
      </c>
      <c r="AA575" t="str">
        <f t="shared" si="605"/>
        <v xml:space="preserve">          </v>
      </c>
      <c r="AB575" t="str">
        <f t="shared" si="671"/>
        <v>2</v>
      </c>
      <c r="AC575" t="str">
        <f t="shared" si="676"/>
        <v>2</v>
      </c>
      <c r="AD575" t="str">
        <f t="shared" si="657"/>
        <v>2</v>
      </c>
      <c r="AE575" t="str">
        <f t="shared" si="657"/>
        <v>2</v>
      </c>
      <c r="AF575" t="str">
        <f t="shared" si="657"/>
        <v>2</v>
      </c>
      <c r="AG575" t="str">
        <f t="shared" si="657"/>
        <v>2</v>
      </c>
      <c r="AH575" t="str">
        <f t="shared" si="661"/>
        <v>1</v>
      </c>
      <c r="AI575" t="str">
        <f t="shared" si="677"/>
        <v xml:space="preserve">1         </v>
      </c>
      <c r="AJ575" t="str">
        <f t="shared" si="616"/>
        <v>170</v>
      </c>
      <c r="AK575" t="str">
        <f>"76"</f>
        <v>76</v>
      </c>
      <c r="AL575" t="str">
        <f t="shared" si="678"/>
        <v>001</v>
      </c>
      <c r="AM575" t="str">
        <f>"76"</f>
        <v>76</v>
      </c>
      <c r="AN575" t="str">
        <f>"76001"</f>
        <v>76001</v>
      </c>
      <c r="AO575" t="str">
        <f>"2/09/2020 12:00:00 a. m."</f>
        <v>2/09/2020 12:00:00 a. m.</v>
      </c>
      <c r="AP575" t="str">
        <f>"20/08/2020 12:00:00 a. m."</f>
        <v>20/08/2020 12:00:00 a. m.</v>
      </c>
      <c r="AQ575" t="str">
        <f>"3"</f>
        <v>3</v>
      </c>
      <c r="AR575" t="str">
        <f t="shared" si="672"/>
        <v>1</v>
      </c>
      <c r="AS575" t="str">
        <f>"2/09/2020 12:00:00 a. m."</f>
        <v>2/09/2020 12:00:00 a. m.</v>
      </c>
      <c r="AT575" t="str">
        <f t="shared" si="670"/>
        <v>1</v>
      </c>
      <c r="AU575" t="str">
        <f>""</f>
        <v/>
      </c>
      <c r="AV575" t="str">
        <f>"0"</f>
        <v>0</v>
      </c>
      <c r="AW575" t="str">
        <f>"16/01/2005 12:00:00 a. m."</f>
        <v>16/01/2005 12:00:00 a. m.</v>
      </c>
      <c r="AX575" t="str">
        <f>""</f>
        <v/>
      </c>
      <c r="AY575" t="str">
        <f t="shared" si="606"/>
        <v>30/04/2021 12:00:00 a. m.</v>
      </c>
      <c r="AZ575" t="str">
        <f>"4/12/2020 12:00:00 a. m."</f>
        <v>4/12/2020 12:00:00 a. m.</v>
      </c>
      <c r="BA575" t="str">
        <f>""</f>
        <v/>
      </c>
      <c r="BB575" t="str">
        <f>""</f>
        <v/>
      </c>
      <c r="BC575" t="str">
        <f>""</f>
        <v/>
      </c>
      <c r="BD575" t="str">
        <f t="shared" si="658"/>
        <v>1</v>
      </c>
      <c r="BE575" t="str">
        <f t="shared" si="658"/>
        <v>1</v>
      </c>
      <c r="BF575" t="str">
        <f t="shared" si="607"/>
        <v xml:space="preserve">3         </v>
      </c>
      <c r="BG575" t="str">
        <f t="shared" si="608"/>
        <v>Confirmado por laboratorio</v>
      </c>
      <c r="BH575" t="str">
        <f>"CENTRO MEDICO IMBANACO CMI"</f>
        <v>CENTRO MEDICO IMBANACO CMI</v>
      </c>
      <c r="BI575" t="str">
        <f t="shared" si="618"/>
        <v>COLOMBIA</v>
      </c>
      <c r="BJ575" t="str">
        <f t="shared" si="609"/>
        <v>CANCER INFANTIL</v>
      </c>
      <c r="BK575" t="str">
        <f>"VALLE"</f>
        <v>VALLE</v>
      </c>
      <c r="BL575" t="str">
        <f>"CALI"</f>
        <v>CALI</v>
      </c>
      <c r="BM575" t="str">
        <f t="shared" si="619"/>
        <v>COLOMBIA</v>
      </c>
      <c r="BN575" t="str">
        <f>"VALLE"</f>
        <v>VALLE</v>
      </c>
      <c r="BO575" t="str">
        <f>"CALI"</f>
        <v>CALI</v>
      </c>
      <c r="BP575" t="str">
        <f>"VALLE"</f>
        <v>VALLE</v>
      </c>
      <c r="BQ575" t="str">
        <f>"CALI"</f>
        <v>CALI</v>
      </c>
    </row>
    <row r="576" spans="1:69" x14ac:dyDescent="0.25">
      <c r="A576" t="str">
        <f>"7291393"</f>
        <v>7291393</v>
      </c>
      <c r="B576" t="str">
        <f t="shared" si="603"/>
        <v>459</v>
      </c>
      <c r="C576" t="str">
        <f>"14/08/2020 12:00:00 a. m."</f>
        <v>14/08/2020 12:00:00 a. m.</v>
      </c>
      <c r="D576" t="str">
        <f>"27"</f>
        <v>27</v>
      </c>
      <c r="E576" t="str">
        <f t="shared" si="604"/>
        <v>2020</v>
      </c>
      <c r="F576" t="str">
        <f>"7600102870"</f>
        <v>7600102870</v>
      </c>
      <c r="G576" t="str">
        <f t="shared" si="668"/>
        <v>01</v>
      </c>
      <c r="H576" t="str">
        <f>"6"</f>
        <v>6</v>
      </c>
      <c r="I576" t="str">
        <f t="shared" si="665"/>
        <v>1</v>
      </c>
      <c r="J576" t="str">
        <f>"F"</f>
        <v>F</v>
      </c>
      <c r="K576" t="str">
        <f t="shared" si="615"/>
        <v>170</v>
      </c>
      <c r="L576" t="str">
        <f>"76"</f>
        <v>76</v>
      </c>
      <c r="M576" t="str">
        <f t="shared" si="673"/>
        <v>001</v>
      </c>
      <c r="N576" t="str">
        <f t="shared" si="674"/>
        <v>1</v>
      </c>
      <c r="O576" t="str">
        <f>"9999"</f>
        <v>9999</v>
      </c>
      <c r="P576" t="str">
        <f t="shared" si="675"/>
        <v>C</v>
      </c>
      <c r="Q576" t="str">
        <f>"EMP021"</f>
        <v>EMP021</v>
      </c>
      <c r="R576" t="str">
        <f t="shared" si="651"/>
        <v>6</v>
      </c>
      <c r="S576" t="str">
        <f>""</f>
        <v/>
      </c>
      <c r="T576" t="str">
        <f t="shared" si="666"/>
        <v xml:space="preserve">                                                                                                    </v>
      </c>
      <c r="U576" t="str">
        <f>"4         "</f>
        <v xml:space="preserve">4         </v>
      </c>
      <c r="V576" t="str">
        <f t="shared" si="660"/>
        <v>2</v>
      </c>
      <c r="W576" t="str">
        <f t="shared" si="655"/>
        <v>2</v>
      </c>
      <c r="X576" t="str">
        <f t="shared" si="634"/>
        <v>2</v>
      </c>
      <c r="Y576" t="str">
        <f t="shared" si="656"/>
        <v>2</v>
      </c>
      <c r="Z576" t="str">
        <f t="shared" si="656"/>
        <v>2</v>
      </c>
      <c r="AA576" t="str">
        <f t="shared" si="605"/>
        <v xml:space="preserve">          </v>
      </c>
      <c r="AB576" t="str">
        <f t="shared" si="671"/>
        <v>2</v>
      </c>
      <c r="AC576" t="str">
        <f t="shared" si="676"/>
        <v>2</v>
      </c>
      <c r="AD576" t="str">
        <f t="shared" si="657"/>
        <v>2</v>
      </c>
      <c r="AE576" t="str">
        <f t="shared" si="657"/>
        <v>2</v>
      </c>
      <c r="AF576" t="str">
        <f t="shared" si="657"/>
        <v>2</v>
      </c>
      <c r="AG576" t="str">
        <f t="shared" si="657"/>
        <v>2</v>
      </c>
      <c r="AH576" t="str">
        <f t="shared" si="661"/>
        <v>1</v>
      </c>
      <c r="AI576" t="str">
        <f t="shared" si="677"/>
        <v xml:space="preserve">1         </v>
      </c>
      <c r="AJ576" t="str">
        <f t="shared" si="616"/>
        <v>170</v>
      </c>
      <c r="AK576" t="str">
        <f>"76"</f>
        <v>76</v>
      </c>
      <c r="AL576" t="str">
        <f t="shared" si="678"/>
        <v>001</v>
      </c>
      <c r="AM576" t="str">
        <f>"76"</f>
        <v>76</v>
      </c>
      <c r="AN576" t="str">
        <f>"76001"</f>
        <v>76001</v>
      </c>
      <c r="AO576" t="str">
        <f>"3/07/2020 12:00:00 a. m."</f>
        <v>3/07/2020 12:00:00 a. m.</v>
      </c>
      <c r="AP576" t="str">
        <f>"1/06/2020 12:00:00 a. m."</f>
        <v>1/06/2020 12:00:00 a. m.</v>
      </c>
      <c r="AQ576" t="str">
        <f>"3"</f>
        <v>3</v>
      </c>
      <c r="AR576" t="str">
        <f t="shared" si="672"/>
        <v>1</v>
      </c>
      <c r="AS576" t="str">
        <f>"3/07/2020 12:00:00 a. m."</f>
        <v>3/07/2020 12:00:00 a. m.</v>
      </c>
      <c r="AT576" t="str">
        <f t="shared" si="670"/>
        <v>1</v>
      </c>
      <c r="AU576" t="str">
        <f>""</f>
        <v/>
      </c>
      <c r="AV576" t="str">
        <f>"0"</f>
        <v>0</v>
      </c>
      <c r="AW576" t="str">
        <f>"14/11/2013 12:00:00 a. m."</f>
        <v>14/11/2013 12:00:00 a. m.</v>
      </c>
      <c r="AX576" t="str">
        <f>""</f>
        <v/>
      </c>
      <c r="AY576" t="str">
        <f t="shared" si="606"/>
        <v>30/04/2021 12:00:00 a. m.</v>
      </c>
      <c r="AZ576" t="str">
        <f>"14/08/2020 12:00:00 a. m."</f>
        <v>14/08/2020 12:00:00 a. m.</v>
      </c>
      <c r="BA576" t="str">
        <f>""</f>
        <v/>
      </c>
      <c r="BB576" t="str">
        <f>""</f>
        <v/>
      </c>
      <c r="BC576" t="str">
        <f>""</f>
        <v/>
      </c>
      <c r="BD576" t="str">
        <f t="shared" si="658"/>
        <v>1</v>
      </c>
      <c r="BE576" t="str">
        <f t="shared" si="658"/>
        <v>1</v>
      </c>
      <c r="BF576" t="str">
        <f t="shared" si="607"/>
        <v xml:space="preserve">3         </v>
      </c>
      <c r="BG576" t="str">
        <f t="shared" si="608"/>
        <v>Confirmado por laboratorio</v>
      </c>
      <c r="BH576" t="str">
        <f>"FUNDACION VALLE DEL LILI"</f>
        <v>FUNDACION VALLE DEL LILI</v>
      </c>
      <c r="BI576" t="str">
        <f t="shared" si="618"/>
        <v>COLOMBIA</v>
      </c>
      <c r="BJ576" t="str">
        <f t="shared" si="609"/>
        <v>CANCER INFANTIL</v>
      </c>
      <c r="BK576" t="str">
        <f>"VALLE"</f>
        <v>VALLE</v>
      </c>
      <c r="BL576" t="str">
        <f>"CALI"</f>
        <v>CALI</v>
      </c>
      <c r="BM576" t="str">
        <f t="shared" si="619"/>
        <v>COLOMBIA</v>
      </c>
      <c r="BN576" t="str">
        <f>"VALLE"</f>
        <v>VALLE</v>
      </c>
      <c r="BO576" t="str">
        <f>"CALI"</f>
        <v>CALI</v>
      </c>
      <c r="BP576" t="str">
        <f>"VALLE"</f>
        <v>VALLE</v>
      </c>
      <c r="BQ576" t="str">
        <f>"CALI"</f>
        <v>CALI</v>
      </c>
    </row>
    <row r="577" spans="1:69" x14ac:dyDescent="0.25">
      <c r="A577" t="str">
        <f>"7285649"</f>
        <v>7285649</v>
      </c>
      <c r="B577" t="str">
        <f t="shared" si="603"/>
        <v>459</v>
      </c>
      <c r="C577" t="str">
        <f>"10/09/2020 12:00:00 a. m."</f>
        <v>10/09/2020 12:00:00 a. m.</v>
      </c>
      <c r="D577" t="str">
        <f>"37"</f>
        <v>37</v>
      </c>
      <c r="E577" t="str">
        <f t="shared" si="604"/>
        <v>2020</v>
      </c>
      <c r="F577" t="str">
        <f>"1100108171"</f>
        <v>1100108171</v>
      </c>
      <c r="G577" t="str">
        <f>"02"</f>
        <v>02</v>
      </c>
      <c r="H577" t="str">
        <f>"11"</f>
        <v>11</v>
      </c>
      <c r="I577" t="str">
        <f t="shared" si="665"/>
        <v>1</v>
      </c>
      <c r="J577" t="str">
        <f>"F"</f>
        <v>F</v>
      </c>
      <c r="K577" t="str">
        <f t="shared" si="615"/>
        <v>170</v>
      </c>
      <c r="L577" t="str">
        <f>"11"</f>
        <v>11</v>
      </c>
      <c r="M577" t="str">
        <f t="shared" si="673"/>
        <v>001</v>
      </c>
      <c r="N577" t="str">
        <f t="shared" si="674"/>
        <v>1</v>
      </c>
      <c r="O577" t="str">
        <f>"9997"</f>
        <v>9997</v>
      </c>
      <c r="P577" t="str">
        <f t="shared" si="675"/>
        <v>C</v>
      </c>
      <c r="Q577" t="str">
        <f>"EPS017"</f>
        <v>EPS017</v>
      </c>
      <c r="R577" t="str">
        <f t="shared" si="651"/>
        <v>6</v>
      </c>
      <c r="S577" t="str">
        <f>""</f>
        <v/>
      </c>
      <c r="T577" t="str">
        <f t="shared" si="666"/>
        <v xml:space="preserve">                                                                                                    </v>
      </c>
      <c r="U577" t="str">
        <f>"3         "</f>
        <v xml:space="preserve">3         </v>
      </c>
      <c r="V577" t="str">
        <f t="shared" si="660"/>
        <v>2</v>
      </c>
      <c r="W577" t="str">
        <f t="shared" si="655"/>
        <v>2</v>
      </c>
      <c r="X577" t="str">
        <f t="shared" si="634"/>
        <v>2</v>
      </c>
      <c r="Y577" t="str">
        <f t="shared" si="656"/>
        <v>2</v>
      </c>
      <c r="Z577" t="str">
        <f t="shared" si="656"/>
        <v>2</v>
      </c>
      <c r="AA577" t="str">
        <f t="shared" si="605"/>
        <v xml:space="preserve">          </v>
      </c>
      <c r="AB577" t="str">
        <f t="shared" si="671"/>
        <v>2</v>
      </c>
      <c r="AC577" t="str">
        <f t="shared" si="676"/>
        <v>2</v>
      </c>
      <c r="AD577" t="str">
        <f t="shared" si="657"/>
        <v>2</v>
      </c>
      <c r="AE577" t="str">
        <f t="shared" si="657"/>
        <v>2</v>
      </c>
      <c r="AF577" t="str">
        <f t="shared" si="657"/>
        <v>2</v>
      </c>
      <c r="AG577" t="str">
        <f t="shared" si="657"/>
        <v>2</v>
      </c>
      <c r="AH577" t="str">
        <f t="shared" si="661"/>
        <v>1</v>
      </c>
      <c r="AI577" t="str">
        <f t="shared" si="677"/>
        <v xml:space="preserve">1         </v>
      </c>
      <c r="AJ577" t="str">
        <f t="shared" si="616"/>
        <v>170</v>
      </c>
      <c r="AK577" t="str">
        <f>"11"</f>
        <v>11</v>
      </c>
      <c r="AL577" t="str">
        <f t="shared" si="678"/>
        <v>001</v>
      </c>
      <c r="AM577" t="str">
        <f>"11"</f>
        <v>11</v>
      </c>
      <c r="AN577" t="str">
        <f>"11001"</f>
        <v>11001</v>
      </c>
      <c r="AO577" t="str">
        <f>"9/09/2020 12:00:00 a. m."</f>
        <v>9/09/2020 12:00:00 a. m.</v>
      </c>
      <c r="AP577" t="str">
        <f>"30/07/2020 12:00:00 a. m."</f>
        <v>30/07/2020 12:00:00 a. m.</v>
      </c>
      <c r="AQ577" t="str">
        <f>"2"</f>
        <v>2</v>
      </c>
      <c r="AR577" t="str">
        <f t="shared" si="672"/>
        <v>1</v>
      </c>
      <c r="AS577" t="str">
        <f>"9/09/2020 12:00:00 a. m."</f>
        <v>9/09/2020 12:00:00 a. m.</v>
      </c>
      <c r="AT577" t="str">
        <f t="shared" si="670"/>
        <v>1</v>
      </c>
      <c r="AU577" t="str">
        <f>""</f>
        <v/>
      </c>
      <c r="AV577" t="str">
        <f>"3"</f>
        <v>3</v>
      </c>
      <c r="AW577" t="str">
        <f>"31/03/2009 12:00:00 a. m."</f>
        <v>31/03/2009 12:00:00 a. m.</v>
      </c>
      <c r="AX577" t="str">
        <f>""</f>
        <v/>
      </c>
      <c r="AY577" t="str">
        <f t="shared" si="606"/>
        <v>30/04/2021 12:00:00 a. m.</v>
      </c>
      <c r="AZ577" t="str">
        <f>"6/10/2020 12:00:00 a. m."</f>
        <v>6/10/2020 12:00:00 a. m.</v>
      </c>
      <c r="BA577" t="str">
        <f>""</f>
        <v/>
      </c>
      <c r="BB577" t="str">
        <f>""</f>
        <v/>
      </c>
      <c r="BC577" t="str">
        <f>""</f>
        <v/>
      </c>
      <c r="BD577" t="str">
        <f t="shared" si="658"/>
        <v>1</v>
      </c>
      <c r="BE577" t="str">
        <f t="shared" si="658"/>
        <v>1</v>
      </c>
      <c r="BF577" t="str">
        <f t="shared" si="607"/>
        <v xml:space="preserve">3         </v>
      </c>
      <c r="BG577" t="str">
        <f t="shared" si="608"/>
        <v>Confirmado por laboratorio</v>
      </c>
      <c r="BH577" t="str">
        <f>"CLINICA INFANTIL COLSUBSIDIO"</f>
        <v>CLINICA INFANTIL COLSUBSIDIO</v>
      </c>
      <c r="BI577" t="str">
        <f t="shared" si="618"/>
        <v>COLOMBIA</v>
      </c>
      <c r="BJ577" t="str">
        <f t="shared" si="609"/>
        <v>CANCER INFANTIL</v>
      </c>
      <c r="BK577" t="str">
        <f t="shared" ref="BK577:BL579" si="679">"BOGOTA"</f>
        <v>BOGOTA</v>
      </c>
      <c r="BL577" t="str">
        <f t="shared" si="679"/>
        <v>BOGOTA</v>
      </c>
      <c r="BM577" t="str">
        <f t="shared" si="619"/>
        <v>COLOMBIA</v>
      </c>
      <c r="BN577" t="str">
        <f t="shared" ref="BN577:BQ579" si="680">"BOGOTA"</f>
        <v>BOGOTA</v>
      </c>
      <c r="BO577" t="str">
        <f t="shared" si="680"/>
        <v>BOGOTA</v>
      </c>
      <c r="BP577" t="str">
        <f t="shared" si="680"/>
        <v>BOGOTA</v>
      </c>
      <c r="BQ577" t="str">
        <f t="shared" si="680"/>
        <v>BOGOTA</v>
      </c>
    </row>
    <row r="578" spans="1:69" x14ac:dyDescent="0.25">
      <c r="A578" t="str">
        <f>"7285643"</f>
        <v>7285643</v>
      </c>
      <c r="B578" t="str">
        <f t="shared" ref="B578:B641" si="681">"459"</f>
        <v>459</v>
      </c>
      <c r="C578" t="str">
        <f>"18/09/2020 12:00:00 a. m."</f>
        <v>18/09/2020 12:00:00 a. m.</v>
      </c>
      <c r="D578" t="str">
        <f>"06"</f>
        <v>06</v>
      </c>
      <c r="E578" t="str">
        <f t="shared" ref="E578:E641" si="682">"2020"</f>
        <v>2020</v>
      </c>
      <c r="F578" t="str">
        <f>"1100105681"</f>
        <v>1100105681</v>
      </c>
      <c r="G578" t="str">
        <f>"01"</f>
        <v>01</v>
      </c>
      <c r="H578" t="str">
        <f>"14"</f>
        <v>14</v>
      </c>
      <c r="I578" t="str">
        <f t="shared" si="665"/>
        <v>1</v>
      </c>
      <c r="J578" t="str">
        <f>"M"</f>
        <v>M</v>
      </c>
      <c r="K578" t="str">
        <f t="shared" si="615"/>
        <v>170</v>
      </c>
      <c r="L578" t="str">
        <f>"11"</f>
        <v>11</v>
      </c>
      <c r="M578" t="str">
        <f t="shared" si="673"/>
        <v>001</v>
      </c>
      <c r="N578" t="str">
        <f t="shared" si="674"/>
        <v>1</v>
      </c>
      <c r="O578" t="str">
        <f>"9997"</f>
        <v>9997</v>
      </c>
      <c r="P578" t="str">
        <f t="shared" si="675"/>
        <v>C</v>
      </c>
      <c r="Q578" t="str">
        <f>"EPS005"</f>
        <v>EPS005</v>
      </c>
      <c r="R578" t="str">
        <f t="shared" si="651"/>
        <v>6</v>
      </c>
      <c r="S578" t="str">
        <f>""</f>
        <v/>
      </c>
      <c r="T578" t="str">
        <f t="shared" si="666"/>
        <v xml:space="preserve">                                                                                                    </v>
      </c>
      <c r="U578" t="str">
        <f>"2         "</f>
        <v xml:space="preserve">2         </v>
      </c>
      <c r="V578" t="str">
        <f t="shared" si="660"/>
        <v>2</v>
      </c>
      <c r="W578" t="str">
        <f t="shared" si="655"/>
        <v>2</v>
      </c>
      <c r="X578" t="str">
        <f t="shared" si="634"/>
        <v>2</v>
      </c>
      <c r="Y578" t="str">
        <f t="shared" si="656"/>
        <v>2</v>
      </c>
      <c r="Z578" t="str">
        <f t="shared" si="656"/>
        <v>2</v>
      </c>
      <c r="AA578" t="str">
        <f t="shared" ref="AA578:AA641" si="683">"          "</f>
        <v xml:space="preserve">          </v>
      </c>
      <c r="AB578" t="str">
        <f t="shared" si="671"/>
        <v>2</v>
      </c>
      <c r="AC578" t="str">
        <f t="shared" si="676"/>
        <v>2</v>
      </c>
      <c r="AD578" t="str">
        <f t="shared" si="657"/>
        <v>2</v>
      </c>
      <c r="AE578" t="str">
        <f t="shared" si="657"/>
        <v>2</v>
      </c>
      <c r="AF578" t="str">
        <f t="shared" si="657"/>
        <v>2</v>
      </c>
      <c r="AG578" t="str">
        <f t="shared" si="657"/>
        <v>2</v>
      </c>
      <c r="AH578" t="str">
        <f t="shared" si="661"/>
        <v>1</v>
      </c>
      <c r="AI578" t="str">
        <f t="shared" si="677"/>
        <v xml:space="preserve">1         </v>
      </c>
      <c r="AJ578" t="str">
        <f t="shared" si="616"/>
        <v>170</v>
      </c>
      <c r="AK578" t="str">
        <f>"11"</f>
        <v>11</v>
      </c>
      <c r="AL578" t="str">
        <f t="shared" si="678"/>
        <v>001</v>
      </c>
      <c r="AM578" t="str">
        <f>"11"</f>
        <v>11</v>
      </c>
      <c r="AN578" t="str">
        <f>"11001"</f>
        <v>11001</v>
      </c>
      <c r="AO578" t="str">
        <f>"5/02/2020 12:00:00 a. m."</f>
        <v>5/02/2020 12:00:00 a. m.</v>
      </c>
      <c r="AP578" t="str">
        <f>"5/01/2020 12:00:00 a. m."</f>
        <v>5/01/2020 12:00:00 a. m.</v>
      </c>
      <c r="AQ578" t="str">
        <f>"3"</f>
        <v>3</v>
      </c>
      <c r="AR578" t="str">
        <f t="shared" si="672"/>
        <v>1</v>
      </c>
      <c r="AS578" t="str">
        <f>"5/02/2020 12:00:00 a. m."</f>
        <v>5/02/2020 12:00:00 a. m.</v>
      </c>
      <c r="AT578" t="str">
        <f t="shared" si="670"/>
        <v>1</v>
      </c>
      <c r="AU578" t="str">
        <f>""</f>
        <v/>
      </c>
      <c r="AV578" t="str">
        <f>"7"</f>
        <v>7</v>
      </c>
      <c r="AW578" t="str">
        <f>"15/11/2005 12:00:00 a. m."</f>
        <v>15/11/2005 12:00:00 a. m.</v>
      </c>
      <c r="AX578" t="str">
        <f>""</f>
        <v/>
      </c>
      <c r="AY578" t="str">
        <f t="shared" ref="AY578:AY641" si="684">"30/04/2021 12:00:00 a. m."</f>
        <v>30/04/2021 12:00:00 a. m.</v>
      </c>
      <c r="AZ578" t="str">
        <f>"2/02/2021 12:00:00 a. m."</f>
        <v>2/02/2021 12:00:00 a. m.</v>
      </c>
      <c r="BA578" t="str">
        <f>""</f>
        <v/>
      </c>
      <c r="BB578" t="str">
        <f>""</f>
        <v/>
      </c>
      <c r="BC578" t="str">
        <f>""</f>
        <v/>
      </c>
      <c r="BD578" t="str">
        <f t="shared" si="658"/>
        <v>1</v>
      </c>
      <c r="BE578" t="str">
        <f t="shared" si="658"/>
        <v>1</v>
      </c>
      <c r="BF578" t="str">
        <f t="shared" ref="BF578:BF641" si="685">"3         "</f>
        <v xml:space="preserve">3         </v>
      </c>
      <c r="BG578" t="str">
        <f t="shared" ref="BG578:BG641" si="686">"Confirmado por laboratorio"</f>
        <v>Confirmado por laboratorio</v>
      </c>
      <c r="BH578" t="str">
        <f>"FUNDACION HOSPITAL DE LA MISERICORDIA"</f>
        <v>FUNDACION HOSPITAL DE LA MISERICORDIA</v>
      </c>
      <c r="BI578" t="str">
        <f t="shared" si="618"/>
        <v>COLOMBIA</v>
      </c>
      <c r="BJ578" t="str">
        <f t="shared" ref="BJ578:BJ641" si="687">"CANCER INFANTIL"</f>
        <v>CANCER INFANTIL</v>
      </c>
      <c r="BK578" t="str">
        <f t="shared" si="679"/>
        <v>BOGOTA</v>
      </c>
      <c r="BL578" t="str">
        <f t="shared" si="679"/>
        <v>BOGOTA</v>
      </c>
      <c r="BM578" t="str">
        <f t="shared" si="619"/>
        <v>COLOMBIA</v>
      </c>
      <c r="BN578" t="str">
        <f t="shared" si="680"/>
        <v>BOGOTA</v>
      </c>
      <c r="BO578" t="str">
        <f t="shared" si="680"/>
        <v>BOGOTA</v>
      </c>
      <c r="BP578" t="str">
        <f t="shared" si="680"/>
        <v>BOGOTA</v>
      </c>
      <c r="BQ578" t="str">
        <f t="shared" si="680"/>
        <v>BOGOTA</v>
      </c>
    </row>
    <row r="579" spans="1:69" x14ac:dyDescent="0.25">
      <c r="A579" t="str">
        <f>"7285644"</f>
        <v>7285644</v>
      </c>
      <c r="B579" t="str">
        <f t="shared" si="681"/>
        <v>459</v>
      </c>
      <c r="C579" t="str">
        <f>"17/09/2020 12:00:00 a. m."</f>
        <v>17/09/2020 12:00:00 a. m.</v>
      </c>
      <c r="D579" t="str">
        <f>"28"</f>
        <v>28</v>
      </c>
      <c r="E579" t="str">
        <f t="shared" si="682"/>
        <v>2020</v>
      </c>
      <c r="F579" t="str">
        <f>"1100105681"</f>
        <v>1100105681</v>
      </c>
      <c r="G579" t="str">
        <f>"01"</f>
        <v>01</v>
      </c>
      <c r="H579" t="str">
        <f>"14"</f>
        <v>14</v>
      </c>
      <c r="I579" t="str">
        <f t="shared" si="665"/>
        <v>1</v>
      </c>
      <c r="J579" t="str">
        <f>"M"</f>
        <v>M</v>
      </c>
      <c r="K579" t="str">
        <f t="shared" si="615"/>
        <v>170</v>
      </c>
      <c r="L579" t="str">
        <f>"11"</f>
        <v>11</v>
      </c>
      <c r="M579" t="str">
        <f t="shared" si="673"/>
        <v>001</v>
      </c>
      <c r="N579" t="str">
        <f t="shared" si="674"/>
        <v>1</v>
      </c>
      <c r="O579" t="str">
        <f>"9997"</f>
        <v>9997</v>
      </c>
      <c r="P579" t="str">
        <f t="shared" si="675"/>
        <v>C</v>
      </c>
      <c r="Q579" t="str">
        <f>"EPS008"</f>
        <v>EPS008</v>
      </c>
      <c r="R579" t="str">
        <f t="shared" si="651"/>
        <v>6</v>
      </c>
      <c r="S579" t="str">
        <f>""</f>
        <v/>
      </c>
      <c r="T579" t="str">
        <f t="shared" si="666"/>
        <v xml:space="preserve">                                                                                                    </v>
      </c>
      <c r="U579" t="str">
        <f>"3         "</f>
        <v xml:space="preserve">3         </v>
      </c>
      <c r="V579" t="str">
        <f t="shared" si="660"/>
        <v>2</v>
      </c>
      <c r="W579" t="str">
        <f t="shared" si="655"/>
        <v>2</v>
      </c>
      <c r="X579" t="str">
        <f t="shared" si="634"/>
        <v>2</v>
      </c>
      <c r="Y579" t="str">
        <f t="shared" ref="Y579:Z598" si="688">"2"</f>
        <v>2</v>
      </c>
      <c r="Z579" t="str">
        <f t="shared" si="688"/>
        <v>2</v>
      </c>
      <c r="AA579" t="str">
        <f t="shared" si="683"/>
        <v xml:space="preserve">          </v>
      </c>
      <c r="AB579" t="str">
        <f t="shared" si="671"/>
        <v>2</v>
      </c>
      <c r="AC579" t="str">
        <f t="shared" si="676"/>
        <v>2</v>
      </c>
      <c r="AD579" t="str">
        <f t="shared" si="657"/>
        <v>2</v>
      </c>
      <c r="AE579" t="str">
        <f t="shared" si="657"/>
        <v>2</v>
      </c>
      <c r="AF579" t="str">
        <f t="shared" si="657"/>
        <v>2</v>
      </c>
      <c r="AG579" t="str">
        <f t="shared" si="657"/>
        <v>2</v>
      </c>
      <c r="AH579" t="str">
        <f t="shared" si="661"/>
        <v>1</v>
      </c>
      <c r="AI579" t="str">
        <f t="shared" si="677"/>
        <v xml:space="preserve">1         </v>
      </c>
      <c r="AJ579" t="str">
        <f t="shared" si="616"/>
        <v>170</v>
      </c>
      <c r="AK579" t="str">
        <f>"11"</f>
        <v>11</v>
      </c>
      <c r="AL579" t="str">
        <f t="shared" si="678"/>
        <v>001</v>
      </c>
      <c r="AM579" t="str">
        <f>"11"</f>
        <v>11</v>
      </c>
      <c r="AN579" t="str">
        <f>"11001"</f>
        <v>11001</v>
      </c>
      <c r="AO579" t="str">
        <f>"8/07/2020 12:00:00 a. m."</f>
        <v>8/07/2020 12:00:00 a. m.</v>
      </c>
      <c r="AP579" t="str">
        <f>"24/06/2020 12:00:00 a. m."</f>
        <v>24/06/2020 12:00:00 a. m.</v>
      </c>
      <c r="AQ579" t="str">
        <f>"3"</f>
        <v>3</v>
      </c>
      <c r="AR579" t="str">
        <f t="shared" si="672"/>
        <v>1</v>
      </c>
      <c r="AS579" t="str">
        <f>"8/07/2020 12:00:00 a. m."</f>
        <v>8/07/2020 12:00:00 a. m.</v>
      </c>
      <c r="AT579" t="str">
        <f t="shared" si="670"/>
        <v>1</v>
      </c>
      <c r="AU579" t="str">
        <f>""</f>
        <v/>
      </c>
      <c r="AV579" t="str">
        <f>"0"</f>
        <v>0</v>
      </c>
      <c r="AW579" t="str">
        <f>"16/03/2006 12:00:00 a. m."</f>
        <v>16/03/2006 12:00:00 a. m.</v>
      </c>
      <c r="AX579" t="str">
        <f>""</f>
        <v/>
      </c>
      <c r="AY579" t="str">
        <f t="shared" si="684"/>
        <v>30/04/2021 12:00:00 a. m.</v>
      </c>
      <c r="AZ579" t="str">
        <f>"17/09/2020 12:00:00 a. m."</f>
        <v>17/09/2020 12:00:00 a. m.</v>
      </c>
      <c r="BA579" t="str">
        <f>""</f>
        <v/>
      </c>
      <c r="BB579" t="str">
        <f>""</f>
        <v/>
      </c>
      <c r="BC579" t="str">
        <f>""</f>
        <v/>
      </c>
      <c r="BD579" t="str">
        <f t="shared" si="658"/>
        <v>1</v>
      </c>
      <c r="BE579" t="str">
        <f t="shared" si="658"/>
        <v>1</v>
      </c>
      <c r="BF579" t="str">
        <f t="shared" si="685"/>
        <v xml:space="preserve">3         </v>
      </c>
      <c r="BG579" t="str">
        <f t="shared" si="686"/>
        <v>Confirmado por laboratorio</v>
      </c>
      <c r="BH579" t="str">
        <f>"FUNDACION HOSPITAL DE LA MISERICORDIA"</f>
        <v>FUNDACION HOSPITAL DE LA MISERICORDIA</v>
      </c>
      <c r="BI579" t="str">
        <f t="shared" si="618"/>
        <v>COLOMBIA</v>
      </c>
      <c r="BJ579" t="str">
        <f t="shared" si="687"/>
        <v>CANCER INFANTIL</v>
      </c>
      <c r="BK579" t="str">
        <f t="shared" si="679"/>
        <v>BOGOTA</v>
      </c>
      <c r="BL579" t="str">
        <f t="shared" si="679"/>
        <v>BOGOTA</v>
      </c>
      <c r="BM579" t="str">
        <f t="shared" si="619"/>
        <v>COLOMBIA</v>
      </c>
      <c r="BN579" t="str">
        <f t="shared" si="680"/>
        <v>BOGOTA</v>
      </c>
      <c r="BO579" t="str">
        <f t="shared" si="680"/>
        <v>BOGOTA</v>
      </c>
      <c r="BP579" t="str">
        <f t="shared" si="680"/>
        <v>BOGOTA</v>
      </c>
      <c r="BQ579" t="str">
        <f t="shared" si="680"/>
        <v>BOGOTA</v>
      </c>
    </row>
    <row r="580" spans="1:69" x14ac:dyDescent="0.25">
      <c r="A580" t="str">
        <f>"7291684"</f>
        <v>7291684</v>
      </c>
      <c r="B580" t="str">
        <f t="shared" si="681"/>
        <v>459</v>
      </c>
      <c r="C580" t="str">
        <f>"20/11/2020 12:00:00 a. m."</f>
        <v>20/11/2020 12:00:00 a. m.</v>
      </c>
      <c r="D580" t="str">
        <f>"47"</f>
        <v>47</v>
      </c>
      <c r="E580" t="str">
        <f t="shared" si="682"/>
        <v>2020</v>
      </c>
      <c r="F580" t="str">
        <f>"7600103799"</f>
        <v>7600103799</v>
      </c>
      <c r="G580" t="str">
        <f>"01"</f>
        <v>01</v>
      </c>
      <c r="H580" t="str">
        <f>"15"</f>
        <v>15</v>
      </c>
      <c r="I580" t="str">
        <f t="shared" si="665"/>
        <v>1</v>
      </c>
      <c r="J580" t="str">
        <f>"F"</f>
        <v>F</v>
      </c>
      <c r="K580" t="str">
        <f t="shared" si="615"/>
        <v>170</v>
      </c>
      <c r="L580" t="str">
        <f>"76"</f>
        <v>76</v>
      </c>
      <c r="M580" t="str">
        <f>"233"</f>
        <v>233</v>
      </c>
      <c r="N580" t="str">
        <f t="shared" si="674"/>
        <v>1</v>
      </c>
      <c r="O580" t="str">
        <f>"9997"</f>
        <v>9997</v>
      </c>
      <c r="P580" t="str">
        <f>"S"</f>
        <v>S</v>
      </c>
      <c r="Q580" t="str">
        <f>"EPSS45"</f>
        <v>EPSS45</v>
      </c>
      <c r="R580" t="str">
        <f t="shared" si="651"/>
        <v>6</v>
      </c>
      <c r="S580" t="str">
        <f>""</f>
        <v/>
      </c>
      <c r="T580" t="str">
        <f t="shared" si="666"/>
        <v xml:space="preserve">                                                                                                    </v>
      </c>
      <c r="U580" t="str">
        <f>"1         "</f>
        <v xml:space="preserve">1         </v>
      </c>
      <c r="V580" t="str">
        <f t="shared" si="660"/>
        <v>2</v>
      </c>
      <c r="W580" t="str">
        <f t="shared" si="655"/>
        <v>2</v>
      </c>
      <c r="X580" t="str">
        <f t="shared" si="634"/>
        <v>2</v>
      </c>
      <c r="Y580" t="str">
        <f t="shared" si="688"/>
        <v>2</v>
      </c>
      <c r="Z580" t="str">
        <f t="shared" si="688"/>
        <v>2</v>
      </c>
      <c r="AA580" t="str">
        <f t="shared" si="683"/>
        <v xml:space="preserve">          </v>
      </c>
      <c r="AB580" t="str">
        <f t="shared" si="671"/>
        <v>2</v>
      </c>
      <c r="AC580" t="str">
        <f t="shared" si="676"/>
        <v>2</v>
      </c>
      <c r="AD580" t="str">
        <f t="shared" ref="AD580:AG599" si="689">"2"</f>
        <v>2</v>
      </c>
      <c r="AE580" t="str">
        <f t="shared" si="689"/>
        <v>2</v>
      </c>
      <c r="AF580" t="str">
        <f t="shared" si="689"/>
        <v>2</v>
      </c>
      <c r="AG580" t="str">
        <f t="shared" si="689"/>
        <v>2</v>
      </c>
      <c r="AH580" t="str">
        <f t="shared" si="661"/>
        <v>1</v>
      </c>
      <c r="AI580" t="str">
        <f t="shared" si="677"/>
        <v xml:space="preserve">1         </v>
      </c>
      <c r="AJ580" t="str">
        <f t="shared" si="616"/>
        <v>170</v>
      </c>
      <c r="AK580" t="str">
        <f>"76"</f>
        <v>76</v>
      </c>
      <c r="AL580" t="str">
        <f>"233"</f>
        <v>233</v>
      </c>
      <c r="AM580" t="str">
        <f>"76"</f>
        <v>76</v>
      </c>
      <c r="AN580" t="str">
        <f>"76001"</f>
        <v>76001</v>
      </c>
      <c r="AO580" t="str">
        <f>"20/11/2020 12:00:00 a. m."</f>
        <v>20/11/2020 12:00:00 a. m.</v>
      </c>
      <c r="AP580" t="str">
        <f>"1/10/2020 12:00:00 a. m."</f>
        <v>1/10/2020 12:00:00 a. m.</v>
      </c>
      <c r="AQ580" t="str">
        <f>"2"</f>
        <v>2</v>
      </c>
      <c r="AR580" t="str">
        <f t="shared" si="672"/>
        <v>1</v>
      </c>
      <c r="AS580" t="str">
        <f>"20/11/2020 12:00:00 a. m."</f>
        <v>20/11/2020 12:00:00 a. m.</v>
      </c>
      <c r="AT580" t="str">
        <f t="shared" si="670"/>
        <v>1</v>
      </c>
      <c r="AU580" t="str">
        <f>""</f>
        <v/>
      </c>
      <c r="AV580" t="str">
        <f>"3"</f>
        <v>3</v>
      </c>
      <c r="AW580" t="str">
        <f>"7/12/2004 12:00:00 a. m."</f>
        <v>7/12/2004 12:00:00 a. m.</v>
      </c>
      <c r="AX580" t="str">
        <f>""</f>
        <v/>
      </c>
      <c r="AY580" t="str">
        <f t="shared" si="684"/>
        <v>30/04/2021 12:00:00 a. m.</v>
      </c>
      <c r="AZ580" t="str">
        <f>"15/12/2020 12:00:00 a. m."</f>
        <v>15/12/2020 12:00:00 a. m.</v>
      </c>
      <c r="BA580" t="str">
        <f>""</f>
        <v/>
      </c>
      <c r="BB580" t="str">
        <f>""</f>
        <v/>
      </c>
      <c r="BC580" t="str">
        <f>""</f>
        <v/>
      </c>
      <c r="BD580" t="str">
        <f t="shared" si="658"/>
        <v>1</v>
      </c>
      <c r="BE580" t="str">
        <f t="shared" si="658"/>
        <v>1</v>
      </c>
      <c r="BF580" t="str">
        <f t="shared" si="685"/>
        <v xml:space="preserve">3         </v>
      </c>
      <c r="BG580" t="str">
        <f t="shared" si="686"/>
        <v>Confirmado por laboratorio</v>
      </c>
      <c r="BH580" t="str">
        <f>"HOSPITAL UNIVERSITARIO DEL VALLE EVARISTO GARCIA"</f>
        <v>HOSPITAL UNIVERSITARIO DEL VALLE EVARISTO GARCIA</v>
      </c>
      <c r="BI580" t="str">
        <f t="shared" si="618"/>
        <v>COLOMBIA</v>
      </c>
      <c r="BJ580" t="str">
        <f t="shared" si="687"/>
        <v>CANCER INFANTIL</v>
      </c>
      <c r="BK580" t="str">
        <f>"VALLE"</f>
        <v>VALLE</v>
      </c>
      <c r="BL580" t="str">
        <f>"DAGUA"</f>
        <v>DAGUA</v>
      </c>
      <c r="BM580" t="str">
        <f t="shared" si="619"/>
        <v>COLOMBIA</v>
      </c>
      <c r="BN580" t="str">
        <f>"VALLE"</f>
        <v>VALLE</v>
      </c>
      <c r="BO580" t="str">
        <f>"DAGUA"</f>
        <v>DAGUA</v>
      </c>
      <c r="BP580" t="str">
        <f>"VALLE"</f>
        <v>VALLE</v>
      </c>
      <c r="BQ580" t="str">
        <f>"CALI"</f>
        <v>CALI</v>
      </c>
    </row>
    <row r="581" spans="1:69" x14ac:dyDescent="0.25">
      <c r="A581" t="str">
        <f>"7291773"</f>
        <v>7291773</v>
      </c>
      <c r="B581" t="str">
        <f t="shared" si="681"/>
        <v>459</v>
      </c>
      <c r="C581" t="str">
        <f>"14/02/2020 12:00:00 a. m."</f>
        <v>14/02/2020 12:00:00 a. m.</v>
      </c>
      <c r="D581" t="str">
        <f>"06"</f>
        <v>06</v>
      </c>
      <c r="E581" t="str">
        <f t="shared" si="682"/>
        <v>2020</v>
      </c>
      <c r="F581" t="str">
        <f>"1100105681"</f>
        <v>1100105681</v>
      </c>
      <c r="G581" t="str">
        <f>"01"</f>
        <v>01</v>
      </c>
      <c r="H581" t="str">
        <f>"4"</f>
        <v>4</v>
      </c>
      <c r="I581" t="str">
        <f t="shared" si="665"/>
        <v>1</v>
      </c>
      <c r="J581" t="str">
        <f>"M"</f>
        <v>M</v>
      </c>
      <c r="K581" t="str">
        <f t="shared" si="615"/>
        <v>170</v>
      </c>
      <c r="L581" t="str">
        <f>"11"</f>
        <v>11</v>
      </c>
      <c r="M581" t="str">
        <f>"001"</f>
        <v>001</v>
      </c>
      <c r="N581" t="str">
        <f t="shared" si="674"/>
        <v>1</v>
      </c>
      <c r="O581" t="str">
        <f>"9999"</f>
        <v>9999</v>
      </c>
      <c r="P581" t="str">
        <f>"S"</f>
        <v>S</v>
      </c>
      <c r="Q581" t="str">
        <f>"EPSS34"</f>
        <v>EPSS34</v>
      </c>
      <c r="R581" t="str">
        <f t="shared" si="651"/>
        <v>6</v>
      </c>
      <c r="S581" t="str">
        <f>""</f>
        <v/>
      </c>
      <c r="T581" t="str">
        <f t="shared" si="666"/>
        <v xml:space="preserve">                                                                                                    </v>
      </c>
      <c r="U581" t="str">
        <f>"1         "</f>
        <v xml:space="preserve">1         </v>
      </c>
      <c r="V581" t="str">
        <f t="shared" si="660"/>
        <v>2</v>
      </c>
      <c r="W581" t="str">
        <f t="shared" si="655"/>
        <v>2</v>
      </c>
      <c r="X581" t="str">
        <f t="shared" si="634"/>
        <v>2</v>
      </c>
      <c r="Y581" t="str">
        <f t="shared" si="688"/>
        <v>2</v>
      </c>
      <c r="Z581" t="str">
        <f t="shared" si="688"/>
        <v>2</v>
      </c>
      <c r="AA581" t="str">
        <f t="shared" si="683"/>
        <v xml:space="preserve">          </v>
      </c>
      <c r="AB581" t="str">
        <f t="shared" si="671"/>
        <v>2</v>
      </c>
      <c r="AC581" t="str">
        <f t="shared" si="676"/>
        <v>2</v>
      </c>
      <c r="AD581" t="str">
        <f t="shared" si="689"/>
        <v>2</v>
      </c>
      <c r="AE581" t="str">
        <f t="shared" si="689"/>
        <v>2</v>
      </c>
      <c r="AF581" t="str">
        <f t="shared" si="689"/>
        <v>2</v>
      </c>
      <c r="AG581" t="str">
        <f t="shared" si="689"/>
        <v>2</v>
      </c>
      <c r="AH581" t="str">
        <f t="shared" si="661"/>
        <v>1</v>
      </c>
      <c r="AI581" t="str">
        <f>"2         "</f>
        <v xml:space="preserve">2         </v>
      </c>
      <c r="AJ581" t="str">
        <f t="shared" si="616"/>
        <v>170</v>
      </c>
      <c r="AK581" t="str">
        <f>"11"</f>
        <v>11</v>
      </c>
      <c r="AL581" t="str">
        <f>"001"</f>
        <v>001</v>
      </c>
      <c r="AM581" t="str">
        <f>"11"</f>
        <v>11</v>
      </c>
      <c r="AN581" t="str">
        <f>"11001"</f>
        <v>11001</v>
      </c>
      <c r="AO581" t="str">
        <f>"8/02/2020 12:00:00 a. m."</f>
        <v>8/02/2020 12:00:00 a. m.</v>
      </c>
      <c r="AP581" t="str">
        <f>"7/02/2020 12:00:00 a. m."</f>
        <v>7/02/2020 12:00:00 a. m.</v>
      </c>
      <c r="AQ581" t="str">
        <f>"3"</f>
        <v>3</v>
      </c>
      <c r="AR581" t="str">
        <f t="shared" si="672"/>
        <v>1</v>
      </c>
      <c r="AS581" t="str">
        <f>"8/02/2020 12:00:00 a. m."</f>
        <v>8/02/2020 12:00:00 a. m.</v>
      </c>
      <c r="AT581" t="str">
        <f t="shared" si="670"/>
        <v>1</v>
      </c>
      <c r="AU581" t="str">
        <f>""</f>
        <v/>
      </c>
      <c r="AV581" t="str">
        <f>"0"</f>
        <v>0</v>
      </c>
      <c r="AW581" t="str">
        <f>"29/10/2015 12:00:00 a. m."</f>
        <v>29/10/2015 12:00:00 a. m.</v>
      </c>
      <c r="AX581" t="str">
        <f>""</f>
        <v/>
      </c>
      <c r="AY581" t="str">
        <f t="shared" si="684"/>
        <v>30/04/2021 12:00:00 a. m.</v>
      </c>
      <c r="AZ581" t="str">
        <f>"7/07/2020 12:00:00 a. m."</f>
        <v>7/07/2020 12:00:00 a. m.</v>
      </c>
      <c r="BA581" t="str">
        <f>""</f>
        <v/>
      </c>
      <c r="BB581" t="str">
        <f>""</f>
        <v/>
      </c>
      <c r="BC581" t="str">
        <f>""</f>
        <v/>
      </c>
      <c r="BD581" t="str">
        <f t="shared" si="658"/>
        <v>1</v>
      </c>
      <c r="BE581" t="str">
        <f t="shared" si="658"/>
        <v>1</v>
      </c>
      <c r="BF581" t="str">
        <f t="shared" si="685"/>
        <v xml:space="preserve">3         </v>
      </c>
      <c r="BG581" t="str">
        <f t="shared" si="686"/>
        <v>Confirmado por laboratorio</v>
      </c>
      <c r="BH581" t="str">
        <f>"FUNDACION HOSPITAL DE LA MISERICORDIA"</f>
        <v>FUNDACION HOSPITAL DE LA MISERICORDIA</v>
      </c>
      <c r="BI581" t="str">
        <f t="shared" si="618"/>
        <v>COLOMBIA</v>
      </c>
      <c r="BJ581" t="str">
        <f t="shared" si="687"/>
        <v>CANCER INFANTIL</v>
      </c>
      <c r="BK581" t="str">
        <f>"BOGOTA"</f>
        <v>BOGOTA</v>
      </c>
      <c r="BL581" t="str">
        <f>"BOGOTA"</f>
        <v>BOGOTA</v>
      </c>
      <c r="BM581" t="str">
        <f t="shared" si="619"/>
        <v>COLOMBIA</v>
      </c>
      <c r="BN581" t="str">
        <f t="shared" ref="BN581:BQ582" si="690">"BOGOTA"</f>
        <v>BOGOTA</v>
      </c>
      <c r="BO581" t="str">
        <f t="shared" si="690"/>
        <v>BOGOTA</v>
      </c>
      <c r="BP581" t="str">
        <f t="shared" si="690"/>
        <v>BOGOTA</v>
      </c>
      <c r="BQ581" t="str">
        <f t="shared" si="690"/>
        <v>BOGOTA</v>
      </c>
    </row>
    <row r="582" spans="1:69" x14ac:dyDescent="0.25">
      <c r="A582" t="str">
        <f>"7291781"</f>
        <v>7291781</v>
      </c>
      <c r="B582" t="str">
        <f t="shared" si="681"/>
        <v>459</v>
      </c>
      <c r="C582" t="str">
        <f>"10/02/2020 12:00:00 a. m."</f>
        <v>10/02/2020 12:00:00 a. m.</v>
      </c>
      <c r="D582" t="str">
        <f>"01"</f>
        <v>01</v>
      </c>
      <c r="E582" t="str">
        <f t="shared" si="682"/>
        <v>2020</v>
      </c>
      <c r="F582" t="str">
        <f>"1100105681"</f>
        <v>1100105681</v>
      </c>
      <c r="G582" t="str">
        <f>"01"</f>
        <v>01</v>
      </c>
      <c r="H582" t="str">
        <f>"6"</f>
        <v>6</v>
      </c>
      <c r="I582" t="str">
        <f t="shared" si="665"/>
        <v>1</v>
      </c>
      <c r="J582" t="str">
        <f>"F"</f>
        <v>F</v>
      </c>
      <c r="K582" t="str">
        <f t="shared" si="615"/>
        <v>170</v>
      </c>
      <c r="L582" t="str">
        <f>"11"</f>
        <v>11</v>
      </c>
      <c r="M582" t="str">
        <f>"001"</f>
        <v>001</v>
      </c>
      <c r="N582" t="str">
        <f t="shared" si="674"/>
        <v>1</v>
      </c>
      <c r="O582" t="str">
        <f t="shared" ref="O582:O588" si="691">"9997"</f>
        <v>9997</v>
      </c>
      <c r="P582" t="str">
        <f>"C"</f>
        <v>C</v>
      </c>
      <c r="Q582" t="str">
        <f>"EPS044"</f>
        <v>EPS044</v>
      </c>
      <c r="R582" t="str">
        <f t="shared" si="651"/>
        <v>6</v>
      </c>
      <c r="S582" t="str">
        <f>""</f>
        <v/>
      </c>
      <c r="T582" t="str">
        <f t="shared" si="666"/>
        <v xml:space="preserve">                                                                                                    </v>
      </c>
      <c r="U582" t="str">
        <f>"2         "</f>
        <v xml:space="preserve">2         </v>
      </c>
      <c r="V582" t="str">
        <f t="shared" si="660"/>
        <v>2</v>
      </c>
      <c r="W582" t="str">
        <f t="shared" si="655"/>
        <v>2</v>
      </c>
      <c r="X582" t="str">
        <f t="shared" si="634"/>
        <v>2</v>
      </c>
      <c r="Y582" t="str">
        <f t="shared" si="688"/>
        <v>2</v>
      </c>
      <c r="Z582" t="str">
        <f t="shared" si="688"/>
        <v>2</v>
      </c>
      <c r="AA582" t="str">
        <f t="shared" si="683"/>
        <v xml:space="preserve">          </v>
      </c>
      <c r="AB582" t="str">
        <f t="shared" si="671"/>
        <v>2</v>
      </c>
      <c r="AC582" t="str">
        <f t="shared" si="676"/>
        <v>2</v>
      </c>
      <c r="AD582" t="str">
        <f t="shared" si="689"/>
        <v>2</v>
      </c>
      <c r="AE582" t="str">
        <f t="shared" si="689"/>
        <v>2</v>
      </c>
      <c r="AF582" t="str">
        <f t="shared" si="689"/>
        <v>2</v>
      </c>
      <c r="AG582" t="str">
        <f t="shared" si="689"/>
        <v>2</v>
      </c>
      <c r="AH582" t="str">
        <f t="shared" si="661"/>
        <v>1</v>
      </c>
      <c r="AI582" t="str">
        <f t="shared" ref="AI582:AI587" si="692">"1         "</f>
        <v xml:space="preserve">1         </v>
      </c>
      <c r="AJ582" t="str">
        <f t="shared" si="616"/>
        <v>170</v>
      </c>
      <c r="AK582" t="str">
        <f>"11"</f>
        <v>11</v>
      </c>
      <c r="AL582" t="str">
        <f>"001"</f>
        <v>001</v>
      </c>
      <c r="AM582" t="str">
        <f>"11"</f>
        <v>11</v>
      </c>
      <c r="AN582" t="str">
        <f>"11001"</f>
        <v>11001</v>
      </c>
      <c r="AO582" t="str">
        <f>"4/01/2020 12:00:00 a. m."</f>
        <v>4/01/2020 12:00:00 a. m.</v>
      </c>
      <c r="AP582" t="str">
        <f>"5/12/2019 12:00:00 a. m."</f>
        <v>5/12/2019 12:00:00 a. m.</v>
      </c>
      <c r="AQ582" t="str">
        <f>"3"</f>
        <v>3</v>
      </c>
      <c r="AR582" t="str">
        <f t="shared" si="672"/>
        <v>1</v>
      </c>
      <c r="AS582" t="str">
        <f>"4/01/2020 12:00:00 a. m."</f>
        <v>4/01/2020 12:00:00 a. m.</v>
      </c>
      <c r="AT582" t="str">
        <f t="shared" si="670"/>
        <v>1</v>
      </c>
      <c r="AU582" t="str">
        <f>""</f>
        <v/>
      </c>
      <c r="AV582" t="str">
        <f>"0"</f>
        <v>0</v>
      </c>
      <c r="AW582" t="str">
        <f>"17/01/2014 12:00:00 a. m."</f>
        <v>17/01/2014 12:00:00 a. m.</v>
      </c>
      <c r="AX582" t="str">
        <f>""</f>
        <v/>
      </c>
      <c r="AY582" t="str">
        <f t="shared" si="684"/>
        <v>30/04/2021 12:00:00 a. m.</v>
      </c>
      <c r="AZ582" t="str">
        <f>"13/02/2020 12:00:00 a. m."</f>
        <v>13/02/2020 12:00:00 a. m.</v>
      </c>
      <c r="BA582" t="str">
        <f>""</f>
        <v/>
      </c>
      <c r="BB582" t="str">
        <f>""</f>
        <v/>
      </c>
      <c r="BC582" t="str">
        <f>""</f>
        <v/>
      </c>
      <c r="BD582" t="str">
        <f t="shared" ref="BD582:BE601" si="693">"1"</f>
        <v>1</v>
      </c>
      <c r="BE582" t="str">
        <f t="shared" si="693"/>
        <v>1</v>
      </c>
      <c r="BF582" t="str">
        <f t="shared" si="685"/>
        <v xml:space="preserve">3         </v>
      </c>
      <c r="BG582" t="str">
        <f t="shared" si="686"/>
        <v>Confirmado por laboratorio</v>
      </c>
      <c r="BH582" t="str">
        <f>"FUNDACION HOSPITAL DE LA MISERICORDIA"</f>
        <v>FUNDACION HOSPITAL DE LA MISERICORDIA</v>
      </c>
      <c r="BI582" t="str">
        <f t="shared" si="618"/>
        <v>COLOMBIA</v>
      </c>
      <c r="BJ582" t="str">
        <f t="shared" si="687"/>
        <v>CANCER INFANTIL</v>
      </c>
      <c r="BK582" t="str">
        <f>"BOGOTA"</f>
        <v>BOGOTA</v>
      </c>
      <c r="BL582" t="str">
        <f>"BOGOTA"</f>
        <v>BOGOTA</v>
      </c>
      <c r="BM582" t="str">
        <f t="shared" si="619"/>
        <v>COLOMBIA</v>
      </c>
      <c r="BN582" t="str">
        <f t="shared" si="690"/>
        <v>BOGOTA</v>
      </c>
      <c r="BO582" t="str">
        <f t="shared" si="690"/>
        <v>BOGOTA</v>
      </c>
      <c r="BP582" t="str">
        <f t="shared" si="690"/>
        <v>BOGOTA</v>
      </c>
      <c r="BQ582" t="str">
        <f t="shared" si="690"/>
        <v>BOGOTA</v>
      </c>
    </row>
    <row r="583" spans="1:69" x14ac:dyDescent="0.25">
      <c r="A583" t="str">
        <f>"7291717"</f>
        <v>7291717</v>
      </c>
      <c r="B583" t="str">
        <f t="shared" si="681"/>
        <v>459</v>
      </c>
      <c r="C583" t="str">
        <f>"31/08/2020 12:00:00 a. m."</f>
        <v>31/08/2020 12:00:00 a. m.</v>
      </c>
      <c r="D583" t="str">
        <f>"36"</f>
        <v>36</v>
      </c>
      <c r="E583" t="str">
        <f t="shared" si="682"/>
        <v>2020</v>
      </c>
      <c r="F583" t="str">
        <f>"1100116338"</f>
        <v>1100116338</v>
      </c>
      <c r="G583" t="str">
        <f>"83"</f>
        <v>83</v>
      </c>
      <c r="H583" t="str">
        <f>"11"</f>
        <v>11</v>
      </c>
      <c r="I583" t="str">
        <f t="shared" si="665"/>
        <v>1</v>
      </c>
      <c r="J583" t="str">
        <f>"M"</f>
        <v>M</v>
      </c>
      <c r="K583" t="str">
        <f t="shared" si="615"/>
        <v>170</v>
      </c>
      <c r="L583" t="str">
        <f>"18"</f>
        <v>18</v>
      </c>
      <c r="M583" t="str">
        <f>"001"</f>
        <v>001</v>
      </c>
      <c r="N583" t="str">
        <f t="shared" si="674"/>
        <v>1</v>
      </c>
      <c r="O583" t="str">
        <f t="shared" si="691"/>
        <v>9997</v>
      </c>
      <c r="P583" t="str">
        <f>"P"</f>
        <v>P</v>
      </c>
      <c r="Q583" t="str">
        <f>"RES003"</f>
        <v>RES003</v>
      </c>
      <c r="R583" t="str">
        <f t="shared" si="651"/>
        <v>6</v>
      </c>
      <c r="S583" t="str">
        <f>""</f>
        <v/>
      </c>
      <c r="T583" t="str">
        <f t="shared" si="666"/>
        <v xml:space="preserve">                                                                                                    </v>
      </c>
      <c r="U583" t="str">
        <f>"3         "</f>
        <v xml:space="preserve">3         </v>
      </c>
      <c r="V583" t="str">
        <f t="shared" si="660"/>
        <v>2</v>
      </c>
      <c r="W583" t="str">
        <f t="shared" si="655"/>
        <v>2</v>
      </c>
      <c r="X583" t="str">
        <f t="shared" si="634"/>
        <v>2</v>
      </c>
      <c r="Y583" t="str">
        <f t="shared" si="688"/>
        <v>2</v>
      </c>
      <c r="Z583" t="str">
        <f t="shared" si="688"/>
        <v>2</v>
      </c>
      <c r="AA583" t="str">
        <f t="shared" si="683"/>
        <v xml:space="preserve">          </v>
      </c>
      <c r="AB583" t="str">
        <f t="shared" si="671"/>
        <v>2</v>
      </c>
      <c r="AC583" t="str">
        <f t="shared" si="676"/>
        <v>2</v>
      </c>
      <c r="AD583" t="str">
        <f t="shared" si="689"/>
        <v>2</v>
      </c>
      <c r="AE583" t="str">
        <f t="shared" si="689"/>
        <v>2</v>
      </c>
      <c r="AF583" t="str">
        <f t="shared" si="689"/>
        <v>2</v>
      </c>
      <c r="AG583" t="str">
        <f t="shared" si="689"/>
        <v>2</v>
      </c>
      <c r="AH583" t="str">
        <f t="shared" si="661"/>
        <v>1</v>
      </c>
      <c r="AI583" t="str">
        <f t="shared" si="692"/>
        <v xml:space="preserve">1         </v>
      </c>
      <c r="AJ583" t="str">
        <f t="shared" si="616"/>
        <v>170</v>
      </c>
      <c r="AK583" t="str">
        <f>"18"</f>
        <v>18</v>
      </c>
      <c r="AL583" t="str">
        <f>"001"</f>
        <v>001</v>
      </c>
      <c r="AM583" t="str">
        <f>"11"</f>
        <v>11</v>
      </c>
      <c r="AN583" t="str">
        <f>"11001"</f>
        <v>11001</v>
      </c>
      <c r="AO583" t="str">
        <f>"30/08/2020 12:00:00 a. m."</f>
        <v>30/08/2020 12:00:00 a. m.</v>
      </c>
      <c r="AP583" t="str">
        <f>"19/02/2020 12:00:00 a. m."</f>
        <v>19/02/2020 12:00:00 a. m.</v>
      </c>
      <c r="AQ583" t="str">
        <f>"2"</f>
        <v>2</v>
      </c>
      <c r="AR583" t="str">
        <f t="shared" si="672"/>
        <v>1</v>
      </c>
      <c r="AS583" t="str">
        <f>"30/08/2020 12:00:00 a. m."</f>
        <v>30/08/2020 12:00:00 a. m.</v>
      </c>
      <c r="AT583" t="str">
        <f t="shared" si="670"/>
        <v>1</v>
      </c>
      <c r="AU583" t="str">
        <f>""</f>
        <v/>
      </c>
      <c r="AV583" t="str">
        <f>"3"</f>
        <v>3</v>
      </c>
      <c r="AW583" t="str">
        <f>"23/11/2008 12:00:00 a. m."</f>
        <v>23/11/2008 12:00:00 a. m.</v>
      </c>
      <c r="AX583" t="str">
        <f>""</f>
        <v/>
      </c>
      <c r="AY583" t="str">
        <f t="shared" si="684"/>
        <v>30/04/2021 12:00:00 a. m.</v>
      </c>
      <c r="AZ583" t="str">
        <f>"16/09/2020 12:00:00 a. m."</f>
        <v>16/09/2020 12:00:00 a. m.</v>
      </c>
      <c r="BA583" t="str">
        <f>""</f>
        <v/>
      </c>
      <c r="BB583" t="str">
        <f>""</f>
        <v/>
      </c>
      <c r="BC583" t="str">
        <f>""</f>
        <v/>
      </c>
      <c r="BD583" t="str">
        <f t="shared" si="693"/>
        <v>1</v>
      </c>
      <c r="BE583" t="str">
        <f t="shared" si="693"/>
        <v>1</v>
      </c>
      <c r="BF583" t="str">
        <f t="shared" si="685"/>
        <v xml:space="preserve">3         </v>
      </c>
      <c r="BG583" t="str">
        <f t="shared" si="686"/>
        <v>Confirmado por laboratorio</v>
      </c>
      <c r="BH583" t="str">
        <f>"HOSPITAL MILITAR CENTRAL CHAPINERO"</f>
        <v>HOSPITAL MILITAR CENTRAL CHAPINERO</v>
      </c>
      <c r="BI583" t="str">
        <f t="shared" si="618"/>
        <v>COLOMBIA</v>
      </c>
      <c r="BJ583" t="str">
        <f t="shared" si="687"/>
        <v>CANCER INFANTIL</v>
      </c>
      <c r="BK583" t="str">
        <f>"CAQUETA"</f>
        <v>CAQUETA</v>
      </c>
      <c r="BL583" t="str">
        <f>"FLORENCIA"</f>
        <v>FLORENCIA</v>
      </c>
      <c r="BM583" t="str">
        <f t="shared" si="619"/>
        <v>COLOMBIA</v>
      </c>
      <c r="BN583" t="str">
        <f>"CAQUETA"</f>
        <v>CAQUETA</v>
      </c>
      <c r="BO583" t="str">
        <f>"FLORENCIA"</f>
        <v>FLORENCIA</v>
      </c>
      <c r="BP583" t="str">
        <f>"BOGOTA"</f>
        <v>BOGOTA</v>
      </c>
      <c r="BQ583" t="str">
        <f>"BOGOTA"</f>
        <v>BOGOTA</v>
      </c>
    </row>
    <row r="584" spans="1:69" x14ac:dyDescent="0.25">
      <c r="A584" t="str">
        <f>"7291728"</f>
        <v>7291728</v>
      </c>
      <c r="B584" t="str">
        <f t="shared" si="681"/>
        <v>459</v>
      </c>
      <c r="C584" t="str">
        <f>"16/11/2020 12:00:00 a. m."</f>
        <v>16/11/2020 12:00:00 a. m.</v>
      </c>
      <c r="D584" t="str">
        <f>"46"</f>
        <v>46</v>
      </c>
      <c r="E584" t="str">
        <f t="shared" si="682"/>
        <v>2020</v>
      </c>
      <c r="F584" t="str">
        <f>"5000100529"</f>
        <v>5000100529</v>
      </c>
      <c r="G584" t="str">
        <f t="shared" ref="G584:G598" si="694">"01"</f>
        <v>01</v>
      </c>
      <c r="H584" t="str">
        <f>"11"</f>
        <v>11</v>
      </c>
      <c r="I584" t="str">
        <f t="shared" si="665"/>
        <v>1</v>
      </c>
      <c r="J584" t="str">
        <f>"F"</f>
        <v>F</v>
      </c>
      <c r="K584" t="str">
        <f t="shared" si="615"/>
        <v>170</v>
      </c>
      <c r="L584" t="str">
        <f>"95"</f>
        <v>95</v>
      </c>
      <c r="M584" t="str">
        <f>"001"</f>
        <v>001</v>
      </c>
      <c r="N584" t="str">
        <f>"3"</f>
        <v>3</v>
      </c>
      <c r="O584" t="str">
        <f t="shared" si="691"/>
        <v>9997</v>
      </c>
      <c r="P584" t="str">
        <f>"S"</f>
        <v>S</v>
      </c>
      <c r="Q584" t="str">
        <f>"EPSS41"</f>
        <v>EPSS41</v>
      </c>
      <c r="R584" t="str">
        <f t="shared" si="651"/>
        <v>6</v>
      </c>
      <c r="S584" t="str">
        <f>""</f>
        <v/>
      </c>
      <c r="T584" t="str">
        <f t="shared" si="666"/>
        <v xml:space="preserve">                                                                                                    </v>
      </c>
      <c r="U584" t="str">
        <f>"2         "</f>
        <v xml:space="preserve">2         </v>
      </c>
      <c r="V584" t="str">
        <f t="shared" si="660"/>
        <v>2</v>
      </c>
      <c r="W584" t="str">
        <f t="shared" si="655"/>
        <v>2</v>
      </c>
      <c r="X584" t="str">
        <f t="shared" si="634"/>
        <v>2</v>
      </c>
      <c r="Y584" t="str">
        <f t="shared" si="688"/>
        <v>2</v>
      </c>
      <c r="Z584" t="str">
        <f t="shared" si="688"/>
        <v>2</v>
      </c>
      <c r="AA584" t="str">
        <f t="shared" si="683"/>
        <v xml:space="preserve">          </v>
      </c>
      <c r="AB584" t="str">
        <f t="shared" si="671"/>
        <v>2</v>
      </c>
      <c r="AC584" t="str">
        <f t="shared" si="676"/>
        <v>2</v>
      </c>
      <c r="AD584" t="str">
        <f t="shared" si="689"/>
        <v>2</v>
      </c>
      <c r="AE584" t="str">
        <f t="shared" si="689"/>
        <v>2</v>
      </c>
      <c r="AF584" t="str">
        <f t="shared" si="689"/>
        <v>2</v>
      </c>
      <c r="AG584" t="str">
        <f t="shared" si="689"/>
        <v>2</v>
      </c>
      <c r="AH584" t="str">
        <f t="shared" si="661"/>
        <v>1</v>
      </c>
      <c r="AI584" t="str">
        <f t="shared" si="692"/>
        <v xml:space="preserve">1         </v>
      </c>
      <c r="AJ584" t="str">
        <f t="shared" si="616"/>
        <v>170</v>
      </c>
      <c r="AK584" t="str">
        <f>"95"</f>
        <v>95</v>
      </c>
      <c r="AL584" t="str">
        <f>"001"</f>
        <v>001</v>
      </c>
      <c r="AM584" t="str">
        <f>"50"</f>
        <v>50</v>
      </c>
      <c r="AN584" t="str">
        <f>"50001"</f>
        <v>50001</v>
      </c>
      <c r="AO584" t="str">
        <f>"9/11/2020 12:00:00 a. m."</f>
        <v>9/11/2020 12:00:00 a. m.</v>
      </c>
      <c r="AP584" t="str">
        <f>"9/10/2020 12:00:00 a. m."</f>
        <v>9/10/2020 12:00:00 a. m.</v>
      </c>
      <c r="AQ584" t="str">
        <f>"2"</f>
        <v>2</v>
      </c>
      <c r="AR584" t="str">
        <f t="shared" si="672"/>
        <v>1</v>
      </c>
      <c r="AS584" t="str">
        <f>"9/11/2020 12:00:00 a. m."</f>
        <v>9/11/2020 12:00:00 a. m.</v>
      </c>
      <c r="AT584" t="str">
        <f t="shared" si="670"/>
        <v>1</v>
      </c>
      <c r="AU584" t="str">
        <f>""</f>
        <v/>
      </c>
      <c r="AV584" t="str">
        <f>"3"</f>
        <v>3</v>
      </c>
      <c r="AW584" t="str">
        <f>"14/08/2009 12:00:00 a. m."</f>
        <v>14/08/2009 12:00:00 a. m.</v>
      </c>
      <c r="AX584" t="str">
        <f>""</f>
        <v/>
      </c>
      <c r="AY584" t="str">
        <f t="shared" si="684"/>
        <v>30/04/2021 12:00:00 a. m.</v>
      </c>
      <c r="AZ584" t="str">
        <f>"15/12/2020 12:00:00 a. m."</f>
        <v>15/12/2020 12:00:00 a. m.</v>
      </c>
      <c r="BA584" t="str">
        <f>""</f>
        <v/>
      </c>
      <c r="BB584" t="str">
        <f>""</f>
        <v/>
      </c>
      <c r="BC584" t="str">
        <f>""</f>
        <v/>
      </c>
      <c r="BD584" t="str">
        <f t="shared" si="693"/>
        <v>1</v>
      </c>
      <c r="BE584" t="str">
        <f t="shared" si="693"/>
        <v>1</v>
      </c>
      <c r="BF584" t="str">
        <f t="shared" si="685"/>
        <v xml:space="preserve">3         </v>
      </c>
      <c r="BG584" t="str">
        <f t="shared" si="686"/>
        <v>Confirmado por laboratorio</v>
      </c>
      <c r="BH584" t="str">
        <f>"HOSPITAL DEPARTAMENTAL DE VILLAVICENCIO"</f>
        <v>HOSPITAL DEPARTAMENTAL DE VILLAVICENCIO</v>
      </c>
      <c r="BI584" t="str">
        <f t="shared" si="618"/>
        <v>COLOMBIA</v>
      </c>
      <c r="BJ584" t="str">
        <f t="shared" si="687"/>
        <v>CANCER INFANTIL</v>
      </c>
      <c r="BK584" t="str">
        <f>"GUAVIARE"</f>
        <v>GUAVIARE</v>
      </c>
      <c r="BL584" t="str">
        <f>"SAN JOSE DEL GUAVIARE"</f>
        <v>SAN JOSE DEL GUAVIARE</v>
      </c>
      <c r="BM584" t="str">
        <f t="shared" si="619"/>
        <v>COLOMBIA</v>
      </c>
      <c r="BN584" t="str">
        <f>"GUAVIARE"</f>
        <v>GUAVIARE</v>
      </c>
      <c r="BO584" t="str">
        <f>"SAN JOSE DEL GUAVIARE"</f>
        <v>SAN JOSE DEL GUAVIARE</v>
      </c>
      <c r="BP584" t="str">
        <f>"META"</f>
        <v>META</v>
      </c>
      <c r="BQ584" t="str">
        <f>"VILLAVICENCIO"</f>
        <v>VILLAVICENCIO</v>
      </c>
    </row>
    <row r="585" spans="1:69" x14ac:dyDescent="0.25">
      <c r="A585" t="str">
        <f>"7291609"</f>
        <v>7291609</v>
      </c>
      <c r="B585" t="str">
        <f t="shared" si="681"/>
        <v>459</v>
      </c>
      <c r="C585" t="str">
        <f>"20/05/2020 12:00:00 a. m."</f>
        <v>20/05/2020 12:00:00 a. m.</v>
      </c>
      <c r="D585" t="str">
        <f>"10"</f>
        <v>10</v>
      </c>
      <c r="E585" t="str">
        <f t="shared" si="682"/>
        <v>2020</v>
      </c>
      <c r="F585" t="str">
        <f>"0800100623"</f>
        <v>0800100623</v>
      </c>
      <c r="G585" t="str">
        <f t="shared" si="694"/>
        <v>01</v>
      </c>
      <c r="H585" t="str">
        <f>"12"</f>
        <v>12</v>
      </c>
      <c r="I585" t="str">
        <f t="shared" si="665"/>
        <v>1</v>
      </c>
      <c r="J585" t="str">
        <f>"F"</f>
        <v>F</v>
      </c>
      <c r="K585" t="str">
        <f t="shared" si="615"/>
        <v>170</v>
      </c>
      <c r="L585" t="str">
        <f>"08"</f>
        <v>08</v>
      </c>
      <c r="M585" t="str">
        <f>"606"</f>
        <v>606</v>
      </c>
      <c r="N585" t="str">
        <f t="shared" ref="N585:N591" si="695">"1"</f>
        <v>1</v>
      </c>
      <c r="O585" t="str">
        <f t="shared" si="691"/>
        <v>9997</v>
      </c>
      <c r="P585" t="str">
        <f>"S"</f>
        <v>S</v>
      </c>
      <c r="Q585" t="str">
        <f>"ESS207"</f>
        <v>ESS207</v>
      </c>
      <c r="R585" t="str">
        <f t="shared" si="651"/>
        <v>6</v>
      </c>
      <c r="S585" t="str">
        <f>""</f>
        <v/>
      </c>
      <c r="T585" t="str">
        <f t="shared" si="666"/>
        <v xml:space="preserve">                                                                                                    </v>
      </c>
      <c r="U585" t="str">
        <f>"1         "</f>
        <v xml:space="preserve">1         </v>
      </c>
      <c r="V585" t="str">
        <f t="shared" si="660"/>
        <v>2</v>
      </c>
      <c r="W585" t="str">
        <f t="shared" si="655"/>
        <v>2</v>
      </c>
      <c r="X585" t="str">
        <f t="shared" si="634"/>
        <v>2</v>
      </c>
      <c r="Y585" t="str">
        <f t="shared" si="688"/>
        <v>2</v>
      </c>
      <c r="Z585" t="str">
        <f t="shared" si="688"/>
        <v>2</v>
      </c>
      <c r="AA585" t="str">
        <f t="shared" si="683"/>
        <v xml:space="preserve">          </v>
      </c>
      <c r="AB585" t="str">
        <f t="shared" si="671"/>
        <v>2</v>
      </c>
      <c r="AC585" t="str">
        <f t="shared" si="676"/>
        <v>2</v>
      </c>
      <c r="AD585" t="str">
        <f t="shared" si="689"/>
        <v>2</v>
      </c>
      <c r="AE585" t="str">
        <f t="shared" si="689"/>
        <v>2</v>
      </c>
      <c r="AF585" t="str">
        <f t="shared" si="689"/>
        <v>2</v>
      </c>
      <c r="AG585" t="str">
        <f t="shared" si="689"/>
        <v>2</v>
      </c>
      <c r="AH585" t="str">
        <f t="shared" si="661"/>
        <v>1</v>
      </c>
      <c r="AI585" t="str">
        <f t="shared" si="692"/>
        <v xml:space="preserve">1         </v>
      </c>
      <c r="AJ585" t="str">
        <f t="shared" si="616"/>
        <v>170</v>
      </c>
      <c r="AK585" t="str">
        <f>"08"</f>
        <v>08</v>
      </c>
      <c r="AL585" t="str">
        <f>"606"</f>
        <v>606</v>
      </c>
      <c r="AM585" t="str">
        <f>"08"</f>
        <v>08</v>
      </c>
      <c r="AN585" t="str">
        <f>"08001"</f>
        <v>08001</v>
      </c>
      <c r="AO585" t="str">
        <f>"2/03/2020 12:00:00 a. m."</f>
        <v>2/03/2020 12:00:00 a. m.</v>
      </c>
      <c r="AP585" t="str">
        <f>"2/02/2020 12:00:00 a. m."</f>
        <v>2/02/2020 12:00:00 a. m.</v>
      </c>
      <c r="AQ585" t="str">
        <f>"3"</f>
        <v>3</v>
      </c>
      <c r="AR585" t="str">
        <f>"2"</f>
        <v>2</v>
      </c>
      <c r="AS585" t="str">
        <f>""</f>
        <v/>
      </c>
      <c r="AT585" t="str">
        <f t="shared" si="670"/>
        <v>1</v>
      </c>
      <c r="AU585" t="str">
        <f>""</f>
        <v/>
      </c>
      <c r="AV585" t="str">
        <f>"7"</f>
        <v>7</v>
      </c>
      <c r="AW585" t="str">
        <f>"15/03/2008 12:00:00 a. m."</f>
        <v>15/03/2008 12:00:00 a. m.</v>
      </c>
      <c r="AX585" t="str">
        <f>""</f>
        <v/>
      </c>
      <c r="AY585" t="str">
        <f t="shared" si="684"/>
        <v>30/04/2021 12:00:00 a. m.</v>
      </c>
      <c r="AZ585" t="str">
        <f>"20/01/2021 12:00:00 a. m."</f>
        <v>20/01/2021 12:00:00 a. m.</v>
      </c>
      <c r="BA585" t="str">
        <f>""</f>
        <v/>
      </c>
      <c r="BB585" t="str">
        <f>""</f>
        <v/>
      </c>
      <c r="BC585" t="str">
        <f>""</f>
        <v/>
      </c>
      <c r="BD585" t="str">
        <f t="shared" si="693"/>
        <v>1</v>
      </c>
      <c r="BE585" t="str">
        <f t="shared" si="693"/>
        <v>1</v>
      </c>
      <c r="BF585" t="str">
        <f t="shared" si="685"/>
        <v xml:space="preserve">3         </v>
      </c>
      <c r="BG585" t="str">
        <f t="shared" si="686"/>
        <v>Confirmado por laboratorio</v>
      </c>
      <c r="BH585" t="str">
        <f>"CENTRO CANCEROLOGICO DEL CARIBE CECAC LTDA"</f>
        <v>CENTRO CANCEROLOGICO DEL CARIBE CECAC LTDA</v>
      </c>
      <c r="BI585" t="str">
        <f t="shared" si="618"/>
        <v>COLOMBIA</v>
      </c>
      <c r="BJ585" t="str">
        <f t="shared" si="687"/>
        <v>CANCER INFANTIL</v>
      </c>
      <c r="BK585" t="str">
        <f>"ATLANTICO"</f>
        <v>ATLANTICO</v>
      </c>
      <c r="BL585" t="str">
        <f>"REPELON"</f>
        <v>REPELON</v>
      </c>
      <c r="BM585" t="str">
        <f t="shared" si="619"/>
        <v>COLOMBIA</v>
      </c>
      <c r="BN585" t="str">
        <f>"ATLANTICO"</f>
        <v>ATLANTICO</v>
      </c>
      <c r="BO585" t="str">
        <f>"REPELON"</f>
        <v>REPELON</v>
      </c>
      <c r="BP585" t="str">
        <f>"ATLANTICO"</f>
        <v>ATLANTICO</v>
      </c>
      <c r="BQ585" t="str">
        <f>"BARRANQUILLA"</f>
        <v>BARRANQUILLA</v>
      </c>
    </row>
    <row r="586" spans="1:69" x14ac:dyDescent="0.25">
      <c r="A586" t="str">
        <f>"7279281"</f>
        <v>7279281</v>
      </c>
      <c r="B586" t="str">
        <f t="shared" si="681"/>
        <v>459</v>
      </c>
      <c r="C586" t="str">
        <f>"5/01/2020 12:00:00 a. m."</f>
        <v>5/01/2020 12:00:00 a. m.</v>
      </c>
      <c r="D586" t="str">
        <f>"01"</f>
        <v>01</v>
      </c>
      <c r="E586" t="str">
        <f t="shared" si="682"/>
        <v>2020</v>
      </c>
      <c r="F586" t="str">
        <f>"1100109111"</f>
        <v>1100109111</v>
      </c>
      <c r="G586" t="str">
        <f t="shared" si="694"/>
        <v>01</v>
      </c>
      <c r="H586" t="str">
        <f>"17"</f>
        <v>17</v>
      </c>
      <c r="I586" t="str">
        <f t="shared" si="665"/>
        <v>1</v>
      </c>
      <c r="J586" t="str">
        <f>"F"</f>
        <v>F</v>
      </c>
      <c r="K586" t="str">
        <f t="shared" ref="K586:K649" si="696">"170"</f>
        <v>170</v>
      </c>
      <c r="L586" t="str">
        <f>"11"</f>
        <v>11</v>
      </c>
      <c r="M586" t="str">
        <f t="shared" ref="M586:M591" si="697">"001"</f>
        <v>001</v>
      </c>
      <c r="N586" t="str">
        <f t="shared" si="695"/>
        <v>1</v>
      </c>
      <c r="O586" t="str">
        <f t="shared" si="691"/>
        <v>9997</v>
      </c>
      <c r="P586" t="str">
        <f t="shared" ref="P586:P591" si="698">"C"</f>
        <v>C</v>
      </c>
      <c r="Q586" t="str">
        <f>"EPS037"</f>
        <v>EPS037</v>
      </c>
      <c r="R586" t="str">
        <f t="shared" si="651"/>
        <v>6</v>
      </c>
      <c r="S586" t="str">
        <f>""</f>
        <v/>
      </c>
      <c r="T586" t="str">
        <f t="shared" si="666"/>
        <v xml:space="preserve">                                                                                                    </v>
      </c>
      <c r="U586" t="str">
        <f>"2         "</f>
        <v xml:space="preserve">2         </v>
      </c>
      <c r="V586" t="str">
        <f t="shared" si="660"/>
        <v>2</v>
      </c>
      <c r="W586" t="str">
        <f t="shared" si="655"/>
        <v>2</v>
      </c>
      <c r="X586" t="str">
        <f t="shared" si="634"/>
        <v>2</v>
      </c>
      <c r="Y586" t="str">
        <f t="shared" si="688"/>
        <v>2</v>
      </c>
      <c r="Z586" t="str">
        <f t="shared" si="688"/>
        <v>2</v>
      </c>
      <c r="AA586" t="str">
        <f t="shared" si="683"/>
        <v xml:space="preserve">          </v>
      </c>
      <c r="AB586" t="str">
        <f t="shared" si="671"/>
        <v>2</v>
      </c>
      <c r="AC586" t="str">
        <f t="shared" si="676"/>
        <v>2</v>
      </c>
      <c r="AD586" t="str">
        <f t="shared" si="689"/>
        <v>2</v>
      </c>
      <c r="AE586" t="str">
        <f t="shared" si="689"/>
        <v>2</v>
      </c>
      <c r="AF586" t="str">
        <f t="shared" si="689"/>
        <v>2</v>
      </c>
      <c r="AG586" t="str">
        <f t="shared" si="689"/>
        <v>2</v>
      </c>
      <c r="AH586" t="str">
        <f t="shared" si="661"/>
        <v>1</v>
      </c>
      <c r="AI586" t="str">
        <f t="shared" si="692"/>
        <v xml:space="preserve">1         </v>
      </c>
      <c r="AJ586" t="str">
        <f t="shared" ref="AJ586:AJ649" si="699">"170"</f>
        <v>170</v>
      </c>
      <c r="AK586" t="str">
        <f>"11"</f>
        <v>11</v>
      </c>
      <c r="AL586" t="str">
        <f t="shared" ref="AL586:AL591" si="700">"001"</f>
        <v>001</v>
      </c>
      <c r="AM586" t="str">
        <f t="shared" ref="AM586:AM591" si="701">"11"</f>
        <v>11</v>
      </c>
      <c r="AN586" t="str">
        <f t="shared" ref="AN586:AN591" si="702">"11001"</f>
        <v>11001</v>
      </c>
      <c r="AO586" t="str">
        <f>"3/01/2020 12:00:00 a. m."</f>
        <v>3/01/2020 12:00:00 a. m.</v>
      </c>
      <c r="AP586" t="str">
        <f>"7/11/2019 12:00:00 a. m."</f>
        <v>7/11/2019 12:00:00 a. m.</v>
      </c>
      <c r="AQ586" t="str">
        <f>"3"</f>
        <v>3</v>
      </c>
      <c r="AR586" t="str">
        <f>"1"</f>
        <v>1</v>
      </c>
      <c r="AS586" t="str">
        <f>"3/01/2020 12:00:00 a. m."</f>
        <v>3/01/2020 12:00:00 a. m.</v>
      </c>
      <c r="AT586" t="str">
        <f t="shared" si="670"/>
        <v>1</v>
      </c>
      <c r="AU586" t="str">
        <f>""</f>
        <v/>
      </c>
      <c r="AV586" t="str">
        <f>"0"</f>
        <v>0</v>
      </c>
      <c r="AW586" t="str">
        <f>"13/11/2002 12:00:00 a. m."</f>
        <v>13/11/2002 12:00:00 a. m.</v>
      </c>
      <c r="AX586" t="str">
        <f>""</f>
        <v/>
      </c>
      <c r="AY586" t="str">
        <f t="shared" si="684"/>
        <v>30/04/2021 12:00:00 a. m.</v>
      </c>
      <c r="AZ586" t="str">
        <f>"8/01/2020 12:00:00 a. m."</f>
        <v>8/01/2020 12:00:00 a. m.</v>
      </c>
      <c r="BA586" t="str">
        <f>""</f>
        <v/>
      </c>
      <c r="BB586" t="str">
        <f>""</f>
        <v/>
      </c>
      <c r="BC586" t="str">
        <f>""</f>
        <v/>
      </c>
      <c r="BD586" t="str">
        <f t="shared" si="693"/>
        <v>1</v>
      </c>
      <c r="BE586" t="str">
        <f t="shared" si="693"/>
        <v>1</v>
      </c>
      <c r="BF586" t="str">
        <f t="shared" si="685"/>
        <v xml:space="preserve">3         </v>
      </c>
      <c r="BG586" t="str">
        <f t="shared" si="686"/>
        <v>Confirmado por laboratorio</v>
      </c>
      <c r="BH586" t="str">
        <f>"FUNDACION CARDIOINFANTIL INSTITUTO DE CARDIOLOGIA"</f>
        <v>FUNDACION CARDIOINFANTIL INSTITUTO DE CARDIOLOGIA</v>
      </c>
      <c r="BI586" t="str">
        <f t="shared" ref="BI586:BI649" si="703">"COLOMBIA"</f>
        <v>COLOMBIA</v>
      </c>
      <c r="BJ586" t="str">
        <f t="shared" si="687"/>
        <v>CANCER INFANTIL</v>
      </c>
      <c r="BK586" t="str">
        <f t="shared" ref="BK586:BL589" si="704">"BOGOTA"</f>
        <v>BOGOTA</v>
      </c>
      <c r="BL586" t="str">
        <f t="shared" si="704"/>
        <v>BOGOTA</v>
      </c>
      <c r="BM586" t="str">
        <f t="shared" ref="BM586:BM649" si="705">"COLOMBIA"</f>
        <v>COLOMBIA</v>
      </c>
      <c r="BN586" t="str">
        <f t="shared" ref="BN586:BQ589" si="706">"BOGOTA"</f>
        <v>BOGOTA</v>
      </c>
      <c r="BO586" t="str">
        <f t="shared" si="706"/>
        <v>BOGOTA</v>
      </c>
      <c r="BP586" t="str">
        <f t="shared" si="706"/>
        <v>BOGOTA</v>
      </c>
      <c r="BQ586" t="str">
        <f t="shared" si="706"/>
        <v>BOGOTA</v>
      </c>
    </row>
    <row r="587" spans="1:69" x14ac:dyDescent="0.25">
      <c r="A587" t="str">
        <f>"7279295"</f>
        <v>7279295</v>
      </c>
      <c r="B587" t="str">
        <f t="shared" si="681"/>
        <v>459</v>
      </c>
      <c r="C587" t="str">
        <f>"28/08/2020 12:00:00 a. m."</f>
        <v>28/08/2020 12:00:00 a. m.</v>
      </c>
      <c r="D587" t="str">
        <f>"34"</f>
        <v>34</v>
      </c>
      <c r="E587" t="str">
        <f t="shared" si="682"/>
        <v>2020</v>
      </c>
      <c r="F587" t="str">
        <f>"1100109111"</f>
        <v>1100109111</v>
      </c>
      <c r="G587" t="str">
        <f t="shared" si="694"/>
        <v>01</v>
      </c>
      <c r="H587" t="str">
        <f>"17"</f>
        <v>17</v>
      </c>
      <c r="I587" t="str">
        <f t="shared" si="665"/>
        <v>1</v>
      </c>
      <c r="J587" t="str">
        <f>"M"</f>
        <v>M</v>
      </c>
      <c r="K587" t="str">
        <f t="shared" si="696"/>
        <v>170</v>
      </c>
      <c r="L587" t="str">
        <f>"11"</f>
        <v>11</v>
      </c>
      <c r="M587" t="str">
        <f t="shared" si="697"/>
        <v>001</v>
      </c>
      <c r="N587" t="str">
        <f t="shared" si="695"/>
        <v>1</v>
      </c>
      <c r="O587" t="str">
        <f t="shared" si="691"/>
        <v>9997</v>
      </c>
      <c r="P587" t="str">
        <f t="shared" si="698"/>
        <v>C</v>
      </c>
      <c r="Q587" t="str">
        <f>"EPS005"</f>
        <v>EPS005</v>
      </c>
      <c r="R587" t="str">
        <f t="shared" si="651"/>
        <v>6</v>
      </c>
      <c r="S587" t="str">
        <f>""</f>
        <v/>
      </c>
      <c r="T587" t="str">
        <f t="shared" si="666"/>
        <v xml:space="preserve">                                                                                                    </v>
      </c>
      <c r="U587" t="str">
        <f>"5         "</f>
        <v xml:space="preserve">5         </v>
      </c>
      <c r="V587" t="str">
        <f t="shared" si="660"/>
        <v>2</v>
      </c>
      <c r="W587" t="str">
        <f t="shared" si="655"/>
        <v>2</v>
      </c>
      <c r="X587" t="str">
        <f t="shared" si="634"/>
        <v>2</v>
      </c>
      <c r="Y587" t="str">
        <f t="shared" si="688"/>
        <v>2</v>
      </c>
      <c r="Z587" t="str">
        <f t="shared" si="688"/>
        <v>2</v>
      </c>
      <c r="AA587" t="str">
        <f t="shared" si="683"/>
        <v xml:space="preserve">          </v>
      </c>
      <c r="AB587" t="str">
        <f t="shared" si="671"/>
        <v>2</v>
      </c>
      <c r="AC587" t="str">
        <f t="shared" si="676"/>
        <v>2</v>
      </c>
      <c r="AD587" t="str">
        <f t="shared" si="689"/>
        <v>2</v>
      </c>
      <c r="AE587" t="str">
        <f t="shared" si="689"/>
        <v>2</v>
      </c>
      <c r="AF587" t="str">
        <f t="shared" si="689"/>
        <v>2</v>
      </c>
      <c r="AG587" t="str">
        <f t="shared" si="689"/>
        <v>2</v>
      </c>
      <c r="AH587" t="str">
        <f t="shared" si="661"/>
        <v>1</v>
      </c>
      <c r="AI587" t="str">
        <f t="shared" si="692"/>
        <v xml:space="preserve">1         </v>
      </c>
      <c r="AJ587" t="str">
        <f t="shared" si="699"/>
        <v>170</v>
      </c>
      <c r="AK587" t="str">
        <f>"11"</f>
        <v>11</v>
      </c>
      <c r="AL587" t="str">
        <f t="shared" si="700"/>
        <v>001</v>
      </c>
      <c r="AM587" t="str">
        <f t="shared" si="701"/>
        <v>11</v>
      </c>
      <c r="AN587" t="str">
        <f t="shared" si="702"/>
        <v>11001</v>
      </c>
      <c r="AO587" t="str">
        <f>"21/08/2020 12:00:00 a. m."</f>
        <v>21/08/2020 12:00:00 a. m.</v>
      </c>
      <c r="AP587" t="str">
        <f>"15/03/2020 12:00:00 a. m."</f>
        <v>15/03/2020 12:00:00 a. m.</v>
      </c>
      <c r="AQ587" t="str">
        <f>"3"</f>
        <v>3</v>
      </c>
      <c r="AR587" t="str">
        <f>"2"</f>
        <v>2</v>
      </c>
      <c r="AS587" t="str">
        <f>""</f>
        <v/>
      </c>
      <c r="AT587" t="str">
        <f t="shared" si="670"/>
        <v>1</v>
      </c>
      <c r="AU587" t="str">
        <f>""</f>
        <v/>
      </c>
      <c r="AV587" t="str">
        <f>"7"</f>
        <v>7</v>
      </c>
      <c r="AW587" t="str">
        <f>"23/05/2003 12:00:00 a. m."</f>
        <v>23/05/2003 12:00:00 a. m.</v>
      </c>
      <c r="AX587" t="str">
        <f>""</f>
        <v/>
      </c>
      <c r="AY587" t="str">
        <f t="shared" si="684"/>
        <v>30/04/2021 12:00:00 a. m.</v>
      </c>
      <c r="AZ587" t="str">
        <f>"14/09/2020 12:00:00 a. m."</f>
        <v>14/09/2020 12:00:00 a. m.</v>
      </c>
      <c r="BA587" t="str">
        <f>""</f>
        <v/>
      </c>
      <c r="BB587" t="str">
        <f>""</f>
        <v/>
      </c>
      <c r="BC587" t="str">
        <f>""</f>
        <v/>
      </c>
      <c r="BD587" t="str">
        <f t="shared" si="693"/>
        <v>1</v>
      </c>
      <c r="BE587" t="str">
        <f t="shared" si="693"/>
        <v>1</v>
      </c>
      <c r="BF587" t="str">
        <f t="shared" si="685"/>
        <v xml:space="preserve">3         </v>
      </c>
      <c r="BG587" t="str">
        <f t="shared" si="686"/>
        <v>Confirmado por laboratorio</v>
      </c>
      <c r="BH587" t="str">
        <f>"FUNDACION CARDIOINFANTIL INSTITUTO DE CARDIOLOGIA"</f>
        <v>FUNDACION CARDIOINFANTIL INSTITUTO DE CARDIOLOGIA</v>
      </c>
      <c r="BI587" t="str">
        <f t="shared" si="703"/>
        <v>COLOMBIA</v>
      </c>
      <c r="BJ587" t="str">
        <f t="shared" si="687"/>
        <v>CANCER INFANTIL</v>
      </c>
      <c r="BK587" t="str">
        <f t="shared" si="704"/>
        <v>BOGOTA</v>
      </c>
      <c r="BL587" t="str">
        <f t="shared" si="704"/>
        <v>BOGOTA</v>
      </c>
      <c r="BM587" t="str">
        <f t="shared" si="705"/>
        <v>COLOMBIA</v>
      </c>
      <c r="BN587" t="str">
        <f t="shared" si="706"/>
        <v>BOGOTA</v>
      </c>
      <c r="BO587" t="str">
        <f t="shared" si="706"/>
        <v>BOGOTA</v>
      </c>
      <c r="BP587" t="str">
        <f t="shared" si="706"/>
        <v>BOGOTA</v>
      </c>
      <c r="BQ587" t="str">
        <f t="shared" si="706"/>
        <v>BOGOTA</v>
      </c>
    </row>
    <row r="588" spans="1:69" x14ac:dyDescent="0.25">
      <c r="A588" t="str">
        <f>"7279292"</f>
        <v>7279292</v>
      </c>
      <c r="B588" t="str">
        <f t="shared" si="681"/>
        <v>459</v>
      </c>
      <c r="C588" t="str">
        <f>"6/06/2020 12:00:00 a. m."</f>
        <v>6/06/2020 12:00:00 a. m.</v>
      </c>
      <c r="D588" t="str">
        <f>"21"</f>
        <v>21</v>
      </c>
      <c r="E588" t="str">
        <f t="shared" si="682"/>
        <v>2020</v>
      </c>
      <c r="F588" t="str">
        <f>"1100108679"</f>
        <v>1100108679</v>
      </c>
      <c r="G588" t="str">
        <f t="shared" si="694"/>
        <v>01</v>
      </c>
      <c r="H588" t="str">
        <f>"16"</f>
        <v>16</v>
      </c>
      <c r="I588" t="str">
        <f t="shared" si="665"/>
        <v>1</v>
      </c>
      <c r="J588" t="str">
        <f>"M"</f>
        <v>M</v>
      </c>
      <c r="K588" t="str">
        <f t="shared" si="696"/>
        <v>170</v>
      </c>
      <c r="L588" t="str">
        <f>"11"</f>
        <v>11</v>
      </c>
      <c r="M588" t="str">
        <f t="shared" si="697"/>
        <v>001</v>
      </c>
      <c r="N588" t="str">
        <f t="shared" si="695"/>
        <v>1</v>
      </c>
      <c r="O588" t="str">
        <f t="shared" si="691"/>
        <v>9997</v>
      </c>
      <c r="P588" t="str">
        <f t="shared" si="698"/>
        <v>C</v>
      </c>
      <c r="Q588" t="str">
        <f>"EPS005"</f>
        <v>EPS005</v>
      </c>
      <c r="R588" t="str">
        <f t="shared" si="651"/>
        <v>6</v>
      </c>
      <c r="S588" t="str">
        <f>""</f>
        <v/>
      </c>
      <c r="T588" t="str">
        <f t="shared" si="666"/>
        <v xml:space="preserve">                                                                                                    </v>
      </c>
      <c r="U588" t="str">
        <f>"4         "</f>
        <v xml:space="preserve">4         </v>
      </c>
      <c r="V588" t="str">
        <f t="shared" si="660"/>
        <v>2</v>
      </c>
      <c r="W588" t="str">
        <f t="shared" si="655"/>
        <v>2</v>
      </c>
      <c r="X588" t="str">
        <f t="shared" si="634"/>
        <v>2</v>
      </c>
      <c r="Y588" t="str">
        <f t="shared" si="688"/>
        <v>2</v>
      </c>
      <c r="Z588" t="str">
        <f t="shared" si="688"/>
        <v>2</v>
      </c>
      <c r="AA588" t="str">
        <f t="shared" si="683"/>
        <v xml:space="preserve">          </v>
      </c>
      <c r="AB588" t="str">
        <f t="shared" si="671"/>
        <v>2</v>
      </c>
      <c r="AC588" t="str">
        <f t="shared" si="676"/>
        <v>2</v>
      </c>
      <c r="AD588" t="str">
        <f t="shared" si="689"/>
        <v>2</v>
      </c>
      <c r="AE588" t="str">
        <f t="shared" si="689"/>
        <v>2</v>
      </c>
      <c r="AF588" t="str">
        <f t="shared" si="689"/>
        <v>2</v>
      </c>
      <c r="AG588" t="str">
        <f t="shared" si="689"/>
        <v>2</v>
      </c>
      <c r="AH588" t="str">
        <f t="shared" si="661"/>
        <v>1</v>
      </c>
      <c r="AI588" t="str">
        <f>"2         "</f>
        <v xml:space="preserve">2         </v>
      </c>
      <c r="AJ588" t="str">
        <f t="shared" si="699"/>
        <v>170</v>
      </c>
      <c r="AK588" t="str">
        <f>"11"</f>
        <v>11</v>
      </c>
      <c r="AL588" t="str">
        <f t="shared" si="700"/>
        <v>001</v>
      </c>
      <c r="AM588" t="str">
        <f t="shared" si="701"/>
        <v>11</v>
      </c>
      <c r="AN588" t="str">
        <f t="shared" si="702"/>
        <v>11001</v>
      </c>
      <c r="AO588" t="str">
        <f>"21/05/2020 12:00:00 a. m."</f>
        <v>21/05/2020 12:00:00 a. m.</v>
      </c>
      <c r="AP588" t="str">
        <f>"26/03/2020 12:00:00 a. m."</f>
        <v>26/03/2020 12:00:00 a. m.</v>
      </c>
      <c r="AQ588" t="str">
        <f>"2"</f>
        <v>2</v>
      </c>
      <c r="AR588" t="str">
        <f>"2"</f>
        <v>2</v>
      </c>
      <c r="AS588" t="str">
        <f>""</f>
        <v/>
      </c>
      <c r="AT588" t="str">
        <f t="shared" si="670"/>
        <v>1</v>
      </c>
      <c r="AU588" t="str">
        <f>""</f>
        <v/>
      </c>
      <c r="AV588" t="str">
        <f>"3"</f>
        <v>3</v>
      </c>
      <c r="AW588" t="str">
        <f>"1/10/2003 12:00:00 a. m."</f>
        <v>1/10/2003 12:00:00 a. m.</v>
      </c>
      <c r="AX588" t="str">
        <f>""</f>
        <v/>
      </c>
      <c r="AY588" t="str">
        <f t="shared" si="684"/>
        <v>30/04/2021 12:00:00 a. m.</v>
      </c>
      <c r="AZ588" t="str">
        <f>"9/07/2020 12:00:00 a. m."</f>
        <v>9/07/2020 12:00:00 a. m.</v>
      </c>
      <c r="BA588" t="str">
        <f>""</f>
        <v/>
      </c>
      <c r="BB588" t="str">
        <f>""</f>
        <v/>
      </c>
      <c r="BC588" t="str">
        <f>""</f>
        <v/>
      </c>
      <c r="BD588" t="str">
        <f t="shared" si="693"/>
        <v>1</v>
      </c>
      <c r="BE588" t="str">
        <f t="shared" si="693"/>
        <v>1</v>
      </c>
      <c r="BF588" t="str">
        <f t="shared" si="685"/>
        <v xml:space="preserve">3         </v>
      </c>
      <c r="BG588" t="str">
        <f t="shared" si="686"/>
        <v>Confirmado por laboratorio</v>
      </c>
      <c r="BH588" t="str">
        <f>"SOCIEDAD DE CIRUGIA DE BOGOTA HOSPITAL DE SAN JOSE"</f>
        <v>SOCIEDAD DE CIRUGIA DE BOGOTA HOSPITAL DE SAN JOSE</v>
      </c>
      <c r="BI588" t="str">
        <f t="shared" si="703"/>
        <v>COLOMBIA</v>
      </c>
      <c r="BJ588" t="str">
        <f t="shared" si="687"/>
        <v>CANCER INFANTIL</v>
      </c>
      <c r="BK588" t="str">
        <f t="shared" si="704"/>
        <v>BOGOTA</v>
      </c>
      <c r="BL588" t="str">
        <f t="shared" si="704"/>
        <v>BOGOTA</v>
      </c>
      <c r="BM588" t="str">
        <f t="shared" si="705"/>
        <v>COLOMBIA</v>
      </c>
      <c r="BN588" t="str">
        <f t="shared" si="706"/>
        <v>BOGOTA</v>
      </c>
      <c r="BO588" t="str">
        <f t="shared" si="706"/>
        <v>BOGOTA</v>
      </c>
      <c r="BP588" t="str">
        <f t="shared" si="706"/>
        <v>BOGOTA</v>
      </c>
      <c r="BQ588" t="str">
        <f t="shared" si="706"/>
        <v>BOGOTA</v>
      </c>
    </row>
    <row r="589" spans="1:69" x14ac:dyDescent="0.25">
      <c r="A589" t="str">
        <f>"7278834"</f>
        <v>7278834</v>
      </c>
      <c r="B589" t="str">
        <f t="shared" si="681"/>
        <v>459</v>
      </c>
      <c r="C589" t="str">
        <f>"3/06/2020 12:00:00 a. m."</f>
        <v>3/06/2020 12:00:00 a. m.</v>
      </c>
      <c r="D589" t="str">
        <f>"20"</f>
        <v>20</v>
      </c>
      <c r="E589" t="str">
        <f t="shared" si="682"/>
        <v>2020</v>
      </c>
      <c r="F589" t="str">
        <f>"1100105681"</f>
        <v>1100105681</v>
      </c>
      <c r="G589" t="str">
        <f t="shared" si="694"/>
        <v>01</v>
      </c>
      <c r="H589" t="str">
        <f>"1"</f>
        <v>1</v>
      </c>
      <c r="I589" t="str">
        <f t="shared" si="665"/>
        <v>1</v>
      </c>
      <c r="J589" t="str">
        <f>"F"</f>
        <v>F</v>
      </c>
      <c r="K589" t="str">
        <f t="shared" si="696"/>
        <v>170</v>
      </c>
      <c r="L589" t="str">
        <f>"11"</f>
        <v>11</v>
      </c>
      <c r="M589" t="str">
        <f t="shared" si="697"/>
        <v>001</v>
      </c>
      <c r="N589" t="str">
        <f t="shared" si="695"/>
        <v>1</v>
      </c>
      <c r="O589" t="str">
        <f>"9999"</f>
        <v>9999</v>
      </c>
      <c r="P589" t="str">
        <f t="shared" si="698"/>
        <v>C</v>
      </c>
      <c r="Q589" t="str">
        <f>"EPS017"</f>
        <v>EPS017</v>
      </c>
      <c r="R589" t="str">
        <f t="shared" si="651"/>
        <v>6</v>
      </c>
      <c r="S589" t="str">
        <f>""</f>
        <v/>
      </c>
      <c r="T589" t="str">
        <f t="shared" si="666"/>
        <v xml:space="preserve">                                                                                                    </v>
      </c>
      <c r="U589" t="str">
        <f>"2         "</f>
        <v xml:space="preserve">2         </v>
      </c>
      <c r="V589" t="str">
        <f t="shared" si="660"/>
        <v>2</v>
      </c>
      <c r="W589" t="str">
        <f t="shared" si="655"/>
        <v>2</v>
      </c>
      <c r="X589" t="str">
        <f t="shared" si="634"/>
        <v>2</v>
      </c>
      <c r="Y589" t="str">
        <f t="shared" si="688"/>
        <v>2</v>
      </c>
      <c r="Z589" t="str">
        <f t="shared" si="688"/>
        <v>2</v>
      </c>
      <c r="AA589" t="str">
        <f t="shared" si="683"/>
        <v xml:space="preserve">          </v>
      </c>
      <c r="AB589" t="str">
        <f t="shared" si="671"/>
        <v>2</v>
      </c>
      <c r="AC589" t="str">
        <f t="shared" si="676"/>
        <v>2</v>
      </c>
      <c r="AD589" t="str">
        <f t="shared" si="689"/>
        <v>2</v>
      </c>
      <c r="AE589" t="str">
        <f t="shared" si="689"/>
        <v>2</v>
      </c>
      <c r="AF589" t="str">
        <f t="shared" si="689"/>
        <v>2</v>
      </c>
      <c r="AG589" t="str">
        <f t="shared" si="689"/>
        <v>2</v>
      </c>
      <c r="AH589" t="str">
        <f t="shared" si="661"/>
        <v>1</v>
      </c>
      <c r="AI589" t="str">
        <f>"2         "</f>
        <v xml:space="preserve">2         </v>
      </c>
      <c r="AJ589" t="str">
        <f t="shared" si="699"/>
        <v>170</v>
      </c>
      <c r="AK589" t="str">
        <f>"11"</f>
        <v>11</v>
      </c>
      <c r="AL589" t="str">
        <f t="shared" si="700"/>
        <v>001</v>
      </c>
      <c r="AM589" t="str">
        <f t="shared" si="701"/>
        <v>11</v>
      </c>
      <c r="AN589" t="str">
        <f t="shared" si="702"/>
        <v>11001</v>
      </c>
      <c r="AO589" t="str">
        <f>"12/05/2020 12:00:00 a. m."</f>
        <v>12/05/2020 12:00:00 a. m.</v>
      </c>
      <c r="AP589" t="str">
        <f>"12/03/2020 12:00:00 a. m."</f>
        <v>12/03/2020 12:00:00 a. m.</v>
      </c>
      <c r="AQ589" t="str">
        <f>"3"</f>
        <v>3</v>
      </c>
      <c r="AR589" t="str">
        <f t="shared" ref="AR589:AR600" si="707">"1"</f>
        <v>1</v>
      </c>
      <c r="AS589" t="str">
        <f>"12/05/2020 12:00:00 a. m."</f>
        <v>12/05/2020 12:00:00 a. m.</v>
      </c>
      <c r="AT589" t="str">
        <f t="shared" si="670"/>
        <v>1</v>
      </c>
      <c r="AU589" t="str">
        <f>""</f>
        <v/>
      </c>
      <c r="AV589" t="str">
        <f>"0"</f>
        <v>0</v>
      </c>
      <c r="AW589" t="str">
        <f>"12/01/2019 12:00:00 a. m."</f>
        <v>12/01/2019 12:00:00 a. m.</v>
      </c>
      <c r="AX589" t="str">
        <f>""</f>
        <v/>
      </c>
      <c r="AY589" t="str">
        <f t="shared" si="684"/>
        <v>30/04/2021 12:00:00 a. m.</v>
      </c>
      <c r="AZ589" t="str">
        <f>"4/08/2020 12:00:00 a. m."</f>
        <v>4/08/2020 12:00:00 a. m.</v>
      </c>
      <c r="BA589" t="str">
        <f>""</f>
        <v/>
      </c>
      <c r="BB589" t="str">
        <f>""</f>
        <v/>
      </c>
      <c r="BC589" t="str">
        <f>""</f>
        <v/>
      </c>
      <c r="BD589" t="str">
        <f t="shared" si="693"/>
        <v>1</v>
      </c>
      <c r="BE589" t="str">
        <f t="shared" si="693"/>
        <v>1</v>
      </c>
      <c r="BF589" t="str">
        <f t="shared" si="685"/>
        <v xml:space="preserve">3         </v>
      </c>
      <c r="BG589" t="str">
        <f t="shared" si="686"/>
        <v>Confirmado por laboratorio</v>
      </c>
      <c r="BH589" t="str">
        <f>"FUNDACION HOSPITAL DE LA MISERICORDIA"</f>
        <v>FUNDACION HOSPITAL DE LA MISERICORDIA</v>
      </c>
      <c r="BI589" t="str">
        <f t="shared" si="703"/>
        <v>COLOMBIA</v>
      </c>
      <c r="BJ589" t="str">
        <f t="shared" si="687"/>
        <v>CANCER INFANTIL</v>
      </c>
      <c r="BK589" t="str">
        <f t="shared" si="704"/>
        <v>BOGOTA</v>
      </c>
      <c r="BL589" t="str">
        <f t="shared" si="704"/>
        <v>BOGOTA</v>
      </c>
      <c r="BM589" t="str">
        <f t="shared" si="705"/>
        <v>COLOMBIA</v>
      </c>
      <c r="BN589" t="str">
        <f t="shared" si="706"/>
        <v>BOGOTA</v>
      </c>
      <c r="BO589" t="str">
        <f t="shared" si="706"/>
        <v>BOGOTA</v>
      </c>
      <c r="BP589" t="str">
        <f t="shared" si="706"/>
        <v>BOGOTA</v>
      </c>
      <c r="BQ589" t="str">
        <f t="shared" si="706"/>
        <v>BOGOTA</v>
      </c>
    </row>
    <row r="590" spans="1:69" x14ac:dyDescent="0.25">
      <c r="A590" t="str">
        <f>"7278854"</f>
        <v>7278854</v>
      </c>
      <c r="B590" t="str">
        <f t="shared" si="681"/>
        <v>459</v>
      </c>
      <c r="C590" t="str">
        <f>"30/04/2020 12:00:00 a. m."</f>
        <v>30/04/2020 12:00:00 a. m.</v>
      </c>
      <c r="D590" t="str">
        <f>"17"</f>
        <v>17</v>
      </c>
      <c r="E590" t="str">
        <f t="shared" si="682"/>
        <v>2020</v>
      </c>
      <c r="F590" t="str">
        <f>"1100105681"</f>
        <v>1100105681</v>
      </c>
      <c r="G590" t="str">
        <f t="shared" si="694"/>
        <v>01</v>
      </c>
      <c r="H590" t="str">
        <f>"4"</f>
        <v>4</v>
      </c>
      <c r="I590" t="str">
        <f t="shared" si="665"/>
        <v>1</v>
      </c>
      <c r="J590" t="str">
        <f>"M"</f>
        <v>M</v>
      </c>
      <c r="K590" t="str">
        <f t="shared" si="696"/>
        <v>170</v>
      </c>
      <c r="L590" t="str">
        <f>"73"</f>
        <v>73</v>
      </c>
      <c r="M590" t="str">
        <f t="shared" si="697"/>
        <v>001</v>
      </c>
      <c r="N590" t="str">
        <f t="shared" si="695"/>
        <v>1</v>
      </c>
      <c r="O590" t="str">
        <f>"9999"</f>
        <v>9999</v>
      </c>
      <c r="P590" t="str">
        <f t="shared" si="698"/>
        <v>C</v>
      </c>
      <c r="Q590" t="str">
        <f>"EPS005"</f>
        <v>EPS005</v>
      </c>
      <c r="R590" t="str">
        <f t="shared" si="651"/>
        <v>6</v>
      </c>
      <c r="S590" t="str">
        <f>""</f>
        <v/>
      </c>
      <c r="T590" t="str">
        <f t="shared" si="666"/>
        <v xml:space="preserve">                                                                                                    </v>
      </c>
      <c r="U590" t="str">
        <f>"2         "</f>
        <v xml:space="preserve">2         </v>
      </c>
      <c r="V590" t="str">
        <f t="shared" si="660"/>
        <v>2</v>
      </c>
      <c r="W590" t="str">
        <f t="shared" si="655"/>
        <v>2</v>
      </c>
      <c r="X590" t="str">
        <f t="shared" si="634"/>
        <v>2</v>
      </c>
      <c r="Y590" t="str">
        <f t="shared" si="688"/>
        <v>2</v>
      </c>
      <c r="Z590" t="str">
        <f t="shared" si="688"/>
        <v>2</v>
      </c>
      <c r="AA590" t="str">
        <f t="shared" si="683"/>
        <v xml:space="preserve">          </v>
      </c>
      <c r="AB590" t="str">
        <f t="shared" si="671"/>
        <v>2</v>
      </c>
      <c r="AC590" t="str">
        <f t="shared" si="676"/>
        <v>2</v>
      </c>
      <c r="AD590" t="str">
        <f t="shared" si="689"/>
        <v>2</v>
      </c>
      <c r="AE590" t="str">
        <f t="shared" si="689"/>
        <v>2</v>
      </c>
      <c r="AF590" t="str">
        <f t="shared" si="689"/>
        <v>2</v>
      </c>
      <c r="AG590" t="str">
        <f t="shared" si="689"/>
        <v>2</v>
      </c>
      <c r="AH590" t="str">
        <f t="shared" si="661"/>
        <v>1</v>
      </c>
      <c r="AI590" t="str">
        <f>"2         "</f>
        <v xml:space="preserve">2         </v>
      </c>
      <c r="AJ590" t="str">
        <f t="shared" si="699"/>
        <v>170</v>
      </c>
      <c r="AK590" t="str">
        <f>"73"</f>
        <v>73</v>
      </c>
      <c r="AL590" t="str">
        <f t="shared" si="700"/>
        <v>001</v>
      </c>
      <c r="AM590" t="str">
        <f t="shared" si="701"/>
        <v>11</v>
      </c>
      <c r="AN590" t="str">
        <f t="shared" si="702"/>
        <v>11001</v>
      </c>
      <c r="AO590" t="str">
        <f>"21/04/2020 12:00:00 a. m."</f>
        <v>21/04/2020 12:00:00 a. m.</v>
      </c>
      <c r="AP590" t="str">
        <f>"21/04/2020 12:00:00 a. m."</f>
        <v>21/04/2020 12:00:00 a. m.</v>
      </c>
      <c r="AQ590" t="str">
        <f>"3"</f>
        <v>3</v>
      </c>
      <c r="AR590" t="str">
        <f t="shared" si="707"/>
        <v>1</v>
      </c>
      <c r="AS590" t="str">
        <f>"21/04/2020 12:00:00 a. m."</f>
        <v>21/04/2020 12:00:00 a. m.</v>
      </c>
      <c r="AT590" t="str">
        <f t="shared" si="670"/>
        <v>1</v>
      </c>
      <c r="AU590" t="str">
        <f>""</f>
        <v/>
      </c>
      <c r="AV590" t="str">
        <f>"0"</f>
        <v>0</v>
      </c>
      <c r="AW590" t="str">
        <f>"20/10/2015 12:00:00 a. m."</f>
        <v>20/10/2015 12:00:00 a. m.</v>
      </c>
      <c r="AX590" t="str">
        <f>""</f>
        <v/>
      </c>
      <c r="AY590" t="str">
        <f t="shared" si="684"/>
        <v>30/04/2021 12:00:00 a. m.</v>
      </c>
      <c r="AZ590" t="str">
        <f>"16/07/2020 12:00:00 a. m."</f>
        <v>16/07/2020 12:00:00 a. m.</v>
      </c>
      <c r="BA590" t="str">
        <f>""</f>
        <v/>
      </c>
      <c r="BB590" t="str">
        <f>""</f>
        <v/>
      </c>
      <c r="BC590" t="str">
        <f>""</f>
        <v/>
      </c>
      <c r="BD590" t="str">
        <f t="shared" si="693"/>
        <v>1</v>
      </c>
      <c r="BE590" t="str">
        <f t="shared" si="693"/>
        <v>1</v>
      </c>
      <c r="BF590" t="str">
        <f t="shared" si="685"/>
        <v xml:space="preserve">3         </v>
      </c>
      <c r="BG590" t="str">
        <f t="shared" si="686"/>
        <v>Confirmado por laboratorio</v>
      </c>
      <c r="BH590" t="str">
        <f>"FUNDACION HOSPITAL DE LA MISERICORDIA"</f>
        <v>FUNDACION HOSPITAL DE LA MISERICORDIA</v>
      </c>
      <c r="BI590" t="str">
        <f t="shared" si="703"/>
        <v>COLOMBIA</v>
      </c>
      <c r="BJ590" t="str">
        <f t="shared" si="687"/>
        <v>CANCER INFANTIL</v>
      </c>
      <c r="BK590" t="str">
        <f>"TOLIMA"</f>
        <v>TOLIMA</v>
      </c>
      <c r="BL590" t="str">
        <f>"IBAGUE"</f>
        <v>IBAGUE</v>
      </c>
      <c r="BM590" t="str">
        <f t="shared" si="705"/>
        <v>COLOMBIA</v>
      </c>
      <c r="BN590" t="str">
        <f>"TOLIMA"</f>
        <v>TOLIMA</v>
      </c>
      <c r="BO590" t="str">
        <f>"IBAGUE"</f>
        <v>IBAGUE</v>
      </c>
      <c r="BP590" t="str">
        <f>"BOGOTA"</f>
        <v>BOGOTA</v>
      </c>
      <c r="BQ590" t="str">
        <f>"BOGOTA"</f>
        <v>BOGOTA</v>
      </c>
    </row>
    <row r="591" spans="1:69" x14ac:dyDescent="0.25">
      <c r="A591" t="str">
        <f>"7278871"</f>
        <v>7278871</v>
      </c>
      <c r="B591" t="str">
        <f t="shared" si="681"/>
        <v>459</v>
      </c>
      <c r="C591" t="str">
        <f>"25/09/2020 12:00:00 a. m."</f>
        <v>25/09/2020 12:00:00 a. m.</v>
      </c>
      <c r="D591" t="str">
        <f>"35"</f>
        <v>35</v>
      </c>
      <c r="E591" t="str">
        <f t="shared" si="682"/>
        <v>2020</v>
      </c>
      <c r="F591" t="str">
        <f>"1100105681"</f>
        <v>1100105681</v>
      </c>
      <c r="G591" t="str">
        <f t="shared" si="694"/>
        <v>01</v>
      </c>
      <c r="H591" t="str">
        <f>"13"</f>
        <v>13</v>
      </c>
      <c r="I591" t="str">
        <f t="shared" si="665"/>
        <v>1</v>
      </c>
      <c r="J591" t="str">
        <f>"M"</f>
        <v>M</v>
      </c>
      <c r="K591" t="str">
        <f t="shared" si="696"/>
        <v>170</v>
      </c>
      <c r="L591" t="str">
        <f>"11"</f>
        <v>11</v>
      </c>
      <c r="M591" t="str">
        <f t="shared" si="697"/>
        <v>001</v>
      </c>
      <c r="N591" t="str">
        <f t="shared" si="695"/>
        <v>1</v>
      </c>
      <c r="O591" t="str">
        <f>"9997"</f>
        <v>9997</v>
      </c>
      <c r="P591" t="str">
        <f t="shared" si="698"/>
        <v>C</v>
      </c>
      <c r="Q591" t="str">
        <f>"EPS010"</f>
        <v>EPS010</v>
      </c>
      <c r="R591" t="str">
        <f t="shared" si="651"/>
        <v>6</v>
      </c>
      <c r="S591" t="str">
        <f>""</f>
        <v/>
      </c>
      <c r="T591" t="str">
        <f t="shared" si="666"/>
        <v xml:space="preserve">                                                                                                    </v>
      </c>
      <c r="U591" t="str">
        <f>"2         "</f>
        <v xml:space="preserve">2         </v>
      </c>
      <c r="V591" t="str">
        <f t="shared" si="660"/>
        <v>2</v>
      </c>
      <c r="W591" t="str">
        <f t="shared" si="655"/>
        <v>2</v>
      </c>
      <c r="X591" t="str">
        <f t="shared" si="634"/>
        <v>2</v>
      </c>
      <c r="Y591" t="str">
        <f t="shared" si="688"/>
        <v>2</v>
      </c>
      <c r="Z591" t="str">
        <f t="shared" si="688"/>
        <v>2</v>
      </c>
      <c r="AA591" t="str">
        <f t="shared" si="683"/>
        <v xml:space="preserve">          </v>
      </c>
      <c r="AB591" t="str">
        <f t="shared" si="671"/>
        <v>2</v>
      </c>
      <c r="AC591" t="str">
        <f t="shared" si="676"/>
        <v>2</v>
      </c>
      <c r="AD591" t="str">
        <f t="shared" si="689"/>
        <v>2</v>
      </c>
      <c r="AE591" t="str">
        <f t="shared" si="689"/>
        <v>2</v>
      </c>
      <c r="AF591" t="str">
        <f t="shared" si="689"/>
        <v>2</v>
      </c>
      <c r="AG591" t="str">
        <f t="shared" si="689"/>
        <v>2</v>
      </c>
      <c r="AH591" t="str">
        <f t="shared" si="661"/>
        <v>1</v>
      </c>
      <c r="AI591" t="str">
        <f>"1         "</f>
        <v xml:space="preserve">1         </v>
      </c>
      <c r="AJ591" t="str">
        <f t="shared" si="699"/>
        <v>170</v>
      </c>
      <c r="AK591" t="str">
        <f>"11"</f>
        <v>11</v>
      </c>
      <c r="AL591" t="str">
        <f t="shared" si="700"/>
        <v>001</v>
      </c>
      <c r="AM591" t="str">
        <f t="shared" si="701"/>
        <v>11</v>
      </c>
      <c r="AN591" t="str">
        <f t="shared" si="702"/>
        <v>11001</v>
      </c>
      <c r="AO591" t="str">
        <f>"26/08/2020 12:00:00 a. m."</f>
        <v>26/08/2020 12:00:00 a. m.</v>
      </c>
      <c r="AP591" t="str">
        <f>"1/06/2020 12:00:00 a. m."</f>
        <v>1/06/2020 12:00:00 a. m.</v>
      </c>
      <c r="AQ591" t="str">
        <f>"3"</f>
        <v>3</v>
      </c>
      <c r="AR591" t="str">
        <f t="shared" si="707"/>
        <v>1</v>
      </c>
      <c r="AS591" t="str">
        <f>"26/08/2020 12:00:00 a. m."</f>
        <v>26/08/2020 12:00:00 a. m.</v>
      </c>
      <c r="AT591" t="str">
        <f t="shared" si="670"/>
        <v>1</v>
      </c>
      <c r="AU591" t="str">
        <f>""</f>
        <v/>
      </c>
      <c r="AV591" t="str">
        <f>"0"</f>
        <v>0</v>
      </c>
      <c r="AW591" t="str">
        <f>"4/05/2007 12:00:00 a. m."</f>
        <v>4/05/2007 12:00:00 a. m.</v>
      </c>
      <c r="AX591" t="str">
        <f>""</f>
        <v/>
      </c>
      <c r="AY591" t="str">
        <f t="shared" si="684"/>
        <v>30/04/2021 12:00:00 a. m.</v>
      </c>
      <c r="AZ591" t="str">
        <f>"25/09/2020 12:00:00 a. m."</f>
        <v>25/09/2020 12:00:00 a. m.</v>
      </c>
      <c r="BA591" t="str">
        <f>""</f>
        <v/>
      </c>
      <c r="BB591" t="str">
        <f>""</f>
        <v/>
      </c>
      <c r="BC591" t="str">
        <f>""</f>
        <v/>
      </c>
      <c r="BD591" t="str">
        <f t="shared" si="693"/>
        <v>1</v>
      </c>
      <c r="BE591" t="str">
        <f t="shared" si="693"/>
        <v>1</v>
      </c>
      <c r="BF591" t="str">
        <f t="shared" si="685"/>
        <v xml:space="preserve">3         </v>
      </c>
      <c r="BG591" t="str">
        <f t="shared" si="686"/>
        <v>Confirmado por laboratorio</v>
      </c>
      <c r="BH591" t="str">
        <f>"FUNDACION HOSPITAL DE LA MISERICORDIA"</f>
        <v>FUNDACION HOSPITAL DE LA MISERICORDIA</v>
      </c>
      <c r="BI591" t="str">
        <f t="shared" si="703"/>
        <v>COLOMBIA</v>
      </c>
      <c r="BJ591" t="str">
        <f t="shared" si="687"/>
        <v>CANCER INFANTIL</v>
      </c>
      <c r="BK591" t="str">
        <f>"BOGOTA"</f>
        <v>BOGOTA</v>
      </c>
      <c r="BL591" t="str">
        <f>"BOGOTA"</f>
        <v>BOGOTA</v>
      </c>
      <c r="BM591" t="str">
        <f t="shared" si="705"/>
        <v>COLOMBIA</v>
      </c>
      <c r="BN591" t="str">
        <f>"BOGOTA"</f>
        <v>BOGOTA</v>
      </c>
      <c r="BO591" t="str">
        <f>"BOGOTA"</f>
        <v>BOGOTA</v>
      </c>
      <c r="BP591" t="str">
        <f>"BOGOTA"</f>
        <v>BOGOTA</v>
      </c>
      <c r="BQ591" t="str">
        <f>"BOGOTA"</f>
        <v>BOGOTA</v>
      </c>
    </row>
    <row r="592" spans="1:69" x14ac:dyDescent="0.25">
      <c r="A592" t="str">
        <f>"7278980"</f>
        <v>7278980</v>
      </c>
      <c r="B592" t="str">
        <f t="shared" si="681"/>
        <v>459</v>
      </c>
      <c r="C592" t="str">
        <f>"28/12/2020 12:00:00 a. m."</f>
        <v>28/12/2020 12:00:00 a. m.</v>
      </c>
      <c r="D592" t="str">
        <f>"43"</f>
        <v>43</v>
      </c>
      <c r="E592" t="str">
        <f t="shared" si="682"/>
        <v>2020</v>
      </c>
      <c r="F592" t="str">
        <f>"0500102175"</f>
        <v>0500102175</v>
      </c>
      <c r="G592" t="str">
        <f t="shared" si="694"/>
        <v>01</v>
      </c>
      <c r="H592" t="str">
        <f>"2"</f>
        <v>2</v>
      </c>
      <c r="I592" t="str">
        <f t="shared" si="665"/>
        <v>1</v>
      </c>
      <c r="J592" t="str">
        <f>"F"</f>
        <v>F</v>
      </c>
      <c r="K592" t="str">
        <f t="shared" si="696"/>
        <v>170</v>
      </c>
      <c r="L592" t="str">
        <f>"27"</f>
        <v>27</v>
      </c>
      <c r="M592" t="str">
        <f>"413"</f>
        <v>413</v>
      </c>
      <c r="N592" t="str">
        <f>"3"</f>
        <v>3</v>
      </c>
      <c r="O592" t="str">
        <f>"9999"</f>
        <v>9999</v>
      </c>
      <c r="P592" t="str">
        <f>"S"</f>
        <v>S</v>
      </c>
      <c r="Q592" t="str">
        <f>"CCF102"</f>
        <v>CCF102</v>
      </c>
      <c r="R592" t="str">
        <f t="shared" si="651"/>
        <v>6</v>
      </c>
      <c r="S592" t="str">
        <f>""</f>
        <v/>
      </c>
      <c r="T592" t="str">
        <f t="shared" si="666"/>
        <v xml:space="preserve">                                                                                                    </v>
      </c>
      <c r="U592" t="str">
        <f>"2         "</f>
        <v xml:space="preserve">2         </v>
      </c>
      <c r="V592" t="str">
        <f t="shared" si="660"/>
        <v>2</v>
      </c>
      <c r="W592" t="str">
        <f>"1"</f>
        <v>1</v>
      </c>
      <c r="X592" t="str">
        <f t="shared" si="634"/>
        <v>2</v>
      </c>
      <c r="Y592" t="str">
        <f t="shared" si="688"/>
        <v>2</v>
      </c>
      <c r="Z592" t="str">
        <f t="shared" si="688"/>
        <v>2</v>
      </c>
      <c r="AA592" t="str">
        <f t="shared" si="683"/>
        <v xml:space="preserve">          </v>
      </c>
      <c r="AB592" t="str">
        <f t="shared" si="671"/>
        <v>2</v>
      </c>
      <c r="AC592" t="str">
        <f t="shared" si="676"/>
        <v>2</v>
      </c>
      <c r="AD592" t="str">
        <f t="shared" si="689"/>
        <v>2</v>
      </c>
      <c r="AE592" t="str">
        <f t="shared" si="689"/>
        <v>2</v>
      </c>
      <c r="AF592" t="str">
        <f t="shared" si="689"/>
        <v>2</v>
      </c>
      <c r="AG592" t="str">
        <f t="shared" si="689"/>
        <v>2</v>
      </c>
      <c r="AH592" t="str">
        <f t="shared" si="661"/>
        <v>1</v>
      </c>
      <c r="AI592" t="str">
        <f>"1         "</f>
        <v xml:space="preserve">1         </v>
      </c>
      <c r="AJ592" t="str">
        <f t="shared" si="699"/>
        <v>170</v>
      </c>
      <c r="AK592" t="str">
        <f>"27"</f>
        <v>27</v>
      </c>
      <c r="AL592" t="str">
        <f>"413"</f>
        <v>413</v>
      </c>
      <c r="AM592" t="str">
        <f>"05"</f>
        <v>05</v>
      </c>
      <c r="AN592" t="str">
        <f>"05001"</f>
        <v>05001</v>
      </c>
      <c r="AO592" t="str">
        <f>"22/10/2020 12:00:00 a. m."</f>
        <v>22/10/2020 12:00:00 a. m.</v>
      </c>
      <c r="AP592" t="str">
        <f>"22/08/2020 12:00:00 a. m."</f>
        <v>22/08/2020 12:00:00 a. m.</v>
      </c>
      <c r="AQ592" t="str">
        <f>"3"</f>
        <v>3</v>
      </c>
      <c r="AR592" t="str">
        <f t="shared" si="707"/>
        <v>1</v>
      </c>
      <c r="AS592" t="str">
        <f>"22/10/2020 12:00:00 a. m."</f>
        <v>22/10/2020 12:00:00 a. m.</v>
      </c>
      <c r="AT592" t="str">
        <f t="shared" si="670"/>
        <v>1</v>
      </c>
      <c r="AU592" t="str">
        <f>""</f>
        <v/>
      </c>
      <c r="AV592" t="str">
        <f>"0"</f>
        <v>0</v>
      </c>
      <c r="AW592" t="str">
        <f>"21/05/2018 12:00:00 a. m."</f>
        <v>21/05/2018 12:00:00 a. m.</v>
      </c>
      <c r="AX592" t="str">
        <f>""</f>
        <v/>
      </c>
      <c r="AY592" t="str">
        <f t="shared" si="684"/>
        <v>30/04/2021 12:00:00 a. m.</v>
      </c>
      <c r="AZ592" t="str">
        <f>"28/12/2020 12:00:00 a. m."</f>
        <v>28/12/2020 12:00:00 a. m.</v>
      </c>
      <c r="BA592" t="str">
        <f>""</f>
        <v/>
      </c>
      <c r="BB592" t="str">
        <f>""</f>
        <v/>
      </c>
      <c r="BC592" t="str">
        <f>""</f>
        <v/>
      </c>
      <c r="BD592" t="str">
        <f t="shared" si="693"/>
        <v>1</v>
      </c>
      <c r="BE592" t="str">
        <f t="shared" si="693"/>
        <v>1</v>
      </c>
      <c r="BF592" t="str">
        <f t="shared" si="685"/>
        <v xml:space="preserve">3         </v>
      </c>
      <c r="BG592" t="str">
        <f t="shared" si="686"/>
        <v>Confirmado por laboratorio</v>
      </c>
      <c r="BH592" t="str">
        <f>"FUNDACION HOSPITALARIA SAN VICENTE DE PAUL"</f>
        <v>FUNDACION HOSPITALARIA SAN VICENTE DE PAUL</v>
      </c>
      <c r="BI592" t="str">
        <f t="shared" si="703"/>
        <v>COLOMBIA</v>
      </c>
      <c r="BJ592" t="str">
        <f t="shared" si="687"/>
        <v>CANCER INFANTIL</v>
      </c>
      <c r="BK592" t="str">
        <f>"CHOCO"</f>
        <v>CHOCO</v>
      </c>
      <c r="BL592" t="str">
        <f>"LLORO"</f>
        <v>LLORO</v>
      </c>
      <c r="BM592" t="str">
        <f t="shared" si="705"/>
        <v>COLOMBIA</v>
      </c>
      <c r="BN592" t="str">
        <f>"CHOCO"</f>
        <v>CHOCO</v>
      </c>
      <c r="BO592" t="str">
        <f>"LLORO"</f>
        <v>LLORO</v>
      </c>
      <c r="BP592" t="str">
        <f>"ANTIOQUIA"</f>
        <v>ANTIOQUIA</v>
      </c>
      <c r="BQ592" t="str">
        <f>"MEDELLIN"</f>
        <v>MEDELLIN</v>
      </c>
    </row>
    <row r="593" spans="1:69" x14ac:dyDescent="0.25">
      <c r="A593" t="str">
        <f>"7278937"</f>
        <v>7278937</v>
      </c>
      <c r="B593" t="str">
        <f t="shared" si="681"/>
        <v>459</v>
      </c>
      <c r="C593" t="str">
        <f>"23/01/2020 12:00:00 a. m."</f>
        <v>23/01/2020 12:00:00 a. m.</v>
      </c>
      <c r="D593" t="str">
        <f>"03"</f>
        <v>03</v>
      </c>
      <c r="E593" t="str">
        <f t="shared" si="682"/>
        <v>2020</v>
      </c>
      <c r="F593" t="str">
        <f>"0500102175"</f>
        <v>0500102175</v>
      </c>
      <c r="G593" t="str">
        <f t="shared" si="694"/>
        <v>01</v>
      </c>
      <c r="H593" t="str">
        <f>"1"</f>
        <v>1</v>
      </c>
      <c r="I593" t="str">
        <f t="shared" si="665"/>
        <v>1</v>
      </c>
      <c r="J593" t="str">
        <f>"M"</f>
        <v>M</v>
      </c>
      <c r="K593" t="str">
        <f t="shared" si="696"/>
        <v>170</v>
      </c>
      <c r="L593" t="str">
        <f>"23"</f>
        <v>23</v>
      </c>
      <c r="M593" t="str">
        <f>"807"</f>
        <v>807</v>
      </c>
      <c r="N593" t="str">
        <f>"3"</f>
        <v>3</v>
      </c>
      <c r="O593" t="str">
        <f>"9999"</f>
        <v>9999</v>
      </c>
      <c r="P593" t="str">
        <f>"S"</f>
        <v>S</v>
      </c>
      <c r="Q593" t="str">
        <f>"EPSS41"</f>
        <v>EPSS41</v>
      </c>
      <c r="R593" t="str">
        <f>"1"</f>
        <v>1</v>
      </c>
      <c r="S593" t="str">
        <f>""</f>
        <v/>
      </c>
      <c r="T593" t="str">
        <f t="shared" si="666"/>
        <v xml:space="preserve">                                                                                                    </v>
      </c>
      <c r="U593" t="str">
        <f>"1         "</f>
        <v xml:space="preserve">1         </v>
      </c>
      <c r="V593" t="str">
        <f t="shared" si="660"/>
        <v>2</v>
      </c>
      <c r="W593" t="str">
        <f t="shared" ref="W593:W624" si="708">"2"</f>
        <v>2</v>
      </c>
      <c r="X593" t="str">
        <f t="shared" si="634"/>
        <v>2</v>
      </c>
      <c r="Y593" t="str">
        <f t="shared" si="688"/>
        <v>2</v>
      </c>
      <c r="Z593" t="str">
        <f t="shared" si="688"/>
        <v>2</v>
      </c>
      <c r="AA593" t="str">
        <f t="shared" si="683"/>
        <v xml:space="preserve">          </v>
      </c>
      <c r="AB593" t="str">
        <f t="shared" si="671"/>
        <v>2</v>
      </c>
      <c r="AC593" t="str">
        <f t="shared" si="676"/>
        <v>2</v>
      </c>
      <c r="AD593" t="str">
        <f t="shared" si="689"/>
        <v>2</v>
      </c>
      <c r="AE593" t="str">
        <f t="shared" si="689"/>
        <v>2</v>
      </c>
      <c r="AF593" t="str">
        <f t="shared" si="689"/>
        <v>2</v>
      </c>
      <c r="AG593" t="str">
        <f t="shared" si="689"/>
        <v>2</v>
      </c>
      <c r="AH593" t="str">
        <f t="shared" si="661"/>
        <v>1</v>
      </c>
      <c r="AI593" t="str">
        <f>"1         "</f>
        <v xml:space="preserve">1         </v>
      </c>
      <c r="AJ593" t="str">
        <f t="shared" si="699"/>
        <v>170</v>
      </c>
      <c r="AK593" t="str">
        <f>"23"</f>
        <v>23</v>
      </c>
      <c r="AL593" t="str">
        <f>"807"</f>
        <v>807</v>
      </c>
      <c r="AM593" t="str">
        <f>"05"</f>
        <v>05</v>
      </c>
      <c r="AN593" t="str">
        <f>"05001"</f>
        <v>05001</v>
      </c>
      <c r="AO593" t="str">
        <f>"15/01/2020 12:00:00 a. m."</f>
        <v>15/01/2020 12:00:00 a. m.</v>
      </c>
      <c r="AP593" t="str">
        <f>"15/12/2019 12:00:00 a. m."</f>
        <v>15/12/2019 12:00:00 a. m.</v>
      </c>
      <c r="AQ593" t="str">
        <f>"3"</f>
        <v>3</v>
      </c>
      <c r="AR593" t="str">
        <f t="shared" si="707"/>
        <v>1</v>
      </c>
      <c r="AS593" t="str">
        <f>"21/01/2020 12:00:00 a. m."</f>
        <v>21/01/2020 12:00:00 a. m.</v>
      </c>
      <c r="AT593" t="str">
        <f>"2"</f>
        <v>2</v>
      </c>
      <c r="AU593" t="str">
        <f>"24/03/2020 12:00:00 a. m."</f>
        <v>24/03/2020 12:00:00 a. m.</v>
      </c>
      <c r="AV593" t="str">
        <f>"3"</f>
        <v>3</v>
      </c>
      <c r="AW593" t="str">
        <f>"14/11/2018 12:00:00 a. m."</f>
        <v>14/11/2018 12:00:00 a. m.</v>
      </c>
      <c r="AX593" t="str">
        <f>"J068"</f>
        <v>J068</v>
      </c>
      <c r="AY593" t="str">
        <f t="shared" si="684"/>
        <v>30/04/2021 12:00:00 a. m.</v>
      </c>
      <c r="AZ593" t="str">
        <f>"24/04/2020 12:00:00 a. m."</f>
        <v>24/04/2020 12:00:00 a. m.</v>
      </c>
      <c r="BA593" t="str">
        <f>""</f>
        <v/>
      </c>
      <c r="BB593" t="str">
        <f>""</f>
        <v/>
      </c>
      <c r="BC593" t="str">
        <f>""</f>
        <v/>
      </c>
      <c r="BD593" t="str">
        <f t="shared" si="693"/>
        <v>1</v>
      </c>
      <c r="BE593" t="str">
        <f t="shared" si="693"/>
        <v>1</v>
      </c>
      <c r="BF593" t="str">
        <f t="shared" si="685"/>
        <v xml:space="preserve">3         </v>
      </c>
      <c r="BG593" t="str">
        <f t="shared" si="686"/>
        <v>Confirmado por laboratorio</v>
      </c>
      <c r="BH593" t="str">
        <f>"FUNDACION HOSPITALARIA SAN VICENTE DE PAUL"</f>
        <v>FUNDACION HOSPITALARIA SAN VICENTE DE PAUL</v>
      </c>
      <c r="BI593" t="str">
        <f t="shared" si="703"/>
        <v>COLOMBIA</v>
      </c>
      <c r="BJ593" t="str">
        <f t="shared" si="687"/>
        <v>CANCER INFANTIL</v>
      </c>
      <c r="BK593" t="str">
        <f>"CORDOBA"</f>
        <v>CORDOBA</v>
      </c>
      <c r="BL593" t="str">
        <f>"TIERRALTA"</f>
        <v>TIERRALTA</v>
      </c>
      <c r="BM593" t="str">
        <f t="shared" si="705"/>
        <v>COLOMBIA</v>
      </c>
      <c r="BN593" t="str">
        <f>"CORDOBA"</f>
        <v>CORDOBA</v>
      </c>
      <c r="BO593" t="str">
        <f>"TIERRALTA"</f>
        <v>TIERRALTA</v>
      </c>
      <c r="BP593" t="str">
        <f>"ANTIOQUIA"</f>
        <v>ANTIOQUIA</v>
      </c>
      <c r="BQ593" t="str">
        <f>"MEDELLIN"</f>
        <v>MEDELLIN</v>
      </c>
    </row>
    <row r="594" spans="1:69" x14ac:dyDescent="0.25">
      <c r="A594" t="str">
        <f>"7279053"</f>
        <v>7279053</v>
      </c>
      <c r="B594" t="str">
        <f t="shared" si="681"/>
        <v>459</v>
      </c>
      <c r="C594" t="str">
        <f>"12/09/2020 12:00:00 a. m."</f>
        <v>12/09/2020 12:00:00 a. m.</v>
      </c>
      <c r="D594" t="str">
        <f>"23"</f>
        <v>23</v>
      </c>
      <c r="E594" t="str">
        <f t="shared" si="682"/>
        <v>2020</v>
      </c>
      <c r="F594" t="str">
        <f>"5200100283"</f>
        <v>5200100283</v>
      </c>
      <c r="G594" t="str">
        <f t="shared" si="694"/>
        <v>01</v>
      </c>
      <c r="H594" t="str">
        <f>"9"</f>
        <v>9</v>
      </c>
      <c r="I594" t="str">
        <f t="shared" si="665"/>
        <v>1</v>
      </c>
      <c r="J594" t="str">
        <f>"F"</f>
        <v>F</v>
      </c>
      <c r="K594" t="str">
        <f t="shared" si="696"/>
        <v>170</v>
      </c>
      <c r="L594" t="str">
        <f>"52"</f>
        <v>52</v>
      </c>
      <c r="M594" t="str">
        <f>"001"</f>
        <v>001</v>
      </c>
      <c r="N594" t="str">
        <f t="shared" ref="N594:N612" si="709">"1"</f>
        <v>1</v>
      </c>
      <c r="O594" t="str">
        <f>"9997"</f>
        <v>9997</v>
      </c>
      <c r="P594" t="str">
        <f>"S"</f>
        <v>S</v>
      </c>
      <c r="Q594" t="str">
        <f>"EPSS16"</f>
        <v>EPSS16</v>
      </c>
      <c r="R594" t="str">
        <f t="shared" ref="R594:R635" si="710">"6"</f>
        <v>6</v>
      </c>
      <c r="S594" t="str">
        <f>""</f>
        <v/>
      </c>
      <c r="T594" t="str">
        <f t="shared" si="666"/>
        <v xml:space="preserve">                                                                                                    </v>
      </c>
      <c r="U594" t="str">
        <f>"1         "</f>
        <v xml:space="preserve">1         </v>
      </c>
      <c r="V594" t="str">
        <f t="shared" si="660"/>
        <v>2</v>
      </c>
      <c r="W594" t="str">
        <f t="shared" si="708"/>
        <v>2</v>
      </c>
      <c r="X594" t="str">
        <f t="shared" si="634"/>
        <v>2</v>
      </c>
      <c r="Y594" t="str">
        <f t="shared" si="688"/>
        <v>2</v>
      </c>
      <c r="Z594" t="str">
        <f t="shared" si="688"/>
        <v>2</v>
      </c>
      <c r="AA594" t="str">
        <f t="shared" si="683"/>
        <v xml:space="preserve">          </v>
      </c>
      <c r="AB594" t="str">
        <f t="shared" si="671"/>
        <v>2</v>
      </c>
      <c r="AC594" t="str">
        <f t="shared" si="676"/>
        <v>2</v>
      </c>
      <c r="AD594" t="str">
        <f t="shared" si="689"/>
        <v>2</v>
      </c>
      <c r="AE594" t="str">
        <f t="shared" si="689"/>
        <v>2</v>
      </c>
      <c r="AF594" t="str">
        <f t="shared" si="689"/>
        <v>2</v>
      </c>
      <c r="AG594" t="str">
        <f t="shared" si="689"/>
        <v>2</v>
      </c>
      <c r="AH594" t="str">
        <f t="shared" si="661"/>
        <v>1</v>
      </c>
      <c r="AI594" t="str">
        <f>"1         "</f>
        <v xml:space="preserve">1         </v>
      </c>
      <c r="AJ594" t="str">
        <f t="shared" si="699"/>
        <v>170</v>
      </c>
      <c r="AK594" t="str">
        <f>"52"</f>
        <v>52</v>
      </c>
      <c r="AL594" t="str">
        <f>"001"</f>
        <v>001</v>
      </c>
      <c r="AM594" t="str">
        <f>"52"</f>
        <v>52</v>
      </c>
      <c r="AN594" t="str">
        <f>"52001"</f>
        <v>52001</v>
      </c>
      <c r="AO594" t="str">
        <f>"2/06/2020 12:00:00 a. m."</f>
        <v>2/06/2020 12:00:00 a. m.</v>
      </c>
      <c r="AP594" t="str">
        <f>"28/05/2020 12:00:00 a. m."</f>
        <v>28/05/2020 12:00:00 a. m.</v>
      </c>
      <c r="AQ594" t="str">
        <f>"2"</f>
        <v>2</v>
      </c>
      <c r="AR594" t="str">
        <f t="shared" si="707"/>
        <v>1</v>
      </c>
      <c r="AS594" t="str">
        <f>"2/06/2020 12:00:00 a. m."</f>
        <v>2/06/2020 12:00:00 a. m.</v>
      </c>
      <c r="AT594" t="str">
        <f>"1"</f>
        <v>1</v>
      </c>
      <c r="AU594" t="str">
        <f>""</f>
        <v/>
      </c>
      <c r="AV594" t="str">
        <f>"3"</f>
        <v>3</v>
      </c>
      <c r="AW594" t="str">
        <f>"12/07/2011 12:00:00 a. m."</f>
        <v>12/07/2011 12:00:00 a. m.</v>
      </c>
      <c r="AX594" t="str">
        <f>""</f>
        <v/>
      </c>
      <c r="AY594" t="str">
        <f t="shared" si="684"/>
        <v>30/04/2021 12:00:00 a. m.</v>
      </c>
      <c r="AZ594" t="str">
        <f>"5/11/2020 12:00:00 a. m."</f>
        <v>5/11/2020 12:00:00 a. m.</v>
      </c>
      <c r="BA594" t="str">
        <f>""</f>
        <v/>
      </c>
      <c r="BB594" t="str">
        <f>""</f>
        <v/>
      </c>
      <c r="BC594" t="str">
        <f>""</f>
        <v/>
      </c>
      <c r="BD594" t="str">
        <f t="shared" si="693"/>
        <v>1</v>
      </c>
      <c r="BE594" t="str">
        <f t="shared" si="693"/>
        <v>1</v>
      </c>
      <c r="BF594" t="str">
        <f t="shared" si="685"/>
        <v xml:space="preserve">3         </v>
      </c>
      <c r="BG594" t="str">
        <f t="shared" si="686"/>
        <v>Confirmado por laboratorio</v>
      </c>
      <c r="BH594" t="str">
        <f>"HOSPITAL INFANTIL LOS ANGELES"</f>
        <v>HOSPITAL INFANTIL LOS ANGELES</v>
      </c>
      <c r="BI594" t="str">
        <f t="shared" si="703"/>
        <v>COLOMBIA</v>
      </c>
      <c r="BJ594" t="str">
        <f t="shared" si="687"/>
        <v>CANCER INFANTIL</v>
      </c>
      <c r="BK594" t="str">
        <f>"NARIÑO"</f>
        <v>NARIÑO</v>
      </c>
      <c r="BL594" t="str">
        <f>"PASTO"</f>
        <v>PASTO</v>
      </c>
      <c r="BM594" t="str">
        <f t="shared" si="705"/>
        <v>COLOMBIA</v>
      </c>
      <c r="BN594" t="str">
        <f>"NARIÑO"</f>
        <v>NARIÑO</v>
      </c>
      <c r="BO594" t="str">
        <f>"PASTO"</f>
        <v>PASTO</v>
      </c>
      <c r="BP594" t="str">
        <f>"NARIÑO"</f>
        <v>NARIÑO</v>
      </c>
      <c r="BQ594" t="str">
        <f>"PASTO"</f>
        <v>PASTO</v>
      </c>
    </row>
    <row r="595" spans="1:69" x14ac:dyDescent="0.25">
      <c r="A595" t="str">
        <f>"7291497"</f>
        <v>7291497</v>
      </c>
      <c r="B595" t="str">
        <f t="shared" si="681"/>
        <v>459</v>
      </c>
      <c r="C595" t="str">
        <f>"28/05/2020 12:00:00 a. m."</f>
        <v>28/05/2020 12:00:00 a. m.</v>
      </c>
      <c r="D595" t="str">
        <f>"19"</f>
        <v>19</v>
      </c>
      <c r="E595" t="str">
        <f t="shared" si="682"/>
        <v>2020</v>
      </c>
      <c r="F595" t="str">
        <f>"1100105681"</f>
        <v>1100105681</v>
      </c>
      <c r="G595" t="str">
        <f t="shared" si="694"/>
        <v>01</v>
      </c>
      <c r="H595" t="str">
        <f>"16"</f>
        <v>16</v>
      </c>
      <c r="I595" t="str">
        <f t="shared" si="665"/>
        <v>1</v>
      </c>
      <c r="J595" t="str">
        <f>"M"</f>
        <v>M</v>
      </c>
      <c r="K595" t="str">
        <f t="shared" si="696"/>
        <v>170</v>
      </c>
      <c r="L595" t="str">
        <f>"11"</f>
        <v>11</v>
      </c>
      <c r="M595" t="str">
        <f>"001"</f>
        <v>001</v>
      </c>
      <c r="N595" t="str">
        <f t="shared" si="709"/>
        <v>1</v>
      </c>
      <c r="O595" t="str">
        <f>"9997"</f>
        <v>9997</v>
      </c>
      <c r="P595" t="str">
        <f t="shared" ref="P595:P600" si="711">"C"</f>
        <v>C</v>
      </c>
      <c r="Q595" t="str">
        <f>"EPS002"</f>
        <v>EPS002</v>
      </c>
      <c r="R595" t="str">
        <f t="shared" si="710"/>
        <v>6</v>
      </c>
      <c r="S595" t="str">
        <f>""</f>
        <v/>
      </c>
      <c r="T595" t="str">
        <f t="shared" si="666"/>
        <v xml:space="preserve">                                                                                                    </v>
      </c>
      <c r="U595" t="str">
        <f>"2         "</f>
        <v xml:space="preserve">2         </v>
      </c>
      <c r="V595" t="str">
        <f t="shared" si="660"/>
        <v>2</v>
      </c>
      <c r="W595" t="str">
        <f t="shared" si="708"/>
        <v>2</v>
      </c>
      <c r="X595" t="str">
        <f t="shared" si="634"/>
        <v>2</v>
      </c>
      <c r="Y595" t="str">
        <f t="shared" si="688"/>
        <v>2</v>
      </c>
      <c r="Z595" t="str">
        <f t="shared" si="688"/>
        <v>2</v>
      </c>
      <c r="AA595" t="str">
        <f t="shared" si="683"/>
        <v xml:space="preserve">          </v>
      </c>
      <c r="AB595" t="str">
        <f t="shared" si="671"/>
        <v>2</v>
      </c>
      <c r="AC595" t="str">
        <f t="shared" si="676"/>
        <v>2</v>
      </c>
      <c r="AD595" t="str">
        <f t="shared" si="689"/>
        <v>2</v>
      </c>
      <c r="AE595" t="str">
        <f t="shared" si="689"/>
        <v>2</v>
      </c>
      <c r="AF595" t="str">
        <f t="shared" si="689"/>
        <v>2</v>
      </c>
      <c r="AG595" t="str">
        <f t="shared" si="689"/>
        <v>2</v>
      </c>
      <c r="AH595" t="str">
        <f t="shared" ref="AH595:AH626" si="712">"1"</f>
        <v>1</v>
      </c>
      <c r="AI595" t="str">
        <f>"2         "</f>
        <v xml:space="preserve">2         </v>
      </c>
      <c r="AJ595" t="str">
        <f t="shared" si="699"/>
        <v>170</v>
      </c>
      <c r="AK595" t="str">
        <f>"11"</f>
        <v>11</v>
      </c>
      <c r="AL595" t="str">
        <f>"001"</f>
        <v>001</v>
      </c>
      <c r="AM595" t="str">
        <f>"11"</f>
        <v>11</v>
      </c>
      <c r="AN595" t="str">
        <f>"11001"</f>
        <v>11001</v>
      </c>
      <c r="AO595" t="str">
        <f>"8/05/2020 12:00:00 a. m."</f>
        <v>8/05/2020 12:00:00 a. m.</v>
      </c>
      <c r="AP595" t="str">
        <f>"8/03/2020 12:00:00 a. m."</f>
        <v>8/03/2020 12:00:00 a. m.</v>
      </c>
      <c r="AQ595" t="str">
        <f>"3"</f>
        <v>3</v>
      </c>
      <c r="AR595" t="str">
        <f t="shared" si="707"/>
        <v>1</v>
      </c>
      <c r="AS595" t="str">
        <f>"8/05/2020 12:00:00 a. m."</f>
        <v>8/05/2020 12:00:00 a. m.</v>
      </c>
      <c r="AT595" t="str">
        <f>"1"</f>
        <v>1</v>
      </c>
      <c r="AU595" t="str">
        <f>""</f>
        <v/>
      </c>
      <c r="AV595" t="str">
        <f>"0"</f>
        <v>0</v>
      </c>
      <c r="AW595" t="str">
        <f>"16/06/2004 12:00:00 a. m."</f>
        <v>16/06/2004 12:00:00 a. m.</v>
      </c>
      <c r="AX595" t="str">
        <f>""</f>
        <v/>
      </c>
      <c r="AY595" t="str">
        <f t="shared" si="684"/>
        <v>30/04/2021 12:00:00 a. m.</v>
      </c>
      <c r="AZ595" t="str">
        <f>"4/08/2020 12:00:00 a. m."</f>
        <v>4/08/2020 12:00:00 a. m.</v>
      </c>
      <c r="BA595" t="str">
        <f>""</f>
        <v/>
      </c>
      <c r="BB595" t="str">
        <f>""</f>
        <v/>
      </c>
      <c r="BC595" t="str">
        <f>""</f>
        <v/>
      </c>
      <c r="BD595" t="str">
        <f t="shared" si="693"/>
        <v>1</v>
      </c>
      <c r="BE595" t="str">
        <f t="shared" si="693"/>
        <v>1</v>
      </c>
      <c r="BF595" t="str">
        <f t="shared" si="685"/>
        <v xml:space="preserve">3         </v>
      </c>
      <c r="BG595" t="str">
        <f t="shared" si="686"/>
        <v>Confirmado por laboratorio</v>
      </c>
      <c r="BH595" t="str">
        <f>"FUNDACION HOSPITAL DE LA MISERICORDIA"</f>
        <v>FUNDACION HOSPITAL DE LA MISERICORDIA</v>
      </c>
      <c r="BI595" t="str">
        <f t="shared" si="703"/>
        <v>COLOMBIA</v>
      </c>
      <c r="BJ595" t="str">
        <f t="shared" si="687"/>
        <v>CANCER INFANTIL</v>
      </c>
      <c r="BK595" t="str">
        <f t="shared" ref="BK595:BL597" si="713">"BOGOTA"</f>
        <v>BOGOTA</v>
      </c>
      <c r="BL595" t="str">
        <f t="shared" si="713"/>
        <v>BOGOTA</v>
      </c>
      <c r="BM595" t="str">
        <f t="shared" si="705"/>
        <v>COLOMBIA</v>
      </c>
      <c r="BN595" t="str">
        <f t="shared" ref="BN595:BQ597" si="714">"BOGOTA"</f>
        <v>BOGOTA</v>
      </c>
      <c r="BO595" t="str">
        <f t="shared" si="714"/>
        <v>BOGOTA</v>
      </c>
      <c r="BP595" t="str">
        <f t="shared" si="714"/>
        <v>BOGOTA</v>
      </c>
      <c r="BQ595" t="str">
        <f t="shared" si="714"/>
        <v>BOGOTA</v>
      </c>
    </row>
    <row r="596" spans="1:69" x14ac:dyDescent="0.25">
      <c r="A596" t="str">
        <f>"7291498"</f>
        <v>7291498</v>
      </c>
      <c r="B596" t="str">
        <f t="shared" si="681"/>
        <v>459</v>
      </c>
      <c r="C596" t="str">
        <f>"23/05/2020 12:00:00 a. m."</f>
        <v>23/05/2020 12:00:00 a. m.</v>
      </c>
      <c r="D596" t="str">
        <f>"19"</f>
        <v>19</v>
      </c>
      <c r="E596" t="str">
        <f t="shared" si="682"/>
        <v>2020</v>
      </c>
      <c r="F596" t="str">
        <f>"1100105681"</f>
        <v>1100105681</v>
      </c>
      <c r="G596" t="str">
        <f t="shared" si="694"/>
        <v>01</v>
      </c>
      <c r="H596" t="str">
        <f>"10"</f>
        <v>10</v>
      </c>
      <c r="I596" t="str">
        <f t="shared" si="665"/>
        <v>1</v>
      </c>
      <c r="J596" t="str">
        <f>"F"</f>
        <v>F</v>
      </c>
      <c r="K596" t="str">
        <f t="shared" si="696"/>
        <v>170</v>
      </c>
      <c r="L596" t="str">
        <f>"11"</f>
        <v>11</v>
      </c>
      <c r="M596" t="str">
        <f>"001"</f>
        <v>001</v>
      </c>
      <c r="N596" t="str">
        <f t="shared" si="709"/>
        <v>1</v>
      </c>
      <c r="O596" t="str">
        <f>"9997"</f>
        <v>9997</v>
      </c>
      <c r="P596" t="str">
        <f t="shared" si="711"/>
        <v>C</v>
      </c>
      <c r="Q596" t="str">
        <f>"EPS008"</f>
        <v>EPS008</v>
      </c>
      <c r="R596" t="str">
        <f t="shared" si="710"/>
        <v>6</v>
      </c>
      <c r="S596" t="str">
        <f>""</f>
        <v/>
      </c>
      <c r="T596" t="str">
        <f t="shared" si="666"/>
        <v xml:space="preserve">                                                                                                    </v>
      </c>
      <c r="U596" t="str">
        <f>"2         "</f>
        <v xml:space="preserve">2         </v>
      </c>
      <c r="V596" t="str">
        <f t="shared" si="660"/>
        <v>2</v>
      </c>
      <c r="W596" t="str">
        <f t="shared" si="708"/>
        <v>2</v>
      </c>
      <c r="X596" t="str">
        <f t="shared" si="634"/>
        <v>2</v>
      </c>
      <c r="Y596" t="str">
        <f t="shared" si="688"/>
        <v>2</v>
      </c>
      <c r="Z596" t="str">
        <f t="shared" si="688"/>
        <v>2</v>
      </c>
      <c r="AA596" t="str">
        <f t="shared" si="683"/>
        <v xml:space="preserve">          </v>
      </c>
      <c r="AB596" t="str">
        <f t="shared" si="671"/>
        <v>2</v>
      </c>
      <c r="AC596" t="str">
        <f t="shared" si="676"/>
        <v>2</v>
      </c>
      <c r="AD596" t="str">
        <f t="shared" si="689"/>
        <v>2</v>
      </c>
      <c r="AE596" t="str">
        <f t="shared" si="689"/>
        <v>2</v>
      </c>
      <c r="AF596" t="str">
        <f t="shared" si="689"/>
        <v>2</v>
      </c>
      <c r="AG596" t="str">
        <f t="shared" si="689"/>
        <v>2</v>
      </c>
      <c r="AH596" t="str">
        <f t="shared" si="712"/>
        <v>1</v>
      </c>
      <c r="AI596" t="str">
        <f>"2         "</f>
        <v xml:space="preserve">2         </v>
      </c>
      <c r="AJ596" t="str">
        <f t="shared" si="699"/>
        <v>170</v>
      </c>
      <c r="AK596" t="str">
        <f>"11"</f>
        <v>11</v>
      </c>
      <c r="AL596" t="str">
        <f>"001"</f>
        <v>001</v>
      </c>
      <c r="AM596" t="str">
        <f>"11"</f>
        <v>11</v>
      </c>
      <c r="AN596" t="str">
        <f>"11001"</f>
        <v>11001</v>
      </c>
      <c r="AO596" t="str">
        <f>"4/05/2020 12:00:00 a. m."</f>
        <v>4/05/2020 12:00:00 a. m.</v>
      </c>
      <c r="AP596" t="str">
        <f>"4/03/2020 12:00:00 a. m."</f>
        <v>4/03/2020 12:00:00 a. m.</v>
      </c>
      <c r="AQ596" t="str">
        <f>"3"</f>
        <v>3</v>
      </c>
      <c r="AR596" t="str">
        <f t="shared" si="707"/>
        <v>1</v>
      </c>
      <c r="AS596" t="str">
        <f>"4/05/2020 12:00:00 a. m."</f>
        <v>4/05/2020 12:00:00 a. m.</v>
      </c>
      <c r="AT596" t="str">
        <f>"1"</f>
        <v>1</v>
      </c>
      <c r="AU596" t="str">
        <f>""</f>
        <v/>
      </c>
      <c r="AV596" t="str">
        <f>"0"</f>
        <v>0</v>
      </c>
      <c r="AW596" t="str">
        <f>"31/07/2009 12:00:00 a. m."</f>
        <v>31/07/2009 12:00:00 a. m.</v>
      </c>
      <c r="AX596" t="str">
        <f>""</f>
        <v/>
      </c>
      <c r="AY596" t="str">
        <f t="shared" si="684"/>
        <v>30/04/2021 12:00:00 a. m.</v>
      </c>
      <c r="AZ596" t="str">
        <f>"1/07/2020 12:00:00 a. m."</f>
        <v>1/07/2020 12:00:00 a. m.</v>
      </c>
      <c r="BA596" t="str">
        <f>""</f>
        <v/>
      </c>
      <c r="BB596" t="str">
        <f>""</f>
        <v/>
      </c>
      <c r="BC596" t="str">
        <f>""</f>
        <v/>
      </c>
      <c r="BD596" t="str">
        <f t="shared" si="693"/>
        <v>1</v>
      </c>
      <c r="BE596" t="str">
        <f t="shared" si="693"/>
        <v>1</v>
      </c>
      <c r="BF596" t="str">
        <f t="shared" si="685"/>
        <v xml:space="preserve">3         </v>
      </c>
      <c r="BG596" t="str">
        <f t="shared" si="686"/>
        <v>Confirmado por laboratorio</v>
      </c>
      <c r="BH596" t="str">
        <f>"FUNDACION HOSPITAL DE LA MISERICORDIA"</f>
        <v>FUNDACION HOSPITAL DE LA MISERICORDIA</v>
      </c>
      <c r="BI596" t="str">
        <f t="shared" si="703"/>
        <v>COLOMBIA</v>
      </c>
      <c r="BJ596" t="str">
        <f t="shared" si="687"/>
        <v>CANCER INFANTIL</v>
      </c>
      <c r="BK596" t="str">
        <f t="shared" si="713"/>
        <v>BOGOTA</v>
      </c>
      <c r="BL596" t="str">
        <f t="shared" si="713"/>
        <v>BOGOTA</v>
      </c>
      <c r="BM596" t="str">
        <f t="shared" si="705"/>
        <v>COLOMBIA</v>
      </c>
      <c r="BN596" t="str">
        <f t="shared" si="714"/>
        <v>BOGOTA</v>
      </c>
      <c r="BO596" t="str">
        <f t="shared" si="714"/>
        <v>BOGOTA</v>
      </c>
      <c r="BP596" t="str">
        <f t="shared" si="714"/>
        <v>BOGOTA</v>
      </c>
      <c r="BQ596" t="str">
        <f t="shared" si="714"/>
        <v>BOGOTA</v>
      </c>
    </row>
    <row r="597" spans="1:69" x14ac:dyDescent="0.25">
      <c r="A597" t="str">
        <f>"7291500"</f>
        <v>7291500</v>
      </c>
      <c r="B597" t="str">
        <f t="shared" si="681"/>
        <v>459</v>
      </c>
      <c r="C597" t="str">
        <f>"4/06/2020 12:00:00 a. m."</f>
        <v>4/06/2020 12:00:00 a. m.</v>
      </c>
      <c r="D597" t="str">
        <f>"23"</f>
        <v>23</v>
      </c>
      <c r="E597" t="str">
        <f t="shared" si="682"/>
        <v>2020</v>
      </c>
      <c r="F597" t="str">
        <f>"1100105681"</f>
        <v>1100105681</v>
      </c>
      <c r="G597" t="str">
        <f t="shared" si="694"/>
        <v>01</v>
      </c>
      <c r="H597" t="str">
        <f>"16"</f>
        <v>16</v>
      </c>
      <c r="I597" t="str">
        <f t="shared" si="665"/>
        <v>1</v>
      </c>
      <c r="J597" t="str">
        <f>"M"</f>
        <v>M</v>
      </c>
      <c r="K597" t="str">
        <f t="shared" si="696"/>
        <v>170</v>
      </c>
      <c r="L597" t="str">
        <f>"11"</f>
        <v>11</v>
      </c>
      <c r="M597" t="str">
        <f>"001"</f>
        <v>001</v>
      </c>
      <c r="N597" t="str">
        <f t="shared" si="709"/>
        <v>1</v>
      </c>
      <c r="O597" t="str">
        <f>"9997"</f>
        <v>9997</v>
      </c>
      <c r="P597" t="str">
        <f t="shared" si="711"/>
        <v>C</v>
      </c>
      <c r="Q597" t="str">
        <f>"EPS002"</f>
        <v>EPS002</v>
      </c>
      <c r="R597" t="str">
        <f t="shared" si="710"/>
        <v>6</v>
      </c>
      <c r="S597" t="str">
        <f>""</f>
        <v/>
      </c>
      <c r="T597" t="str">
        <f t="shared" si="666"/>
        <v xml:space="preserve">                                                                                                    </v>
      </c>
      <c r="U597" t="str">
        <f>"2         "</f>
        <v xml:space="preserve">2         </v>
      </c>
      <c r="V597" t="str">
        <f t="shared" si="660"/>
        <v>2</v>
      </c>
      <c r="W597" t="str">
        <f t="shared" si="708"/>
        <v>2</v>
      </c>
      <c r="X597" t="str">
        <f t="shared" si="634"/>
        <v>2</v>
      </c>
      <c r="Y597" t="str">
        <f t="shared" si="688"/>
        <v>2</v>
      </c>
      <c r="Z597" t="str">
        <f t="shared" si="688"/>
        <v>2</v>
      </c>
      <c r="AA597" t="str">
        <f t="shared" si="683"/>
        <v xml:space="preserve">          </v>
      </c>
      <c r="AB597" t="str">
        <f t="shared" si="671"/>
        <v>2</v>
      </c>
      <c r="AC597" t="str">
        <f t="shared" si="676"/>
        <v>2</v>
      </c>
      <c r="AD597" t="str">
        <f t="shared" si="689"/>
        <v>2</v>
      </c>
      <c r="AE597" t="str">
        <f t="shared" si="689"/>
        <v>2</v>
      </c>
      <c r="AF597" t="str">
        <f t="shared" si="689"/>
        <v>2</v>
      </c>
      <c r="AG597" t="str">
        <f t="shared" si="689"/>
        <v>2</v>
      </c>
      <c r="AH597" t="str">
        <f t="shared" si="712"/>
        <v>1</v>
      </c>
      <c r="AI597" t="str">
        <f t="shared" ref="AI597:AI602" si="715">"1         "</f>
        <v xml:space="preserve">1         </v>
      </c>
      <c r="AJ597" t="str">
        <f t="shared" si="699"/>
        <v>170</v>
      </c>
      <c r="AK597" t="str">
        <f>"11"</f>
        <v>11</v>
      </c>
      <c r="AL597" t="str">
        <f>"001"</f>
        <v>001</v>
      </c>
      <c r="AM597" t="str">
        <f>"11"</f>
        <v>11</v>
      </c>
      <c r="AN597" t="str">
        <f>"11001"</f>
        <v>11001</v>
      </c>
      <c r="AO597" t="str">
        <f>"2/06/2020 12:00:00 a. m."</f>
        <v>2/06/2020 12:00:00 a. m.</v>
      </c>
      <c r="AP597" t="str">
        <f>"31/05/2020 12:00:00 a. m."</f>
        <v>31/05/2020 12:00:00 a. m.</v>
      </c>
      <c r="AQ597" t="str">
        <f>"3"</f>
        <v>3</v>
      </c>
      <c r="AR597" t="str">
        <f t="shared" si="707"/>
        <v>1</v>
      </c>
      <c r="AS597" t="str">
        <f>"2/06/2020 12:00:00 a. m."</f>
        <v>2/06/2020 12:00:00 a. m.</v>
      </c>
      <c r="AT597" t="str">
        <f>"2"</f>
        <v>2</v>
      </c>
      <c r="AU597" t="str">
        <f>"30/12/2020 12:00:00 a. m."</f>
        <v>30/12/2020 12:00:00 a. m.</v>
      </c>
      <c r="AV597" t="str">
        <f>"7"</f>
        <v>7</v>
      </c>
      <c r="AW597" t="str">
        <f>"12/10/2003 12:00:00 a. m."</f>
        <v>12/10/2003 12:00:00 a. m.</v>
      </c>
      <c r="AX597" t="str">
        <f>"R579"</f>
        <v>R579</v>
      </c>
      <c r="AY597" t="str">
        <f t="shared" si="684"/>
        <v>30/04/2021 12:00:00 a. m.</v>
      </c>
      <c r="AZ597" t="str">
        <f>"2/02/2021 12:00:00 a. m."</f>
        <v>2/02/2021 12:00:00 a. m.</v>
      </c>
      <c r="BA597" t="str">
        <f>""</f>
        <v/>
      </c>
      <c r="BB597" t="str">
        <f>""</f>
        <v/>
      </c>
      <c r="BC597" t="str">
        <f>""</f>
        <v/>
      </c>
      <c r="BD597" t="str">
        <f t="shared" si="693"/>
        <v>1</v>
      </c>
      <c r="BE597" t="str">
        <f t="shared" si="693"/>
        <v>1</v>
      </c>
      <c r="BF597" t="str">
        <f t="shared" si="685"/>
        <v xml:space="preserve">3         </v>
      </c>
      <c r="BG597" t="str">
        <f t="shared" si="686"/>
        <v>Confirmado por laboratorio</v>
      </c>
      <c r="BH597" t="str">
        <f>"FUNDACION HOSPITAL DE LA MISERICORDIA"</f>
        <v>FUNDACION HOSPITAL DE LA MISERICORDIA</v>
      </c>
      <c r="BI597" t="str">
        <f t="shared" si="703"/>
        <v>COLOMBIA</v>
      </c>
      <c r="BJ597" t="str">
        <f t="shared" si="687"/>
        <v>CANCER INFANTIL</v>
      </c>
      <c r="BK597" t="str">
        <f t="shared" si="713"/>
        <v>BOGOTA</v>
      </c>
      <c r="BL597" t="str">
        <f t="shared" si="713"/>
        <v>BOGOTA</v>
      </c>
      <c r="BM597" t="str">
        <f t="shared" si="705"/>
        <v>COLOMBIA</v>
      </c>
      <c r="BN597" t="str">
        <f t="shared" si="714"/>
        <v>BOGOTA</v>
      </c>
      <c r="BO597" t="str">
        <f t="shared" si="714"/>
        <v>BOGOTA</v>
      </c>
      <c r="BP597" t="str">
        <f t="shared" si="714"/>
        <v>BOGOTA</v>
      </c>
      <c r="BQ597" t="str">
        <f t="shared" si="714"/>
        <v>BOGOTA</v>
      </c>
    </row>
    <row r="598" spans="1:69" x14ac:dyDescent="0.25">
      <c r="A598" t="str">
        <f>"7278939"</f>
        <v>7278939</v>
      </c>
      <c r="B598" t="str">
        <f t="shared" si="681"/>
        <v>459</v>
      </c>
      <c r="C598" t="str">
        <f>"22/10/2020 12:00:00 a. m."</f>
        <v>22/10/2020 12:00:00 a. m.</v>
      </c>
      <c r="D598" t="str">
        <f>"43"</f>
        <v>43</v>
      </c>
      <c r="E598" t="str">
        <f t="shared" si="682"/>
        <v>2020</v>
      </c>
      <c r="F598" t="str">
        <f>"1100105681"</f>
        <v>1100105681</v>
      </c>
      <c r="G598" t="str">
        <f t="shared" si="694"/>
        <v>01</v>
      </c>
      <c r="H598" t="str">
        <f>"6"</f>
        <v>6</v>
      </c>
      <c r="I598" t="str">
        <f>"2"</f>
        <v>2</v>
      </c>
      <c r="J598" t="str">
        <f>"F"</f>
        <v>F</v>
      </c>
      <c r="K598" t="str">
        <f t="shared" si="696"/>
        <v>170</v>
      </c>
      <c r="L598" t="str">
        <f>"25"</f>
        <v>25</v>
      </c>
      <c r="M598" t="str">
        <f>"473"</f>
        <v>473</v>
      </c>
      <c r="N598" t="str">
        <f t="shared" si="709"/>
        <v>1</v>
      </c>
      <c r="O598" t="str">
        <f>"9999"</f>
        <v>9999</v>
      </c>
      <c r="P598" t="str">
        <f t="shared" si="711"/>
        <v>C</v>
      </c>
      <c r="Q598" t="str">
        <f>"EPS002"</f>
        <v>EPS002</v>
      </c>
      <c r="R598" t="str">
        <f t="shared" si="710"/>
        <v>6</v>
      </c>
      <c r="S598" t="str">
        <f>""</f>
        <v/>
      </c>
      <c r="T598" t="str">
        <f t="shared" si="666"/>
        <v xml:space="preserve">                                                                                                    </v>
      </c>
      <c r="U598" t="str">
        <f>"1         "</f>
        <v xml:space="preserve">1         </v>
      </c>
      <c r="V598" t="str">
        <f t="shared" si="660"/>
        <v>2</v>
      </c>
      <c r="W598" t="str">
        <f t="shared" si="708"/>
        <v>2</v>
      </c>
      <c r="X598" t="str">
        <f t="shared" si="634"/>
        <v>2</v>
      </c>
      <c r="Y598" t="str">
        <f t="shared" si="688"/>
        <v>2</v>
      </c>
      <c r="Z598" t="str">
        <f t="shared" si="688"/>
        <v>2</v>
      </c>
      <c r="AA598" t="str">
        <f t="shared" si="683"/>
        <v xml:space="preserve">          </v>
      </c>
      <c r="AB598" t="str">
        <f t="shared" si="671"/>
        <v>2</v>
      </c>
      <c r="AC598" t="str">
        <f t="shared" si="676"/>
        <v>2</v>
      </c>
      <c r="AD598" t="str">
        <f t="shared" si="689"/>
        <v>2</v>
      </c>
      <c r="AE598" t="str">
        <f t="shared" si="689"/>
        <v>2</v>
      </c>
      <c r="AF598" t="str">
        <f t="shared" si="689"/>
        <v>2</v>
      </c>
      <c r="AG598" t="str">
        <f t="shared" si="689"/>
        <v>2</v>
      </c>
      <c r="AH598" t="str">
        <f t="shared" si="712"/>
        <v>1</v>
      </c>
      <c r="AI598" t="str">
        <f t="shared" si="715"/>
        <v xml:space="preserve">1         </v>
      </c>
      <c r="AJ598" t="str">
        <f t="shared" si="699"/>
        <v>170</v>
      </c>
      <c r="AK598" t="str">
        <f>"25"</f>
        <v>25</v>
      </c>
      <c r="AL598" t="str">
        <f>"473"</f>
        <v>473</v>
      </c>
      <c r="AM598" t="str">
        <f>"11"</f>
        <v>11</v>
      </c>
      <c r="AN598" t="str">
        <f>"11001"</f>
        <v>11001</v>
      </c>
      <c r="AO598" t="str">
        <f>"22/10/2020 12:00:00 a. m."</f>
        <v>22/10/2020 12:00:00 a. m.</v>
      </c>
      <c r="AP598" t="str">
        <f>"15/10/2020 12:00:00 a. m."</f>
        <v>15/10/2020 12:00:00 a. m.</v>
      </c>
      <c r="AQ598" t="str">
        <f>"3"</f>
        <v>3</v>
      </c>
      <c r="AR598" t="str">
        <f t="shared" si="707"/>
        <v>1</v>
      </c>
      <c r="AS598" t="str">
        <f>"22/10/2020 12:00:00 a. m."</f>
        <v>22/10/2020 12:00:00 a. m.</v>
      </c>
      <c r="AT598" t="str">
        <f t="shared" ref="AT598:AT607" si="716">"1"</f>
        <v>1</v>
      </c>
      <c r="AU598" t="str">
        <f>""</f>
        <v/>
      </c>
      <c r="AV598" t="str">
        <f>"0"</f>
        <v>0</v>
      </c>
      <c r="AW598" t="str">
        <f>"3/07/2020 12:00:00 a. m."</f>
        <v>3/07/2020 12:00:00 a. m.</v>
      </c>
      <c r="AX598" t="str">
        <f>""</f>
        <v/>
      </c>
      <c r="AY598" t="str">
        <f t="shared" si="684"/>
        <v>30/04/2021 12:00:00 a. m.</v>
      </c>
      <c r="AZ598" t="str">
        <f>"7/01/2021 12:00:00 a. m."</f>
        <v>7/01/2021 12:00:00 a. m.</v>
      </c>
      <c r="BA598" t="str">
        <f>""</f>
        <v/>
      </c>
      <c r="BB598" t="str">
        <f>""</f>
        <v/>
      </c>
      <c r="BC598" t="str">
        <f>""</f>
        <v/>
      </c>
      <c r="BD598" t="str">
        <f t="shared" si="693"/>
        <v>1</v>
      </c>
      <c r="BE598" t="str">
        <f t="shared" si="693"/>
        <v>1</v>
      </c>
      <c r="BF598" t="str">
        <f t="shared" si="685"/>
        <v xml:space="preserve">3         </v>
      </c>
      <c r="BG598" t="str">
        <f t="shared" si="686"/>
        <v>Confirmado por laboratorio</v>
      </c>
      <c r="BH598" t="str">
        <f>"FUNDACION HOSPITAL DE LA MISERICORDIA"</f>
        <v>FUNDACION HOSPITAL DE LA MISERICORDIA</v>
      </c>
      <c r="BI598" t="str">
        <f t="shared" si="703"/>
        <v>COLOMBIA</v>
      </c>
      <c r="BJ598" t="str">
        <f t="shared" si="687"/>
        <v>CANCER INFANTIL</v>
      </c>
      <c r="BK598" t="str">
        <f>"CUNDINAMARCA"</f>
        <v>CUNDINAMARCA</v>
      </c>
      <c r="BL598" t="str">
        <f>"MOSQUERA"</f>
        <v>MOSQUERA</v>
      </c>
      <c r="BM598" t="str">
        <f t="shared" si="705"/>
        <v>COLOMBIA</v>
      </c>
      <c r="BN598" t="str">
        <f>"CUNDINAMARCA"</f>
        <v>CUNDINAMARCA</v>
      </c>
      <c r="BO598" t="str">
        <f>"MOSQUERA"</f>
        <v>MOSQUERA</v>
      </c>
      <c r="BP598" t="str">
        <f>"BOGOTA"</f>
        <v>BOGOTA</v>
      </c>
      <c r="BQ598" t="str">
        <f>"BOGOTA"</f>
        <v>BOGOTA</v>
      </c>
    </row>
    <row r="599" spans="1:69" x14ac:dyDescent="0.25">
      <c r="A599" t="str">
        <f>"7278868"</f>
        <v>7278868</v>
      </c>
      <c r="B599" t="str">
        <f t="shared" si="681"/>
        <v>459</v>
      </c>
      <c r="C599" t="str">
        <f>"6/03/2020 12:00:00 a. m."</f>
        <v>6/03/2020 12:00:00 a. m.</v>
      </c>
      <c r="D599" t="str">
        <f>"10"</f>
        <v>10</v>
      </c>
      <c r="E599" t="str">
        <f t="shared" si="682"/>
        <v>2020</v>
      </c>
      <c r="F599" t="str">
        <f>"1100109186"</f>
        <v>1100109186</v>
      </c>
      <c r="G599" t="str">
        <f>"55"</f>
        <v>55</v>
      </c>
      <c r="H599" t="str">
        <f>"9"</f>
        <v>9</v>
      </c>
      <c r="I599" t="str">
        <f t="shared" ref="I599:I626" si="717">"1"</f>
        <v>1</v>
      </c>
      <c r="J599" t="str">
        <f>"F"</f>
        <v>F</v>
      </c>
      <c r="K599" t="str">
        <f t="shared" si="696"/>
        <v>170</v>
      </c>
      <c r="L599" t="str">
        <f>"25"</f>
        <v>25</v>
      </c>
      <c r="M599" t="str">
        <f>"758"</f>
        <v>758</v>
      </c>
      <c r="N599" t="str">
        <f t="shared" si="709"/>
        <v>1</v>
      </c>
      <c r="O599" t="str">
        <f>"9999"</f>
        <v>9999</v>
      </c>
      <c r="P599" t="str">
        <f t="shared" si="711"/>
        <v>C</v>
      </c>
      <c r="Q599" t="str">
        <f>"EMP023"</f>
        <v>EMP023</v>
      </c>
      <c r="R599" t="str">
        <f t="shared" si="710"/>
        <v>6</v>
      </c>
      <c r="S599" t="str">
        <f>""</f>
        <v/>
      </c>
      <c r="T599" t="str">
        <f t="shared" si="666"/>
        <v xml:space="preserve">                                                                                                    </v>
      </c>
      <c r="U599" t="str">
        <f>"6         "</f>
        <v xml:space="preserve">6         </v>
      </c>
      <c r="V599" t="str">
        <f t="shared" si="660"/>
        <v>2</v>
      </c>
      <c r="W599" t="str">
        <f t="shared" si="708"/>
        <v>2</v>
      </c>
      <c r="X599" t="str">
        <f t="shared" si="634"/>
        <v>2</v>
      </c>
      <c r="Y599" t="str">
        <f t="shared" ref="Y599:Z618" si="718">"2"</f>
        <v>2</v>
      </c>
      <c r="Z599" t="str">
        <f t="shared" si="718"/>
        <v>2</v>
      </c>
      <c r="AA599" t="str">
        <f t="shared" si="683"/>
        <v xml:space="preserve">          </v>
      </c>
      <c r="AB599" t="str">
        <f t="shared" si="671"/>
        <v>2</v>
      </c>
      <c r="AC599" t="str">
        <f t="shared" si="676"/>
        <v>2</v>
      </c>
      <c r="AD599" t="str">
        <f t="shared" si="689"/>
        <v>2</v>
      </c>
      <c r="AE599" t="str">
        <f t="shared" si="689"/>
        <v>2</v>
      </c>
      <c r="AF599" t="str">
        <f t="shared" si="689"/>
        <v>2</v>
      </c>
      <c r="AG599" t="str">
        <f t="shared" si="689"/>
        <v>2</v>
      </c>
      <c r="AH599" t="str">
        <f t="shared" si="712"/>
        <v>1</v>
      </c>
      <c r="AI599" t="str">
        <f t="shared" si="715"/>
        <v xml:space="preserve">1         </v>
      </c>
      <c r="AJ599" t="str">
        <f t="shared" si="699"/>
        <v>170</v>
      </c>
      <c r="AK599" t="str">
        <f>"25"</f>
        <v>25</v>
      </c>
      <c r="AL599" t="str">
        <f>"758"</f>
        <v>758</v>
      </c>
      <c r="AM599" t="str">
        <f>"11"</f>
        <v>11</v>
      </c>
      <c r="AN599" t="str">
        <f>"11001"</f>
        <v>11001</v>
      </c>
      <c r="AO599" t="str">
        <f>"5/03/2020 12:00:00 a. m."</f>
        <v>5/03/2020 12:00:00 a. m.</v>
      </c>
      <c r="AP599" t="str">
        <f>"4/03/2020 12:00:00 a. m."</f>
        <v>4/03/2020 12:00:00 a. m.</v>
      </c>
      <c r="AQ599" t="str">
        <f>"2"</f>
        <v>2</v>
      </c>
      <c r="AR599" t="str">
        <f t="shared" si="707"/>
        <v>1</v>
      </c>
      <c r="AS599" t="str">
        <f>"5/03/2020 12:00:00 a. m."</f>
        <v>5/03/2020 12:00:00 a. m.</v>
      </c>
      <c r="AT599" t="str">
        <f t="shared" si="716"/>
        <v>1</v>
      </c>
      <c r="AU599" t="str">
        <f>""</f>
        <v/>
      </c>
      <c r="AV599" t="str">
        <f>"3"</f>
        <v>3</v>
      </c>
      <c r="AW599" t="str">
        <f>"27/10/2010 12:00:00 a. m."</f>
        <v>27/10/2010 12:00:00 a. m.</v>
      </c>
      <c r="AX599" t="str">
        <f>""</f>
        <v/>
      </c>
      <c r="AY599" t="str">
        <f t="shared" si="684"/>
        <v>30/04/2021 12:00:00 a. m.</v>
      </c>
      <c r="AZ599" t="str">
        <f>"20/04/2020 12:00:00 a. m."</f>
        <v>20/04/2020 12:00:00 a. m.</v>
      </c>
      <c r="BA599" t="str">
        <f>""</f>
        <v/>
      </c>
      <c r="BB599" t="str">
        <f>""</f>
        <v/>
      </c>
      <c r="BC599" t="str">
        <f>""</f>
        <v/>
      </c>
      <c r="BD599" t="str">
        <f t="shared" si="693"/>
        <v>1</v>
      </c>
      <c r="BE599" t="str">
        <f t="shared" si="693"/>
        <v>1</v>
      </c>
      <c r="BF599" t="str">
        <f t="shared" si="685"/>
        <v xml:space="preserve">3         </v>
      </c>
      <c r="BG599" t="str">
        <f t="shared" si="686"/>
        <v>Confirmado por laboratorio</v>
      </c>
      <c r="BH599" t="str">
        <f>"CLINICA PEDIATRICA COLSANITAS SA"</f>
        <v>CLINICA PEDIATRICA COLSANITAS SA</v>
      </c>
      <c r="BI599" t="str">
        <f t="shared" si="703"/>
        <v>COLOMBIA</v>
      </c>
      <c r="BJ599" t="str">
        <f t="shared" si="687"/>
        <v>CANCER INFANTIL</v>
      </c>
      <c r="BK599" t="str">
        <f>"CUNDINAMARCA"</f>
        <v>CUNDINAMARCA</v>
      </c>
      <c r="BL599" t="str">
        <f>"SOPO"</f>
        <v>SOPO</v>
      </c>
      <c r="BM599" t="str">
        <f t="shared" si="705"/>
        <v>COLOMBIA</v>
      </c>
      <c r="BN599" t="str">
        <f>"CUNDINAMARCA"</f>
        <v>CUNDINAMARCA</v>
      </c>
      <c r="BO599" t="str">
        <f>"SOPO"</f>
        <v>SOPO</v>
      </c>
      <c r="BP599" t="str">
        <f>"BOGOTA"</f>
        <v>BOGOTA</v>
      </c>
      <c r="BQ599" t="str">
        <f>"BOGOTA"</f>
        <v>BOGOTA</v>
      </c>
    </row>
    <row r="600" spans="1:69" x14ac:dyDescent="0.25">
      <c r="A600" t="str">
        <f>"7278844"</f>
        <v>7278844</v>
      </c>
      <c r="B600" t="str">
        <f t="shared" si="681"/>
        <v>459</v>
      </c>
      <c r="C600" t="str">
        <f>"4/11/2020 12:00:00 a. m."</f>
        <v>4/11/2020 12:00:00 a. m.</v>
      </c>
      <c r="D600" t="str">
        <f>"11"</f>
        <v>11</v>
      </c>
      <c r="E600" t="str">
        <f t="shared" si="682"/>
        <v>2020</v>
      </c>
      <c r="F600" t="str">
        <f>"0500102175"</f>
        <v>0500102175</v>
      </c>
      <c r="G600" t="str">
        <f t="shared" ref="G600:G621" si="719">"01"</f>
        <v>01</v>
      </c>
      <c r="H600" t="str">
        <f>"7"</f>
        <v>7</v>
      </c>
      <c r="I600" t="str">
        <f t="shared" si="717"/>
        <v>1</v>
      </c>
      <c r="J600" t="str">
        <f>"M"</f>
        <v>M</v>
      </c>
      <c r="K600" t="str">
        <f t="shared" si="696"/>
        <v>170</v>
      </c>
      <c r="L600" t="str">
        <f>"05"</f>
        <v>05</v>
      </c>
      <c r="M600" t="str">
        <f t="shared" ref="M600:M613" si="720">"001"</f>
        <v>001</v>
      </c>
      <c r="N600" t="str">
        <f t="shared" si="709"/>
        <v>1</v>
      </c>
      <c r="O600" t="str">
        <f>"9999"</f>
        <v>9999</v>
      </c>
      <c r="P600" t="str">
        <f t="shared" si="711"/>
        <v>C</v>
      </c>
      <c r="Q600" t="str">
        <f>"EPS010"</f>
        <v>EPS010</v>
      </c>
      <c r="R600" t="str">
        <f t="shared" si="710"/>
        <v>6</v>
      </c>
      <c r="S600" t="str">
        <f>""</f>
        <v/>
      </c>
      <c r="T600" t="str">
        <f t="shared" si="666"/>
        <v xml:space="preserve">                                                                                                    </v>
      </c>
      <c r="U600" t="str">
        <f>"2         "</f>
        <v xml:space="preserve">2         </v>
      </c>
      <c r="V600" t="str">
        <f t="shared" si="660"/>
        <v>2</v>
      </c>
      <c r="W600" t="str">
        <f t="shared" si="708"/>
        <v>2</v>
      </c>
      <c r="X600" t="str">
        <f t="shared" si="634"/>
        <v>2</v>
      </c>
      <c r="Y600" t="str">
        <f t="shared" si="718"/>
        <v>2</v>
      </c>
      <c r="Z600" t="str">
        <f t="shared" si="718"/>
        <v>2</v>
      </c>
      <c r="AA600" t="str">
        <f t="shared" si="683"/>
        <v xml:space="preserve">          </v>
      </c>
      <c r="AB600" t="str">
        <f t="shared" si="671"/>
        <v>2</v>
      </c>
      <c r="AC600" t="str">
        <f t="shared" si="676"/>
        <v>2</v>
      </c>
      <c r="AD600" t="str">
        <f t="shared" ref="AD600:AG619" si="721">"2"</f>
        <v>2</v>
      </c>
      <c r="AE600" t="str">
        <f t="shared" si="721"/>
        <v>2</v>
      </c>
      <c r="AF600" t="str">
        <f t="shared" si="721"/>
        <v>2</v>
      </c>
      <c r="AG600" t="str">
        <f t="shared" si="721"/>
        <v>2</v>
      </c>
      <c r="AH600" t="str">
        <f t="shared" si="712"/>
        <v>1</v>
      </c>
      <c r="AI600" t="str">
        <f t="shared" si="715"/>
        <v xml:space="preserve">1         </v>
      </c>
      <c r="AJ600" t="str">
        <f t="shared" si="699"/>
        <v>170</v>
      </c>
      <c r="AK600" t="str">
        <f>"05"</f>
        <v>05</v>
      </c>
      <c r="AL600" t="str">
        <f t="shared" ref="AL600:AL613" si="722">"001"</f>
        <v>001</v>
      </c>
      <c r="AM600" t="str">
        <f>"05"</f>
        <v>05</v>
      </c>
      <c r="AN600" t="str">
        <f>"05001"</f>
        <v>05001</v>
      </c>
      <c r="AO600" t="str">
        <f>"8/03/2020 12:00:00 a. m."</f>
        <v>8/03/2020 12:00:00 a. m.</v>
      </c>
      <c r="AP600" t="str">
        <f>"20/02/2020 12:00:00 a. m."</f>
        <v>20/02/2020 12:00:00 a. m.</v>
      </c>
      <c r="AQ600" t="str">
        <f>"3"</f>
        <v>3</v>
      </c>
      <c r="AR600" t="str">
        <f t="shared" si="707"/>
        <v>1</v>
      </c>
      <c r="AS600" t="str">
        <f>"30/03/2020 12:00:00 a. m."</f>
        <v>30/03/2020 12:00:00 a. m.</v>
      </c>
      <c r="AT600" t="str">
        <f t="shared" si="716"/>
        <v>1</v>
      </c>
      <c r="AU600" t="str">
        <f>""</f>
        <v/>
      </c>
      <c r="AV600" t="str">
        <f>"0"</f>
        <v>0</v>
      </c>
      <c r="AW600" t="str">
        <f>"9/01/2013 12:00:00 a. m."</f>
        <v>9/01/2013 12:00:00 a. m.</v>
      </c>
      <c r="AX600" t="str">
        <f>""</f>
        <v/>
      </c>
      <c r="AY600" t="str">
        <f t="shared" si="684"/>
        <v>30/04/2021 12:00:00 a. m.</v>
      </c>
      <c r="AZ600" t="str">
        <f>"4/11/2020 12:00:00 a. m."</f>
        <v>4/11/2020 12:00:00 a. m.</v>
      </c>
      <c r="BA600" t="str">
        <f>""</f>
        <v/>
      </c>
      <c r="BB600" t="str">
        <f>""</f>
        <v/>
      </c>
      <c r="BC600" t="str">
        <f>""</f>
        <v/>
      </c>
      <c r="BD600" t="str">
        <f t="shared" si="693"/>
        <v>1</v>
      </c>
      <c r="BE600" t="str">
        <f t="shared" si="693"/>
        <v>1</v>
      </c>
      <c r="BF600" t="str">
        <f t="shared" si="685"/>
        <v xml:space="preserve">3         </v>
      </c>
      <c r="BG600" t="str">
        <f t="shared" si="686"/>
        <v>Confirmado por laboratorio</v>
      </c>
      <c r="BH600" t="str">
        <f>"FUNDACION HOSPITALARIA SAN VICENTE DE PAUL"</f>
        <v>FUNDACION HOSPITALARIA SAN VICENTE DE PAUL</v>
      </c>
      <c r="BI600" t="str">
        <f t="shared" si="703"/>
        <v>COLOMBIA</v>
      </c>
      <c r="BJ600" t="str">
        <f t="shared" si="687"/>
        <v>CANCER INFANTIL</v>
      </c>
      <c r="BK600" t="str">
        <f>"ANTIOQUIA"</f>
        <v>ANTIOQUIA</v>
      </c>
      <c r="BL600" t="str">
        <f>"MEDELLIN"</f>
        <v>MEDELLIN</v>
      </c>
      <c r="BM600" t="str">
        <f t="shared" si="705"/>
        <v>COLOMBIA</v>
      </c>
      <c r="BN600" t="str">
        <f>"ANTIOQUIA"</f>
        <v>ANTIOQUIA</v>
      </c>
      <c r="BO600" t="str">
        <f>"MEDELLIN"</f>
        <v>MEDELLIN</v>
      </c>
      <c r="BP600" t="str">
        <f>"ANTIOQUIA"</f>
        <v>ANTIOQUIA</v>
      </c>
      <c r="BQ600" t="str">
        <f>"MEDELLIN"</f>
        <v>MEDELLIN</v>
      </c>
    </row>
    <row r="601" spans="1:69" x14ac:dyDescent="0.25">
      <c r="A601" t="str">
        <f>"7279294"</f>
        <v>7279294</v>
      </c>
      <c r="B601" t="str">
        <f t="shared" si="681"/>
        <v>459</v>
      </c>
      <c r="C601" t="str">
        <f>"15/01/2021 12:00:00 a. m."</f>
        <v>15/01/2021 12:00:00 a. m.</v>
      </c>
      <c r="D601" t="str">
        <f>"53"</f>
        <v>53</v>
      </c>
      <c r="E601" t="str">
        <f t="shared" si="682"/>
        <v>2020</v>
      </c>
      <c r="F601" t="str">
        <f>"1100108679"</f>
        <v>1100108679</v>
      </c>
      <c r="G601" t="str">
        <f t="shared" si="719"/>
        <v>01</v>
      </c>
      <c r="H601" t="str">
        <f>"17"</f>
        <v>17</v>
      </c>
      <c r="I601" t="str">
        <f t="shared" si="717"/>
        <v>1</v>
      </c>
      <c r="J601" t="str">
        <f>"F"</f>
        <v>F</v>
      </c>
      <c r="K601" t="str">
        <f t="shared" si="696"/>
        <v>170</v>
      </c>
      <c r="L601" t="str">
        <f t="shared" ref="L601:L606" si="723">"11"</f>
        <v>11</v>
      </c>
      <c r="M601" t="str">
        <f t="shared" si="720"/>
        <v>001</v>
      </c>
      <c r="N601" t="str">
        <f t="shared" si="709"/>
        <v>1</v>
      </c>
      <c r="O601" t="str">
        <f>"9997"</f>
        <v>9997</v>
      </c>
      <c r="P601" t="str">
        <f>"S"</f>
        <v>S</v>
      </c>
      <c r="Q601" t="str">
        <f>"EPSS08"</f>
        <v>EPSS08</v>
      </c>
      <c r="R601" t="str">
        <f t="shared" si="710"/>
        <v>6</v>
      </c>
      <c r="S601" t="str">
        <f>""</f>
        <v/>
      </c>
      <c r="T601" t="str">
        <f t="shared" si="666"/>
        <v xml:space="preserve">                                                                                                    </v>
      </c>
      <c r="U601" t="str">
        <f>"1         "</f>
        <v xml:space="preserve">1         </v>
      </c>
      <c r="V601" t="str">
        <f t="shared" si="660"/>
        <v>2</v>
      </c>
      <c r="W601" t="str">
        <f t="shared" si="708"/>
        <v>2</v>
      </c>
      <c r="X601" t="str">
        <f t="shared" si="634"/>
        <v>2</v>
      </c>
      <c r="Y601" t="str">
        <f t="shared" si="718"/>
        <v>2</v>
      </c>
      <c r="Z601" t="str">
        <f t="shared" si="718"/>
        <v>2</v>
      </c>
      <c r="AA601" t="str">
        <f t="shared" si="683"/>
        <v xml:space="preserve">          </v>
      </c>
      <c r="AB601" t="str">
        <f t="shared" si="671"/>
        <v>2</v>
      </c>
      <c r="AC601" t="str">
        <f t="shared" si="676"/>
        <v>2</v>
      </c>
      <c r="AD601" t="str">
        <f t="shared" si="721"/>
        <v>2</v>
      </c>
      <c r="AE601" t="str">
        <f t="shared" si="721"/>
        <v>2</v>
      </c>
      <c r="AF601" t="str">
        <f t="shared" si="721"/>
        <v>2</v>
      </c>
      <c r="AG601" t="str">
        <f t="shared" si="721"/>
        <v>2</v>
      </c>
      <c r="AH601" t="str">
        <f t="shared" si="712"/>
        <v>1</v>
      </c>
      <c r="AI601" t="str">
        <f t="shared" si="715"/>
        <v xml:space="preserve">1         </v>
      </c>
      <c r="AJ601" t="str">
        <f t="shared" si="699"/>
        <v>170</v>
      </c>
      <c r="AK601" t="str">
        <f t="shared" ref="AK601:AK606" si="724">"11"</f>
        <v>11</v>
      </c>
      <c r="AL601" t="str">
        <f t="shared" si="722"/>
        <v>001</v>
      </c>
      <c r="AM601" t="str">
        <f t="shared" ref="AM601:AM606" si="725">"11"</f>
        <v>11</v>
      </c>
      <c r="AN601" t="str">
        <f t="shared" ref="AN601:AN606" si="726">"11001"</f>
        <v>11001</v>
      </c>
      <c r="AO601" t="str">
        <f>"27/12/2020 12:00:00 a. m."</f>
        <v>27/12/2020 12:00:00 a. m.</v>
      </c>
      <c r="AP601" t="str">
        <f>"1/12/2020 12:00:00 a. m."</f>
        <v>1/12/2020 12:00:00 a. m.</v>
      </c>
      <c r="AQ601" t="str">
        <f>"3"</f>
        <v>3</v>
      </c>
      <c r="AR601" t="str">
        <f>"2"</f>
        <v>2</v>
      </c>
      <c r="AS601" t="str">
        <f>""</f>
        <v/>
      </c>
      <c r="AT601" t="str">
        <f t="shared" si="716"/>
        <v>1</v>
      </c>
      <c r="AU601" t="str">
        <f>""</f>
        <v/>
      </c>
      <c r="AV601" t="str">
        <f>"0"</f>
        <v>0</v>
      </c>
      <c r="AW601" t="str">
        <f>"30/05/2003 12:00:00 a. m."</f>
        <v>30/05/2003 12:00:00 a. m.</v>
      </c>
      <c r="AX601" t="str">
        <f>""</f>
        <v/>
      </c>
      <c r="AY601" t="str">
        <f t="shared" si="684"/>
        <v>30/04/2021 12:00:00 a. m.</v>
      </c>
      <c r="AZ601" t="str">
        <f>"15/01/2021 12:00:00 a. m."</f>
        <v>15/01/2021 12:00:00 a. m.</v>
      </c>
      <c r="BA601" t="str">
        <f>""</f>
        <v/>
      </c>
      <c r="BB601" t="str">
        <f>""</f>
        <v/>
      </c>
      <c r="BC601" t="str">
        <f>""</f>
        <v/>
      </c>
      <c r="BD601" t="str">
        <f t="shared" si="693"/>
        <v>1</v>
      </c>
      <c r="BE601" t="str">
        <f t="shared" si="693"/>
        <v>1</v>
      </c>
      <c r="BF601" t="str">
        <f t="shared" si="685"/>
        <v xml:space="preserve">3         </v>
      </c>
      <c r="BG601" t="str">
        <f t="shared" si="686"/>
        <v>Confirmado por laboratorio</v>
      </c>
      <c r="BH601" t="str">
        <f>"SOCIEDAD DE CIRUGIA DE BOGOTA HOSPITAL DE SAN JOSE"</f>
        <v>SOCIEDAD DE CIRUGIA DE BOGOTA HOSPITAL DE SAN JOSE</v>
      </c>
      <c r="BI601" t="str">
        <f t="shared" si="703"/>
        <v>COLOMBIA</v>
      </c>
      <c r="BJ601" t="str">
        <f t="shared" si="687"/>
        <v>CANCER INFANTIL</v>
      </c>
      <c r="BK601" t="str">
        <f t="shared" ref="BK601:BL606" si="727">"BOGOTA"</f>
        <v>BOGOTA</v>
      </c>
      <c r="BL601" t="str">
        <f t="shared" si="727"/>
        <v>BOGOTA</v>
      </c>
      <c r="BM601" t="str">
        <f t="shared" si="705"/>
        <v>COLOMBIA</v>
      </c>
      <c r="BN601" t="str">
        <f t="shared" ref="BN601:BQ606" si="728">"BOGOTA"</f>
        <v>BOGOTA</v>
      </c>
      <c r="BO601" t="str">
        <f t="shared" si="728"/>
        <v>BOGOTA</v>
      </c>
      <c r="BP601" t="str">
        <f t="shared" si="728"/>
        <v>BOGOTA</v>
      </c>
      <c r="BQ601" t="str">
        <f t="shared" si="728"/>
        <v>BOGOTA</v>
      </c>
    </row>
    <row r="602" spans="1:69" x14ac:dyDescent="0.25">
      <c r="A602" t="str">
        <f>"7279269"</f>
        <v>7279269</v>
      </c>
      <c r="B602" t="str">
        <f t="shared" si="681"/>
        <v>459</v>
      </c>
      <c r="C602" t="str">
        <f>"21/10/2020 12:00:00 a. m."</f>
        <v>21/10/2020 12:00:00 a. m.</v>
      </c>
      <c r="D602" t="str">
        <f>"43"</f>
        <v>43</v>
      </c>
      <c r="E602" t="str">
        <f t="shared" si="682"/>
        <v>2020</v>
      </c>
      <c r="F602" t="str">
        <f>"1100108679"</f>
        <v>1100108679</v>
      </c>
      <c r="G602" t="str">
        <f t="shared" si="719"/>
        <v>01</v>
      </c>
      <c r="H602" t="str">
        <f>"17"</f>
        <v>17</v>
      </c>
      <c r="I602" t="str">
        <f t="shared" si="717"/>
        <v>1</v>
      </c>
      <c r="J602" t="str">
        <f>"M"</f>
        <v>M</v>
      </c>
      <c r="K602" t="str">
        <f t="shared" si="696"/>
        <v>170</v>
      </c>
      <c r="L602" t="str">
        <f t="shared" si="723"/>
        <v>11</v>
      </c>
      <c r="M602" t="str">
        <f t="shared" si="720"/>
        <v>001</v>
      </c>
      <c r="N602" t="str">
        <f t="shared" si="709"/>
        <v>1</v>
      </c>
      <c r="O602" t="str">
        <f>"9997"</f>
        <v>9997</v>
      </c>
      <c r="P602" t="str">
        <f>"C"</f>
        <v>C</v>
      </c>
      <c r="Q602" t="str">
        <f>"EPS008"</f>
        <v>EPS008</v>
      </c>
      <c r="R602" t="str">
        <f t="shared" si="710"/>
        <v>6</v>
      </c>
      <c r="S602" t="str">
        <f>""</f>
        <v/>
      </c>
      <c r="T602" t="str">
        <f t="shared" si="666"/>
        <v xml:space="preserve">                                                                                                    </v>
      </c>
      <c r="U602" t="str">
        <f>"2         "</f>
        <v xml:space="preserve">2         </v>
      </c>
      <c r="V602" t="str">
        <f t="shared" si="660"/>
        <v>2</v>
      </c>
      <c r="W602" t="str">
        <f t="shared" si="708"/>
        <v>2</v>
      </c>
      <c r="X602" t="str">
        <f t="shared" ref="X602:X665" si="729">"2"</f>
        <v>2</v>
      </c>
      <c r="Y602" t="str">
        <f t="shared" si="718"/>
        <v>2</v>
      </c>
      <c r="Z602" t="str">
        <f t="shared" si="718"/>
        <v>2</v>
      </c>
      <c r="AA602" t="str">
        <f t="shared" si="683"/>
        <v xml:space="preserve">          </v>
      </c>
      <c r="AB602" t="str">
        <f t="shared" si="671"/>
        <v>2</v>
      </c>
      <c r="AC602" t="str">
        <f t="shared" si="676"/>
        <v>2</v>
      </c>
      <c r="AD602" t="str">
        <f t="shared" si="721"/>
        <v>2</v>
      </c>
      <c r="AE602" t="str">
        <f t="shared" si="721"/>
        <v>2</v>
      </c>
      <c r="AF602" t="str">
        <f t="shared" si="721"/>
        <v>2</v>
      </c>
      <c r="AG602" t="str">
        <f t="shared" si="721"/>
        <v>2</v>
      </c>
      <c r="AH602" t="str">
        <f t="shared" si="712"/>
        <v>1</v>
      </c>
      <c r="AI602" t="str">
        <f t="shared" si="715"/>
        <v xml:space="preserve">1         </v>
      </c>
      <c r="AJ602" t="str">
        <f t="shared" si="699"/>
        <v>170</v>
      </c>
      <c r="AK602" t="str">
        <f t="shared" si="724"/>
        <v>11</v>
      </c>
      <c r="AL602" t="str">
        <f t="shared" si="722"/>
        <v>001</v>
      </c>
      <c r="AM602" t="str">
        <f t="shared" si="725"/>
        <v>11</v>
      </c>
      <c r="AN602" t="str">
        <f t="shared" si="726"/>
        <v>11001</v>
      </c>
      <c r="AO602" t="str">
        <f>"20/10/2020 12:00:00 a. m."</f>
        <v>20/10/2020 12:00:00 a. m.</v>
      </c>
      <c r="AP602" t="str">
        <f>"20/10/2020 12:00:00 a. m."</f>
        <v>20/10/2020 12:00:00 a. m.</v>
      </c>
      <c r="AQ602" t="str">
        <f>"2"</f>
        <v>2</v>
      </c>
      <c r="AR602" t="str">
        <f t="shared" ref="AR602:AR617" si="730">"1"</f>
        <v>1</v>
      </c>
      <c r="AS602" t="str">
        <f>"20/10/2020 12:00:00 a. m."</f>
        <v>20/10/2020 12:00:00 a. m.</v>
      </c>
      <c r="AT602" t="str">
        <f t="shared" si="716"/>
        <v>1</v>
      </c>
      <c r="AU602" t="str">
        <f>""</f>
        <v/>
      </c>
      <c r="AV602" t="str">
        <f>"3"</f>
        <v>3</v>
      </c>
      <c r="AW602" t="str">
        <f>"3/02/2003 12:00:00 a. m."</f>
        <v>3/02/2003 12:00:00 a. m.</v>
      </c>
      <c r="AX602" t="str">
        <f>""</f>
        <v/>
      </c>
      <c r="AY602" t="str">
        <f t="shared" si="684"/>
        <v>30/04/2021 12:00:00 a. m.</v>
      </c>
      <c r="AZ602" t="str">
        <f>"12/11/2020 12:00:00 a. m."</f>
        <v>12/11/2020 12:00:00 a. m.</v>
      </c>
      <c r="BA602" t="str">
        <f>""</f>
        <v/>
      </c>
      <c r="BB602" t="str">
        <f>""</f>
        <v/>
      </c>
      <c r="BC602" t="str">
        <f>""</f>
        <v/>
      </c>
      <c r="BD602" t="str">
        <f t="shared" ref="BD602:BE621" si="731">"1"</f>
        <v>1</v>
      </c>
      <c r="BE602" t="str">
        <f t="shared" si="731"/>
        <v>1</v>
      </c>
      <c r="BF602" t="str">
        <f t="shared" si="685"/>
        <v xml:space="preserve">3         </v>
      </c>
      <c r="BG602" t="str">
        <f t="shared" si="686"/>
        <v>Confirmado por laboratorio</v>
      </c>
      <c r="BH602" t="str">
        <f>"SOCIEDAD DE CIRUGIA DE BOGOTA HOSPITAL DE SAN JOSE"</f>
        <v>SOCIEDAD DE CIRUGIA DE BOGOTA HOSPITAL DE SAN JOSE</v>
      </c>
      <c r="BI602" t="str">
        <f t="shared" si="703"/>
        <v>COLOMBIA</v>
      </c>
      <c r="BJ602" t="str">
        <f t="shared" si="687"/>
        <v>CANCER INFANTIL</v>
      </c>
      <c r="BK602" t="str">
        <f t="shared" si="727"/>
        <v>BOGOTA</v>
      </c>
      <c r="BL602" t="str">
        <f t="shared" si="727"/>
        <v>BOGOTA</v>
      </c>
      <c r="BM602" t="str">
        <f t="shared" si="705"/>
        <v>COLOMBIA</v>
      </c>
      <c r="BN602" t="str">
        <f t="shared" si="728"/>
        <v>BOGOTA</v>
      </c>
      <c r="BO602" t="str">
        <f t="shared" si="728"/>
        <v>BOGOTA</v>
      </c>
      <c r="BP602" t="str">
        <f t="shared" si="728"/>
        <v>BOGOTA</v>
      </c>
      <c r="BQ602" t="str">
        <f t="shared" si="728"/>
        <v>BOGOTA</v>
      </c>
    </row>
    <row r="603" spans="1:69" x14ac:dyDescent="0.25">
      <c r="A603" t="str">
        <f>"7279226"</f>
        <v>7279226</v>
      </c>
      <c r="B603" t="str">
        <f t="shared" si="681"/>
        <v>459</v>
      </c>
      <c r="C603" t="str">
        <f>"8/05/2020 12:00:00 a. m."</f>
        <v>8/05/2020 12:00:00 a. m.</v>
      </c>
      <c r="D603" t="str">
        <f>"19"</f>
        <v>19</v>
      </c>
      <c r="E603" t="str">
        <f t="shared" si="682"/>
        <v>2020</v>
      </c>
      <c r="F603" t="str">
        <f>"1100106065"</f>
        <v>1100106065</v>
      </c>
      <c r="G603" t="str">
        <f t="shared" si="719"/>
        <v>01</v>
      </c>
      <c r="H603" t="str">
        <f>"1"</f>
        <v>1</v>
      </c>
      <c r="I603" t="str">
        <f t="shared" si="717"/>
        <v>1</v>
      </c>
      <c r="J603" t="str">
        <f>"M"</f>
        <v>M</v>
      </c>
      <c r="K603" t="str">
        <f t="shared" si="696"/>
        <v>170</v>
      </c>
      <c r="L603" t="str">
        <f t="shared" si="723"/>
        <v>11</v>
      </c>
      <c r="M603" t="str">
        <f t="shared" si="720"/>
        <v>001</v>
      </c>
      <c r="N603" t="str">
        <f t="shared" si="709"/>
        <v>1</v>
      </c>
      <c r="O603" t="str">
        <f>"9999"</f>
        <v>9999</v>
      </c>
      <c r="P603" t="str">
        <f>"S"</f>
        <v>S</v>
      </c>
      <c r="Q603" t="str">
        <f>"EPSS34"</f>
        <v>EPSS34</v>
      </c>
      <c r="R603" t="str">
        <f t="shared" si="710"/>
        <v>6</v>
      </c>
      <c r="S603" t="str">
        <f>""</f>
        <v/>
      </c>
      <c r="T603" t="str">
        <f t="shared" si="666"/>
        <v xml:space="preserve">                                                                                                    </v>
      </c>
      <c r="U603" t="str">
        <f>"1         "</f>
        <v xml:space="preserve">1         </v>
      </c>
      <c r="V603" t="str">
        <f t="shared" si="660"/>
        <v>2</v>
      </c>
      <c r="W603" t="str">
        <f t="shared" si="708"/>
        <v>2</v>
      </c>
      <c r="X603" t="str">
        <f t="shared" si="729"/>
        <v>2</v>
      </c>
      <c r="Y603" t="str">
        <f t="shared" si="718"/>
        <v>2</v>
      </c>
      <c r="Z603" t="str">
        <f t="shared" si="718"/>
        <v>2</v>
      </c>
      <c r="AA603" t="str">
        <f t="shared" si="683"/>
        <v xml:space="preserve">          </v>
      </c>
      <c r="AB603" t="str">
        <f t="shared" si="671"/>
        <v>2</v>
      </c>
      <c r="AC603" t="str">
        <f t="shared" si="676"/>
        <v>2</v>
      </c>
      <c r="AD603" t="str">
        <f t="shared" si="721"/>
        <v>2</v>
      </c>
      <c r="AE603" t="str">
        <f t="shared" si="721"/>
        <v>2</v>
      </c>
      <c r="AF603" t="str">
        <f t="shared" si="721"/>
        <v>2</v>
      </c>
      <c r="AG603" t="str">
        <f t="shared" si="721"/>
        <v>2</v>
      </c>
      <c r="AH603" t="str">
        <f t="shared" si="712"/>
        <v>1</v>
      </c>
      <c r="AI603" t="str">
        <f>"2         "</f>
        <v xml:space="preserve">2         </v>
      </c>
      <c r="AJ603" t="str">
        <f t="shared" si="699"/>
        <v>170</v>
      </c>
      <c r="AK603" t="str">
        <f t="shared" si="724"/>
        <v>11</v>
      </c>
      <c r="AL603" t="str">
        <f t="shared" si="722"/>
        <v>001</v>
      </c>
      <c r="AM603" t="str">
        <f t="shared" si="725"/>
        <v>11</v>
      </c>
      <c r="AN603" t="str">
        <f t="shared" si="726"/>
        <v>11001</v>
      </c>
      <c r="AO603" t="str">
        <f>"8/05/2020 12:00:00 a. m."</f>
        <v>8/05/2020 12:00:00 a. m.</v>
      </c>
      <c r="AP603" t="str">
        <f>"1/05/2020 12:00:00 a. m."</f>
        <v>1/05/2020 12:00:00 a. m.</v>
      </c>
      <c r="AQ603" t="str">
        <f>"3"</f>
        <v>3</v>
      </c>
      <c r="AR603" t="str">
        <f t="shared" si="730"/>
        <v>1</v>
      </c>
      <c r="AS603" t="str">
        <f>"8/05/2020 12:00:00 a. m."</f>
        <v>8/05/2020 12:00:00 a. m.</v>
      </c>
      <c r="AT603" t="str">
        <f t="shared" si="716"/>
        <v>1</v>
      </c>
      <c r="AU603" t="str">
        <f>""</f>
        <v/>
      </c>
      <c r="AV603" t="str">
        <f>"0"</f>
        <v>0</v>
      </c>
      <c r="AW603" t="str">
        <f>"29/05/2019 12:00:00 a. m."</f>
        <v>29/05/2019 12:00:00 a. m.</v>
      </c>
      <c r="AX603" t="str">
        <f>""</f>
        <v/>
      </c>
      <c r="AY603" t="str">
        <f t="shared" si="684"/>
        <v>30/04/2021 12:00:00 a. m.</v>
      </c>
      <c r="AZ603" t="str">
        <f>"28/09/2020 12:00:00 a. m."</f>
        <v>28/09/2020 12:00:00 a. m.</v>
      </c>
      <c r="BA603" t="str">
        <f>""</f>
        <v/>
      </c>
      <c r="BB603" t="str">
        <f>""</f>
        <v/>
      </c>
      <c r="BC603" t="str">
        <f>""</f>
        <v/>
      </c>
      <c r="BD603" t="str">
        <f t="shared" si="731"/>
        <v>1</v>
      </c>
      <c r="BE603" t="str">
        <f t="shared" si="731"/>
        <v>1</v>
      </c>
      <c r="BF603" t="str">
        <f t="shared" si="685"/>
        <v xml:space="preserve">3         </v>
      </c>
      <c r="BG603" t="str">
        <f t="shared" si="686"/>
        <v>Confirmado por laboratorio</v>
      </c>
      <c r="BH603" t="str">
        <f>"ESE INSTITUTO NACIONAL DE CANCEROLOGIA"</f>
        <v>ESE INSTITUTO NACIONAL DE CANCEROLOGIA</v>
      </c>
      <c r="BI603" t="str">
        <f t="shared" si="703"/>
        <v>COLOMBIA</v>
      </c>
      <c r="BJ603" t="str">
        <f t="shared" si="687"/>
        <v>CANCER INFANTIL</v>
      </c>
      <c r="BK603" t="str">
        <f t="shared" si="727"/>
        <v>BOGOTA</v>
      </c>
      <c r="BL603" t="str">
        <f t="shared" si="727"/>
        <v>BOGOTA</v>
      </c>
      <c r="BM603" t="str">
        <f t="shared" si="705"/>
        <v>COLOMBIA</v>
      </c>
      <c r="BN603" t="str">
        <f t="shared" si="728"/>
        <v>BOGOTA</v>
      </c>
      <c r="BO603" t="str">
        <f t="shared" si="728"/>
        <v>BOGOTA</v>
      </c>
      <c r="BP603" t="str">
        <f t="shared" si="728"/>
        <v>BOGOTA</v>
      </c>
      <c r="BQ603" t="str">
        <f t="shared" si="728"/>
        <v>BOGOTA</v>
      </c>
    </row>
    <row r="604" spans="1:69" x14ac:dyDescent="0.25">
      <c r="A604" t="str">
        <f>"7278873"</f>
        <v>7278873</v>
      </c>
      <c r="B604" t="str">
        <f t="shared" si="681"/>
        <v>459</v>
      </c>
      <c r="C604" t="str">
        <f>"14/04/2020 12:00:00 a. m."</f>
        <v>14/04/2020 12:00:00 a. m.</v>
      </c>
      <c r="D604" t="str">
        <f>"05"</f>
        <v>05</v>
      </c>
      <c r="E604" t="str">
        <f t="shared" si="682"/>
        <v>2020</v>
      </c>
      <c r="F604" t="str">
        <f>"1100105681"</f>
        <v>1100105681</v>
      </c>
      <c r="G604" t="str">
        <f t="shared" si="719"/>
        <v>01</v>
      </c>
      <c r="H604" t="str">
        <f>"5"</f>
        <v>5</v>
      </c>
      <c r="I604" t="str">
        <f t="shared" si="717"/>
        <v>1</v>
      </c>
      <c r="J604" t="str">
        <f>"F"</f>
        <v>F</v>
      </c>
      <c r="K604" t="str">
        <f t="shared" si="696"/>
        <v>170</v>
      </c>
      <c r="L604" t="str">
        <f t="shared" si="723"/>
        <v>11</v>
      </c>
      <c r="M604" t="str">
        <f t="shared" si="720"/>
        <v>001</v>
      </c>
      <c r="N604" t="str">
        <f t="shared" si="709"/>
        <v>1</v>
      </c>
      <c r="O604" t="str">
        <f>"9997"</f>
        <v>9997</v>
      </c>
      <c r="P604" t="str">
        <f>"S"</f>
        <v>S</v>
      </c>
      <c r="Q604" t="str">
        <f>"EPSS34"</f>
        <v>EPSS34</v>
      </c>
      <c r="R604" t="str">
        <f t="shared" si="710"/>
        <v>6</v>
      </c>
      <c r="S604" t="str">
        <f>""</f>
        <v/>
      </c>
      <c r="T604" t="str">
        <f t="shared" si="666"/>
        <v xml:space="preserve">                                                                                                    </v>
      </c>
      <c r="U604" t="str">
        <f>"2         "</f>
        <v xml:space="preserve">2         </v>
      </c>
      <c r="V604" t="str">
        <f t="shared" si="660"/>
        <v>2</v>
      </c>
      <c r="W604" t="str">
        <f t="shared" si="708"/>
        <v>2</v>
      </c>
      <c r="X604" t="str">
        <f t="shared" si="729"/>
        <v>2</v>
      </c>
      <c r="Y604" t="str">
        <f t="shared" si="718"/>
        <v>2</v>
      </c>
      <c r="Z604" t="str">
        <f t="shared" si="718"/>
        <v>2</v>
      </c>
      <c r="AA604" t="str">
        <f t="shared" si="683"/>
        <v xml:space="preserve">          </v>
      </c>
      <c r="AB604" t="str">
        <f t="shared" si="671"/>
        <v>2</v>
      </c>
      <c r="AC604" t="str">
        <f t="shared" si="676"/>
        <v>2</v>
      </c>
      <c r="AD604" t="str">
        <f t="shared" si="721"/>
        <v>2</v>
      </c>
      <c r="AE604" t="str">
        <f t="shared" si="721"/>
        <v>2</v>
      </c>
      <c r="AF604" t="str">
        <f t="shared" si="721"/>
        <v>2</v>
      </c>
      <c r="AG604" t="str">
        <f t="shared" si="721"/>
        <v>2</v>
      </c>
      <c r="AH604" t="str">
        <f t="shared" si="712"/>
        <v>1</v>
      </c>
      <c r="AI604" t="str">
        <f>"2         "</f>
        <v xml:space="preserve">2         </v>
      </c>
      <c r="AJ604" t="str">
        <f t="shared" si="699"/>
        <v>170</v>
      </c>
      <c r="AK604" t="str">
        <f t="shared" si="724"/>
        <v>11</v>
      </c>
      <c r="AL604" t="str">
        <f t="shared" si="722"/>
        <v>001</v>
      </c>
      <c r="AM604" t="str">
        <f t="shared" si="725"/>
        <v>11</v>
      </c>
      <c r="AN604" t="str">
        <f t="shared" si="726"/>
        <v>11001</v>
      </c>
      <c r="AO604" t="str">
        <f>"26/01/2020 12:00:00 a. m."</f>
        <v>26/01/2020 12:00:00 a. m.</v>
      </c>
      <c r="AP604" t="str">
        <f>"22/01/2020 12:00:00 a. m."</f>
        <v>22/01/2020 12:00:00 a. m.</v>
      </c>
      <c r="AQ604" t="str">
        <f>"3"</f>
        <v>3</v>
      </c>
      <c r="AR604" t="str">
        <f t="shared" si="730"/>
        <v>1</v>
      </c>
      <c r="AS604" t="str">
        <f>"26/01/2020 12:00:00 a. m."</f>
        <v>26/01/2020 12:00:00 a. m.</v>
      </c>
      <c r="AT604" t="str">
        <f t="shared" si="716"/>
        <v>1</v>
      </c>
      <c r="AU604" t="str">
        <f>""</f>
        <v/>
      </c>
      <c r="AV604" t="str">
        <f>"0"</f>
        <v>0</v>
      </c>
      <c r="AW604" t="str">
        <f>"9/08/2014 12:00:00 a. m."</f>
        <v>9/08/2014 12:00:00 a. m.</v>
      </c>
      <c r="AX604" t="str">
        <f>""</f>
        <v/>
      </c>
      <c r="AY604" t="str">
        <f t="shared" si="684"/>
        <v>30/04/2021 12:00:00 a. m.</v>
      </c>
      <c r="AZ604" t="str">
        <f>"14/04/2020 12:00:00 a. m."</f>
        <v>14/04/2020 12:00:00 a. m.</v>
      </c>
      <c r="BA604" t="str">
        <f>""</f>
        <v/>
      </c>
      <c r="BB604" t="str">
        <f>""</f>
        <v/>
      </c>
      <c r="BC604" t="str">
        <f>""</f>
        <v/>
      </c>
      <c r="BD604" t="str">
        <f t="shared" si="731"/>
        <v>1</v>
      </c>
      <c r="BE604" t="str">
        <f t="shared" si="731"/>
        <v>1</v>
      </c>
      <c r="BF604" t="str">
        <f t="shared" si="685"/>
        <v xml:space="preserve">3         </v>
      </c>
      <c r="BG604" t="str">
        <f t="shared" si="686"/>
        <v>Confirmado por laboratorio</v>
      </c>
      <c r="BH604" t="str">
        <f>"FUNDACION HOSPITAL DE LA MISERICORDIA"</f>
        <v>FUNDACION HOSPITAL DE LA MISERICORDIA</v>
      </c>
      <c r="BI604" t="str">
        <f t="shared" si="703"/>
        <v>COLOMBIA</v>
      </c>
      <c r="BJ604" t="str">
        <f t="shared" si="687"/>
        <v>CANCER INFANTIL</v>
      </c>
      <c r="BK604" t="str">
        <f t="shared" si="727"/>
        <v>BOGOTA</v>
      </c>
      <c r="BL604" t="str">
        <f t="shared" si="727"/>
        <v>BOGOTA</v>
      </c>
      <c r="BM604" t="str">
        <f t="shared" si="705"/>
        <v>COLOMBIA</v>
      </c>
      <c r="BN604" t="str">
        <f t="shared" si="728"/>
        <v>BOGOTA</v>
      </c>
      <c r="BO604" t="str">
        <f t="shared" si="728"/>
        <v>BOGOTA</v>
      </c>
      <c r="BP604" t="str">
        <f t="shared" si="728"/>
        <v>BOGOTA</v>
      </c>
      <c r="BQ604" t="str">
        <f t="shared" si="728"/>
        <v>BOGOTA</v>
      </c>
    </row>
    <row r="605" spans="1:69" x14ac:dyDescent="0.25">
      <c r="A605" t="str">
        <f>"7278874"</f>
        <v>7278874</v>
      </c>
      <c r="B605" t="str">
        <f t="shared" si="681"/>
        <v>459</v>
      </c>
      <c r="C605" t="str">
        <f>"22/09/2020 12:00:00 a. m."</f>
        <v>22/09/2020 12:00:00 a. m.</v>
      </c>
      <c r="D605" t="str">
        <f>"38"</f>
        <v>38</v>
      </c>
      <c r="E605" t="str">
        <f t="shared" si="682"/>
        <v>2020</v>
      </c>
      <c r="F605" t="str">
        <f>"1100105681"</f>
        <v>1100105681</v>
      </c>
      <c r="G605" t="str">
        <f t="shared" si="719"/>
        <v>01</v>
      </c>
      <c r="H605" t="str">
        <f>"4"</f>
        <v>4</v>
      </c>
      <c r="I605" t="str">
        <f t="shared" si="717"/>
        <v>1</v>
      </c>
      <c r="J605" t="str">
        <f>"F"</f>
        <v>F</v>
      </c>
      <c r="K605" t="str">
        <f t="shared" si="696"/>
        <v>170</v>
      </c>
      <c r="L605" t="str">
        <f t="shared" si="723"/>
        <v>11</v>
      </c>
      <c r="M605" t="str">
        <f t="shared" si="720"/>
        <v>001</v>
      </c>
      <c r="N605" t="str">
        <f t="shared" si="709"/>
        <v>1</v>
      </c>
      <c r="O605" t="str">
        <f>"9999"</f>
        <v>9999</v>
      </c>
      <c r="P605" t="str">
        <f>"C"</f>
        <v>C</v>
      </c>
      <c r="Q605" t="str">
        <f>"EPS008"</f>
        <v>EPS008</v>
      </c>
      <c r="R605" t="str">
        <f t="shared" si="710"/>
        <v>6</v>
      </c>
      <c r="S605" t="str">
        <f>""</f>
        <v/>
      </c>
      <c r="T605" t="str">
        <f t="shared" si="666"/>
        <v xml:space="preserve">                                                                                                    </v>
      </c>
      <c r="U605" t="str">
        <f>"2         "</f>
        <v xml:space="preserve">2         </v>
      </c>
      <c r="V605" t="str">
        <f t="shared" si="660"/>
        <v>2</v>
      </c>
      <c r="W605" t="str">
        <f t="shared" si="708"/>
        <v>2</v>
      </c>
      <c r="X605" t="str">
        <f t="shared" si="729"/>
        <v>2</v>
      </c>
      <c r="Y605" t="str">
        <f t="shared" si="718"/>
        <v>2</v>
      </c>
      <c r="Z605" t="str">
        <f t="shared" si="718"/>
        <v>2</v>
      </c>
      <c r="AA605" t="str">
        <f t="shared" si="683"/>
        <v xml:space="preserve">          </v>
      </c>
      <c r="AB605" t="str">
        <f t="shared" si="671"/>
        <v>2</v>
      </c>
      <c r="AC605" t="str">
        <f t="shared" si="676"/>
        <v>2</v>
      </c>
      <c r="AD605" t="str">
        <f t="shared" si="721"/>
        <v>2</v>
      </c>
      <c r="AE605" t="str">
        <f t="shared" si="721"/>
        <v>2</v>
      </c>
      <c r="AF605" t="str">
        <f t="shared" si="721"/>
        <v>2</v>
      </c>
      <c r="AG605" t="str">
        <f t="shared" si="721"/>
        <v>2</v>
      </c>
      <c r="AH605" t="str">
        <f t="shared" si="712"/>
        <v>1</v>
      </c>
      <c r="AI605" t="str">
        <f>"1         "</f>
        <v xml:space="preserve">1         </v>
      </c>
      <c r="AJ605" t="str">
        <f t="shared" si="699"/>
        <v>170</v>
      </c>
      <c r="AK605" t="str">
        <f t="shared" si="724"/>
        <v>11</v>
      </c>
      <c r="AL605" t="str">
        <f t="shared" si="722"/>
        <v>001</v>
      </c>
      <c r="AM605" t="str">
        <f t="shared" si="725"/>
        <v>11</v>
      </c>
      <c r="AN605" t="str">
        <f t="shared" si="726"/>
        <v>11001</v>
      </c>
      <c r="AO605" t="str">
        <f>"18/09/2020 12:00:00 a. m."</f>
        <v>18/09/2020 12:00:00 a. m.</v>
      </c>
      <c r="AP605" t="str">
        <f>"10/04/2020 12:00:00 a. m."</f>
        <v>10/04/2020 12:00:00 a. m.</v>
      </c>
      <c r="AQ605" t="str">
        <f>"3"</f>
        <v>3</v>
      </c>
      <c r="AR605" t="str">
        <f t="shared" si="730"/>
        <v>1</v>
      </c>
      <c r="AS605" t="str">
        <f>"18/09/2020 12:00:00 a. m."</f>
        <v>18/09/2020 12:00:00 a. m.</v>
      </c>
      <c r="AT605" t="str">
        <f t="shared" si="716"/>
        <v>1</v>
      </c>
      <c r="AU605" t="str">
        <f>""</f>
        <v/>
      </c>
      <c r="AV605" t="str">
        <f>"0"</f>
        <v>0</v>
      </c>
      <c r="AW605" t="str">
        <f>"8/10/2016 12:00:00 a. m."</f>
        <v>8/10/2016 12:00:00 a. m.</v>
      </c>
      <c r="AX605" t="str">
        <f>""</f>
        <v/>
      </c>
      <c r="AY605" t="str">
        <f t="shared" si="684"/>
        <v>30/04/2021 12:00:00 a. m.</v>
      </c>
      <c r="AZ605" t="str">
        <f>"15/10/2020 12:00:00 a. m."</f>
        <v>15/10/2020 12:00:00 a. m.</v>
      </c>
      <c r="BA605" t="str">
        <f>""</f>
        <v/>
      </c>
      <c r="BB605" t="str">
        <f>""</f>
        <v/>
      </c>
      <c r="BC605" t="str">
        <f>""</f>
        <v/>
      </c>
      <c r="BD605" t="str">
        <f t="shared" si="731"/>
        <v>1</v>
      </c>
      <c r="BE605" t="str">
        <f t="shared" si="731"/>
        <v>1</v>
      </c>
      <c r="BF605" t="str">
        <f t="shared" si="685"/>
        <v xml:space="preserve">3         </v>
      </c>
      <c r="BG605" t="str">
        <f t="shared" si="686"/>
        <v>Confirmado por laboratorio</v>
      </c>
      <c r="BH605" t="str">
        <f>"FUNDACION HOSPITAL DE LA MISERICORDIA"</f>
        <v>FUNDACION HOSPITAL DE LA MISERICORDIA</v>
      </c>
      <c r="BI605" t="str">
        <f t="shared" si="703"/>
        <v>COLOMBIA</v>
      </c>
      <c r="BJ605" t="str">
        <f t="shared" si="687"/>
        <v>CANCER INFANTIL</v>
      </c>
      <c r="BK605" t="str">
        <f t="shared" si="727"/>
        <v>BOGOTA</v>
      </c>
      <c r="BL605" t="str">
        <f t="shared" si="727"/>
        <v>BOGOTA</v>
      </c>
      <c r="BM605" t="str">
        <f t="shared" si="705"/>
        <v>COLOMBIA</v>
      </c>
      <c r="BN605" t="str">
        <f t="shared" si="728"/>
        <v>BOGOTA</v>
      </c>
      <c r="BO605" t="str">
        <f t="shared" si="728"/>
        <v>BOGOTA</v>
      </c>
      <c r="BP605" t="str">
        <f t="shared" si="728"/>
        <v>BOGOTA</v>
      </c>
      <c r="BQ605" t="str">
        <f t="shared" si="728"/>
        <v>BOGOTA</v>
      </c>
    </row>
    <row r="606" spans="1:69" x14ac:dyDescent="0.25">
      <c r="A606" t="str">
        <f>"7278875"</f>
        <v>7278875</v>
      </c>
      <c r="B606" t="str">
        <f t="shared" si="681"/>
        <v>459</v>
      </c>
      <c r="C606" t="str">
        <f>"3/11/2020 12:00:00 a. m."</f>
        <v>3/11/2020 12:00:00 a. m.</v>
      </c>
      <c r="D606" t="str">
        <f>"45"</f>
        <v>45</v>
      </c>
      <c r="E606" t="str">
        <f t="shared" si="682"/>
        <v>2020</v>
      </c>
      <c r="F606" t="str">
        <f>"1100105681"</f>
        <v>1100105681</v>
      </c>
      <c r="G606" t="str">
        <f t="shared" si="719"/>
        <v>01</v>
      </c>
      <c r="H606" t="str">
        <f>"11"</f>
        <v>11</v>
      </c>
      <c r="I606" t="str">
        <f t="shared" si="717"/>
        <v>1</v>
      </c>
      <c r="J606" t="str">
        <f t="shared" ref="J606:J611" si="732">"M"</f>
        <v>M</v>
      </c>
      <c r="K606" t="str">
        <f t="shared" si="696"/>
        <v>170</v>
      </c>
      <c r="L606" t="str">
        <f t="shared" si="723"/>
        <v>11</v>
      </c>
      <c r="M606" t="str">
        <f t="shared" si="720"/>
        <v>001</v>
      </c>
      <c r="N606" t="str">
        <f t="shared" si="709"/>
        <v>1</v>
      </c>
      <c r="O606" t="str">
        <f>"9997"</f>
        <v>9997</v>
      </c>
      <c r="P606" t="str">
        <f>"S"</f>
        <v>S</v>
      </c>
      <c r="Q606" t="str">
        <f>"CCF053"</f>
        <v>CCF053</v>
      </c>
      <c r="R606" t="str">
        <f t="shared" si="710"/>
        <v>6</v>
      </c>
      <c r="S606" t="str">
        <f>""</f>
        <v/>
      </c>
      <c r="T606" t="str">
        <f t="shared" si="666"/>
        <v xml:space="preserve">                                                                                                    </v>
      </c>
      <c r="U606" t="str">
        <f>"2         "</f>
        <v xml:space="preserve">2         </v>
      </c>
      <c r="V606" t="str">
        <f t="shared" si="660"/>
        <v>2</v>
      </c>
      <c r="W606" t="str">
        <f t="shared" si="708"/>
        <v>2</v>
      </c>
      <c r="X606" t="str">
        <f t="shared" si="729"/>
        <v>2</v>
      </c>
      <c r="Y606" t="str">
        <f t="shared" si="718"/>
        <v>2</v>
      </c>
      <c r="Z606" t="str">
        <f t="shared" si="718"/>
        <v>2</v>
      </c>
      <c r="AA606" t="str">
        <f t="shared" si="683"/>
        <v xml:space="preserve">          </v>
      </c>
      <c r="AB606" t="str">
        <f t="shared" si="671"/>
        <v>2</v>
      </c>
      <c r="AC606" t="str">
        <f t="shared" si="676"/>
        <v>2</v>
      </c>
      <c r="AD606" t="str">
        <f t="shared" si="721"/>
        <v>2</v>
      </c>
      <c r="AE606" t="str">
        <f t="shared" si="721"/>
        <v>2</v>
      </c>
      <c r="AF606" t="str">
        <f t="shared" si="721"/>
        <v>2</v>
      </c>
      <c r="AG606" t="str">
        <f t="shared" si="721"/>
        <v>2</v>
      </c>
      <c r="AH606" t="str">
        <f t="shared" si="712"/>
        <v>1</v>
      </c>
      <c r="AI606" t="str">
        <f>"2         "</f>
        <v xml:space="preserve">2         </v>
      </c>
      <c r="AJ606" t="str">
        <f t="shared" si="699"/>
        <v>170</v>
      </c>
      <c r="AK606" t="str">
        <f t="shared" si="724"/>
        <v>11</v>
      </c>
      <c r="AL606" t="str">
        <f t="shared" si="722"/>
        <v>001</v>
      </c>
      <c r="AM606" t="str">
        <f t="shared" si="725"/>
        <v>11</v>
      </c>
      <c r="AN606" t="str">
        <f t="shared" si="726"/>
        <v>11001</v>
      </c>
      <c r="AO606" t="str">
        <f>"2/11/2020 12:00:00 a. m."</f>
        <v>2/11/2020 12:00:00 a. m.</v>
      </c>
      <c r="AP606" t="str">
        <f>"29/10/2020 12:00:00 a. m."</f>
        <v>29/10/2020 12:00:00 a. m.</v>
      </c>
      <c r="AQ606" t="str">
        <f>"3"</f>
        <v>3</v>
      </c>
      <c r="AR606" t="str">
        <f t="shared" si="730"/>
        <v>1</v>
      </c>
      <c r="AS606" t="str">
        <f>"2/11/2020 12:00:00 a. m."</f>
        <v>2/11/2020 12:00:00 a. m.</v>
      </c>
      <c r="AT606" t="str">
        <f t="shared" si="716"/>
        <v>1</v>
      </c>
      <c r="AU606" t="str">
        <f>""</f>
        <v/>
      </c>
      <c r="AV606" t="str">
        <f>"0"</f>
        <v>0</v>
      </c>
      <c r="AW606" t="str">
        <f>"31/05/2009 12:00:00 a. m."</f>
        <v>31/05/2009 12:00:00 a. m.</v>
      </c>
      <c r="AX606" t="str">
        <f>""</f>
        <v/>
      </c>
      <c r="AY606" t="str">
        <f t="shared" si="684"/>
        <v>30/04/2021 12:00:00 a. m.</v>
      </c>
      <c r="AZ606" t="str">
        <f>"15/12/2020 12:00:00 a. m."</f>
        <v>15/12/2020 12:00:00 a. m.</v>
      </c>
      <c r="BA606" t="str">
        <f>""</f>
        <v/>
      </c>
      <c r="BB606" t="str">
        <f>""</f>
        <v/>
      </c>
      <c r="BC606" t="str">
        <f>""</f>
        <v/>
      </c>
      <c r="BD606" t="str">
        <f t="shared" si="731"/>
        <v>1</v>
      </c>
      <c r="BE606" t="str">
        <f t="shared" si="731"/>
        <v>1</v>
      </c>
      <c r="BF606" t="str">
        <f t="shared" si="685"/>
        <v xml:space="preserve">3         </v>
      </c>
      <c r="BG606" t="str">
        <f t="shared" si="686"/>
        <v>Confirmado por laboratorio</v>
      </c>
      <c r="BH606" t="str">
        <f>"FUNDACION HOSPITAL DE LA MISERICORDIA"</f>
        <v>FUNDACION HOSPITAL DE LA MISERICORDIA</v>
      </c>
      <c r="BI606" t="str">
        <f t="shared" si="703"/>
        <v>COLOMBIA</v>
      </c>
      <c r="BJ606" t="str">
        <f t="shared" si="687"/>
        <v>CANCER INFANTIL</v>
      </c>
      <c r="BK606" t="str">
        <f t="shared" si="727"/>
        <v>BOGOTA</v>
      </c>
      <c r="BL606" t="str">
        <f t="shared" si="727"/>
        <v>BOGOTA</v>
      </c>
      <c r="BM606" t="str">
        <f t="shared" si="705"/>
        <v>COLOMBIA</v>
      </c>
      <c r="BN606" t="str">
        <f t="shared" si="728"/>
        <v>BOGOTA</v>
      </c>
      <c r="BO606" t="str">
        <f t="shared" si="728"/>
        <v>BOGOTA</v>
      </c>
      <c r="BP606" t="str">
        <f t="shared" si="728"/>
        <v>BOGOTA</v>
      </c>
      <c r="BQ606" t="str">
        <f t="shared" si="728"/>
        <v>BOGOTA</v>
      </c>
    </row>
    <row r="607" spans="1:69" x14ac:dyDescent="0.25">
      <c r="A607" t="str">
        <f>"7291394"</f>
        <v>7291394</v>
      </c>
      <c r="B607" t="str">
        <f t="shared" si="681"/>
        <v>459</v>
      </c>
      <c r="C607" t="str">
        <f>"9/10/2020 12:00:00 a. m."</f>
        <v>9/10/2020 12:00:00 a. m.</v>
      </c>
      <c r="D607" t="str">
        <f>"39"</f>
        <v>39</v>
      </c>
      <c r="E607" t="str">
        <f t="shared" si="682"/>
        <v>2020</v>
      </c>
      <c r="F607" t="str">
        <f>"7600102870"</f>
        <v>7600102870</v>
      </c>
      <c r="G607" t="str">
        <f t="shared" si="719"/>
        <v>01</v>
      </c>
      <c r="H607" t="str">
        <f>"5"</f>
        <v>5</v>
      </c>
      <c r="I607" t="str">
        <f t="shared" si="717"/>
        <v>1</v>
      </c>
      <c r="J607" t="str">
        <f t="shared" si="732"/>
        <v>M</v>
      </c>
      <c r="K607" t="str">
        <f t="shared" si="696"/>
        <v>170</v>
      </c>
      <c r="L607" t="str">
        <f>"76"</f>
        <v>76</v>
      </c>
      <c r="M607" t="str">
        <f t="shared" si="720"/>
        <v>001</v>
      </c>
      <c r="N607" t="str">
        <f t="shared" si="709"/>
        <v>1</v>
      </c>
      <c r="O607" t="str">
        <f>"9999"</f>
        <v>9999</v>
      </c>
      <c r="P607" t="str">
        <f>"C"</f>
        <v>C</v>
      </c>
      <c r="Q607" t="str">
        <f>"EMP021"</f>
        <v>EMP021</v>
      </c>
      <c r="R607" t="str">
        <f t="shared" si="710"/>
        <v>6</v>
      </c>
      <c r="S607" t="str">
        <f>""</f>
        <v/>
      </c>
      <c r="T607" t="str">
        <f t="shared" si="666"/>
        <v xml:space="preserve">                                                                                                    </v>
      </c>
      <c r="U607" t="str">
        <f>"4         "</f>
        <v xml:space="preserve">4         </v>
      </c>
      <c r="V607" t="str">
        <f t="shared" si="660"/>
        <v>2</v>
      </c>
      <c r="W607" t="str">
        <f t="shared" si="708"/>
        <v>2</v>
      </c>
      <c r="X607" t="str">
        <f t="shared" si="729"/>
        <v>2</v>
      </c>
      <c r="Y607" t="str">
        <f t="shared" si="718"/>
        <v>2</v>
      </c>
      <c r="Z607" t="str">
        <f t="shared" si="718"/>
        <v>2</v>
      </c>
      <c r="AA607" t="str">
        <f t="shared" si="683"/>
        <v xml:space="preserve">          </v>
      </c>
      <c r="AB607" t="str">
        <f t="shared" si="671"/>
        <v>2</v>
      </c>
      <c r="AC607" t="str">
        <f t="shared" si="676"/>
        <v>2</v>
      </c>
      <c r="AD607" t="str">
        <f t="shared" si="721"/>
        <v>2</v>
      </c>
      <c r="AE607" t="str">
        <f t="shared" si="721"/>
        <v>2</v>
      </c>
      <c r="AF607" t="str">
        <f t="shared" si="721"/>
        <v>2</v>
      </c>
      <c r="AG607" t="str">
        <f t="shared" si="721"/>
        <v>2</v>
      </c>
      <c r="AH607" t="str">
        <f t="shared" si="712"/>
        <v>1</v>
      </c>
      <c r="AI607" t="str">
        <f>"1         "</f>
        <v xml:space="preserve">1         </v>
      </c>
      <c r="AJ607" t="str">
        <f t="shared" si="699"/>
        <v>170</v>
      </c>
      <c r="AK607" t="str">
        <f>"76"</f>
        <v>76</v>
      </c>
      <c r="AL607" t="str">
        <f t="shared" si="722"/>
        <v>001</v>
      </c>
      <c r="AM607" t="str">
        <f>"76"</f>
        <v>76</v>
      </c>
      <c r="AN607" t="str">
        <f>"76001"</f>
        <v>76001</v>
      </c>
      <c r="AO607" t="str">
        <f>"20/09/2020 12:00:00 a. m."</f>
        <v>20/09/2020 12:00:00 a. m.</v>
      </c>
      <c r="AP607" t="str">
        <f>"20/08/2020 12:00:00 a. m."</f>
        <v>20/08/2020 12:00:00 a. m.</v>
      </c>
      <c r="AQ607" t="str">
        <f>"2"</f>
        <v>2</v>
      </c>
      <c r="AR607" t="str">
        <f t="shared" si="730"/>
        <v>1</v>
      </c>
      <c r="AS607" t="str">
        <f>"20/09/2020 12:00:00 a. m."</f>
        <v>20/09/2020 12:00:00 a. m.</v>
      </c>
      <c r="AT607" t="str">
        <f t="shared" si="716"/>
        <v>1</v>
      </c>
      <c r="AU607" t="str">
        <f>""</f>
        <v/>
      </c>
      <c r="AV607" t="str">
        <f>"3"</f>
        <v>3</v>
      </c>
      <c r="AW607" t="str">
        <f>"18/08/2015 12:00:00 a. m."</f>
        <v>18/08/2015 12:00:00 a. m.</v>
      </c>
      <c r="AX607" t="str">
        <f>""</f>
        <v/>
      </c>
      <c r="AY607" t="str">
        <f t="shared" si="684"/>
        <v>30/04/2021 12:00:00 a. m.</v>
      </c>
      <c r="AZ607" t="str">
        <f>"5/11/2020 12:00:00 a. m."</f>
        <v>5/11/2020 12:00:00 a. m.</v>
      </c>
      <c r="BA607" t="str">
        <f>""</f>
        <v/>
      </c>
      <c r="BB607" t="str">
        <f>""</f>
        <v/>
      </c>
      <c r="BC607" t="str">
        <f>""</f>
        <v/>
      </c>
      <c r="BD607" t="str">
        <f t="shared" si="731"/>
        <v>1</v>
      </c>
      <c r="BE607" t="str">
        <f t="shared" si="731"/>
        <v>1</v>
      </c>
      <c r="BF607" t="str">
        <f t="shared" si="685"/>
        <v xml:space="preserve">3         </v>
      </c>
      <c r="BG607" t="str">
        <f t="shared" si="686"/>
        <v>Confirmado por laboratorio</v>
      </c>
      <c r="BH607" t="str">
        <f>"FUNDACION VALLE DEL LILI"</f>
        <v>FUNDACION VALLE DEL LILI</v>
      </c>
      <c r="BI607" t="str">
        <f t="shared" si="703"/>
        <v>COLOMBIA</v>
      </c>
      <c r="BJ607" t="str">
        <f t="shared" si="687"/>
        <v>CANCER INFANTIL</v>
      </c>
      <c r="BK607" t="str">
        <f>"VALLE"</f>
        <v>VALLE</v>
      </c>
      <c r="BL607" t="str">
        <f>"CALI"</f>
        <v>CALI</v>
      </c>
      <c r="BM607" t="str">
        <f t="shared" si="705"/>
        <v>COLOMBIA</v>
      </c>
      <c r="BN607" t="str">
        <f>"VALLE"</f>
        <v>VALLE</v>
      </c>
      <c r="BO607" t="str">
        <f>"CALI"</f>
        <v>CALI</v>
      </c>
      <c r="BP607" t="str">
        <f>"VALLE"</f>
        <v>VALLE</v>
      </c>
      <c r="BQ607" t="str">
        <f>"CALI"</f>
        <v>CALI</v>
      </c>
    </row>
    <row r="608" spans="1:69" x14ac:dyDescent="0.25">
      <c r="A608" t="str">
        <f>"7291395"</f>
        <v>7291395</v>
      </c>
      <c r="B608" t="str">
        <f t="shared" si="681"/>
        <v>459</v>
      </c>
      <c r="C608" t="str">
        <f>"11/06/2020 12:00:00 a. m."</f>
        <v>11/06/2020 12:00:00 a. m.</v>
      </c>
      <c r="D608" t="str">
        <f>"18"</f>
        <v>18</v>
      </c>
      <c r="E608" t="str">
        <f t="shared" si="682"/>
        <v>2020</v>
      </c>
      <c r="F608" t="str">
        <f>"7600102870"</f>
        <v>7600102870</v>
      </c>
      <c r="G608" t="str">
        <f t="shared" si="719"/>
        <v>01</v>
      </c>
      <c r="H608" t="str">
        <f>"2"</f>
        <v>2</v>
      </c>
      <c r="I608" t="str">
        <f t="shared" si="717"/>
        <v>1</v>
      </c>
      <c r="J608" t="str">
        <f t="shared" si="732"/>
        <v>M</v>
      </c>
      <c r="K608" t="str">
        <f t="shared" si="696"/>
        <v>170</v>
      </c>
      <c r="L608" t="str">
        <f>"76"</f>
        <v>76</v>
      </c>
      <c r="M608" t="str">
        <f t="shared" si="720"/>
        <v>001</v>
      </c>
      <c r="N608" t="str">
        <f t="shared" si="709"/>
        <v>1</v>
      </c>
      <c r="O608" t="str">
        <f>"9999"</f>
        <v>9999</v>
      </c>
      <c r="P608" t="str">
        <f>"C"</f>
        <v>C</v>
      </c>
      <c r="Q608" t="str">
        <f>"EPS002"</f>
        <v>EPS002</v>
      </c>
      <c r="R608" t="str">
        <f t="shared" si="710"/>
        <v>6</v>
      </c>
      <c r="S608" t="str">
        <f>""</f>
        <v/>
      </c>
      <c r="T608" t="str">
        <f t="shared" si="666"/>
        <v xml:space="preserve">                                                                                                    </v>
      </c>
      <c r="U608" t="str">
        <f>"5         "</f>
        <v xml:space="preserve">5         </v>
      </c>
      <c r="V608" t="str">
        <f t="shared" si="660"/>
        <v>2</v>
      </c>
      <c r="W608" t="str">
        <f t="shared" si="708"/>
        <v>2</v>
      </c>
      <c r="X608" t="str">
        <f t="shared" si="729"/>
        <v>2</v>
      </c>
      <c r="Y608" t="str">
        <f t="shared" si="718"/>
        <v>2</v>
      </c>
      <c r="Z608" t="str">
        <f t="shared" si="718"/>
        <v>2</v>
      </c>
      <c r="AA608" t="str">
        <f t="shared" si="683"/>
        <v xml:space="preserve">          </v>
      </c>
      <c r="AB608" t="str">
        <f t="shared" si="671"/>
        <v>2</v>
      </c>
      <c r="AC608" t="str">
        <f t="shared" si="676"/>
        <v>2</v>
      </c>
      <c r="AD608" t="str">
        <f t="shared" si="721"/>
        <v>2</v>
      </c>
      <c r="AE608" t="str">
        <f t="shared" si="721"/>
        <v>2</v>
      </c>
      <c r="AF608" t="str">
        <f t="shared" si="721"/>
        <v>2</v>
      </c>
      <c r="AG608" t="str">
        <f t="shared" si="721"/>
        <v>2</v>
      </c>
      <c r="AH608" t="str">
        <f t="shared" si="712"/>
        <v>1</v>
      </c>
      <c r="AI608" t="str">
        <f>"1         "</f>
        <v xml:space="preserve">1         </v>
      </c>
      <c r="AJ608" t="str">
        <f t="shared" si="699"/>
        <v>170</v>
      </c>
      <c r="AK608" t="str">
        <f>"76"</f>
        <v>76</v>
      </c>
      <c r="AL608" t="str">
        <f t="shared" si="722"/>
        <v>001</v>
      </c>
      <c r="AM608" t="str">
        <f>"76"</f>
        <v>76</v>
      </c>
      <c r="AN608" t="str">
        <f>"76001"</f>
        <v>76001</v>
      </c>
      <c r="AO608" t="str">
        <f>"27/04/2020 12:00:00 a. m."</f>
        <v>27/04/2020 12:00:00 a. m.</v>
      </c>
      <c r="AP608" t="str">
        <f>"23/04/2020 12:00:00 a. m."</f>
        <v>23/04/2020 12:00:00 a. m.</v>
      </c>
      <c r="AQ608" t="str">
        <f>"3"</f>
        <v>3</v>
      </c>
      <c r="AR608" t="str">
        <f t="shared" si="730"/>
        <v>1</v>
      </c>
      <c r="AS608" t="str">
        <f>"27/04/2020 12:00:00 a. m."</f>
        <v>27/04/2020 12:00:00 a. m.</v>
      </c>
      <c r="AT608" t="str">
        <f>"2"</f>
        <v>2</v>
      </c>
      <c r="AU608" t="str">
        <f>"13/06/2020 12:00:00 a. m."</f>
        <v>13/06/2020 12:00:00 a. m.</v>
      </c>
      <c r="AV608" t="str">
        <f>"7"</f>
        <v>7</v>
      </c>
      <c r="AW608" t="str">
        <f>"24/02/2018 12:00:00 a. m."</f>
        <v>24/02/2018 12:00:00 a. m.</v>
      </c>
      <c r="AX608" t="str">
        <f>"C749"</f>
        <v>C749</v>
      </c>
      <c r="AY608" t="str">
        <f t="shared" si="684"/>
        <v>30/04/2021 12:00:00 a. m.</v>
      </c>
      <c r="AZ608" t="str">
        <f>"23/07/2020 12:00:00 a. m."</f>
        <v>23/07/2020 12:00:00 a. m.</v>
      </c>
      <c r="BA608" t="str">
        <f>""</f>
        <v/>
      </c>
      <c r="BB608" t="str">
        <f>""</f>
        <v/>
      </c>
      <c r="BC608" t="str">
        <f>""</f>
        <v/>
      </c>
      <c r="BD608" t="str">
        <f t="shared" si="731"/>
        <v>1</v>
      </c>
      <c r="BE608" t="str">
        <f t="shared" si="731"/>
        <v>1</v>
      </c>
      <c r="BF608" t="str">
        <f t="shared" si="685"/>
        <v xml:space="preserve">3         </v>
      </c>
      <c r="BG608" t="str">
        <f t="shared" si="686"/>
        <v>Confirmado por laboratorio</v>
      </c>
      <c r="BH608" t="str">
        <f>"FUNDACION VALLE DEL LILI"</f>
        <v>FUNDACION VALLE DEL LILI</v>
      </c>
      <c r="BI608" t="str">
        <f t="shared" si="703"/>
        <v>COLOMBIA</v>
      </c>
      <c r="BJ608" t="str">
        <f t="shared" si="687"/>
        <v>CANCER INFANTIL</v>
      </c>
      <c r="BK608" t="str">
        <f>"VALLE"</f>
        <v>VALLE</v>
      </c>
      <c r="BL608" t="str">
        <f>"CALI"</f>
        <v>CALI</v>
      </c>
      <c r="BM608" t="str">
        <f t="shared" si="705"/>
        <v>COLOMBIA</v>
      </c>
      <c r="BN608" t="str">
        <f>"VALLE"</f>
        <v>VALLE</v>
      </c>
      <c r="BO608" t="str">
        <f>"CALI"</f>
        <v>CALI</v>
      </c>
      <c r="BP608" t="str">
        <f>"VALLE"</f>
        <v>VALLE</v>
      </c>
      <c r="BQ608" t="str">
        <f>"CALI"</f>
        <v>CALI</v>
      </c>
    </row>
    <row r="609" spans="1:69" x14ac:dyDescent="0.25">
      <c r="A609" t="str">
        <f>"7291398"</f>
        <v>7291398</v>
      </c>
      <c r="B609" t="str">
        <f t="shared" si="681"/>
        <v>459</v>
      </c>
      <c r="C609" t="str">
        <f>"26/09/2020 12:00:00 a. m."</f>
        <v>26/09/2020 12:00:00 a. m.</v>
      </c>
      <c r="D609" t="str">
        <f>"39"</f>
        <v>39</v>
      </c>
      <c r="E609" t="str">
        <f t="shared" si="682"/>
        <v>2020</v>
      </c>
      <c r="F609" t="str">
        <f>"7300101047"</f>
        <v>7300101047</v>
      </c>
      <c r="G609" t="str">
        <f t="shared" si="719"/>
        <v>01</v>
      </c>
      <c r="H609" t="str">
        <f>"11"</f>
        <v>11</v>
      </c>
      <c r="I609" t="str">
        <f t="shared" si="717"/>
        <v>1</v>
      </c>
      <c r="J609" t="str">
        <f t="shared" si="732"/>
        <v>M</v>
      </c>
      <c r="K609" t="str">
        <f t="shared" si="696"/>
        <v>170</v>
      </c>
      <c r="L609" t="str">
        <f>"73"</f>
        <v>73</v>
      </c>
      <c r="M609" t="str">
        <f t="shared" si="720"/>
        <v>001</v>
      </c>
      <c r="N609" t="str">
        <f t="shared" si="709"/>
        <v>1</v>
      </c>
      <c r="O609" t="str">
        <f>"9997"</f>
        <v>9997</v>
      </c>
      <c r="P609" t="str">
        <f t="shared" ref="P609:P614" si="733">"S"</f>
        <v>S</v>
      </c>
      <c r="Q609" t="str">
        <f>"EPSS17"</f>
        <v>EPSS17</v>
      </c>
      <c r="R609" t="str">
        <f t="shared" si="710"/>
        <v>6</v>
      </c>
      <c r="S609" t="str">
        <f>""</f>
        <v/>
      </c>
      <c r="T609" t="str">
        <f t="shared" si="666"/>
        <v xml:space="preserve">                                                                                                    </v>
      </c>
      <c r="U609" t="str">
        <f t="shared" ref="U609:U614" si="734">"2         "</f>
        <v xml:space="preserve">2         </v>
      </c>
      <c r="V609" t="str">
        <f t="shared" si="660"/>
        <v>2</v>
      </c>
      <c r="W609" t="str">
        <f t="shared" si="708"/>
        <v>2</v>
      </c>
      <c r="X609" t="str">
        <f t="shared" si="729"/>
        <v>2</v>
      </c>
      <c r="Y609" t="str">
        <f t="shared" si="718"/>
        <v>2</v>
      </c>
      <c r="Z609" t="str">
        <f t="shared" si="718"/>
        <v>2</v>
      </c>
      <c r="AA609" t="str">
        <f t="shared" si="683"/>
        <v xml:space="preserve">          </v>
      </c>
      <c r="AB609" t="str">
        <f t="shared" si="671"/>
        <v>2</v>
      </c>
      <c r="AC609" t="str">
        <f t="shared" si="676"/>
        <v>2</v>
      </c>
      <c r="AD609" t="str">
        <f t="shared" si="721"/>
        <v>2</v>
      </c>
      <c r="AE609" t="str">
        <f t="shared" si="721"/>
        <v>2</v>
      </c>
      <c r="AF609" t="str">
        <f t="shared" si="721"/>
        <v>2</v>
      </c>
      <c r="AG609" t="str">
        <f t="shared" si="721"/>
        <v>2</v>
      </c>
      <c r="AH609" t="str">
        <f t="shared" si="712"/>
        <v>1</v>
      </c>
      <c r="AI609" t="str">
        <f>"1         "</f>
        <v xml:space="preserve">1         </v>
      </c>
      <c r="AJ609" t="str">
        <f t="shared" si="699"/>
        <v>170</v>
      </c>
      <c r="AK609" t="str">
        <f>"73"</f>
        <v>73</v>
      </c>
      <c r="AL609" t="str">
        <f t="shared" si="722"/>
        <v>001</v>
      </c>
      <c r="AM609" t="str">
        <f>"73"</f>
        <v>73</v>
      </c>
      <c r="AN609" t="str">
        <f>"73001"</f>
        <v>73001</v>
      </c>
      <c r="AO609" t="str">
        <f>"20/09/2020 12:00:00 a. m."</f>
        <v>20/09/2020 12:00:00 a. m.</v>
      </c>
      <c r="AP609" t="str">
        <f>"20/01/2020 12:00:00 a. m."</f>
        <v>20/01/2020 12:00:00 a. m.</v>
      </c>
      <c r="AQ609" t="str">
        <f>"3"</f>
        <v>3</v>
      </c>
      <c r="AR609" t="str">
        <f t="shared" si="730"/>
        <v>1</v>
      </c>
      <c r="AS609" t="str">
        <f>"20/09/2020 12:00:00 a. m."</f>
        <v>20/09/2020 12:00:00 a. m.</v>
      </c>
      <c r="AT609" t="str">
        <f t="shared" ref="AT609:AT629" si="735">"1"</f>
        <v>1</v>
      </c>
      <c r="AU609" t="str">
        <f>""</f>
        <v/>
      </c>
      <c r="AV609" t="str">
        <f>"7"</f>
        <v>7</v>
      </c>
      <c r="AW609" t="str">
        <f>"21/01/2009 12:00:00 a. m."</f>
        <v>21/01/2009 12:00:00 a. m.</v>
      </c>
      <c r="AX609" t="str">
        <f>""</f>
        <v/>
      </c>
      <c r="AY609" t="str">
        <f t="shared" si="684"/>
        <v>30/04/2021 12:00:00 a. m.</v>
      </c>
      <c r="AZ609" t="str">
        <f>"6/04/2021 12:00:00 a. m."</f>
        <v>6/04/2021 12:00:00 a. m.</v>
      </c>
      <c r="BA609" t="str">
        <f>""</f>
        <v/>
      </c>
      <c r="BB609" t="str">
        <f>""</f>
        <v/>
      </c>
      <c r="BC609" t="str">
        <f>""</f>
        <v/>
      </c>
      <c r="BD609" t="str">
        <f t="shared" si="731"/>
        <v>1</v>
      </c>
      <c r="BE609" t="str">
        <f t="shared" si="731"/>
        <v>1</v>
      </c>
      <c r="BF609" t="str">
        <f t="shared" si="685"/>
        <v xml:space="preserve">3         </v>
      </c>
      <c r="BG609" t="str">
        <f t="shared" si="686"/>
        <v>Confirmado por laboratorio</v>
      </c>
      <c r="BH609" t="str">
        <f>"HOSPITAL FEDERICO LLERAS ACOSTA ESE SEDE LA FRANC"</f>
        <v>HOSPITAL FEDERICO LLERAS ACOSTA ESE SEDE LA FRANC</v>
      </c>
      <c r="BI609" t="str">
        <f t="shared" si="703"/>
        <v>COLOMBIA</v>
      </c>
      <c r="BJ609" t="str">
        <f t="shared" si="687"/>
        <v>CANCER INFANTIL</v>
      </c>
      <c r="BK609" t="str">
        <f>"TOLIMA"</f>
        <v>TOLIMA</v>
      </c>
      <c r="BL609" t="str">
        <f>"IBAGUE"</f>
        <v>IBAGUE</v>
      </c>
      <c r="BM609" t="str">
        <f t="shared" si="705"/>
        <v>COLOMBIA</v>
      </c>
      <c r="BN609" t="str">
        <f>"TOLIMA"</f>
        <v>TOLIMA</v>
      </c>
      <c r="BO609" t="str">
        <f>"IBAGUE"</f>
        <v>IBAGUE</v>
      </c>
      <c r="BP609" t="str">
        <f>"TOLIMA"</f>
        <v>TOLIMA</v>
      </c>
      <c r="BQ609" t="str">
        <f>"IBAGUE"</f>
        <v>IBAGUE</v>
      </c>
    </row>
    <row r="610" spans="1:69" x14ac:dyDescent="0.25">
      <c r="A610" t="str">
        <f>"7278876"</f>
        <v>7278876</v>
      </c>
      <c r="B610" t="str">
        <f t="shared" si="681"/>
        <v>459</v>
      </c>
      <c r="C610" t="str">
        <f>"15/09/2020 12:00:00 a. m."</f>
        <v>15/09/2020 12:00:00 a. m.</v>
      </c>
      <c r="D610" t="str">
        <f>"30"</f>
        <v>30</v>
      </c>
      <c r="E610" t="str">
        <f t="shared" si="682"/>
        <v>2020</v>
      </c>
      <c r="F610" t="str">
        <f>"1100105681"</f>
        <v>1100105681</v>
      </c>
      <c r="G610" t="str">
        <f t="shared" si="719"/>
        <v>01</v>
      </c>
      <c r="H610" t="str">
        <f>"2"</f>
        <v>2</v>
      </c>
      <c r="I610" t="str">
        <f t="shared" si="717"/>
        <v>1</v>
      </c>
      <c r="J610" t="str">
        <f t="shared" si="732"/>
        <v>M</v>
      </c>
      <c r="K610" t="str">
        <f t="shared" si="696"/>
        <v>170</v>
      </c>
      <c r="L610" t="str">
        <f>"11"</f>
        <v>11</v>
      </c>
      <c r="M610" t="str">
        <f t="shared" si="720"/>
        <v>001</v>
      </c>
      <c r="N610" t="str">
        <f t="shared" si="709"/>
        <v>1</v>
      </c>
      <c r="O610" t="str">
        <f>"9999"</f>
        <v>9999</v>
      </c>
      <c r="P610" t="str">
        <f t="shared" si="733"/>
        <v>S</v>
      </c>
      <c r="Q610" t="str">
        <f>"EPSS02"</f>
        <v>EPSS02</v>
      </c>
      <c r="R610" t="str">
        <f t="shared" si="710"/>
        <v>6</v>
      </c>
      <c r="S610" t="str">
        <f>""</f>
        <v/>
      </c>
      <c r="T610" t="str">
        <f t="shared" si="666"/>
        <v xml:space="preserve">                                                                                                    </v>
      </c>
      <c r="U610" t="str">
        <f t="shared" si="734"/>
        <v xml:space="preserve">2         </v>
      </c>
      <c r="V610" t="str">
        <f t="shared" si="660"/>
        <v>2</v>
      </c>
      <c r="W610" t="str">
        <f t="shared" si="708"/>
        <v>2</v>
      </c>
      <c r="X610" t="str">
        <f t="shared" si="729"/>
        <v>2</v>
      </c>
      <c r="Y610" t="str">
        <f t="shared" si="718"/>
        <v>2</v>
      </c>
      <c r="Z610" t="str">
        <f t="shared" si="718"/>
        <v>2</v>
      </c>
      <c r="AA610" t="str">
        <f t="shared" si="683"/>
        <v xml:space="preserve">          </v>
      </c>
      <c r="AB610" t="str">
        <f t="shared" si="671"/>
        <v>2</v>
      </c>
      <c r="AC610" t="str">
        <f t="shared" si="676"/>
        <v>2</v>
      </c>
      <c r="AD610" t="str">
        <f t="shared" si="721"/>
        <v>2</v>
      </c>
      <c r="AE610" t="str">
        <f t="shared" si="721"/>
        <v>2</v>
      </c>
      <c r="AF610" t="str">
        <f t="shared" si="721"/>
        <v>2</v>
      </c>
      <c r="AG610" t="str">
        <f t="shared" si="721"/>
        <v>2</v>
      </c>
      <c r="AH610" t="str">
        <f t="shared" si="712"/>
        <v>1</v>
      </c>
      <c r="AI610" t="str">
        <f>"2         "</f>
        <v xml:space="preserve">2         </v>
      </c>
      <c r="AJ610" t="str">
        <f t="shared" si="699"/>
        <v>170</v>
      </c>
      <c r="AK610" t="str">
        <f>"11"</f>
        <v>11</v>
      </c>
      <c r="AL610" t="str">
        <f t="shared" si="722"/>
        <v>001</v>
      </c>
      <c r="AM610" t="str">
        <f>"11"</f>
        <v>11</v>
      </c>
      <c r="AN610" t="str">
        <f>"11001"</f>
        <v>11001</v>
      </c>
      <c r="AO610" t="str">
        <f>"22/07/2020 12:00:00 a. m."</f>
        <v>22/07/2020 12:00:00 a. m.</v>
      </c>
      <c r="AP610" t="str">
        <f>"22/07/2020 12:00:00 a. m."</f>
        <v>22/07/2020 12:00:00 a. m.</v>
      </c>
      <c r="AQ610" t="str">
        <f>"3"</f>
        <v>3</v>
      </c>
      <c r="AR610" t="str">
        <f t="shared" si="730"/>
        <v>1</v>
      </c>
      <c r="AS610" t="str">
        <f>"22/07/2020 12:00:00 a. m."</f>
        <v>22/07/2020 12:00:00 a. m.</v>
      </c>
      <c r="AT610" t="str">
        <f t="shared" si="735"/>
        <v>1</v>
      </c>
      <c r="AU610" t="str">
        <f>""</f>
        <v/>
      </c>
      <c r="AV610" t="str">
        <f>"0"</f>
        <v>0</v>
      </c>
      <c r="AW610" t="str">
        <f>"24/06/2018 12:00:00 a. m."</f>
        <v>24/06/2018 12:00:00 a. m.</v>
      </c>
      <c r="AX610" t="str">
        <f>""</f>
        <v/>
      </c>
      <c r="AY610" t="str">
        <f t="shared" si="684"/>
        <v>30/04/2021 12:00:00 a. m.</v>
      </c>
      <c r="AZ610" t="str">
        <f>"15/09/2020 12:00:00 a. m."</f>
        <v>15/09/2020 12:00:00 a. m.</v>
      </c>
      <c r="BA610" t="str">
        <f>""</f>
        <v/>
      </c>
      <c r="BB610" t="str">
        <f>""</f>
        <v/>
      </c>
      <c r="BC610" t="str">
        <f>""</f>
        <v/>
      </c>
      <c r="BD610" t="str">
        <f t="shared" si="731"/>
        <v>1</v>
      </c>
      <c r="BE610" t="str">
        <f t="shared" si="731"/>
        <v>1</v>
      </c>
      <c r="BF610" t="str">
        <f t="shared" si="685"/>
        <v xml:space="preserve">3         </v>
      </c>
      <c r="BG610" t="str">
        <f t="shared" si="686"/>
        <v>Confirmado por laboratorio</v>
      </c>
      <c r="BH610" t="str">
        <f>"FUNDACION HOSPITAL DE LA MISERICORDIA"</f>
        <v>FUNDACION HOSPITAL DE LA MISERICORDIA</v>
      </c>
      <c r="BI610" t="str">
        <f t="shared" si="703"/>
        <v>COLOMBIA</v>
      </c>
      <c r="BJ610" t="str">
        <f t="shared" si="687"/>
        <v>CANCER INFANTIL</v>
      </c>
      <c r="BK610" t="str">
        <f t="shared" ref="BK610:BL612" si="736">"BOGOTA"</f>
        <v>BOGOTA</v>
      </c>
      <c r="BL610" t="str">
        <f t="shared" si="736"/>
        <v>BOGOTA</v>
      </c>
      <c r="BM610" t="str">
        <f t="shared" si="705"/>
        <v>COLOMBIA</v>
      </c>
      <c r="BN610" t="str">
        <f t="shared" ref="BN610:BQ612" si="737">"BOGOTA"</f>
        <v>BOGOTA</v>
      </c>
      <c r="BO610" t="str">
        <f t="shared" si="737"/>
        <v>BOGOTA</v>
      </c>
      <c r="BP610" t="str">
        <f t="shared" si="737"/>
        <v>BOGOTA</v>
      </c>
      <c r="BQ610" t="str">
        <f t="shared" si="737"/>
        <v>BOGOTA</v>
      </c>
    </row>
    <row r="611" spans="1:69" x14ac:dyDescent="0.25">
      <c r="A611" t="str">
        <f>"7278813"</f>
        <v>7278813</v>
      </c>
      <c r="B611" t="str">
        <f t="shared" si="681"/>
        <v>459</v>
      </c>
      <c r="C611" t="str">
        <f>"18/09/2020 12:00:00 a. m."</f>
        <v>18/09/2020 12:00:00 a. m.</v>
      </c>
      <c r="D611" t="str">
        <f>"24"</f>
        <v>24</v>
      </c>
      <c r="E611" t="str">
        <f t="shared" si="682"/>
        <v>2020</v>
      </c>
      <c r="F611" t="str">
        <f>"1100105681"</f>
        <v>1100105681</v>
      </c>
      <c r="G611" t="str">
        <f t="shared" si="719"/>
        <v>01</v>
      </c>
      <c r="H611" t="str">
        <f>"12"</f>
        <v>12</v>
      </c>
      <c r="I611" t="str">
        <f t="shared" si="717"/>
        <v>1</v>
      </c>
      <c r="J611" t="str">
        <f t="shared" si="732"/>
        <v>M</v>
      </c>
      <c r="K611" t="str">
        <f t="shared" si="696"/>
        <v>170</v>
      </c>
      <c r="L611" t="str">
        <f>"11"</f>
        <v>11</v>
      </c>
      <c r="M611" t="str">
        <f t="shared" si="720"/>
        <v>001</v>
      </c>
      <c r="N611" t="str">
        <f t="shared" si="709"/>
        <v>1</v>
      </c>
      <c r="O611" t="str">
        <f>"9999"</f>
        <v>9999</v>
      </c>
      <c r="P611" t="str">
        <f t="shared" si="733"/>
        <v>S</v>
      </c>
      <c r="Q611" t="str">
        <f>"CCF053"</f>
        <v>CCF053</v>
      </c>
      <c r="R611" t="str">
        <f t="shared" si="710"/>
        <v>6</v>
      </c>
      <c r="S611" t="str">
        <f>""</f>
        <v/>
      </c>
      <c r="T611" t="str">
        <f t="shared" si="666"/>
        <v xml:space="preserve">                                                                                                    </v>
      </c>
      <c r="U611" t="str">
        <f t="shared" si="734"/>
        <v xml:space="preserve">2         </v>
      </c>
      <c r="V611" t="str">
        <f t="shared" si="660"/>
        <v>2</v>
      </c>
      <c r="W611" t="str">
        <f t="shared" si="708"/>
        <v>2</v>
      </c>
      <c r="X611" t="str">
        <f t="shared" si="729"/>
        <v>2</v>
      </c>
      <c r="Y611" t="str">
        <f t="shared" si="718"/>
        <v>2</v>
      </c>
      <c r="Z611" t="str">
        <f t="shared" si="718"/>
        <v>2</v>
      </c>
      <c r="AA611" t="str">
        <f t="shared" si="683"/>
        <v xml:space="preserve">          </v>
      </c>
      <c r="AB611" t="str">
        <f t="shared" si="671"/>
        <v>2</v>
      </c>
      <c r="AC611" t="str">
        <f t="shared" si="676"/>
        <v>2</v>
      </c>
      <c r="AD611" t="str">
        <f t="shared" si="721"/>
        <v>2</v>
      </c>
      <c r="AE611" t="str">
        <f t="shared" si="721"/>
        <v>2</v>
      </c>
      <c r="AF611" t="str">
        <f t="shared" si="721"/>
        <v>2</v>
      </c>
      <c r="AG611" t="str">
        <f t="shared" si="721"/>
        <v>2</v>
      </c>
      <c r="AH611" t="str">
        <f t="shared" si="712"/>
        <v>1</v>
      </c>
      <c r="AI611" t="str">
        <f t="shared" ref="AI611:AI620" si="738">"1         "</f>
        <v xml:space="preserve">1         </v>
      </c>
      <c r="AJ611" t="str">
        <f t="shared" si="699"/>
        <v>170</v>
      </c>
      <c r="AK611" t="str">
        <f>"11"</f>
        <v>11</v>
      </c>
      <c r="AL611" t="str">
        <f t="shared" si="722"/>
        <v>001</v>
      </c>
      <c r="AM611" t="str">
        <f>"11"</f>
        <v>11</v>
      </c>
      <c r="AN611" t="str">
        <f>"11001"</f>
        <v>11001</v>
      </c>
      <c r="AO611" t="str">
        <f>"10/06/2020 12:00:00 a. m."</f>
        <v>10/06/2020 12:00:00 a. m.</v>
      </c>
      <c r="AP611" t="str">
        <f>"2/05/2020 12:00:00 a. m."</f>
        <v>2/05/2020 12:00:00 a. m.</v>
      </c>
      <c r="AQ611" t="str">
        <f>"3"</f>
        <v>3</v>
      </c>
      <c r="AR611" t="str">
        <f t="shared" si="730"/>
        <v>1</v>
      </c>
      <c r="AS611" t="str">
        <f>"10/06/2020 12:00:00 a. m."</f>
        <v>10/06/2020 12:00:00 a. m.</v>
      </c>
      <c r="AT611" t="str">
        <f t="shared" si="735"/>
        <v>1</v>
      </c>
      <c r="AU611" t="str">
        <f>""</f>
        <v/>
      </c>
      <c r="AV611" t="str">
        <f>"0"</f>
        <v>0</v>
      </c>
      <c r="AW611" t="str">
        <f>"21/08/2008 12:00:00 a. m."</f>
        <v>21/08/2008 12:00:00 a. m.</v>
      </c>
      <c r="AX611" t="str">
        <f>""</f>
        <v/>
      </c>
      <c r="AY611" t="str">
        <f t="shared" si="684"/>
        <v>30/04/2021 12:00:00 a. m.</v>
      </c>
      <c r="AZ611" t="str">
        <f>"25/09/2020 12:00:00 a. m."</f>
        <v>25/09/2020 12:00:00 a. m.</v>
      </c>
      <c r="BA611" t="str">
        <f>""</f>
        <v/>
      </c>
      <c r="BB611" t="str">
        <f>""</f>
        <v/>
      </c>
      <c r="BC611" t="str">
        <f>""</f>
        <v/>
      </c>
      <c r="BD611" t="str">
        <f t="shared" si="731"/>
        <v>1</v>
      </c>
      <c r="BE611" t="str">
        <f t="shared" si="731"/>
        <v>1</v>
      </c>
      <c r="BF611" t="str">
        <f t="shared" si="685"/>
        <v xml:space="preserve">3         </v>
      </c>
      <c r="BG611" t="str">
        <f t="shared" si="686"/>
        <v>Confirmado por laboratorio</v>
      </c>
      <c r="BH611" t="str">
        <f>"FUNDACION HOSPITAL DE LA MISERICORDIA"</f>
        <v>FUNDACION HOSPITAL DE LA MISERICORDIA</v>
      </c>
      <c r="BI611" t="str">
        <f t="shared" si="703"/>
        <v>COLOMBIA</v>
      </c>
      <c r="BJ611" t="str">
        <f t="shared" si="687"/>
        <v>CANCER INFANTIL</v>
      </c>
      <c r="BK611" t="str">
        <f t="shared" si="736"/>
        <v>BOGOTA</v>
      </c>
      <c r="BL611" t="str">
        <f t="shared" si="736"/>
        <v>BOGOTA</v>
      </c>
      <c r="BM611" t="str">
        <f t="shared" si="705"/>
        <v>COLOMBIA</v>
      </c>
      <c r="BN611" t="str">
        <f t="shared" si="737"/>
        <v>BOGOTA</v>
      </c>
      <c r="BO611" t="str">
        <f t="shared" si="737"/>
        <v>BOGOTA</v>
      </c>
      <c r="BP611" t="str">
        <f t="shared" si="737"/>
        <v>BOGOTA</v>
      </c>
      <c r="BQ611" t="str">
        <f t="shared" si="737"/>
        <v>BOGOTA</v>
      </c>
    </row>
    <row r="612" spans="1:69" x14ac:dyDescent="0.25">
      <c r="A612" t="str">
        <f>"7278815"</f>
        <v>7278815</v>
      </c>
      <c r="B612" t="str">
        <f t="shared" si="681"/>
        <v>459</v>
      </c>
      <c r="C612" t="str">
        <f>"10/07/2020 12:00:00 a. m."</f>
        <v>10/07/2020 12:00:00 a. m.</v>
      </c>
      <c r="D612" t="str">
        <f>"26"</f>
        <v>26</v>
      </c>
      <c r="E612" t="str">
        <f t="shared" si="682"/>
        <v>2020</v>
      </c>
      <c r="F612" t="str">
        <f>"1100130289"</f>
        <v>1100130289</v>
      </c>
      <c r="G612" t="str">
        <f t="shared" si="719"/>
        <v>01</v>
      </c>
      <c r="H612" t="str">
        <f>"7"</f>
        <v>7</v>
      </c>
      <c r="I612" t="str">
        <f t="shared" si="717"/>
        <v>1</v>
      </c>
      <c r="J612" t="str">
        <f>"F"</f>
        <v>F</v>
      </c>
      <c r="K612" t="str">
        <f t="shared" si="696"/>
        <v>170</v>
      </c>
      <c r="L612" t="str">
        <f>"11"</f>
        <v>11</v>
      </c>
      <c r="M612" t="str">
        <f t="shared" si="720"/>
        <v>001</v>
      </c>
      <c r="N612" t="str">
        <f t="shared" si="709"/>
        <v>1</v>
      </c>
      <c r="O612" t="str">
        <f>"9997"</f>
        <v>9997</v>
      </c>
      <c r="P612" t="str">
        <f t="shared" si="733"/>
        <v>S</v>
      </c>
      <c r="Q612" t="str">
        <f>"EPSS34"</f>
        <v>EPSS34</v>
      </c>
      <c r="R612" t="str">
        <f t="shared" si="710"/>
        <v>6</v>
      </c>
      <c r="S612" t="str">
        <f>""</f>
        <v/>
      </c>
      <c r="T612" t="str">
        <f t="shared" si="666"/>
        <v xml:space="preserve">                                                                                                    </v>
      </c>
      <c r="U612" t="str">
        <f t="shared" si="734"/>
        <v xml:space="preserve">2         </v>
      </c>
      <c r="V612" t="str">
        <f t="shared" si="660"/>
        <v>2</v>
      </c>
      <c r="W612" t="str">
        <f t="shared" si="708"/>
        <v>2</v>
      </c>
      <c r="X612" t="str">
        <f t="shared" si="729"/>
        <v>2</v>
      </c>
      <c r="Y612" t="str">
        <f t="shared" si="718"/>
        <v>2</v>
      </c>
      <c r="Z612" t="str">
        <f t="shared" si="718"/>
        <v>2</v>
      </c>
      <c r="AA612" t="str">
        <f t="shared" si="683"/>
        <v xml:space="preserve">          </v>
      </c>
      <c r="AB612" t="str">
        <f t="shared" si="671"/>
        <v>2</v>
      </c>
      <c r="AC612" t="str">
        <f t="shared" si="676"/>
        <v>2</v>
      </c>
      <c r="AD612" t="str">
        <f t="shared" si="721"/>
        <v>2</v>
      </c>
      <c r="AE612" t="str">
        <f t="shared" si="721"/>
        <v>2</v>
      </c>
      <c r="AF612" t="str">
        <f t="shared" si="721"/>
        <v>2</v>
      </c>
      <c r="AG612" t="str">
        <f t="shared" si="721"/>
        <v>2</v>
      </c>
      <c r="AH612" t="str">
        <f t="shared" si="712"/>
        <v>1</v>
      </c>
      <c r="AI612" t="str">
        <f t="shared" si="738"/>
        <v xml:space="preserve">1         </v>
      </c>
      <c r="AJ612" t="str">
        <f t="shared" si="699"/>
        <v>170</v>
      </c>
      <c r="AK612" t="str">
        <f>"11"</f>
        <v>11</v>
      </c>
      <c r="AL612" t="str">
        <f t="shared" si="722"/>
        <v>001</v>
      </c>
      <c r="AM612" t="str">
        <f>"11"</f>
        <v>11</v>
      </c>
      <c r="AN612" t="str">
        <f>"11001"</f>
        <v>11001</v>
      </c>
      <c r="AO612" t="str">
        <f>"26/06/2020 12:00:00 a. m."</f>
        <v>26/06/2020 12:00:00 a. m.</v>
      </c>
      <c r="AP612" t="str">
        <f>"6/06/2020 12:00:00 a. m."</f>
        <v>6/06/2020 12:00:00 a. m.</v>
      </c>
      <c r="AQ612" t="str">
        <f>"2"</f>
        <v>2</v>
      </c>
      <c r="AR612" t="str">
        <f t="shared" si="730"/>
        <v>1</v>
      </c>
      <c r="AS612" t="str">
        <f>"26/06/2020 12:00:00 a. m."</f>
        <v>26/06/2020 12:00:00 a. m.</v>
      </c>
      <c r="AT612" t="str">
        <f t="shared" si="735"/>
        <v>1</v>
      </c>
      <c r="AU612" t="str">
        <f>""</f>
        <v/>
      </c>
      <c r="AV612" t="str">
        <f>"3"</f>
        <v>3</v>
      </c>
      <c r="AW612" t="str">
        <f>"8/02/2013 12:00:00 a. m."</f>
        <v>8/02/2013 12:00:00 a. m.</v>
      </c>
      <c r="AX612" t="str">
        <f>""</f>
        <v/>
      </c>
      <c r="AY612" t="str">
        <f t="shared" si="684"/>
        <v>30/04/2021 12:00:00 a. m.</v>
      </c>
      <c r="AZ612" t="str">
        <f>"6/08/2020 12:00:00 a. m."</f>
        <v>6/08/2020 12:00:00 a. m.</v>
      </c>
      <c r="BA612" t="str">
        <f>""</f>
        <v/>
      </c>
      <c r="BB612" t="str">
        <f>""</f>
        <v/>
      </c>
      <c r="BC612" t="str">
        <f>""</f>
        <v/>
      </c>
      <c r="BD612" t="str">
        <f t="shared" si="731"/>
        <v>1</v>
      </c>
      <c r="BE612" t="str">
        <f t="shared" si="731"/>
        <v>1</v>
      </c>
      <c r="BF612" t="str">
        <f t="shared" si="685"/>
        <v xml:space="preserve">3         </v>
      </c>
      <c r="BG612" t="str">
        <f t="shared" si="686"/>
        <v>Confirmado por laboratorio</v>
      </c>
      <c r="BH612" t="str">
        <f>"UPSS SANTA CLARA SUBRED INTEGRADA CENTRO ORIENTE"</f>
        <v>UPSS SANTA CLARA SUBRED INTEGRADA CENTRO ORIENTE</v>
      </c>
      <c r="BI612" t="str">
        <f t="shared" si="703"/>
        <v>COLOMBIA</v>
      </c>
      <c r="BJ612" t="str">
        <f t="shared" si="687"/>
        <v>CANCER INFANTIL</v>
      </c>
      <c r="BK612" t="str">
        <f t="shared" si="736"/>
        <v>BOGOTA</v>
      </c>
      <c r="BL612" t="str">
        <f t="shared" si="736"/>
        <v>BOGOTA</v>
      </c>
      <c r="BM612" t="str">
        <f t="shared" si="705"/>
        <v>COLOMBIA</v>
      </c>
      <c r="BN612" t="str">
        <f t="shared" si="737"/>
        <v>BOGOTA</v>
      </c>
      <c r="BO612" t="str">
        <f t="shared" si="737"/>
        <v>BOGOTA</v>
      </c>
      <c r="BP612" t="str">
        <f t="shared" si="737"/>
        <v>BOGOTA</v>
      </c>
      <c r="BQ612" t="str">
        <f t="shared" si="737"/>
        <v>BOGOTA</v>
      </c>
    </row>
    <row r="613" spans="1:69" x14ac:dyDescent="0.25">
      <c r="A613" t="str">
        <f>"7291729"</f>
        <v>7291729</v>
      </c>
      <c r="B613" t="str">
        <f t="shared" si="681"/>
        <v>459</v>
      </c>
      <c r="C613" t="str">
        <f>"13/12/2020 12:00:00 a. m."</f>
        <v>13/12/2020 12:00:00 a. m.</v>
      </c>
      <c r="D613" t="str">
        <f>"50"</f>
        <v>50</v>
      </c>
      <c r="E613" t="str">
        <f t="shared" si="682"/>
        <v>2020</v>
      </c>
      <c r="F613" t="str">
        <f>"5000100529"</f>
        <v>5000100529</v>
      </c>
      <c r="G613" t="str">
        <f t="shared" si="719"/>
        <v>01</v>
      </c>
      <c r="H613" t="str">
        <f>"2"</f>
        <v>2</v>
      </c>
      <c r="I613" t="str">
        <f t="shared" si="717"/>
        <v>1</v>
      </c>
      <c r="J613" t="str">
        <f>"F"</f>
        <v>F</v>
      </c>
      <c r="K613" t="str">
        <f t="shared" si="696"/>
        <v>170</v>
      </c>
      <c r="L613" t="str">
        <f>"95"</f>
        <v>95</v>
      </c>
      <c r="M613" t="str">
        <f t="shared" si="720"/>
        <v>001</v>
      </c>
      <c r="N613" t="str">
        <f>"2"</f>
        <v>2</v>
      </c>
      <c r="O613" t="str">
        <f>"9999"</f>
        <v>9999</v>
      </c>
      <c r="P613" t="str">
        <f t="shared" si="733"/>
        <v>S</v>
      </c>
      <c r="Q613" t="str">
        <f>"EPSS37"</f>
        <v>EPSS37</v>
      </c>
      <c r="R613" t="str">
        <f t="shared" si="710"/>
        <v>6</v>
      </c>
      <c r="S613" t="str">
        <f>""</f>
        <v/>
      </c>
      <c r="T613" t="str">
        <f t="shared" si="666"/>
        <v xml:space="preserve">                                                                                                    </v>
      </c>
      <c r="U613" t="str">
        <f t="shared" si="734"/>
        <v xml:space="preserve">2         </v>
      </c>
      <c r="V613" t="str">
        <f t="shared" si="660"/>
        <v>2</v>
      </c>
      <c r="W613" t="str">
        <f t="shared" si="708"/>
        <v>2</v>
      </c>
      <c r="X613" t="str">
        <f t="shared" si="729"/>
        <v>2</v>
      </c>
      <c r="Y613" t="str">
        <f t="shared" si="718"/>
        <v>2</v>
      </c>
      <c r="Z613" t="str">
        <f t="shared" si="718"/>
        <v>2</v>
      </c>
      <c r="AA613" t="str">
        <f t="shared" si="683"/>
        <v xml:space="preserve">          </v>
      </c>
      <c r="AB613" t="str">
        <f t="shared" si="671"/>
        <v>2</v>
      </c>
      <c r="AC613" t="str">
        <f t="shared" si="676"/>
        <v>2</v>
      </c>
      <c r="AD613" t="str">
        <f t="shared" si="721"/>
        <v>2</v>
      </c>
      <c r="AE613" t="str">
        <f t="shared" si="721"/>
        <v>2</v>
      </c>
      <c r="AF613" t="str">
        <f t="shared" si="721"/>
        <v>2</v>
      </c>
      <c r="AG613" t="str">
        <f t="shared" si="721"/>
        <v>2</v>
      </c>
      <c r="AH613" t="str">
        <f t="shared" si="712"/>
        <v>1</v>
      </c>
      <c r="AI613" t="str">
        <f t="shared" si="738"/>
        <v xml:space="preserve">1         </v>
      </c>
      <c r="AJ613" t="str">
        <f t="shared" si="699"/>
        <v>170</v>
      </c>
      <c r="AK613" t="str">
        <f>"95"</f>
        <v>95</v>
      </c>
      <c r="AL613" t="str">
        <f t="shared" si="722"/>
        <v>001</v>
      </c>
      <c r="AM613" t="str">
        <f>"50"</f>
        <v>50</v>
      </c>
      <c r="AN613" t="str">
        <f>"50001"</f>
        <v>50001</v>
      </c>
      <c r="AO613" t="str">
        <f>"11/12/2020 12:00:00 a. m."</f>
        <v>11/12/2020 12:00:00 a. m.</v>
      </c>
      <c r="AP613" t="str">
        <f>"20/11/2020 12:00:00 a. m."</f>
        <v>20/11/2020 12:00:00 a. m.</v>
      </c>
      <c r="AQ613" t="str">
        <f>"2"</f>
        <v>2</v>
      </c>
      <c r="AR613" t="str">
        <f t="shared" si="730"/>
        <v>1</v>
      </c>
      <c r="AS613" t="str">
        <f>"11/12/2020 12:00:00 a. m."</f>
        <v>11/12/2020 12:00:00 a. m.</v>
      </c>
      <c r="AT613" t="str">
        <f t="shared" si="735"/>
        <v>1</v>
      </c>
      <c r="AU613" t="str">
        <f>""</f>
        <v/>
      </c>
      <c r="AV613" t="str">
        <f>"3"</f>
        <v>3</v>
      </c>
      <c r="AW613" t="str">
        <f>"1/03/2018 12:00:00 a. m."</f>
        <v>1/03/2018 12:00:00 a. m.</v>
      </c>
      <c r="AX613" t="str">
        <f>""</f>
        <v/>
      </c>
      <c r="AY613" t="str">
        <f t="shared" si="684"/>
        <v>30/04/2021 12:00:00 a. m.</v>
      </c>
      <c r="AZ613" t="str">
        <f>"17/01/2021 12:00:00 a. m."</f>
        <v>17/01/2021 12:00:00 a. m.</v>
      </c>
      <c r="BA613" t="str">
        <f>""</f>
        <v/>
      </c>
      <c r="BB613" t="str">
        <f>""</f>
        <v/>
      </c>
      <c r="BC613" t="str">
        <f>""</f>
        <v/>
      </c>
      <c r="BD613" t="str">
        <f t="shared" si="731"/>
        <v>1</v>
      </c>
      <c r="BE613" t="str">
        <f t="shared" si="731"/>
        <v>1</v>
      </c>
      <c r="BF613" t="str">
        <f t="shared" si="685"/>
        <v xml:space="preserve">3         </v>
      </c>
      <c r="BG613" t="str">
        <f t="shared" si="686"/>
        <v>Confirmado por laboratorio</v>
      </c>
      <c r="BH613" t="str">
        <f>"HOSPITAL DEPARTAMENTAL DE VILLAVICENCIO"</f>
        <v>HOSPITAL DEPARTAMENTAL DE VILLAVICENCIO</v>
      </c>
      <c r="BI613" t="str">
        <f t="shared" si="703"/>
        <v>COLOMBIA</v>
      </c>
      <c r="BJ613" t="str">
        <f t="shared" si="687"/>
        <v>CANCER INFANTIL</v>
      </c>
      <c r="BK613" t="str">
        <f>"GUAVIARE"</f>
        <v>GUAVIARE</v>
      </c>
      <c r="BL613" t="str">
        <f>"SAN JOSE DEL GUAVIARE"</f>
        <v>SAN JOSE DEL GUAVIARE</v>
      </c>
      <c r="BM613" t="str">
        <f t="shared" si="705"/>
        <v>COLOMBIA</v>
      </c>
      <c r="BN613" t="str">
        <f>"GUAVIARE"</f>
        <v>GUAVIARE</v>
      </c>
      <c r="BO613" t="str">
        <f>"SAN JOSE DEL GUAVIARE"</f>
        <v>SAN JOSE DEL GUAVIARE</v>
      </c>
      <c r="BP613" t="str">
        <f>"META"</f>
        <v>META</v>
      </c>
      <c r="BQ613" t="str">
        <f>"VILLAVICENCIO"</f>
        <v>VILLAVICENCIO</v>
      </c>
    </row>
    <row r="614" spans="1:69" x14ac:dyDescent="0.25">
      <c r="A614" t="str">
        <f>"7291762"</f>
        <v>7291762</v>
      </c>
      <c r="B614" t="str">
        <f t="shared" si="681"/>
        <v>459</v>
      </c>
      <c r="C614" t="str">
        <f>"25/03/2020 12:00:00 a. m."</f>
        <v>25/03/2020 12:00:00 a. m.</v>
      </c>
      <c r="D614" t="str">
        <f>"13"</f>
        <v>13</v>
      </c>
      <c r="E614" t="str">
        <f t="shared" si="682"/>
        <v>2020</v>
      </c>
      <c r="F614" t="str">
        <f>"5000100529"</f>
        <v>5000100529</v>
      </c>
      <c r="G614" t="str">
        <f t="shared" si="719"/>
        <v>01</v>
      </c>
      <c r="H614" t="str">
        <f>"4"</f>
        <v>4</v>
      </c>
      <c r="I614" t="str">
        <f t="shared" si="717"/>
        <v>1</v>
      </c>
      <c r="J614" t="str">
        <f>"M"</f>
        <v>M</v>
      </c>
      <c r="K614" t="str">
        <f t="shared" si="696"/>
        <v>170</v>
      </c>
      <c r="L614" t="str">
        <f>"50"</f>
        <v>50</v>
      </c>
      <c r="M614" t="str">
        <f>"110"</f>
        <v>110</v>
      </c>
      <c r="N614" t="str">
        <f>"3"</f>
        <v>3</v>
      </c>
      <c r="O614" t="str">
        <f>"9999"</f>
        <v>9999</v>
      </c>
      <c r="P614" t="str">
        <f t="shared" si="733"/>
        <v>S</v>
      </c>
      <c r="Q614" t="str">
        <f>"EPSS34"</f>
        <v>EPSS34</v>
      </c>
      <c r="R614" t="str">
        <f t="shared" si="710"/>
        <v>6</v>
      </c>
      <c r="S614" t="str">
        <f>""</f>
        <v/>
      </c>
      <c r="T614" t="str">
        <f t="shared" si="666"/>
        <v xml:space="preserve">                                                                                                    </v>
      </c>
      <c r="U614" t="str">
        <f t="shared" si="734"/>
        <v xml:space="preserve">2         </v>
      </c>
      <c r="V614" t="str">
        <f t="shared" si="660"/>
        <v>2</v>
      </c>
      <c r="W614" t="str">
        <f t="shared" si="708"/>
        <v>2</v>
      </c>
      <c r="X614" t="str">
        <f t="shared" si="729"/>
        <v>2</v>
      </c>
      <c r="Y614" t="str">
        <f t="shared" si="718"/>
        <v>2</v>
      </c>
      <c r="Z614" t="str">
        <f t="shared" si="718"/>
        <v>2</v>
      </c>
      <c r="AA614" t="str">
        <f t="shared" si="683"/>
        <v xml:space="preserve">          </v>
      </c>
      <c r="AB614" t="str">
        <f t="shared" si="671"/>
        <v>2</v>
      </c>
      <c r="AC614" t="str">
        <f t="shared" si="676"/>
        <v>2</v>
      </c>
      <c r="AD614" t="str">
        <f t="shared" si="721"/>
        <v>2</v>
      </c>
      <c r="AE614" t="str">
        <f t="shared" si="721"/>
        <v>2</v>
      </c>
      <c r="AF614" t="str">
        <f t="shared" si="721"/>
        <v>2</v>
      </c>
      <c r="AG614" t="str">
        <f t="shared" si="721"/>
        <v>2</v>
      </c>
      <c r="AH614" t="str">
        <f t="shared" si="712"/>
        <v>1</v>
      </c>
      <c r="AI614" t="str">
        <f t="shared" si="738"/>
        <v xml:space="preserve">1         </v>
      </c>
      <c r="AJ614" t="str">
        <f t="shared" si="699"/>
        <v>170</v>
      </c>
      <c r="AK614" t="str">
        <f>"50"</f>
        <v>50</v>
      </c>
      <c r="AL614" t="str">
        <f>"110"</f>
        <v>110</v>
      </c>
      <c r="AM614" t="str">
        <f>"50"</f>
        <v>50</v>
      </c>
      <c r="AN614" t="str">
        <f>"50001"</f>
        <v>50001</v>
      </c>
      <c r="AO614" t="str">
        <f>"24/03/2020 12:00:00 a. m."</f>
        <v>24/03/2020 12:00:00 a. m.</v>
      </c>
      <c r="AP614" t="str">
        <f>"24/09/2019 12:00:00 a. m."</f>
        <v>24/09/2019 12:00:00 a. m.</v>
      </c>
      <c r="AQ614" t="str">
        <f>"2"</f>
        <v>2</v>
      </c>
      <c r="AR614" t="str">
        <f t="shared" si="730"/>
        <v>1</v>
      </c>
      <c r="AS614" t="str">
        <f>"24/03/2020 12:00:00 a. m."</f>
        <v>24/03/2020 12:00:00 a. m.</v>
      </c>
      <c r="AT614" t="str">
        <f t="shared" si="735"/>
        <v>1</v>
      </c>
      <c r="AU614" t="str">
        <f>""</f>
        <v/>
      </c>
      <c r="AV614" t="str">
        <f>"3"</f>
        <v>3</v>
      </c>
      <c r="AW614" t="str">
        <f>"23/01/2016 12:00:00 a. m."</f>
        <v>23/01/2016 12:00:00 a. m.</v>
      </c>
      <c r="AX614" t="str">
        <f>""</f>
        <v/>
      </c>
      <c r="AY614" t="str">
        <f t="shared" si="684"/>
        <v>30/04/2021 12:00:00 a. m.</v>
      </c>
      <c r="AZ614" t="str">
        <f>"19/07/2020 12:00:00 a. m."</f>
        <v>19/07/2020 12:00:00 a. m.</v>
      </c>
      <c r="BA614" t="str">
        <f>""</f>
        <v/>
      </c>
      <c r="BB614" t="str">
        <f>""</f>
        <v/>
      </c>
      <c r="BC614" t="str">
        <f>""</f>
        <v/>
      </c>
      <c r="BD614" t="str">
        <f t="shared" si="731"/>
        <v>1</v>
      </c>
      <c r="BE614" t="str">
        <f t="shared" si="731"/>
        <v>1</v>
      </c>
      <c r="BF614" t="str">
        <f t="shared" si="685"/>
        <v xml:space="preserve">3         </v>
      </c>
      <c r="BG614" t="str">
        <f t="shared" si="686"/>
        <v>Confirmado por laboratorio</v>
      </c>
      <c r="BH614" t="str">
        <f>"HOSPITAL DEPARTAMENTAL DE VILLAVICENCIO"</f>
        <v>HOSPITAL DEPARTAMENTAL DE VILLAVICENCIO</v>
      </c>
      <c r="BI614" t="str">
        <f t="shared" si="703"/>
        <v>COLOMBIA</v>
      </c>
      <c r="BJ614" t="str">
        <f t="shared" si="687"/>
        <v>CANCER INFANTIL</v>
      </c>
      <c r="BK614" t="str">
        <f>"META"</f>
        <v>META</v>
      </c>
      <c r="BL614" t="str">
        <f>"BARRANCA DE UPIA"</f>
        <v>BARRANCA DE UPIA</v>
      </c>
      <c r="BM614" t="str">
        <f t="shared" si="705"/>
        <v>COLOMBIA</v>
      </c>
      <c r="BN614" t="str">
        <f>"META"</f>
        <v>META</v>
      </c>
      <c r="BO614" t="str">
        <f>"BARRANCA DE UPIA"</f>
        <v>BARRANCA DE UPIA</v>
      </c>
      <c r="BP614" t="str">
        <f>"META"</f>
        <v>META</v>
      </c>
      <c r="BQ614" t="str">
        <f>"VILLAVICENCIO"</f>
        <v>VILLAVICENCIO</v>
      </c>
    </row>
    <row r="615" spans="1:69" x14ac:dyDescent="0.25">
      <c r="A615" t="str">
        <f>"7291668"</f>
        <v>7291668</v>
      </c>
      <c r="B615" t="str">
        <f t="shared" si="681"/>
        <v>459</v>
      </c>
      <c r="C615" t="str">
        <f>"16/10/2020 12:00:00 a. m."</f>
        <v>16/10/2020 12:00:00 a. m.</v>
      </c>
      <c r="D615" t="str">
        <f>"42"</f>
        <v>42</v>
      </c>
      <c r="E615" t="str">
        <f t="shared" si="682"/>
        <v>2020</v>
      </c>
      <c r="F615" t="str">
        <f>"1100109111"</f>
        <v>1100109111</v>
      </c>
      <c r="G615" t="str">
        <f t="shared" si="719"/>
        <v>01</v>
      </c>
      <c r="H615" t="str">
        <f>"9"</f>
        <v>9</v>
      </c>
      <c r="I615" t="str">
        <f t="shared" si="717"/>
        <v>1</v>
      </c>
      <c r="J615" t="str">
        <f>"M"</f>
        <v>M</v>
      </c>
      <c r="K615" t="str">
        <f t="shared" si="696"/>
        <v>170</v>
      </c>
      <c r="L615" t="str">
        <f>"25"</f>
        <v>25</v>
      </c>
      <c r="M615" t="str">
        <f>"843"</f>
        <v>843</v>
      </c>
      <c r="N615" t="str">
        <f>"1"</f>
        <v>1</v>
      </c>
      <c r="O615" t="str">
        <f>"9997"</f>
        <v>9997</v>
      </c>
      <c r="P615" t="str">
        <f>"C"</f>
        <v>C</v>
      </c>
      <c r="Q615" t="str">
        <f>"EPS037"</f>
        <v>EPS037</v>
      </c>
      <c r="R615" t="str">
        <f t="shared" si="710"/>
        <v>6</v>
      </c>
      <c r="S615" t="str">
        <f>""</f>
        <v/>
      </c>
      <c r="T615" t="str">
        <f t="shared" si="666"/>
        <v xml:space="preserve">                                                                                                    </v>
      </c>
      <c r="U615" t="str">
        <f>"1         "</f>
        <v xml:space="preserve">1         </v>
      </c>
      <c r="V615" t="str">
        <f t="shared" si="660"/>
        <v>2</v>
      </c>
      <c r="W615" t="str">
        <f t="shared" si="708"/>
        <v>2</v>
      </c>
      <c r="X615" t="str">
        <f t="shared" si="729"/>
        <v>2</v>
      </c>
      <c r="Y615" t="str">
        <f t="shared" si="718"/>
        <v>2</v>
      </c>
      <c r="Z615" t="str">
        <f t="shared" si="718"/>
        <v>2</v>
      </c>
      <c r="AA615" t="str">
        <f t="shared" si="683"/>
        <v xml:space="preserve">          </v>
      </c>
      <c r="AB615" t="str">
        <f t="shared" si="671"/>
        <v>2</v>
      </c>
      <c r="AC615" t="str">
        <f t="shared" si="676"/>
        <v>2</v>
      </c>
      <c r="AD615" t="str">
        <f t="shared" si="721"/>
        <v>2</v>
      </c>
      <c r="AE615" t="str">
        <f t="shared" si="721"/>
        <v>2</v>
      </c>
      <c r="AF615" t="str">
        <f t="shared" si="721"/>
        <v>2</v>
      </c>
      <c r="AG615" t="str">
        <f t="shared" si="721"/>
        <v>2</v>
      </c>
      <c r="AH615" t="str">
        <f t="shared" si="712"/>
        <v>1</v>
      </c>
      <c r="AI615" t="str">
        <f t="shared" si="738"/>
        <v xml:space="preserve">1         </v>
      </c>
      <c r="AJ615" t="str">
        <f t="shared" si="699"/>
        <v>170</v>
      </c>
      <c r="AK615" t="str">
        <f>"25"</f>
        <v>25</v>
      </c>
      <c r="AL615" t="str">
        <f>"843"</f>
        <v>843</v>
      </c>
      <c r="AM615" t="str">
        <f>"11"</f>
        <v>11</v>
      </c>
      <c r="AN615" t="str">
        <f>"11001"</f>
        <v>11001</v>
      </c>
      <c r="AO615" t="str">
        <f>"13/10/2020 12:00:00 a. m."</f>
        <v>13/10/2020 12:00:00 a. m.</v>
      </c>
      <c r="AP615" t="str">
        <f>"13/08/2020 12:00:00 a. m."</f>
        <v>13/08/2020 12:00:00 a. m.</v>
      </c>
      <c r="AQ615" t="str">
        <f>"2"</f>
        <v>2</v>
      </c>
      <c r="AR615" t="str">
        <f t="shared" si="730"/>
        <v>1</v>
      </c>
      <c r="AS615" t="str">
        <f>"13/10/2020 12:00:00 a. m."</f>
        <v>13/10/2020 12:00:00 a. m.</v>
      </c>
      <c r="AT615" t="str">
        <f t="shared" si="735"/>
        <v>1</v>
      </c>
      <c r="AU615" t="str">
        <f>""</f>
        <v/>
      </c>
      <c r="AV615" t="str">
        <f>"3"</f>
        <v>3</v>
      </c>
      <c r="AW615" t="str">
        <f>"12/03/2011 12:00:00 a. m."</f>
        <v>12/03/2011 12:00:00 a. m.</v>
      </c>
      <c r="AX615" t="str">
        <f>""</f>
        <v/>
      </c>
      <c r="AY615" t="str">
        <f t="shared" si="684"/>
        <v>30/04/2021 12:00:00 a. m.</v>
      </c>
      <c r="AZ615" t="str">
        <f>"11/11/2020 12:00:00 a. m."</f>
        <v>11/11/2020 12:00:00 a. m.</v>
      </c>
      <c r="BA615" t="str">
        <f>""</f>
        <v/>
      </c>
      <c r="BB615" t="str">
        <f>""</f>
        <v/>
      </c>
      <c r="BC615" t="str">
        <f>""</f>
        <v/>
      </c>
      <c r="BD615" t="str">
        <f t="shared" si="731"/>
        <v>1</v>
      </c>
      <c r="BE615" t="str">
        <f t="shared" si="731"/>
        <v>1</v>
      </c>
      <c r="BF615" t="str">
        <f t="shared" si="685"/>
        <v xml:space="preserve">3         </v>
      </c>
      <c r="BG615" t="str">
        <f t="shared" si="686"/>
        <v>Confirmado por laboratorio</v>
      </c>
      <c r="BH615" t="str">
        <f>"FUNDACION CARDIOINFANTIL INSTITUTO DE CARDIOLOGIA"</f>
        <v>FUNDACION CARDIOINFANTIL INSTITUTO DE CARDIOLOGIA</v>
      </c>
      <c r="BI615" t="str">
        <f t="shared" si="703"/>
        <v>COLOMBIA</v>
      </c>
      <c r="BJ615" t="str">
        <f t="shared" si="687"/>
        <v>CANCER INFANTIL</v>
      </c>
      <c r="BK615" t="str">
        <f>"CUNDINAMARCA"</f>
        <v>CUNDINAMARCA</v>
      </c>
      <c r="BL615" t="str">
        <f>"UBATE"</f>
        <v>UBATE</v>
      </c>
      <c r="BM615" t="str">
        <f t="shared" si="705"/>
        <v>COLOMBIA</v>
      </c>
      <c r="BN615" t="str">
        <f>"CUNDINAMARCA"</f>
        <v>CUNDINAMARCA</v>
      </c>
      <c r="BO615" t="str">
        <f>"UBATE"</f>
        <v>UBATE</v>
      </c>
      <c r="BP615" t="str">
        <f>"BOGOTA"</f>
        <v>BOGOTA</v>
      </c>
      <c r="BQ615" t="str">
        <f>"BOGOTA"</f>
        <v>BOGOTA</v>
      </c>
    </row>
    <row r="616" spans="1:69" x14ac:dyDescent="0.25">
      <c r="A616" t="str">
        <f>"7278789"</f>
        <v>7278789</v>
      </c>
      <c r="B616" t="str">
        <f t="shared" si="681"/>
        <v>459</v>
      </c>
      <c r="C616" t="str">
        <f>"27/02/2020 12:00:00 a. m."</f>
        <v>27/02/2020 12:00:00 a. m.</v>
      </c>
      <c r="D616" t="str">
        <f>"08"</f>
        <v>08</v>
      </c>
      <c r="E616" t="str">
        <f t="shared" si="682"/>
        <v>2020</v>
      </c>
      <c r="F616" t="str">
        <f>"6854704947"</f>
        <v>6854704947</v>
      </c>
      <c r="G616" t="str">
        <f t="shared" si="719"/>
        <v>01</v>
      </c>
      <c r="H616" t="str">
        <f>"17"</f>
        <v>17</v>
      </c>
      <c r="I616" t="str">
        <f t="shared" si="717"/>
        <v>1</v>
      </c>
      <c r="J616" t="str">
        <f>"M"</f>
        <v>M</v>
      </c>
      <c r="K616" t="str">
        <f t="shared" si="696"/>
        <v>170</v>
      </c>
      <c r="L616" t="str">
        <f>"68"</f>
        <v>68</v>
      </c>
      <c r="M616" t="str">
        <f>"001"</f>
        <v>001</v>
      </c>
      <c r="N616" t="str">
        <f>"1"</f>
        <v>1</v>
      </c>
      <c r="O616" t="str">
        <f>"9997"</f>
        <v>9997</v>
      </c>
      <c r="P616" t="str">
        <f>"C"</f>
        <v>C</v>
      </c>
      <c r="Q616" t="str">
        <f>"EPS010"</f>
        <v>EPS010</v>
      </c>
      <c r="R616" t="str">
        <f t="shared" si="710"/>
        <v>6</v>
      </c>
      <c r="S616" t="str">
        <f>""</f>
        <v/>
      </c>
      <c r="T616" t="str">
        <f t="shared" si="666"/>
        <v xml:space="preserve">                                                                                                    </v>
      </c>
      <c r="U616" t="str">
        <f>"3         "</f>
        <v xml:space="preserve">3         </v>
      </c>
      <c r="V616" t="str">
        <f t="shared" si="660"/>
        <v>2</v>
      </c>
      <c r="W616" t="str">
        <f t="shared" si="708"/>
        <v>2</v>
      </c>
      <c r="X616" t="str">
        <f t="shared" si="729"/>
        <v>2</v>
      </c>
      <c r="Y616" t="str">
        <f t="shared" si="718"/>
        <v>2</v>
      </c>
      <c r="Z616" t="str">
        <f t="shared" si="718"/>
        <v>2</v>
      </c>
      <c r="AA616" t="str">
        <f t="shared" si="683"/>
        <v xml:space="preserve">          </v>
      </c>
      <c r="AB616" t="str">
        <f t="shared" si="671"/>
        <v>2</v>
      </c>
      <c r="AC616" t="str">
        <f t="shared" si="676"/>
        <v>2</v>
      </c>
      <c r="AD616" t="str">
        <f t="shared" si="721"/>
        <v>2</v>
      </c>
      <c r="AE616" t="str">
        <f t="shared" si="721"/>
        <v>2</v>
      </c>
      <c r="AF616" t="str">
        <f t="shared" si="721"/>
        <v>2</v>
      </c>
      <c r="AG616" t="str">
        <f t="shared" si="721"/>
        <v>2</v>
      </c>
      <c r="AH616" t="str">
        <f t="shared" si="712"/>
        <v>1</v>
      </c>
      <c r="AI616" t="str">
        <f t="shared" si="738"/>
        <v xml:space="preserve">1         </v>
      </c>
      <c r="AJ616" t="str">
        <f t="shared" si="699"/>
        <v>170</v>
      </c>
      <c r="AK616" t="str">
        <f>"68"</f>
        <v>68</v>
      </c>
      <c r="AL616" t="str">
        <f>"001"</f>
        <v>001</v>
      </c>
      <c r="AM616" t="str">
        <f>"68"</f>
        <v>68</v>
      </c>
      <c r="AN616" t="str">
        <f>"68547"</f>
        <v>68547</v>
      </c>
      <c r="AO616" t="str">
        <f>"22/02/2020 12:00:00 a. m."</f>
        <v>22/02/2020 12:00:00 a. m.</v>
      </c>
      <c r="AP616" t="str">
        <f>"20/11/2019 12:00:00 a. m."</f>
        <v>20/11/2019 12:00:00 a. m.</v>
      </c>
      <c r="AQ616" t="str">
        <f>"3"</f>
        <v>3</v>
      </c>
      <c r="AR616" t="str">
        <f t="shared" si="730"/>
        <v>1</v>
      </c>
      <c r="AS616" t="str">
        <f>"22/02/2020 12:00:00 a. m."</f>
        <v>22/02/2020 12:00:00 a. m.</v>
      </c>
      <c r="AT616" t="str">
        <f t="shared" si="735"/>
        <v>1</v>
      </c>
      <c r="AU616" t="str">
        <f>""</f>
        <v/>
      </c>
      <c r="AV616" t="str">
        <f>"0"</f>
        <v>0</v>
      </c>
      <c r="AW616" t="str">
        <f>"11/02/2003 12:00:00 a. m."</f>
        <v>11/02/2003 12:00:00 a. m.</v>
      </c>
      <c r="AX616" t="str">
        <f>""</f>
        <v/>
      </c>
      <c r="AY616" t="str">
        <f t="shared" si="684"/>
        <v>30/04/2021 12:00:00 a. m.</v>
      </c>
      <c r="AZ616" t="str">
        <f>"27/02/2020 12:00:00 a. m."</f>
        <v>27/02/2020 12:00:00 a. m.</v>
      </c>
      <c r="BA616" t="str">
        <f>""</f>
        <v/>
      </c>
      <c r="BB616" t="str">
        <f>""</f>
        <v/>
      </c>
      <c r="BC616" t="str">
        <f>""</f>
        <v/>
      </c>
      <c r="BD616" t="str">
        <f t="shared" si="731"/>
        <v>1</v>
      </c>
      <c r="BE616" t="str">
        <f t="shared" si="731"/>
        <v>1</v>
      </c>
      <c r="BF616" t="str">
        <f t="shared" si="685"/>
        <v xml:space="preserve">3         </v>
      </c>
      <c r="BG616" t="str">
        <f t="shared" si="686"/>
        <v>Confirmado por laboratorio</v>
      </c>
      <c r="BH616" t="str">
        <f>"HOSPITAL INTERNACIONAL DE COLOMBIA"</f>
        <v>HOSPITAL INTERNACIONAL DE COLOMBIA</v>
      </c>
      <c r="BI616" t="str">
        <f t="shared" si="703"/>
        <v>COLOMBIA</v>
      </c>
      <c r="BJ616" t="str">
        <f t="shared" si="687"/>
        <v>CANCER INFANTIL</v>
      </c>
      <c r="BK616" t="str">
        <f>"SANTANDER"</f>
        <v>SANTANDER</v>
      </c>
      <c r="BL616" t="str">
        <f>"BUCARAMANGA"</f>
        <v>BUCARAMANGA</v>
      </c>
      <c r="BM616" t="str">
        <f t="shared" si="705"/>
        <v>COLOMBIA</v>
      </c>
      <c r="BN616" t="str">
        <f>"SANTANDER"</f>
        <v>SANTANDER</v>
      </c>
      <c r="BO616" t="str">
        <f>"BUCARAMANGA"</f>
        <v>BUCARAMANGA</v>
      </c>
      <c r="BP616" t="str">
        <f>"SANTANDER"</f>
        <v>SANTANDER</v>
      </c>
      <c r="BQ616" t="str">
        <f>"PIEDECUESTA"</f>
        <v>PIEDECUESTA</v>
      </c>
    </row>
    <row r="617" spans="1:69" x14ac:dyDescent="0.25">
      <c r="A617" t="str">
        <f>"7278735"</f>
        <v>7278735</v>
      </c>
      <c r="B617" t="str">
        <f t="shared" si="681"/>
        <v>459</v>
      </c>
      <c r="C617" t="str">
        <f>"30/01/2020 12:00:00 a. m."</f>
        <v>30/01/2020 12:00:00 a. m.</v>
      </c>
      <c r="D617" t="str">
        <f>"02"</f>
        <v>02</v>
      </c>
      <c r="E617" t="str">
        <f t="shared" si="682"/>
        <v>2020</v>
      </c>
      <c r="F617" t="str">
        <f>"6854704947"</f>
        <v>6854704947</v>
      </c>
      <c r="G617" t="str">
        <f t="shared" si="719"/>
        <v>01</v>
      </c>
      <c r="H617" t="str">
        <f>"2"</f>
        <v>2</v>
      </c>
      <c r="I617" t="str">
        <f t="shared" si="717"/>
        <v>1</v>
      </c>
      <c r="J617" t="str">
        <f>"F"</f>
        <v>F</v>
      </c>
      <c r="K617" t="str">
        <f t="shared" si="696"/>
        <v>170</v>
      </c>
      <c r="L617" t="str">
        <f>"13"</f>
        <v>13</v>
      </c>
      <c r="M617" t="str">
        <f>"670"</f>
        <v>670</v>
      </c>
      <c r="N617" t="str">
        <f>"2"</f>
        <v>2</v>
      </c>
      <c r="O617" t="str">
        <f>"9999"</f>
        <v>9999</v>
      </c>
      <c r="P617" t="str">
        <f>"S"</f>
        <v>S</v>
      </c>
      <c r="Q617" t="str">
        <f>"EPSS41"</f>
        <v>EPSS41</v>
      </c>
      <c r="R617" t="str">
        <f t="shared" si="710"/>
        <v>6</v>
      </c>
      <c r="S617" t="str">
        <f>""</f>
        <v/>
      </c>
      <c r="T617" t="str">
        <f t="shared" si="666"/>
        <v xml:space="preserve">                                                                                                    </v>
      </c>
      <c r="U617" t="str">
        <f>"1         "</f>
        <v xml:space="preserve">1         </v>
      </c>
      <c r="V617" t="str">
        <f t="shared" si="660"/>
        <v>2</v>
      </c>
      <c r="W617" t="str">
        <f t="shared" si="708"/>
        <v>2</v>
      </c>
      <c r="X617" t="str">
        <f t="shared" si="729"/>
        <v>2</v>
      </c>
      <c r="Y617" t="str">
        <f t="shared" si="718"/>
        <v>2</v>
      </c>
      <c r="Z617" t="str">
        <f t="shared" si="718"/>
        <v>2</v>
      </c>
      <c r="AA617" t="str">
        <f t="shared" si="683"/>
        <v xml:space="preserve">          </v>
      </c>
      <c r="AB617" t="str">
        <f t="shared" si="671"/>
        <v>2</v>
      </c>
      <c r="AC617" t="str">
        <f t="shared" si="676"/>
        <v>2</v>
      </c>
      <c r="AD617" t="str">
        <f t="shared" si="721"/>
        <v>2</v>
      </c>
      <c r="AE617" t="str">
        <f t="shared" si="721"/>
        <v>2</v>
      </c>
      <c r="AF617" t="str">
        <f t="shared" si="721"/>
        <v>2</v>
      </c>
      <c r="AG617" t="str">
        <f t="shared" si="721"/>
        <v>2</v>
      </c>
      <c r="AH617" t="str">
        <f t="shared" si="712"/>
        <v>1</v>
      </c>
      <c r="AI617" t="str">
        <f t="shared" si="738"/>
        <v xml:space="preserve">1         </v>
      </c>
      <c r="AJ617" t="str">
        <f t="shared" si="699"/>
        <v>170</v>
      </c>
      <c r="AK617" t="str">
        <f>"13"</f>
        <v>13</v>
      </c>
      <c r="AL617" t="str">
        <f>"670"</f>
        <v>670</v>
      </c>
      <c r="AM617" t="str">
        <f>"68"</f>
        <v>68</v>
      </c>
      <c r="AN617" t="str">
        <f>"68547"</f>
        <v>68547</v>
      </c>
      <c r="AO617" t="str">
        <f>"5/01/2020 12:00:00 a. m."</f>
        <v>5/01/2020 12:00:00 a. m.</v>
      </c>
      <c r="AP617" t="str">
        <f>"7/12/2019 12:00:00 a. m."</f>
        <v>7/12/2019 12:00:00 a. m.</v>
      </c>
      <c r="AQ617" t="str">
        <f>"3"</f>
        <v>3</v>
      </c>
      <c r="AR617" t="str">
        <f t="shared" si="730"/>
        <v>1</v>
      </c>
      <c r="AS617" t="str">
        <f>"5/01/2020 12:00:00 a. m."</f>
        <v>5/01/2020 12:00:00 a. m.</v>
      </c>
      <c r="AT617" t="str">
        <f t="shared" si="735"/>
        <v>1</v>
      </c>
      <c r="AU617" t="str">
        <f>""</f>
        <v/>
      </c>
      <c r="AV617" t="str">
        <f>"0"</f>
        <v>0</v>
      </c>
      <c r="AW617" t="str">
        <f>"27/07/2017 12:00:00 a. m."</f>
        <v>27/07/2017 12:00:00 a. m.</v>
      </c>
      <c r="AX617" t="str">
        <f>""</f>
        <v/>
      </c>
      <c r="AY617" t="str">
        <f t="shared" si="684"/>
        <v>30/04/2021 12:00:00 a. m.</v>
      </c>
      <c r="AZ617" t="str">
        <f>"30/01/2020 12:00:00 a. m."</f>
        <v>30/01/2020 12:00:00 a. m.</v>
      </c>
      <c r="BA617" t="str">
        <f>""</f>
        <v/>
      </c>
      <c r="BB617" t="str">
        <f>""</f>
        <v/>
      </c>
      <c r="BC617" t="str">
        <f>""</f>
        <v/>
      </c>
      <c r="BD617" t="str">
        <f t="shared" si="731"/>
        <v>1</v>
      </c>
      <c r="BE617" t="str">
        <f t="shared" si="731"/>
        <v>1</v>
      </c>
      <c r="BF617" t="str">
        <f t="shared" si="685"/>
        <v xml:space="preserve">3         </v>
      </c>
      <c r="BG617" t="str">
        <f t="shared" si="686"/>
        <v>Confirmado por laboratorio</v>
      </c>
      <c r="BH617" t="str">
        <f>"HOSPITAL INTERNACIONAL DE COLOMBIA"</f>
        <v>HOSPITAL INTERNACIONAL DE COLOMBIA</v>
      </c>
      <c r="BI617" t="str">
        <f t="shared" si="703"/>
        <v>COLOMBIA</v>
      </c>
      <c r="BJ617" t="str">
        <f t="shared" si="687"/>
        <v>CANCER INFANTIL</v>
      </c>
      <c r="BK617" t="str">
        <f>"BOLIVAR"</f>
        <v>BOLIVAR</v>
      </c>
      <c r="BL617" t="str">
        <f>"SAN PABLO"</f>
        <v>SAN PABLO</v>
      </c>
      <c r="BM617" t="str">
        <f t="shared" si="705"/>
        <v>COLOMBIA</v>
      </c>
      <c r="BN617" t="str">
        <f>"BOLIVAR"</f>
        <v>BOLIVAR</v>
      </c>
      <c r="BO617" t="str">
        <f>"SAN PABLO"</f>
        <v>SAN PABLO</v>
      </c>
      <c r="BP617" t="str">
        <f>"SANTANDER"</f>
        <v>SANTANDER</v>
      </c>
      <c r="BQ617" t="str">
        <f>"PIEDECUESTA"</f>
        <v>PIEDECUESTA</v>
      </c>
    </row>
    <row r="618" spans="1:69" x14ac:dyDescent="0.25">
      <c r="A618" t="str">
        <f>"7291380"</f>
        <v>7291380</v>
      </c>
      <c r="B618" t="str">
        <f t="shared" si="681"/>
        <v>459</v>
      </c>
      <c r="C618" t="str">
        <f>"23/11/2020 12:00:00 a. m."</f>
        <v>23/11/2020 12:00:00 a. m.</v>
      </c>
      <c r="D618" t="str">
        <f>"48"</f>
        <v>48</v>
      </c>
      <c r="E618" t="str">
        <f t="shared" si="682"/>
        <v>2020</v>
      </c>
      <c r="F618" t="str">
        <f>"7600103001"</f>
        <v>7600103001</v>
      </c>
      <c r="G618" t="str">
        <f t="shared" si="719"/>
        <v>01</v>
      </c>
      <c r="H618" t="str">
        <f>"13"</f>
        <v>13</v>
      </c>
      <c r="I618" t="str">
        <f t="shared" si="717"/>
        <v>1</v>
      </c>
      <c r="J618" t="str">
        <f>"M"</f>
        <v>M</v>
      </c>
      <c r="K618" t="str">
        <f t="shared" si="696"/>
        <v>170</v>
      </c>
      <c r="L618" t="str">
        <f>"76"</f>
        <v>76</v>
      </c>
      <c r="M618" t="str">
        <f>"001"</f>
        <v>001</v>
      </c>
      <c r="N618" t="str">
        <f>"1"</f>
        <v>1</v>
      </c>
      <c r="O618" t="str">
        <f>"9997"</f>
        <v>9997</v>
      </c>
      <c r="P618" t="str">
        <f>"P"</f>
        <v>P</v>
      </c>
      <c r="Q618" t="str">
        <f>"RES007"</f>
        <v>RES007</v>
      </c>
      <c r="R618" t="str">
        <f t="shared" si="710"/>
        <v>6</v>
      </c>
      <c r="S618" t="str">
        <f>""</f>
        <v/>
      </c>
      <c r="T618" t="str">
        <f t="shared" si="666"/>
        <v xml:space="preserve">                                                                                                    </v>
      </c>
      <c r="U618" t="str">
        <f>"2         "</f>
        <v xml:space="preserve">2         </v>
      </c>
      <c r="V618" t="str">
        <f t="shared" si="660"/>
        <v>2</v>
      </c>
      <c r="W618" t="str">
        <f t="shared" si="708"/>
        <v>2</v>
      </c>
      <c r="X618" t="str">
        <f t="shared" si="729"/>
        <v>2</v>
      </c>
      <c r="Y618" t="str">
        <f t="shared" si="718"/>
        <v>2</v>
      </c>
      <c r="Z618" t="str">
        <f t="shared" si="718"/>
        <v>2</v>
      </c>
      <c r="AA618" t="str">
        <f t="shared" si="683"/>
        <v xml:space="preserve">          </v>
      </c>
      <c r="AB618" t="str">
        <f t="shared" si="671"/>
        <v>2</v>
      </c>
      <c r="AC618" t="str">
        <f t="shared" si="676"/>
        <v>2</v>
      </c>
      <c r="AD618" t="str">
        <f t="shared" si="721"/>
        <v>2</v>
      </c>
      <c r="AE618" t="str">
        <f t="shared" si="721"/>
        <v>2</v>
      </c>
      <c r="AF618" t="str">
        <f t="shared" si="721"/>
        <v>2</v>
      </c>
      <c r="AG618" t="str">
        <f t="shared" si="721"/>
        <v>2</v>
      </c>
      <c r="AH618" t="str">
        <f t="shared" si="712"/>
        <v>1</v>
      </c>
      <c r="AI618" t="str">
        <f t="shared" si="738"/>
        <v xml:space="preserve">1         </v>
      </c>
      <c r="AJ618" t="str">
        <f t="shared" si="699"/>
        <v>170</v>
      </c>
      <c r="AK618" t="str">
        <f>"76"</f>
        <v>76</v>
      </c>
      <c r="AL618" t="str">
        <f>"001"</f>
        <v>001</v>
      </c>
      <c r="AM618" t="str">
        <f>"76"</f>
        <v>76</v>
      </c>
      <c r="AN618" t="str">
        <f>"76001"</f>
        <v>76001</v>
      </c>
      <c r="AO618" t="str">
        <f>"23/11/2020 12:00:00 a. m."</f>
        <v>23/11/2020 12:00:00 a. m.</v>
      </c>
      <c r="AP618" t="str">
        <f>"16/11/2020 12:00:00 a. m."</f>
        <v>16/11/2020 12:00:00 a. m.</v>
      </c>
      <c r="AQ618" t="str">
        <f>"3"</f>
        <v>3</v>
      </c>
      <c r="AR618" t="str">
        <f>"2"</f>
        <v>2</v>
      </c>
      <c r="AS618" t="str">
        <f>""</f>
        <v/>
      </c>
      <c r="AT618" t="str">
        <f t="shared" si="735"/>
        <v>1</v>
      </c>
      <c r="AU618" t="str">
        <f>""</f>
        <v/>
      </c>
      <c r="AV618" t="str">
        <f>"0"</f>
        <v>0</v>
      </c>
      <c r="AW618" t="str">
        <f>"9/02/2007 12:00:00 a. m."</f>
        <v>9/02/2007 12:00:00 a. m.</v>
      </c>
      <c r="AX618" t="str">
        <f>""</f>
        <v/>
      </c>
      <c r="AY618" t="str">
        <f t="shared" si="684"/>
        <v>30/04/2021 12:00:00 a. m.</v>
      </c>
      <c r="AZ618" t="str">
        <f>"23/11/2020 12:00:00 a. m."</f>
        <v>23/11/2020 12:00:00 a. m.</v>
      </c>
      <c r="BA618" t="str">
        <f>""</f>
        <v/>
      </c>
      <c r="BB618" t="str">
        <f>""</f>
        <v/>
      </c>
      <c r="BC618" t="str">
        <f>""</f>
        <v/>
      </c>
      <c r="BD618" t="str">
        <f t="shared" si="731"/>
        <v>1</v>
      </c>
      <c r="BE618" t="str">
        <f t="shared" si="731"/>
        <v>1</v>
      </c>
      <c r="BF618" t="str">
        <f t="shared" si="685"/>
        <v xml:space="preserve">3         </v>
      </c>
      <c r="BG618" t="str">
        <f t="shared" si="686"/>
        <v>Confirmado por laboratorio</v>
      </c>
      <c r="BH618" t="str">
        <f>"SERVICIO MEDICO UNIVALLE CAMBULOS"</f>
        <v>SERVICIO MEDICO UNIVALLE CAMBULOS</v>
      </c>
      <c r="BI618" t="str">
        <f t="shared" si="703"/>
        <v>COLOMBIA</v>
      </c>
      <c r="BJ618" t="str">
        <f t="shared" si="687"/>
        <v>CANCER INFANTIL</v>
      </c>
      <c r="BK618" t="str">
        <f>"VALLE"</f>
        <v>VALLE</v>
      </c>
      <c r="BL618" t="str">
        <f>"CALI"</f>
        <v>CALI</v>
      </c>
      <c r="BM618" t="str">
        <f t="shared" si="705"/>
        <v>COLOMBIA</v>
      </c>
      <c r="BN618" t="str">
        <f>"VALLE"</f>
        <v>VALLE</v>
      </c>
      <c r="BO618" t="str">
        <f>"CALI"</f>
        <v>CALI</v>
      </c>
      <c r="BP618" t="str">
        <f>"VALLE"</f>
        <v>VALLE</v>
      </c>
      <c r="BQ618" t="str">
        <f>"CALI"</f>
        <v>CALI</v>
      </c>
    </row>
    <row r="619" spans="1:69" x14ac:dyDescent="0.25">
      <c r="A619" t="str">
        <f>"7278981"</f>
        <v>7278981</v>
      </c>
      <c r="B619" t="str">
        <f t="shared" si="681"/>
        <v>459</v>
      </c>
      <c r="C619" t="str">
        <f>"11/02/2020 12:00:00 a. m."</f>
        <v>11/02/2020 12:00:00 a. m.</v>
      </c>
      <c r="D619" t="str">
        <f>"04"</f>
        <v>04</v>
      </c>
      <c r="E619" t="str">
        <f t="shared" si="682"/>
        <v>2020</v>
      </c>
      <c r="F619" t="str">
        <f>"5200100283"</f>
        <v>5200100283</v>
      </c>
      <c r="G619" t="str">
        <f t="shared" si="719"/>
        <v>01</v>
      </c>
      <c r="H619" t="str">
        <f>"13"</f>
        <v>13</v>
      </c>
      <c r="I619" t="str">
        <f t="shared" si="717"/>
        <v>1</v>
      </c>
      <c r="J619" t="str">
        <f>"F"</f>
        <v>F</v>
      </c>
      <c r="K619" t="str">
        <f t="shared" si="696"/>
        <v>170</v>
      </c>
      <c r="L619" t="str">
        <f>"52"</f>
        <v>52</v>
      </c>
      <c r="M619" t="str">
        <f>"001"</f>
        <v>001</v>
      </c>
      <c r="N619" t="str">
        <f>"3"</f>
        <v>3</v>
      </c>
      <c r="O619" t="str">
        <f>"9997"</f>
        <v>9997</v>
      </c>
      <c r="P619" t="str">
        <f>"S"</f>
        <v>S</v>
      </c>
      <c r="Q619" t="str">
        <f>"ESS118"</f>
        <v>ESS118</v>
      </c>
      <c r="R619" t="str">
        <f t="shared" si="710"/>
        <v>6</v>
      </c>
      <c r="S619" t="str">
        <f>""</f>
        <v/>
      </c>
      <c r="T619" t="str">
        <f t="shared" si="666"/>
        <v xml:space="preserve">                                                                                                    </v>
      </c>
      <c r="U619" t="str">
        <f>"1         "</f>
        <v xml:space="preserve">1         </v>
      </c>
      <c r="V619" t="str">
        <f t="shared" si="660"/>
        <v>2</v>
      </c>
      <c r="W619" t="str">
        <f t="shared" si="708"/>
        <v>2</v>
      </c>
      <c r="X619" t="str">
        <f t="shared" si="729"/>
        <v>2</v>
      </c>
      <c r="Y619" t="str">
        <f t="shared" ref="Y619:Z638" si="739">"2"</f>
        <v>2</v>
      </c>
      <c r="Z619" t="str">
        <f t="shared" si="739"/>
        <v>2</v>
      </c>
      <c r="AA619" t="str">
        <f t="shared" si="683"/>
        <v xml:space="preserve">          </v>
      </c>
      <c r="AB619" t="str">
        <f t="shared" si="671"/>
        <v>2</v>
      </c>
      <c r="AC619" t="str">
        <f t="shared" si="676"/>
        <v>2</v>
      </c>
      <c r="AD619" t="str">
        <f t="shared" si="721"/>
        <v>2</v>
      </c>
      <c r="AE619" t="str">
        <f t="shared" si="721"/>
        <v>2</v>
      </c>
      <c r="AF619" t="str">
        <f t="shared" si="721"/>
        <v>2</v>
      </c>
      <c r="AG619" t="str">
        <f t="shared" si="721"/>
        <v>2</v>
      </c>
      <c r="AH619" t="str">
        <f t="shared" si="712"/>
        <v>1</v>
      </c>
      <c r="AI619" t="str">
        <f t="shared" si="738"/>
        <v xml:space="preserve">1         </v>
      </c>
      <c r="AJ619" t="str">
        <f t="shared" si="699"/>
        <v>170</v>
      </c>
      <c r="AK619" t="str">
        <f>"52"</f>
        <v>52</v>
      </c>
      <c r="AL619" t="str">
        <f>"001"</f>
        <v>001</v>
      </c>
      <c r="AM619" t="str">
        <f>"52"</f>
        <v>52</v>
      </c>
      <c r="AN619" t="str">
        <f>"52001"</f>
        <v>52001</v>
      </c>
      <c r="AO619" t="str">
        <f>"24/01/2020 12:00:00 a. m."</f>
        <v>24/01/2020 12:00:00 a. m.</v>
      </c>
      <c r="AP619" t="str">
        <f>"24/07/2019 12:00:00 a. m."</f>
        <v>24/07/2019 12:00:00 a. m.</v>
      </c>
      <c r="AQ619" t="str">
        <f>"2"</f>
        <v>2</v>
      </c>
      <c r="AR619" t="str">
        <f t="shared" ref="AR619:AR650" si="740">"1"</f>
        <v>1</v>
      </c>
      <c r="AS619" t="str">
        <f>"24/01/2020 12:00:00 a. m."</f>
        <v>24/01/2020 12:00:00 a. m.</v>
      </c>
      <c r="AT619" t="str">
        <f t="shared" si="735"/>
        <v>1</v>
      </c>
      <c r="AU619" t="str">
        <f>""</f>
        <v/>
      </c>
      <c r="AV619" t="str">
        <f>"3"</f>
        <v>3</v>
      </c>
      <c r="AW619" t="str">
        <f>"6/10/2006 12:00:00 a. m."</f>
        <v>6/10/2006 12:00:00 a. m.</v>
      </c>
      <c r="AX619" t="str">
        <f>""</f>
        <v/>
      </c>
      <c r="AY619" t="str">
        <f t="shared" si="684"/>
        <v>30/04/2021 12:00:00 a. m.</v>
      </c>
      <c r="AZ619" t="str">
        <f>"21/02/2020 12:00:00 a. m."</f>
        <v>21/02/2020 12:00:00 a. m.</v>
      </c>
      <c r="BA619" t="str">
        <f>""</f>
        <v/>
      </c>
      <c r="BB619" t="str">
        <f>""</f>
        <v/>
      </c>
      <c r="BC619" t="str">
        <f>""</f>
        <v/>
      </c>
      <c r="BD619" t="str">
        <f t="shared" si="731"/>
        <v>1</v>
      </c>
      <c r="BE619" t="str">
        <f t="shared" si="731"/>
        <v>1</v>
      </c>
      <c r="BF619" t="str">
        <f t="shared" si="685"/>
        <v xml:space="preserve">3         </v>
      </c>
      <c r="BG619" t="str">
        <f t="shared" si="686"/>
        <v>Confirmado por laboratorio</v>
      </c>
      <c r="BH619" t="str">
        <f>"HOSPITAL INFANTIL LOS ANGELES"</f>
        <v>HOSPITAL INFANTIL LOS ANGELES</v>
      </c>
      <c r="BI619" t="str">
        <f t="shared" si="703"/>
        <v>COLOMBIA</v>
      </c>
      <c r="BJ619" t="str">
        <f t="shared" si="687"/>
        <v>CANCER INFANTIL</v>
      </c>
      <c r="BK619" t="str">
        <f>"NARIÑO"</f>
        <v>NARIÑO</v>
      </c>
      <c r="BL619" t="str">
        <f>"PASTO"</f>
        <v>PASTO</v>
      </c>
      <c r="BM619" t="str">
        <f t="shared" si="705"/>
        <v>COLOMBIA</v>
      </c>
      <c r="BN619" t="str">
        <f>"NARIÑO"</f>
        <v>NARIÑO</v>
      </c>
      <c r="BO619" t="str">
        <f>"PASTO"</f>
        <v>PASTO</v>
      </c>
      <c r="BP619" t="str">
        <f>"NARIÑO"</f>
        <v>NARIÑO</v>
      </c>
      <c r="BQ619" t="str">
        <f>"PASTO"</f>
        <v>PASTO</v>
      </c>
    </row>
    <row r="620" spans="1:69" x14ac:dyDescent="0.25">
      <c r="A620" t="str">
        <f>"7278938"</f>
        <v>7278938</v>
      </c>
      <c r="B620" t="str">
        <f t="shared" si="681"/>
        <v>459</v>
      </c>
      <c r="C620" t="str">
        <f>"30/10/2020 12:00:00 a. m."</f>
        <v>30/10/2020 12:00:00 a. m.</v>
      </c>
      <c r="D620" t="str">
        <f>"43"</f>
        <v>43</v>
      </c>
      <c r="E620" t="str">
        <f t="shared" si="682"/>
        <v>2020</v>
      </c>
      <c r="F620" t="str">
        <f>"1100105681"</f>
        <v>1100105681</v>
      </c>
      <c r="G620" t="str">
        <f t="shared" si="719"/>
        <v>01</v>
      </c>
      <c r="H620" t="str">
        <f>"13"</f>
        <v>13</v>
      </c>
      <c r="I620" t="str">
        <f t="shared" si="717"/>
        <v>1</v>
      </c>
      <c r="J620" t="str">
        <f>"F"</f>
        <v>F</v>
      </c>
      <c r="K620" t="str">
        <f t="shared" si="696"/>
        <v>170</v>
      </c>
      <c r="L620" t="str">
        <f>"25"</f>
        <v>25</v>
      </c>
      <c r="M620" t="str">
        <f>"151"</f>
        <v>151</v>
      </c>
      <c r="N620" t="str">
        <f>"1"</f>
        <v>1</v>
      </c>
      <c r="O620" t="str">
        <f>"9997"</f>
        <v>9997</v>
      </c>
      <c r="P620" t="str">
        <f>"S"</f>
        <v>S</v>
      </c>
      <c r="Q620" t="str">
        <f>"EPS022"</f>
        <v>EPS022</v>
      </c>
      <c r="R620" t="str">
        <f t="shared" si="710"/>
        <v>6</v>
      </c>
      <c r="S620" t="str">
        <f>""</f>
        <v/>
      </c>
      <c r="T620" t="str">
        <f t="shared" si="666"/>
        <v xml:space="preserve">                                                                                                    </v>
      </c>
      <c r="U620" t="str">
        <f>"2         "</f>
        <v xml:space="preserve">2         </v>
      </c>
      <c r="V620" t="str">
        <f t="shared" si="660"/>
        <v>2</v>
      </c>
      <c r="W620" t="str">
        <f t="shared" si="708"/>
        <v>2</v>
      </c>
      <c r="X620" t="str">
        <f t="shared" si="729"/>
        <v>2</v>
      </c>
      <c r="Y620" t="str">
        <f t="shared" si="739"/>
        <v>2</v>
      </c>
      <c r="Z620" t="str">
        <f t="shared" si="739"/>
        <v>2</v>
      </c>
      <c r="AA620" t="str">
        <f t="shared" si="683"/>
        <v xml:space="preserve">          </v>
      </c>
      <c r="AB620" t="str">
        <f t="shared" si="671"/>
        <v>2</v>
      </c>
      <c r="AC620" t="str">
        <f t="shared" si="676"/>
        <v>2</v>
      </c>
      <c r="AD620" t="str">
        <f t="shared" ref="AD620:AG639" si="741">"2"</f>
        <v>2</v>
      </c>
      <c r="AE620" t="str">
        <f t="shared" si="741"/>
        <v>2</v>
      </c>
      <c r="AF620" t="str">
        <f t="shared" si="741"/>
        <v>2</v>
      </c>
      <c r="AG620" t="str">
        <f t="shared" si="741"/>
        <v>2</v>
      </c>
      <c r="AH620" t="str">
        <f t="shared" si="712"/>
        <v>1</v>
      </c>
      <c r="AI620" t="str">
        <f t="shared" si="738"/>
        <v xml:space="preserve">1         </v>
      </c>
      <c r="AJ620" t="str">
        <f t="shared" si="699"/>
        <v>170</v>
      </c>
      <c r="AK620" t="str">
        <f>"25"</f>
        <v>25</v>
      </c>
      <c r="AL620" t="str">
        <f>"151"</f>
        <v>151</v>
      </c>
      <c r="AM620" t="str">
        <f>"11"</f>
        <v>11</v>
      </c>
      <c r="AN620" t="str">
        <f>"11001"</f>
        <v>11001</v>
      </c>
      <c r="AO620" t="str">
        <f>"22/10/2020 12:00:00 a. m."</f>
        <v>22/10/2020 12:00:00 a. m.</v>
      </c>
      <c r="AP620" t="str">
        <f>"22/09/2020 12:00:00 a. m."</f>
        <v>22/09/2020 12:00:00 a. m.</v>
      </c>
      <c r="AQ620" t="str">
        <f>"3"</f>
        <v>3</v>
      </c>
      <c r="AR620" t="str">
        <f t="shared" si="740"/>
        <v>1</v>
      </c>
      <c r="AS620" t="str">
        <f>"22/10/2020 12:00:00 a. m."</f>
        <v>22/10/2020 12:00:00 a. m.</v>
      </c>
      <c r="AT620" t="str">
        <f t="shared" si="735"/>
        <v>1</v>
      </c>
      <c r="AU620" t="str">
        <f>""</f>
        <v/>
      </c>
      <c r="AV620" t="str">
        <f>"0"</f>
        <v>0</v>
      </c>
      <c r="AW620" t="str">
        <f>"13/11/2007 12:00:00 a. m."</f>
        <v>13/11/2007 12:00:00 a. m.</v>
      </c>
      <c r="AX620" t="str">
        <f>""</f>
        <v/>
      </c>
      <c r="AY620" t="str">
        <f t="shared" si="684"/>
        <v>30/04/2021 12:00:00 a. m.</v>
      </c>
      <c r="AZ620" t="str">
        <f>"7/01/2021 12:00:00 a. m."</f>
        <v>7/01/2021 12:00:00 a. m.</v>
      </c>
      <c r="BA620" t="str">
        <f>""</f>
        <v/>
      </c>
      <c r="BB620" t="str">
        <f>""</f>
        <v/>
      </c>
      <c r="BC620" t="str">
        <f>""</f>
        <v/>
      </c>
      <c r="BD620" t="str">
        <f t="shared" si="731"/>
        <v>1</v>
      </c>
      <c r="BE620" t="str">
        <f t="shared" si="731"/>
        <v>1</v>
      </c>
      <c r="BF620" t="str">
        <f t="shared" si="685"/>
        <v xml:space="preserve">3         </v>
      </c>
      <c r="BG620" t="str">
        <f t="shared" si="686"/>
        <v>Confirmado por laboratorio</v>
      </c>
      <c r="BH620" t="str">
        <f>"FUNDACION HOSPITAL DE LA MISERICORDIA"</f>
        <v>FUNDACION HOSPITAL DE LA MISERICORDIA</v>
      </c>
      <c r="BI620" t="str">
        <f t="shared" si="703"/>
        <v>COLOMBIA</v>
      </c>
      <c r="BJ620" t="str">
        <f t="shared" si="687"/>
        <v>CANCER INFANTIL</v>
      </c>
      <c r="BK620" t="str">
        <f>"CUNDINAMARCA"</f>
        <v>CUNDINAMARCA</v>
      </c>
      <c r="BL620" t="str">
        <f>"CAQUEZA"</f>
        <v>CAQUEZA</v>
      </c>
      <c r="BM620" t="str">
        <f t="shared" si="705"/>
        <v>COLOMBIA</v>
      </c>
      <c r="BN620" t="str">
        <f>"CUNDINAMARCA"</f>
        <v>CUNDINAMARCA</v>
      </c>
      <c r="BO620" t="str">
        <f>"CAQUEZA"</f>
        <v>CAQUEZA</v>
      </c>
      <c r="BP620" t="str">
        <f t="shared" ref="BP620:BQ622" si="742">"BOGOTA"</f>
        <v>BOGOTA</v>
      </c>
      <c r="BQ620" t="str">
        <f t="shared" si="742"/>
        <v>BOGOTA</v>
      </c>
    </row>
    <row r="621" spans="1:69" x14ac:dyDescent="0.25">
      <c r="A621" t="str">
        <f>"7278940"</f>
        <v>7278940</v>
      </c>
      <c r="B621" t="str">
        <f t="shared" si="681"/>
        <v>459</v>
      </c>
      <c r="C621" t="str">
        <f>"11/12/2020 12:00:00 a. m."</f>
        <v>11/12/2020 12:00:00 a. m.</v>
      </c>
      <c r="D621" t="str">
        <f>"29"</f>
        <v>29</v>
      </c>
      <c r="E621" t="str">
        <f t="shared" si="682"/>
        <v>2020</v>
      </c>
      <c r="F621" t="str">
        <f>"1100105681"</f>
        <v>1100105681</v>
      </c>
      <c r="G621" t="str">
        <f t="shared" si="719"/>
        <v>01</v>
      </c>
      <c r="H621" t="str">
        <f>"6"</f>
        <v>6</v>
      </c>
      <c r="I621" t="str">
        <f t="shared" si="717"/>
        <v>1</v>
      </c>
      <c r="J621" t="str">
        <f>"M"</f>
        <v>M</v>
      </c>
      <c r="K621" t="str">
        <f t="shared" si="696"/>
        <v>170</v>
      </c>
      <c r="L621" t="str">
        <f>"25"</f>
        <v>25</v>
      </c>
      <c r="M621" t="str">
        <f>"754"</f>
        <v>754</v>
      </c>
      <c r="N621" t="str">
        <f>"1"</f>
        <v>1</v>
      </c>
      <c r="O621" t="str">
        <f>"9999"</f>
        <v>9999</v>
      </c>
      <c r="P621" t="str">
        <f>"S"</f>
        <v>S</v>
      </c>
      <c r="Q621" t="str">
        <f>"EPS022"</f>
        <v>EPS022</v>
      </c>
      <c r="R621" t="str">
        <f t="shared" si="710"/>
        <v>6</v>
      </c>
      <c r="S621" t="str">
        <f>""</f>
        <v/>
      </c>
      <c r="T621" t="str">
        <f t="shared" si="666"/>
        <v xml:space="preserve">                                                                                                    </v>
      </c>
      <c r="U621" t="str">
        <f>"2         "</f>
        <v xml:space="preserve">2         </v>
      </c>
      <c r="V621" t="str">
        <f t="shared" si="660"/>
        <v>2</v>
      </c>
      <c r="W621" t="str">
        <f t="shared" si="708"/>
        <v>2</v>
      </c>
      <c r="X621" t="str">
        <f t="shared" si="729"/>
        <v>2</v>
      </c>
      <c r="Y621" t="str">
        <f t="shared" si="739"/>
        <v>2</v>
      </c>
      <c r="Z621" t="str">
        <f t="shared" si="739"/>
        <v>2</v>
      </c>
      <c r="AA621" t="str">
        <f t="shared" si="683"/>
        <v xml:space="preserve">          </v>
      </c>
      <c r="AB621" t="str">
        <f t="shared" si="671"/>
        <v>2</v>
      </c>
      <c r="AC621" t="str">
        <f t="shared" si="676"/>
        <v>2</v>
      </c>
      <c r="AD621" t="str">
        <f t="shared" si="741"/>
        <v>2</v>
      </c>
      <c r="AE621" t="str">
        <f t="shared" si="741"/>
        <v>2</v>
      </c>
      <c r="AF621" t="str">
        <f t="shared" si="741"/>
        <v>2</v>
      </c>
      <c r="AG621" t="str">
        <f t="shared" si="741"/>
        <v>2</v>
      </c>
      <c r="AH621" t="str">
        <f t="shared" si="712"/>
        <v>1</v>
      </c>
      <c r="AI621" t="str">
        <f>"2         "</f>
        <v xml:space="preserve">2         </v>
      </c>
      <c r="AJ621" t="str">
        <f t="shared" si="699"/>
        <v>170</v>
      </c>
      <c r="AK621" t="str">
        <f>"25"</f>
        <v>25</v>
      </c>
      <c r="AL621" t="str">
        <f>"754"</f>
        <v>754</v>
      </c>
      <c r="AM621" t="str">
        <f>"11"</f>
        <v>11</v>
      </c>
      <c r="AN621" t="str">
        <f>"11001"</f>
        <v>11001</v>
      </c>
      <c r="AO621" t="str">
        <f>"15/07/2020 12:00:00 a. m."</f>
        <v>15/07/2020 12:00:00 a. m.</v>
      </c>
      <c r="AP621" t="str">
        <f>"1/07/2020 12:00:00 a. m."</f>
        <v>1/07/2020 12:00:00 a. m.</v>
      </c>
      <c r="AQ621" t="str">
        <f>"3"</f>
        <v>3</v>
      </c>
      <c r="AR621" t="str">
        <f t="shared" si="740"/>
        <v>1</v>
      </c>
      <c r="AS621" t="str">
        <f>"15/07/2020 12:00:00 a. m."</f>
        <v>15/07/2020 12:00:00 a. m.</v>
      </c>
      <c r="AT621" t="str">
        <f t="shared" si="735"/>
        <v>1</v>
      </c>
      <c r="AU621" t="str">
        <f>""</f>
        <v/>
      </c>
      <c r="AV621" t="str">
        <f>"0"</f>
        <v>0</v>
      </c>
      <c r="AW621" t="str">
        <f>"27/02/2014 12:00:00 a. m."</f>
        <v>27/02/2014 12:00:00 a. m.</v>
      </c>
      <c r="AX621" t="str">
        <f>""</f>
        <v/>
      </c>
      <c r="AY621" t="str">
        <f t="shared" si="684"/>
        <v>30/04/2021 12:00:00 a. m.</v>
      </c>
      <c r="AZ621" t="str">
        <f>"11/12/2020 12:00:00 a. m."</f>
        <v>11/12/2020 12:00:00 a. m.</v>
      </c>
      <c r="BA621" t="str">
        <f>""</f>
        <v/>
      </c>
      <c r="BB621" t="str">
        <f>""</f>
        <v/>
      </c>
      <c r="BC621" t="str">
        <f>""</f>
        <v/>
      </c>
      <c r="BD621" t="str">
        <f t="shared" si="731"/>
        <v>1</v>
      </c>
      <c r="BE621" t="str">
        <f t="shared" si="731"/>
        <v>1</v>
      </c>
      <c r="BF621" t="str">
        <f t="shared" si="685"/>
        <v xml:space="preserve">3         </v>
      </c>
      <c r="BG621" t="str">
        <f t="shared" si="686"/>
        <v>Confirmado por laboratorio</v>
      </c>
      <c r="BH621" t="str">
        <f>"FUNDACION HOSPITAL DE LA MISERICORDIA"</f>
        <v>FUNDACION HOSPITAL DE LA MISERICORDIA</v>
      </c>
      <c r="BI621" t="str">
        <f t="shared" si="703"/>
        <v>COLOMBIA</v>
      </c>
      <c r="BJ621" t="str">
        <f t="shared" si="687"/>
        <v>CANCER INFANTIL</v>
      </c>
      <c r="BK621" t="str">
        <f>"CUNDINAMARCA"</f>
        <v>CUNDINAMARCA</v>
      </c>
      <c r="BL621" t="str">
        <f>"SOACHA"</f>
        <v>SOACHA</v>
      </c>
      <c r="BM621" t="str">
        <f t="shared" si="705"/>
        <v>COLOMBIA</v>
      </c>
      <c r="BN621" t="str">
        <f>"CUNDINAMARCA"</f>
        <v>CUNDINAMARCA</v>
      </c>
      <c r="BO621" t="str">
        <f>"SOACHA"</f>
        <v>SOACHA</v>
      </c>
      <c r="BP621" t="str">
        <f t="shared" si="742"/>
        <v>BOGOTA</v>
      </c>
      <c r="BQ621" t="str">
        <f t="shared" si="742"/>
        <v>BOGOTA</v>
      </c>
    </row>
    <row r="622" spans="1:69" x14ac:dyDescent="0.25">
      <c r="A622" t="str">
        <f>"7291478"</f>
        <v>7291478</v>
      </c>
      <c r="B622" t="str">
        <f t="shared" si="681"/>
        <v>459</v>
      </c>
      <c r="C622" t="str">
        <f>"15/09/2020 12:00:00 a. m."</f>
        <v>15/09/2020 12:00:00 a. m.</v>
      </c>
      <c r="D622" t="str">
        <f>"38"</f>
        <v>38</v>
      </c>
      <c r="E622" t="str">
        <f t="shared" si="682"/>
        <v>2020</v>
      </c>
      <c r="F622" t="str">
        <f>"1100108171"</f>
        <v>1100108171</v>
      </c>
      <c r="G622" t="str">
        <f>"02"</f>
        <v>02</v>
      </c>
      <c r="H622" t="str">
        <f>"11"</f>
        <v>11</v>
      </c>
      <c r="I622" t="str">
        <f t="shared" si="717"/>
        <v>1</v>
      </c>
      <c r="J622" t="str">
        <f>"F"</f>
        <v>F</v>
      </c>
      <c r="K622" t="str">
        <f t="shared" si="696"/>
        <v>170</v>
      </c>
      <c r="L622" t="str">
        <f>"25"</f>
        <v>25</v>
      </c>
      <c r="M622" t="str">
        <f>"214"</f>
        <v>214</v>
      </c>
      <c r="N622" t="str">
        <f>"3"</f>
        <v>3</v>
      </c>
      <c r="O622" t="str">
        <f>"9997"</f>
        <v>9997</v>
      </c>
      <c r="P622" t="str">
        <f>"C"</f>
        <v>C</v>
      </c>
      <c r="Q622" t="str">
        <f>"EPS010"</f>
        <v>EPS010</v>
      </c>
      <c r="R622" t="str">
        <f t="shared" si="710"/>
        <v>6</v>
      </c>
      <c r="S622" t="str">
        <f>""</f>
        <v/>
      </c>
      <c r="T622" t="str">
        <f t="shared" si="666"/>
        <v xml:space="preserve">                                                                                                    </v>
      </c>
      <c r="U622" t="str">
        <f>"1         "</f>
        <v xml:space="preserve">1         </v>
      </c>
      <c r="V622" t="str">
        <f t="shared" si="660"/>
        <v>2</v>
      </c>
      <c r="W622" t="str">
        <f t="shared" si="708"/>
        <v>2</v>
      </c>
      <c r="X622" t="str">
        <f t="shared" si="729"/>
        <v>2</v>
      </c>
      <c r="Y622" t="str">
        <f t="shared" si="739"/>
        <v>2</v>
      </c>
      <c r="Z622" t="str">
        <f t="shared" si="739"/>
        <v>2</v>
      </c>
      <c r="AA622" t="str">
        <f t="shared" si="683"/>
        <v xml:space="preserve">          </v>
      </c>
      <c r="AB622" t="str">
        <f t="shared" si="671"/>
        <v>2</v>
      </c>
      <c r="AC622" t="str">
        <f t="shared" si="676"/>
        <v>2</v>
      </c>
      <c r="AD622" t="str">
        <f t="shared" si="741"/>
        <v>2</v>
      </c>
      <c r="AE622" t="str">
        <f t="shared" si="741"/>
        <v>2</v>
      </c>
      <c r="AF622" t="str">
        <f t="shared" si="741"/>
        <v>2</v>
      </c>
      <c r="AG622" t="str">
        <f t="shared" si="741"/>
        <v>2</v>
      </c>
      <c r="AH622" t="str">
        <f t="shared" si="712"/>
        <v>1</v>
      </c>
      <c r="AI622" t="str">
        <f t="shared" ref="AI622:AI629" si="743">"1         "</f>
        <v xml:space="preserve">1         </v>
      </c>
      <c r="AJ622" t="str">
        <f t="shared" si="699"/>
        <v>170</v>
      </c>
      <c r="AK622" t="str">
        <f>"25"</f>
        <v>25</v>
      </c>
      <c r="AL622" t="str">
        <f>"214"</f>
        <v>214</v>
      </c>
      <c r="AM622" t="str">
        <f>"11"</f>
        <v>11</v>
      </c>
      <c r="AN622" t="str">
        <f>"11001"</f>
        <v>11001</v>
      </c>
      <c r="AO622" t="str">
        <f>"15/09/2020 12:00:00 a. m."</f>
        <v>15/09/2020 12:00:00 a. m.</v>
      </c>
      <c r="AP622" t="str">
        <f>"15/09/2020 12:00:00 a. m."</f>
        <v>15/09/2020 12:00:00 a. m.</v>
      </c>
      <c r="AQ622" t="str">
        <f>"2"</f>
        <v>2</v>
      </c>
      <c r="AR622" t="str">
        <f t="shared" si="740"/>
        <v>1</v>
      </c>
      <c r="AS622" t="str">
        <f>"15/09/2020 12:00:00 a. m."</f>
        <v>15/09/2020 12:00:00 a. m.</v>
      </c>
      <c r="AT622" t="str">
        <f t="shared" si="735"/>
        <v>1</v>
      </c>
      <c r="AU622" t="str">
        <f>""</f>
        <v/>
      </c>
      <c r="AV622" t="str">
        <f>"3"</f>
        <v>3</v>
      </c>
      <c r="AW622" t="str">
        <f>"2/11/2008 12:00:00 a. m."</f>
        <v>2/11/2008 12:00:00 a. m.</v>
      </c>
      <c r="AX622" t="str">
        <f>""</f>
        <v/>
      </c>
      <c r="AY622" t="str">
        <f t="shared" si="684"/>
        <v>30/04/2021 12:00:00 a. m.</v>
      </c>
      <c r="AZ622" t="str">
        <f>"6/10/2020 12:00:00 a. m."</f>
        <v>6/10/2020 12:00:00 a. m.</v>
      </c>
      <c r="BA622" t="str">
        <f>""</f>
        <v/>
      </c>
      <c r="BB622" t="str">
        <f>""</f>
        <v/>
      </c>
      <c r="BC622" t="str">
        <f>""</f>
        <v/>
      </c>
      <c r="BD622" t="str">
        <f t="shared" ref="BD622:BE641" si="744">"1"</f>
        <v>1</v>
      </c>
      <c r="BE622" t="str">
        <f t="shared" si="744"/>
        <v>1</v>
      </c>
      <c r="BF622" t="str">
        <f t="shared" si="685"/>
        <v xml:space="preserve">3         </v>
      </c>
      <c r="BG622" t="str">
        <f t="shared" si="686"/>
        <v>Confirmado por laboratorio</v>
      </c>
      <c r="BH622" t="str">
        <f>"CLINICA INFANTIL COLSUBSIDIO"</f>
        <v>CLINICA INFANTIL COLSUBSIDIO</v>
      </c>
      <c r="BI622" t="str">
        <f t="shared" si="703"/>
        <v>COLOMBIA</v>
      </c>
      <c r="BJ622" t="str">
        <f t="shared" si="687"/>
        <v>CANCER INFANTIL</v>
      </c>
      <c r="BK622" t="str">
        <f>"CUNDINAMARCA"</f>
        <v>CUNDINAMARCA</v>
      </c>
      <c r="BL622" t="str">
        <f>"COTA"</f>
        <v>COTA</v>
      </c>
      <c r="BM622" t="str">
        <f t="shared" si="705"/>
        <v>COLOMBIA</v>
      </c>
      <c r="BN622" t="str">
        <f>"CUNDINAMARCA"</f>
        <v>CUNDINAMARCA</v>
      </c>
      <c r="BO622" t="str">
        <f>"COTA"</f>
        <v>COTA</v>
      </c>
      <c r="BP622" t="str">
        <f t="shared" si="742"/>
        <v>BOGOTA</v>
      </c>
      <c r="BQ622" t="str">
        <f t="shared" si="742"/>
        <v>BOGOTA</v>
      </c>
    </row>
    <row r="623" spans="1:69" x14ac:dyDescent="0.25">
      <c r="A623" t="str">
        <f>"7291534"</f>
        <v>7291534</v>
      </c>
      <c r="B623" t="str">
        <f t="shared" si="681"/>
        <v>459</v>
      </c>
      <c r="C623" t="str">
        <f>"8/03/2021 12:00:00 a. m."</f>
        <v>8/03/2021 12:00:00 a. m.</v>
      </c>
      <c r="D623" t="str">
        <f>"39"</f>
        <v>39</v>
      </c>
      <c r="E623" t="str">
        <f t="shared" si="682"/>
        <v>2020</v>
      </c>
      <c r="F623" t="str">
        <f>"0500102175"</f>
        <v>0500102175</v>
      </c>
      <c r="G623" t="str">
        <f t="shared" ref="G623:G635" si="745">"01"</f>
        <v>01</v>
      </c>
      <c r="H623" t="str">
        <f>"13"</f>
        <v>13</v>
      </c>
      <c r="I623" t="str">
        <f t="shared" si="717"/>
        <v>1</v>
      </c>
      <c r="J623" t="str">
        <f>"M"</f>
        <v>M</v>
      </c>
      <c r="K623" t="str">
        <f t="shared" si="696"/>
        <v>170</v>
      </c>
      <c r="L623" t="str">
        <f>"05"</f>
        <v>05</v>
      </c>
      <c r="M623" t="str">
        <f>"001"</f>
        <v>001</v>
      </c>
      <c r="N623" t="str">
        <f t="shared" ref="N623:N634" si="746">"1"</f>
        <v>1</v>
      </c>
      <c r="O623" t="str">
        <f>"9997"</f>
        <v>9997</v>
      </c>
      <c r="P623" t="str">
        <f>"S"</f>
        <v>S</v>
      </c>
      <c r="Q623" t="str">
        <f>"EPSS40"</f>
        <v>EPSS40</v>
      </c>
      <c r="R623" t="str">
        <f t="shared" si="710"/>
        <v>6</v>
      </c>
      <c r="S623" t="str">
        <f>""</f>
        <v/>
      </c>
      <c r="T623" t="str">
        <f t="shared" si="666"/>
        <v xml:space="preserve">                                                                                                    </v>
      </c>
      <c r="U623" t="str">
        <f>"1         "</f>
        <v xml:space="preserve">1         </v>
      </c>
      <c r="V623" t="str">
        <f t="shared" si="660"/>
        <v>2</v>
      </c>
      <c r="W623" t="str">
        <f t="shared" si="708"/>
        <v>2</v>
      </c>
      <c r="X623" t="str">
        <f t="shared" si="729"/>
        <v>2</v>
      </c>
      <c r="Y623" t="str">
        <f t="shared" si="739"/>
        <v>2</v>
      </c>
      <c r="Z623" t="str">
        <f t="shared" si="739"/>
        <v>2</v>
      </c>
      <c r="AA623" t="str">
        <f t="shared" si="683"/>
        <v xml:space="preserve">          </v>
      </c>
      <c r="AB623" t="str">
        <f t="shared" si="671"/>
        <v>2</v>
      </c>
      <c r="AC623" t="str">
        <f t="shared" si="676"/>
        <v>2</v>
      </c>
      <c r="AD623" t="str">
        <f t="shared" si="741"/>
        <v>2</v>
      </c>
      <c r="AE623" t="str">
        <f t="shared" si="741"/>
        <v>2</v>
      </c>
      <c r="AF623" t="str">
        <f t="shared" si="741"/>
        <v>2</v>
      </c>
      <c r="AG623" t="str">
        <f t="shared" si="741"/>
        <v>2</v>
      </c>
      <c r="AH623" t="str">
        <f t="shared" si="712"/>
        <v>1</v>
      </c>
      <c r="AI623" t="str">
        <f t="shared" si="743"/>
        <v xml:space="preserve">1         </v>
      </c>
      <c r="AJ623" t="str">
        <f t="shared" si="699"/>
        <v>170</v>
      </c>
      <c r="AK623" t="str">
        <f>"05"</f>
        <v>05</v>
      </c>
      <c r="AL623" t="str">
        <f>"001"</f>
        <v>001</v>
      </c>
      <c r="AM623" t="str">
        <f>"05"</f>
        <v>05</v>
      </c>
      <c r="AN623" t="str">
        <f>"05001"</f>
        <v>05001</v>
      </c>
      <c r="AO623" t="str">
        <f>"22/09/2020 12:00:00 a. m."</f>
        <v>22/09/2020 12:00:00 a. m.</v>
      </c>
      <c r="AP623" t="str">
        <f>"22/08/2020 12:00:00 a. m."</f>
        <v>22/08/2020 12:00:00 a. m.</v>
      </c>
      <c r="AQ623" t="str">
        <f>"3"</f>
        <v>3</v>
      </c>
      <c r="AR623" t="str">
        <f t="shared" si="740"/>
        <v>1</v>
      </c>
      <c r="AS623" t="str">
        <f>"30/09/2020 12:00:00 a. m."</f>
        <v>30/09/2020 12:00:00 a. m.</v>
      </c>
      <c r="AT623" t="str">
        <f t="shared" si="735"/>
        <v>1</v>
      </c>
      <c r="AU623" t="str">
        <f>""</f>
        <v/>
      </c>
      <c r="AV623" t="str">
        <f>"0"</f>
        <v>0</v>
      </c>
      <c r="AW623" t="str">
        <f>"23/07/2007 12:00:00 a. m."</f>
        <v>23/07/2007 12:00:00 a. m.</v>
      </c>
      <c r="AX623" t="str">
        <f>""</f>
        <v/>
      </c>
      <c r="AY623" t="str">
        <f t="shared" si="684"/>
        <v>30/04/2021 12:00:00 a. m.</v>
      </c>
      <c r="AZ623" t="str">
        <f>"8/03/2021 12:00:00 a. m."</f>
        <v>8/03/2021 12:00:00 a. m.</v>
      </c>
      <c r="BA623" t="str">
        <f>""</f>
        <v/>
      </c>
      <c r="BB623" t="str">
        <f>""</f>
        <v/>
      </c>
      <c r="BC623" t="str">
        <f>""</f>
        <v/>
      </c>
      <c r="BD623" t="str">
        <f t="shared" si="744"/>
        <v>1</v>
      </c>
      <c r="BE623" t="str">
        <f t="shared" si="744"/>
        <v>1</v>
      </c>
      <c r="BF623" t="str">
        <f t="shared" si="685"/>
        <v xml:space="preserve">3         </v>
      </c>
      <c r="BG623" t="str">
        <f t="shared" si="686"/>
        <v>Confirmado por laboratorio</v>
      </c>
      <c r="BH623" t="str">
        <f>"FUNDACION HOSPITALARIA SAN VICENTE DE PAUL"</f>
        <v>FUNDACION HOSPITALARIA SAN VICENTE DE PAUL</v>
      </c>
      <c r="BI623" t="str">
        <f t="shared" si="703"/>
        <v>COLOMBIA</v>
      </c>
      <c r="BJ623" t="str">
        <f t="shared" si="687"/>
        <v>CANCER INFANTIL</v>
      </c>
      <c r="BK623" t="str">
        <f>"ANTIOQUIA"</f>
        <v>ANTIOQUIA</v>
      </c>
      <c r="BL623" t="str">
        <f>"MEDELLIN"</f>
        <v>MEDELLIN</v>
      </c>
      <c r="BM623" t="str">
        <f t="shared" si="705"/>
        <v>COLOMBIA</v>
      </c>
      <c r="BN623" t="str">
        <f>"ANTIOQUIA"</f>
        <v>ANTIOQUIA</v>
      </c>
      <c r="BO623" t="str">
        <f>"MEDELLIN"</f>
        <v>MEDELLIN</v>
      </c>
      <c r="BP623" t="str">
        <f>"ANTIOQUIA"</f>
        <v>ANTIOQUIA</v>
      </c>
      <c r="BQ623" t="str">
        <f>"MEDELLIN"</f>
        <v>MEDELLIN</v>
      </c>
    </row>
    <row r="624" spans="1:69" x14ac:dyDescent="0.25">
      <c r="A624" t="str">
        <f>"7291438"</f>
        <v>7291438</v>
      </c>
      <c r="B624" t="str">
        <f t="shared" si="681"/>
        <v>459</v>
      </c>
      <c r="C624" t="str">
        <f>"21/04/2020 12:00:00 a. m."</f>
        <v>21/04/2020 12:00:00 a. m.</v>
      </c>
      <c r="D624" t="str">
        <f>"16"</f>
        <v>16</v>
      </c>
      <c r="E624" t="str">
        <f t="shared" si="682"/>
        <v>2020</v>
      </c>
      <c r="F624" t="str">
        <f>"0500102175"</f>
        <v>0500102175</v>
      </c>
      <c r="G624" t="str">
        <f t="shared" si="745"/>
        <v>01</v>
      </c>
      <c r="H624" t="str">
        <f>"3"</f>
        <v>3</v>
      </c>
      <c r="I624" t="str">
        <f t="shared" si="717"/>
        <v>1</v>
      </c>
      <c r="J624" t="str">
        <f>"F"</f>
        <v>F</v>
      </c>
      <c r="K624" t="str">
        <f t="shared" si="696"/>
        <v>170</v>
      </c>
      <c r="L624" t="str">
        <f>"05"</f>
        <v>05</v>
      </c>
      <c r="M624" t="str">
        <f>"001"</f>
        <v>001</v>
      </c>
      <c r="N624" t="str">
        <f t="shared" si="746"/>
        <v>1</v>
      </c>
      <c r="O624" t="str">
        <f>"9999"</f>
        <v>9999</v>
      </c>
      <c r="P624" t="str">
        <f>"N"</f>
        <v>N</v>
      </c>
      <c r="Q624" t="str">
        <f>""</f>
        <v/>
      </c>
      <c r="R624" t="str">
        <f t="shared" si="710"/>
        <v>6</v>
      </c>
      <c r="S624" t="str">
        <f>""</f>
        <v/>
      </c>
      <c r="T624" t="str">
        <f t="shared" si="666"/>
        <v xml:space="preserve">                                                                                                    </v>
      </c>
      <c r="U624" t="str">
        <f>"2         "</f>
        <v xml:space="preserve">2         </v>
      </c>
      <c r="V624" t="str">
        <f t="shared" si="660"/>
        <v>2</v>
      </c>
      <c r="W624" t="str">
        <f t="shared" si="708"/>
        <v>2</v>
      </c>
      <c r="X624" t="str">
        <f t="shared" si="729"/>
        <v>2</v>
      </c>
      <c r="Y624" t="str">
        <f t="shared" si="739"/>
        <v>2</v>
      </c>
      <c r="Z624" t="str">
        <f t="shared" si="739"/>
        <v>2</v>
      </c>
      <c r="AA624" t="str">
        <f t="shared" si="683"/>
        <v xml:space="preserve">          </v>
      </c>
      <c r="AB624" t="str">
        <f t="shared" si="671"/>
        <v>2</v>
      </c>
      <c r="AC624" t="str">
        <f t="shared" si="676"/>
        <v>2</v>
      </c>
      <c r="AD624" t="str">
        <f t="shared" si="741"/>
        <v>2</v>
      </c>
      <c r="AE624" t="str">
        <f t="shared" si="741"/>
        <v>2</v>
      </c>
      <c r="AF624" t="str">
        <f t="shared" si="741"/>
        <v>2</v>
      </c>
      <c r="AG624" t="str">
        <f t="shared" si="741"/>
        <v>2</v>
      </c>
      <c r="AH624" t="str">
        <f t="shared" si="712"/>
        <v>1</v>
      </c>
      <c r="AI624" t="str">
        <f t="shared" si="743"/>
        <v xml:space="preserve">1         </v>
      </c>
      <c r="AJ624" t="str">
        <f t="shared" si="699"/>
        <v>170</v>
      </c>
      <c r="AK624" t="str">
        <f>"05"</f>
        <v>05</v>
      </c>
      <c r="AL624" t="str">
        <f>"001"</f>
        <v>001</v>
      </c>
      <c r="AM624" t="str">
        <f>"05"</f>
        <v>05</v>
      </c>
      <c r="AN624" t="str">
        <f>"05001"</f>
        <v>05001</v>
      </c>
      <c r="AO624" t="str">
        <f>"14/04/2020 12:00:00 a. m."</f>
        <v>14/04/2020 12:00:00 a. m.</v>
      </c>
      <c r="AP624" t="str">
        <f>"10/04/2020 12:00:00 a. m."</f>
        <v>10/04/2020 12:00:00 a. m.</v>
      </c>
      <c r="AQ624" t="str">
        <f>"3"</f>
        <v>3</v>
      </c>
      <c r="AR624" t="str">
        <f t="shared" si="740"/>
        <v>1</v>
      </c>
      <c r="AS624" t="str">
        <f>"14/04/2020 12:00:00 a. m."</f>
        <v>14/04/2020 12:00:00 a. m.</v>
      </c>
      <c r="AT624" t="str">
        <f t="shared" si="735"/>
        <v>1</v>
      </c>
      <c r="AU624" t="str">
        <f>""</f>
        <v/>
      </c>
      <c r="AV624" t="str">
        <f>"3"</f>
        <v>3</v>
      </c>
      <c r="AW624" t="str">
        <f>"3/06/2016 12:00:00 a. m."</f>
        <v>3/06/2016 12:00:00 a. m.</v>
      </c>
      <c r="AX624" t="str">
        <f>""</f>
        <v/>
      </c>
      <c r="AY624" t="str">
        <f t="shared" si="684"/>
        <v>30/04/2021 12:00:00 a. m.</v>
      </c>
      <c r="AZ624" t="str">
        <f>"28/10/2020 12:00:00 a. m."</f>
        <v>28/10/2020 12:00:00 a. m.</v>
      </c>
      <c r="BA624" t="str">
        <f>""</f>
        <v/>
      </c>
      <c r="BB624" t="str">
        <f>""</f>
        <v/>
      </c>
      <c r="BC624" t="str">
        <f>""</f>
        <v/>
      </c>
      <c r="BD624" t="str">
        <f t="shared" si="744"/>
        <v>1</v>
      </c>
      <c r="BE624" t="str">
        <f t="shared" si="744"/>
        <v>1</v>
      </c>
      <c r="BF624" t="str">
        <f t="shared" si="685"/>
        <v xml:space="preserve">3         </v>
      </c>
      <c r="BG624" t="str">
        <f t="shared" si="686"/>
        <v>Confirmado por laboratorio</v>
      </c>
      <c r="BH624" t="str">
        <f>"FUNDACION HOSPITALARIA SAN VICENTE DE PAUL"</f>
        <v>FUNDACION HOSPITALARIA SAN VICENTE DE PAUL</v>
      </c>
      <c r="BI624" t="str">
        <f t="shared" si="703"/>
        <v>COLOMBIA</v>
      </c>
      <c r="BJ624" t="str">
        <f t="shared" si="687"/>
        <v>CANCER INFANTIL</v>
      </c>
      <c r="BK624" t="str">
        <f>"ANTIOQUIA"</f>
        <v>ANTIOQUIA</v>
      </c>
      <c r="BL624" t="str">
        <f>"MEDELLIN"</f>
        <v>MEDELLIN</v>
      </c>
      <c r="BM624" t="str">
        <f t="shared" si="705"/>
        <v>COLOMBIA</v>
      </c>
      <c r="BN624" t="str">
        <f>"ANTIOQUIA"</f>
        <v>ANTIOQUIA</v>
      </c>
      <c r="BO624" t="str">
        <f>"MEDELLIN"</f>
        <v>MEDELLIN</v>
      </c>
      <c r="BP624" t="str">
        <f>"ANTIOQUIA"</f>
        <v>ANTIOQUIA</v>
      </c>
      <c r="BQ624" t="str">
        <f>"MEDELLIN"</f>
        <v>MEDELLIN</v>
      </c>
    </row>
    <row r="625" spans="1:69" x14ac:dyDescent="0.25">
      <c r="A625" t="str">
        <f>"7278819"</f>
        <v>7278819</v>
      </c>
      <c r="B625" t="str">
        <f t="shared" si="681"/>
        <v>459</v>
      </c>
      <c r="C625" t="str">
        <f>"30/10/2020 12:00:00 a. m."</f>
        <v>30/10/2020 12:00:00 a. m.</v>
      </c>
      <c r="D625" t="str">
        <f>"44"</f>
        <v>44</v>
      </c>
      <c r="E625" t="str">
        <f t="shared" si="682"/>
        <v>2020</v>
      </c>
      <c r="F625" t="str">
        <f>"1100105681"</f>
        <v>1100105681</v>
      </c>
      <c r="G625" t="str">
        <f t="shared" si="745"/>
        <v>01</v>
      </c>
      <c r="H625" t="str">
        <f>"2"</f>
        <v>2</v>
      </c>
      <c r="I625" t="str">
        <f t="shared" si="717"/>
        <v>1</v>
      </c>
      <c r="J625" t="str">
        <f>"F"</f>
        <v>F</v>
      </c>
      <c r="K625" t="str">
        <f t="shared" si="696"/>
        <v>170</v>
      </c>
      <c r="L625" t="str">
        <f>"11"</f>
        <v>11</v>
      </c>
      <c r="M625" t="str">
        <f>"001"</f>
        <v>001</v>
      </c>
      <c r="N625" t="str">
        <f t="shared" si="746"/>
        <v>1</v>
      </c>
      <c r="O625" t="str">
        <f>"9999"</f>
        <v>9999</v>
      </c>
      <c r="P625" t="str">
        <f>"C"</f>
        <v>C</v>
      </c>
      <c r="Q625" t="str">
        <f>"EPS005"</f>
        <v>EPS005</v>
      </c>
      <c r="R625" t="str">
        <f t="shared" si="710"/>
        <v>6</v>
      </c>
      <c r="S625" t="str">
        <f>""</f>
        <v/>
      </c>
      <c r="T625" t="str">
        <f t="shared" si="666"/>
        <v xml:space="preserve">                                                                                                    </v>
      </c>
      <c r="U625" t="str">
        <f>"2         "</f>
        <v xml:space="preserve">2         </v>
      </c>
      <c r="V625" t="str">
        <f t="shared" si="660"/>
        <v>2</v>
      </c>
      <c r="W625" t="str">
        <f t="shared" ref="W625:W656" si="747">"2"</f>
        <v>2</v>
      </c>
      <c r="X625" t="str">
        <f t="shared" si="729"/>
        <v>2</v>
      </c>
      <c r="Y625" t="str">
        <f t="shared" si="739"/>
        <v>2</v>
      </c>
      <c r="Z625" t="str">
        <f t="shared" si="739"/>
        <v>2</v>
      </c>
      <c r="AA625" t="str">
        <f t="shared" si="683"/>
        <v xml:space="preserve">          </v>
      </c>
      <c r="AB625" t="str">
        <f t="shared" si="671"/>
        <v>2</v>
      </c>
      <c r="AC625" t="str">
        <f t="shared" si="676"/>
        <v>2</v>
      </c>
      <c r="AD625" t="str">
        <f t="shared" si="741"/>
        <v>2</v>
      </c>
      <c r="AE625" t="str">
        <f t="shared" si="741"/>
        <v>2</v>
      </c>
      <c r="AF625" t="str">
        <f t="shared" si="741"/>
        <v>2</v>
      </c>
      <c r="AG625" t="str">
        <f t="shared" si="741"/>
        <v>2</v>
      </c>
      <c r="AH625" t="str">
        <f t="shared" si="712"/>
        <v>1</v>
      </c>
      <c r="AI625" t="str">
        <f t="shared" si="743"/>
        <v xml:space="preserve">1         </v>
      </c>
      <c r="AJ625" t="str">
        <f t="shared" si="699"/>
        <v>170</v>
      </c>
      <c r="AK625" t="str">
        <f>"11"</f>
        <v>11</v>
      </c>
      <c r="AL625" t="str">
        <f>"001"</f>
        <v>001</v>
      </c>
      <c r="AM625" t="str">
        <f>"11"</f>
        <v>11</v>
      </c>
      <c r="AN625" t="str">
        <f>"11001"</f>
        <v>11001</v>
      </c>
      <c r="AO625" t="str">
        <f>"30/10/2020 12:00:00 a. m."</f>
        <v>30/10/2020 12:00:00 a. m.</v>
      </c>
      <c r="AP625" t="str">
        <f>"19/07/2020 12:00:00 a. m."</f>
        <v>19/07/2020 12:00:00 a. m.</v>
      </c>
      <c r="AQ625" t="str">
        <f>"3"</f>
        <v>3</v>
      </c>
      <c r="AR625" t="str">
        <f t="shared" si="740"/>
        <v>1</v>
      </c>
      <c r="AS625" t="str">
        <f>"30/10/2020 12:00:00 a. m."</f>
        <v>30/10/2020 12:00:00 a. m.</v>
      </c>
      <c r="AT625" t="str">
        <f t="shared" si="735"/>
        <v>1</v>
      </c>
      <c r="AU625" t="str">
        <f>""</f>
        <v/>
      </c>
      <c r="AV625" t="str">
        <f>"7"</f>
        <v>7</v>
      </c>
      <c r="AW625" t="str">
        <f>"16/02/2018 12:00:00 a. m."</f>
        <v>16/02/2018 12:00:00 a. m.</v>
      </c>
      <c r="AX625" t="str">
        <f>""</f>
        <v/>
      </c>
      <c r="AY625" t="str">
        <f t="shared" si="684"/>
        <v>30/04/2021 12:00:00 a. m.</v>
      </c>
      <c r="AZ625" t="str">
        <f>"26/01/2021 12:00:00 a. m."</f>
        <v>26/01/2021 12:00:00 a. m.</v>
      </c>
      <c r="BA625" t="str">
        <f>""</f>
        <v/>
      </c>
      <c r="BB625" t="str">
        <f>""</f>
        <v/>
      </c>
      <c r="BC625" t="str">
        <f>""</f>
        <v/>
      </c>
      <c r="BD625" t="str">
        <f t="shared" si="744"/>
        <v>1</v>
      </c>
      <c r="BE625" t="str">
        <f t="shared" si="744"/>
        <v>1</v>
      </c>
      <c r="BF625" t="str">
        <f t="shared" si="685"/>
        <v xml:space="preserve">3         </v>
      </c>
      <c r="BG625" t="str">
        <f t="shared" si="686"/>
        <v>Confirmado por laboratorio</v>
      </c>
      <c r="BH625" t="str">
        <f>"FUNDACION HOSPITAL DE LA MISERICORDIA"</f>
        <v>FUNDACION HOSPITAL DE LA MISERICORDIA</v>
      </c>
      <c r="BI625" t="str">
        <f t="shared" si="703"/>
        <v>COLOMBIA</v>
      </c>
      <c r="BJ625" t="str">
        <f t="shared" si="687"/>
        <v>CANCER INFANTIL</v>
      </c>
      <c r="BK625" t="str">
        <f>"BOGOTA"</f>
        <v>BOGOTA</v>
      </c>
      <c r="BL625" t="str">
        <f>"BOGOTA"</f>
        <v>BOGOTA</v>
      </c>
      <c r="BM625" t="str">
        <f t="shared" si="705"/>
        <v>COLOMBIA</v>
      </c>
      <c r="BN625" t="str">
        <f>"BOGOTA"</f>
        <v>BOGOTA</v>
      </c>
      <c r="BO625" t="str">
        <f>"BOGOTA"</f>
        <v>BOGOTA</v>
      </c>
      <c r="BP625" t="str">
        <f>"BOGOTA"</f>
        <v>BOGOTA</v>
      </c>
      <c r="BQ625" t="str">
        <f>"BOGOTA"</f>
        <v>BOGOTA</v>
      </c>
    </row>
    <row r="626" spans="1:69" x14ac:dyDescent="0.25">
      <c r="A626" t="str">
        <f>"7278820"</f>
        <v>7278820</v>
      </c>
      <c r="B626" t="str">
        <f t="shared" si="681"/>
        <v>459</v>
      </c>
      <c r="C626" t="str">
        <f>"10/06/2020 12:00:00 a. m."</f>
        <v>10/06/2020 12:00:00 a. m.</v>
      </c>
      <c r="D626" t="str">
        <f>"19"</f>
        <v>19</v>
      </c>
      <c r="E626" t="str">
        <f t="shared" si="682"/>
        <v>2020</v>
      </c>
      <c r="F626" t="str">
        <f>"1100105681"</f>
        <v>1100105681</v>
      </c>
      <c r="G626" t="str">
        <f t="shared" si="745"/>
        <v>01</v>
      </c>
      <c r="H626" t="str">
        <f>"9"</f>
        <v>9</v>
      </c>
      <c r="I626" t="str">
        <f t="shared" si="717"/>
        <v>1</v>
      </c>
      <c r="J626" t="str">
        <f>"M"</f>
        <v>M</v>
      </c>
      <c r="K626" t="str">
        <f t="shared" si="696"/>
        <v>170</v>
      </c>
      <c r="L626" t="str">
        <f>"25"</f>
        <v>25</v>
      </c>
      <c r="M626" t="str">
        <f>"286"</f>
        <v>286</v>
      </c>
      <c r="N626" t="str">
        <f t="shared" si="746"/>
        <v>1</v>
      </c>
      <c r="O626" t="str">
        <f>"9997"</f>
        <v>9997</v>
      </c>
      <c r="P626" t="str">
        <f>"C"</f>
        <v>C</v>
      </c>
      <c r="Q626" t="str">
        <f>"EPS017"</f>
        <v>EPS017</v>
      </c>
      <c r="R626" t="str">
        <f t="shared" si="710"/>
        <v>6</v>
      </c>
      <c r="S626" t="str">
        <f>""</f>
        <v/>
      </c>
      <c r="T626" t="str">
        <f t="shared" si="666"/>
        <v xml:space="preserve">                                                                                                    </v>
      </c>
      <c r="U626" t="str">
        <f>"2         "</f>
        <v xml:space="preserve">2         </v>
      </c>
      <c r="V626" t="str">
        <f t="shared" si="660"/>
        <v>2</v>
      </c>
      <c r="W626" t="str">
        <f t="shared" si="747"/>
        <v>2</v>
      </c>
      <c r="X626" t="str">
        <f t="shared" si="729"/>
        <v>2</v>
      </c>
      <c r="Y626" t="str">
        <f t="shared" si="739"/>
        <v>2</v>
      </c>
      <c r="Z626" t="str">
        <f t="shared" si="739"/>
        <v>2</v>
      </c>
      <c r="AA626" t="str">
        <f t="shared" si="683"/>
        <v xml:space="preserve">          </v>
      </c>
      <c r="AB626" t="str">
        <f t="shared" si="671"/>
        <v>2</v>
      </c>
      <c r="AC626" t="str">
        <f t="shared" si="676"/>
        <v>2</v>
      </c>
      <c r="AD626" t="str">
        <f t="shared" si="741"/>
        <v>2</v>
      </c>
      <c r="AE626" t="str">
        <f t="shared" si="741"/>
        <v>2</v>
      </c>
      <c r="AF626" t="str">
        <f t="shared" si="741"/>
        <v>2</v>
      </c>
      <c r="AG626" t="str">
        <f t="shared" si="741"/>
        <v>2</v>
      </c>
      <c r="AH626" t="str">
        <f t="shared" si="712"/>
        <v>1</v>
      </c>
      <c r="AI626" t="str">
        <f t="shared" si="743"/>
        <v xml:space="preserve">1         </v>
      </c>
      <c r="AJ626" t="str">
        <f t="shared" si="699"/>
        <v>170</v>
      </c>
      <c r="AK626" t="str">
        <f>"25"</f>
        <v>25</v>
      </c>
      <c r="AL626" t="str">
        <f>"286"</f>
        <v>286</v>
      </c>
      <c r="AM626" t="str">
        <f>"11"</f>
        <v>11</v>
      </c>
      <c r="AN626" t="str">
        <f>"11001"</f>
        <v>11001</v>
      </c>
      <c r="AO626" t="str">
        <f>"9/05/2020 12:00:00 a. m."</f>
        <v>9/05/2020 12:00:00 a. m.</v>
      </c>
      <c r="AP626" t="str">
        <f>"8/05/2020 12:00:00 a. m."</f>
        <v>8/05/2020 12:00:00 a. m.</v>
      </c>
      <c r="AQ626" t="str">
        <f>"3"</f>
        <v>3</v>
      </c>
      <c r="AR626" t="str">
        <f t="shared" si="740"/>
        <v>1</v>
      </c>
      <c r="AS626" t="str">
        <f>"9/05/2020 12:00:00 a. m."</f>
        <v>9/05/2020 12:00:00 a. m.</v>
      </c>
      <c r="AT626" t="str">
        <f t="shared" si="735"/>
        <v>1</v>
      </c>
      <c r="AU626" t="str">
        <f>""</f>
        <v/>
      </c>
      <c r="AV626" t="str">
        <f>"0"</f>
        <v>0</v>
      </c>
      <c r="AW626" t="str">
        <f>"18/10/2010 12:00:00 a. m."</f>
        <v>18/10/2010 12:00:00 a. m.</v>
      </c>
      <c r="AX626" t="str">
        <f>""</f>
        <v/>
      </c>
      <c r="AY626" t="str">
        <f t="shared" si="684"/>
        <v>30/04/2021 12:00:00 a. m.</v>
      </c>
      <c r="AZ626" t="str">
        <f>"7/09/2020 12:00:00 a. m."</f>
        <v>7/09/2020 12:00:00 a. m.</v>
      </c>
      <c r="BA626" t="str">
        <f>""</f>
        <v/>
      </c>
      <c r="BB626" t="str">
        <f>""</f>
        <v/>
      </c>
      <c r="BC626" t="str">
        <f>""</f>
        <v/>
      </c>
      <c r="BD626" t="str">
        <f t="shared" si="744"/>
        <v>1</v>
      </c>
      <c r="BE626" t="str">
        <f t="shared" si="744"/>
        <v>1</v>
      </c>
      <c r="BF626" t="str">
        <f t="shared" si="685"/>
        <v xml:space="preserve">3         </v>
      </c>
      <c r="BG626" t="str">
        <f t="shared" si="686"/>
        <v>Confirmado por laboratorio</v>
      </c>
      <c r="BH626" t="str">
        <f>"FUNDACION HOSPITAL DE LA MISERICORDIA"</f>
        <v>FUNDACION HOSPITAL DE LA MISERICORDIA</v>
      </c>
      <c r="BI626" t="str">
        <f t="shared" si="703"/>
        <v>COLOMBIA</v>
      </c>
      <c r="BJ626" t="str">
        <f t="shared" si="687"/>
        <v>CANCER INFANTIL</v>
      </c>
      <c r="BK626" t="str">
        <f>"CUNDINAMARCA"</f>
        <v>CUNDINAMARCA</v>
      </c>
      <c r="BL626" t="str">
        <f>"FUNZA"</f>
        <v>FUNZA</v>
      </c>
      <c r="BM626" t="str">
        <f t="shared" si="705"/>
        <v>COLOMBIA</v>
      </c>
      <c r="BN626" t="str">
        <f>"CUNDINAMARCA"</f>
        <v>CUNDINAMARCA</v>
      </c>
      <c r="BO626" t="str">
        <f>"FUNZA"</f>
        <v>FUNZA</v>
      </c>
      <c r="BP626" t="str">
        <f>"BOGOTA"</f>
        <v>BOGOTA</v>
      </c>
      <c r="BQ626" t="str">
        <f>"BOGOTA"</f>
        <v>BOGOTA</v>
      </c>
    </row>
    <row r="627" spans="1:69" x14ac:dyDescent="0.25">
      <c r="A627" t="str">
        <f>"7278824"</f>
        <v>7278824</v>
      </c>
      <c r="B627" t="str">
        <f t="shared" si="681"/>
        <v>459</v>
      </c>
      <c r="C627" t="str">
        <f>"9/02/2020 12:00:00 a. m."</f>
        <v>9/02/2020 12:00:00 a. m.</v>
      </c>
      <c r="D627" t="str">
        <f>"06"</f>
        <v>06</v>
      </c>
      <c r="E627" t="str">
        <f t="shared" si="682"/>
        <v>2020</v>
      </c>
      <c r="F627" t="str">
        <f>"1100105668"</f>
        <v>1100105668</v>
      </c>
      <c r="G627" t="str">
        <f t="shared" si="745"/>
        <v>01</v>
      </c>
      <c r="H627" t="str">
        <f>"7"</f>
        <v>7</v>
      </c>
      <c r="I627" t="str">
        <f>"2"</f>
        <v>2</v>
      </c>
      <c r="J627" t="str">
        <f>"M"</f>
        <v>M</v>
      </c>
      <c r="K627" t="str">
        <f t="shared" si="696"/>
        <v>170</v>
      </c>
      <c r="L627" t="str">
        <f>"11"</f>
        <v>11</v>
      </c>
      <c r="M627" t="str">
        <f>"001"</f>
        <v>001</v>
      </c>
      <c r="N627" t="str">
        <f t="shared" si="746"/>
        <v>1</v>
      </c>
      <c r="O627" t="str">
        <f>"9999"</f>
        <v>9999</v>
      </c>
      <c r="P627" t="str">
        <f>"C"</f>
        <v>C</v>
      </c>
      <c r="Q627" t="str">
        <f>"EPS037"</f>
        <v>EPS037</v>
      </c>
      <c r="R627" t="str">
        <f t="shared" si="710"/>
        <v>6</v>
      </c>
      <c r="S627" t="str">
        <f>""</f>
        <v/>
      </c>
      <c r="T627" t="str">
        <f t="shared" si="666"/>
        <v xml:space="preserve">                                                                                                    </v>
      </c>
      <c r="U627" t="str">
        <f>"2         "</f>
        <v xml:space="preserve">2         </v>
      </c>
      <c r="V627" t="str">
        <f t="shared" ref="V627:V690" si="748">"2"</f>
        <v>2</v>
      </c>
      <c r="W627" t="str">
        <f t="shared" si="747"/>
        <v>2</v>
      </c>
      <c r="X627" t="str">
        <f t="shared" si="729"/>
        <v>2</v>
      </c>
      <c r="Y627" t="str">
        <f t="shared" si="739"/>
        <v>2</v>
      </c>
      <c r="Z627" t="str">
        <f t="shared" si="739"/>
        <v>2</v>
      </c>
      <c r="AA627" t="str">
        <f t="shared" si="683"/>
        <v xml:space="preserve">          </v>
      </c>
      <c r="AB627" t="str">
        <f t="shared" si="671"/>
        <v>2</v>
      </c>
      <c r="AC627" t="str">
        <f t="shared" si="676"/>
        <v>2</v>
      </c>
      <c r="AD627" t="str">
        <f t="shared" si="741"/>
        <v>2</v>
      </c>
      <c r="AE627" t="str">
        <f t="shared" si="741"/>
        <v>2</v>
      </c>
      <c r="AF627" t="str">
        <f t="shared" si="741"/>
        <v>2</v>
      </c>
      <c r="AG627" t="str">
        <f t="shared" si="741"/>
        <v>2</v>
      </c>
      <c r="AH627" t="str">
        <f t="shared" ref="AH627:AH658" si="749">"1"</f>
        <v>1</v>
      </c>
      <c r="AI627" t="str">
        <f t="shared" si="743"/>
        <v xml:space="preserve">1         </v>
      </c>
      <c r="AJ627" t="str">
        <f t="shared" si="699"/>
        <v>170</v>
      </c>
      <c r="AK627" t="str">
        <f>"11"</f>
        <v>11</v>
      </c>
      <c r="AL627" t="str">
        <f>"001"</f>
        <v>001</v>
      </c>
      <c r="AM627" t="str">
        <f>"11"</f>
        <v>11</v>
      </c>
      <c r="AN627" t="str">
        <f>"11001"</f>
        <v>11001</v>
      </c>
      <c r="AO627" t="str">
        <f>"7/02/2020 12:00:00 a. m."</f>
        <v>7/02/2020 12:00:00 a. m.</v>
      </c>
      <c r="AP627" t="str">
        <f>"27/01/2020 12:00:00 a. m."</f>
        <v>27/01/2020 12:00:00 a. m.</v>
      </c>
      <c r="AQ627" t="str">
        <f>"2"</f>
        <v>2</v>
      </c>
      <c r="AR627" t="str">
        <f t="shared" si="740"/>
        <v>1</v>
      </c>
      <c r="AS627" t="str">
        <f>"7/02/2020 12:00:00 a. m."</f>
        <v>7/02/2020 12:00:00 a. m.</v>
      </c>
      <c r="AT627" t="str">
        <f t="shared" si="735"/>
        <v>1</v>
      </c>
      <c r="AU627" t="str">
        <f>""</f>
        <v/>
      </c>
      <c r="AV627" t="str">
        <f>"3"</f>
        <v>3</v>
      </c>
      <c r="AW627" t="str">
        <f>"5/07/2019 12:00:00 a. m."</f>
        <v>5/07/2019 12:00:00 a. m.</v>
      </c>
      <c r="AX627" t="str">
        <f>""</f>
        <v/>
      </c>
      <c r="AY627" t="str">
        <f t="shared" si="684"/>
        <v>30/04/2021 12:00:00 a. m.</v>
      </c>
      <c r="AZ627" t="str">
        <f>"3/03/2020 12:00:00 a. m."</f>
        <v>3/03/2020 12:00:00 a. m.</v>
      </c>
      <c r="BA627" t="str">
        <f>""</f>
        <v/>
      </c>
      <c r="BB627" t="str">
        <f>""</f>
        <v/>
      </c>
      <c r="BC627" t="str">
        <f>""</f>
        <v/>
      </c>
      <c r="BD627" t="str">
        <f t="shared" si="744"/>
        <v>1</v>
      </c>
      <c r="BE627" t="str">
        <f t="shared" si="744"/>
        <v>1</v>
      </c>
      <c r="BF627" t="str">
        <f t="shared" si="685"/>
        <v xml:space="preserve">3         </v>
      </c>
      <c r="BG627" t="str">
        <f t="shared" si="686"/>
        <v>Confirmado por laboratorio</v>
      </c>
      <c r="BH627" t="str">
        <f>"H UNIVERSITARIO CLINICA SAN RAFAEL - SAN CRISTOBA"</f>
        <v>H UNIVERSITARIO CLINICA SAN RAFAEL - SAN CRISTOBA</v>
      </c>
      <c r="BI627" t="str">
        <f t="shared" si="703"/>
        <v>COLOMBIA</v>
      </c>
      <c r="BJ627" t="str">
        <f t="shared" si="687"/>
        <v>CANCER INFANTIL</v>
      </c>
      <c r="BK627" t="str">
        <f>"BOGOTA"</f>
        <v>BOGOTA</v>
      </c>
      <c r="BL627" t="str">
        <f>"BOGOTA"</f>
        <v>BOGOTA</v>
      </c>
      <c r="BM627" t="str">
        <f t="shared" si="705"/>
        <v>COLOMBIA</v>
      </c>
      <c r="BN627" t="str">
        <f>"BOGOTA"</f>
        <v>BOGOTA</v>
      </c>
      <c r="BO627" t="str">
        <f>"BOGOTA"</f>
        <v>BOGOTA</v>
      </c>
      <c r="BP627" t="str">
        <f>"BOGOTA"</f>
        <v>BOGOTA</v>
      </c>
      <c r="BQ627" t="str">
        <f>"BOGOTA"</f>
        <v>BOGOTA</v>
      </c>
    </row>
    <row r="628" spans="1:69" x14ac:dyDescent="0.25">
      <c r="A628" t="str">
        <f>"7291439"</f>
        <v>7291439</v>
      </c>
      <c r="B628" t="str">
        <f t="shared" si="681"/>
        <v>459</v>
      </c>
      <c r="C628" t="str">
        <f>"7/12/2020 12:00:00 a. m."</f>
        <v>7/12/2020 12:00:00 a. m.</v>
      </c>
      <c r="D628" t="str">
        <f>"48"</f>
        <v>48</v>
      </c>
      <c r="E628" t="str">
        <f t="shared" si="682"/>
        <v>2020</v>
      </c>
      <c r="F628" t="str">
        <f>"0500102175"</f>
        <v>0500102175</v>
      </c>
      <c r="G628" t="str">
        <f t="shared" si="745"/>
        <v>01</v>
      </c>
      <c r="H628" t="str">
        <f>"3"</f>
        <v>3</v>
      </c>
      <c r="I628" t="str">
        <f t="shared" ref="I628:I659" si="750">"1"</f>
        <v>1</v>
      </c>
      <c r="J628" t="str">
        <f>"M"</f>
        <v>M</v>
      </c>
      <c r="K628" t="str">
        <f t="shared" si="696"/>
        <v>170</v>
      </c>
      <c r="L628" t="str">
        <f>"05"</f>
        <v>05</v>
      </c>
      <c r="M628" t="str">
        <f>"001"</f>
        <v>001</v>
      </c>
      <c r="N628" t="str">
        <f t="shared" si="746"/>
        <v>1</v>
      </c>
      <c r="O628" t="str">
        <f>"9999"</f>
        <v>9999</v>
      </c>
      <c r="P628" t="str">
        <f>"C"</f>
        <v>C</v>
      </c>
      <c r="Q628" t="str">
        <f>"EPS010"</f>
        <v>EPS010</v>
      </c>
      <c r="R628" t="str">
        <f t="shared" si="710"/>
        <v>6</v>
      </c>
      <c r="S628" t="str">
        <f>""</f>
        <v/>
      </c>
      <c r="T628" t="str">
        <f t="shared" si="666"/>
        <v xml:space="preserve">                                                                                                    </v>
      </c>
      <c r="U628" t="str">
        <f>"3         "</f>
        <v xml:space="preserve">3         </v>
      </c>
      <c r="V628" t="str">
        <f t="shared" si="748"/>
        <v>2</v>
      </c>
      <c r="W628" t="str">
        <f t="shared" si="747"/>
        <v>2</v>
      </c>
      <c r="X628" t="str">
        <f t="shared" si="729"/>
        <v>2</v>
      </c>
      <c r="Y628" t="str">
        <f t="shared" si="739"/>
        <v>2</v>
      </c>
      <c r="Z628" t="str">
        <f t="shared" si="739"/>
        <v>2</v>
      </c>
      <c r="AA628" t="str">
        <f t="shared" si="683"/>
        <v xml:space="preserve">          </v>
      </c>
      <c r="AB628" t="str">
        <f t="shared" si="671"/>
        <v>2</v>
      </c>
      <c r="AC628" t="str">
        <f t="shared" si="676"/>
        <v>2</v>
      </c>
      <c r="AD628" t="str">
        <f t="shared" si="741"/>
        <v>2</v>
      </c>
      <c r="AE628" t="str">
        <f t="shared" si="741"/>
        <v>2</v>
      </c>
      <c r="AF628" t="str">
        <f t="shared" si="741"/>
        <v>2</v>
      </c>
      <c r="AG628" t="str">
        <f t="shared" si="741"/>
        <v>2</v>
      </c>
      <c r="AH628" t="str">
        <f t="shared" si="749"/>
        <v>1</v>
      </c>
      <c r="AI628" t="str">
        <f t="shared" si="743"/>
        <v xml:space="preserve">1         </v>
      </c>
      <c r="AJ628" t="str">
        <f t="shared" si="699"/>
        <v>170</v>
      </c>
      <c r="AK628" t="str">
        <f>"05"</f>
        <v>05</v>
      </c>
      <c r="AL628" t="str">
        <f>"001"</f>
        <v>001</v>
      </c>
      <c r="AM628" t="str">
        <f>"05"</f>
        <v>05</v>
      </c>
      <c r="AN628" t="str">
        <f>"05001"</f>
        <v>05001</v>
      </c>
      <c r="AO628" t="str">
        <f>"26/11/2020 12:00:00 a. m."</f>
        <v>26/11/2020 12:00:00 a. m.</v>
      </c>
      <c r="AP628" t="str">
        <f>"26/09/2020 12:00:00 a. m."</f>
        <v>26/09/2020 12:00:00 a. m.</v>
      </c>
      <c r="AQ628" t="str">
        <f t="shared" ref="AQ628:AQ635" si="751">"3"</f>
        <v>3</v>
      </c>
      <c r="AR628" t="str">
        <f t="shared" si="740"/>
        <v>1</v>
      </c>
      <c r="AS628" t="str">
        <f>"26/11/2020 12:00:00 a. m."</f>
        <v>26/11/2020 12:00:00 a. m.</v>
      </c>
      <c r="AT628" t="str">
        <f t="shared" si="735"/>
        <v>1</v>
      </c>
      <c r="AU628" t="str">
        <f>""</f>
        <v/>
      </c>
      <c r="AV628" t="str">
        <f>"0"</f>
        <v>0</v>
      </c>
      <c r="AW628" t="str">
        <f>"16/03/2017 12:00:00 a. m."</f>
        <v>16/03/2017 12:00:00 a. m.</v>
      </c>
      <c r="AX628" t="str">
        <f>""</f>
        <v/>
      </c>
      <c r="AY628" t="str">
        <f t="shared" si="684"/>
        <v>30/04/2021 12:00:00 a. m.</v>
      </c>
      <c r="AZ628" t="str">
        <f>"7/12/2020 12:00:00 a. m."</f>
        <v>7/12/2020 12:00:00 a. m.</v>
      </c>
      <c r="BA628" t="str">
        <f>""</f>
        <v/>
      </c>
      <c r="BB628" t="str">
        <f>""</f>
        <v/>
      </c>
      <c r="BC628" t="str">
        <f>""</f>
        <v/>
      </c>
      <c r="BD628" t="str">
        <f t="shared" si="744"/>
        <v>1</v>
      </c>
      <c r="BE628" t="str">
        <f t="shared" si="744"/>
        <v>1</v>
      </c>
      <c r="BF628" t="str">
        <f t="shared" si="685"/>
        <v xml:space="preserve">3         </v>
      </c>
      <c r="BG628" t="str">
        <f t="shared" si="686"/>
        <v>Confirmado por laboratorio</v>
      </c>
      <c r="BH628" t="str">
        <f>"FUNDACION HOSPITALARIA SAN VICENTE DE PAUL"</f>
        <v>FUNDACION HOSPITALARIA SAN VICENTE DE PAUL</v>
      </c>
      <c r="BI628" t="str">
        <f t="shared" si="703"/>
        <v>COLOMBIA</v>
      </c>
      <c r="BJ628" t="str">
        <f t="shared" si="687"/>
        <v>CANCER INFANTIL</v>
      </c>
      <c r="BK628" t="str">
        <f>"ANTIOQUIA"</f>
        <v>ANTIOQUIA</v>
      </c>
      <c r="BL628" t="str">
        <f>"MEDELLIN"</f>
        <v>MEDELLIN</v>
      </c>
      <c r="BM628" t="str">
        <f t="shared" si="705"/>
        <v>COLOMBIA</v>
      </c>
      <c r="BN628" t="str">
        <f>"ANTIOQUIA"</f>
        <v>ANTIOQUIA</v>
      </c>
      <c r="BO628" t="str">
        <f>"MEDELLIN"</f>
        <v>MEDELLIN</v>
      </c>
      <c r="BP628" t="str">
        <f>"ANTIOQUIA"</f>
        <v>ANTIOQUIA</v>
      </c>
      <c r="BQ628" t="str">
        <f>"MEDELLIN"</f>
        <v>MEDELLIN</v>
      </c>
    </row>
    <row r="629" spans="1:69" x14ac:dyDescent="0.25">
      <c r="A629" t="str">
        <f>"7291440"</f>
        <v>7291440</v>
      </c>
      <c r="B629" t="str">
        <f t="shared" si="681"/>
        <v>459</v>
      </c>
      <c r="C629" t="str">
        <f>"26/10/2020 12:00:00 a. m."</f>
        <v>26/10/2020 12:00:00 a. m.</v>
      </c>
      <c r="D629" t="str">
        <f>"38"</f>
        <v>38</v>
      </c>
      <c r="E629" t="str">
        <f t="shared" si="682"/>
        <v>2020</v>
      </c>
      <c r="F629" t="str">
        <f>"0500102175"</f>
        <v>0500102175</v>
      </c>
      <c r="G629" t="str">
        <f t="shared" si="745"/>
        <v>01</v>
      </c>
      <c r="H629" t="str">
        <f>"3"</f>
        <v>3</v>
      </c>
      <c r="I629" t="str">
        <f t="shared" si="750"/>
        <v>1</v>
      </c>
      <c r="J629" t="str">
        <f>"F"</f>
        <v>F</v>
      </c>
      <c r="K629" t="str">
        <f t="shared" si="696"/>
        <v>170</v>
      </c>
      <c r="L629" t="str">
        <f>"05"</f>
        <v>05</v>
      </c>
      <c r="M629" t="str">
        <f>"001"</f>
        <v>001</v>
      </c>
      <c r="N629" t="str">
        <f t="shared" si="746"/>
        <v>1</v>
      </c>
      <c r="O629" t="str">
        <f>"9999"</f>
        <v>9999</v>
      </c>
      <c r="P629" t="str">
        <f>"C"</f>
        <v>C</v>
      </c>
      <c r="Q629" t="str">
        <f>"EPS005"</f>
        <v>EPS005</v>
      </c>
      <c r="R629" t="str">
        <f t="shared" si="710"/>
        <v>6</v>
      </c>
      <c r="S629" t="str">
        <f>""</f>
        <v/>
      </c>
      <c r="T629" t="str">
        <f t="shared" ref="T629:T667" si="752">"                                                                                                    "</f>
        <v xml:space="preserve">                                                                                                    </v>
      </c>
      <c r="U629" t="str">
        <f>"3         "</f>
        <v xml:space="preserve">3         </v>
      </c>
      <c r="V629" t="str">
        <f t="shared" si="748"/>
        <v>2</v>
      </c>
      <c r="W629" t="str">
        <f t="shared" si="747"/>
        <v>2</v>
      </c>
      <c r="X629" t="str">
        <f t="shared" si="729"/>
        <v>2</v>
      </c>
      <c r="Y629" t="str">
        <f t="shared" si="739"/>
        <v>2</v>
      </c>
      <c r="Z629" t="str">
        <f t="shared" si="739"/>
        <v>2</v>
      </c>
      <c r="AA629" t="str">
        <f t="shared" si="683"/>
        <v xml:space="preserve">          </v>
      </c>
      <c r="AB629" t="str">
        <f t="shared" si="671"/>
        <v>2</v>
      </c>
      <c r="AC629" t="str">
        <f t="shared" si="676"/>
        <v>2</v>
      </c>
      <c r="AD629" t="str">
        <f t="shared" si="741"/>
        <v>2</v>
      </c>
      <c r="AE629" t="str">
        <f t="shared" si="741"/>
        <v>2</v>
      </c>
      <c r="AF629" t="str">
        <f t="shared" si="741"/>
        <v>2</v>
      </c>
      <c r="AG629" t="str">
        <f t="shared" si="741"/>
        <v>2</v>
      </c>
      <c r="AH629" t="str">
        <f t="shared" si="749"/>
        <v>1</v>
      </c>
      <c r="AI629" t="str">
        <f t="shared" si="743"/>
        <v xml:space="preserve">1         </v>
      </c>
      <c r="AJ629" t="str">
        <f t="shared" si="699"/>
        <v>170</v>
      </c>
      <c r="AK629" t="str">
        <f>"05"</f>
        <v>05</v>
      </c>
      <c r="AL629" t="str">
        <f>"001"</f>
        <v>001</v>
      </c>
      <c r="AM629" t="str">
        <f>"05"</f>
        <v>05</v>
      </c>
      <c r="AN629" t="str">
        <f>"05001"</f>
        <v>05001</v>
      </c>
      <c r="AO629" t="str">
        <f>"14/09/2020 12:00:00 a. m."</f>
        <v>14/09/2020 12:00:00 a. m.</v>
      </c>
      <c r="AP629" t="str">
        <f>"9/09/2020 12:00:00 a. m."</f>
        <v>9/09/2020 12:00:00 a. m.</v>
      </c>
      <c r="AQ629" t="str">
        <f t="shared" si="751"/>
        <v>3</v>
      </c>
      <c r="AR629" t="str">
        <f t="shared" si="740"/>
        <v>1</v>
      </c>
      <c r="AS629" t="str">
        <f>"14/09/2020 12:00:00 a. m."</f>
        <v>14/09/2020 12:00:00 a. m.</v>
      </c>
      <c r="AT629" t="str">
        <f t="shared" si="735"/>
        <v>1</v>
      </c>
      <c r="AU629" t="str">
        <f>""</f>
        <v/>
      </c>
      <c r="AV629" t="str">
        <f>"0"</f>
        <v>0</v>
      </c>
      <c r="AW629" t="str">
        <f>"15/10/2017 12:00:00 a. m."</f>
        <v>15/10/2017 12:00:00 a. m.</v>
      </c>
      <c r="AX629" t="str">
        <f>""</f>
        <v/>
      </c>
      <c r="AY629" t="str">
        <f t="shared" si="684"/>
        <v>30/04/2021 12:00:00 a. m.</v>
      </c>
      <c r="AZ629" t="str">
        <f>"26/10/2020 12:00:00 a. m."</f>
        <v>26/10/2020 12:00:00 a. m.</v>
      </c>
      <c r="BA629" t="str">
        <f>""</f>
        <v/>
      </c>
      <c r="BB629" t="str">
        <f>""</f>
        <v/>
      </c>
      <c r="BC629" t="str">
        <f>""</f>
        <v/>
      </c>
      <c r="BD629" t="str">
        <f t="shared" si="744"/>
        <v>1</v>
      </c>
      <c r="BE629" t="str">
        <f t="shared" si="744"/>
        <v>1</v>
      </c>
      <c r="BF629" t="str">
        <f t="shared" si="685"/>
        <v xml:space="preserve">3         </v>
      </c>
      <c r="BG629" t="str">
        <f t="shared" si="686"/>
        <v>Confirmado por laboratorio</v>
      </c>
      <c r="BH629" t="str">
        <f>"FUNDACION HOSPITALARIA SAN VICENTE DE PAUL"</f>
        <v>FUNDACION HOSPITALARIA SAN VICENTE DE PAUL</v>
      </c>
      <c r="BI629" t="str">
        <f t="shared" si="703"/>
        <v>COLOMBIA</v>
      </c>
      <c r="BJ629" t="str">
        <f t="shared" si="687"/>
        <v>CANCER INFANTIL</v>
      </c>
      <c r="BK629" t="str">
        <f>"ANTIOQUIA"</f>
        <v>ANTIOQUIA</v>
      </c>
      <c r="BL629" t="str">
        <f>"MEDELLIN"</f>
        <v>MEDELLIN</v>
      </c>
      <c r="BM629" t="str">
        <f t="shared" si="705"/>
        <v>COLOMBIA</v>
      </c>
      <c r="BN629" t="str">
        <f>"ANTIOQUIA"</f>
        <v>ANTIOQUIA</v>
      </c>
      <c r="BO629" t="str">
        <f>"MEDELLIN"</f>
        <v>MEDELLIN</v>
      </c>
      <c r="BP629" t="str">
        <f>"ANTIOQUIA"</f>
        <v>ANTIOQUIA</v>
      </c>
      <c r="BQ629" t="str">
        <f>"MEDELLIN"</f>
        <v>MEDELLIN</v>
      </c>
    </row>
    <row r="630" spans="1:69" x14ac:dyDescent="0.25">
      <c r="A630" t="str">
        <f>"7291330"</f>
        <v>7291330</v>
      </c>
      <c r="B630" t="str">
        <f t="shared" si="681"/>
        <v>459</v>
      </c>
      <c r="C630" t="str">
        <f>"5/02/2020 12:00:00 a. m."</f>
        <v>5/02/2020 12:00:00 a. m.</v>
      </c>
      <c r="D630" t="str">
        <f>"02"</f>
        <v>02</v>
      </c>
      <c r="E630" t="str">
        <f t="shared" si="682"/>
        <v>2020</v>
      </c>
      <c r="F630" t="str">
        <f>"0857300803"</f>
        <v>0857300803</v>
      </c>
      <c r="G630" t="str">
        <f t="shared" si="745"/>
        <v>01</v>
      </c>
      <c r="H630" t="str">
        <f>"2"</f>
        <v>2</v>
      </c>
      <c r="I630" t="str">
        <f t="shared" si="750"/>
        <v>1</v>
      </c>
      <c r="J630" t="str">
        <f>"F"</f>
        <v>F</v>
      </c>
      <c r="K630" t="str">
        <f t="shared" si="696"/>
        <v>170</v>
      </c>
      <c r="L630" t="str">
        <f>"70"</f>
        <v>70</v>
      </c>
      <c r="M630" t="str">
        <f>"429"</f>
        <v>429</v>
      </c>
      <c r="N630" t="str">
        <f t="shared" si="746"/>
        <v>1</v>
      </c>
      <c r="O630" t="str">
        <f>"9999"</f>
        <v>9999</v>
      </c>
      <c r="P630" t="str">
        <f>"S"</f>
        <v>S</v>
      </c>
      <c r="Q630" t="str">
        <f>"ESS024"</f>
        <v>ESS024</v>
      </c>
      <c r="R630" t="str">
        <f t="shared" si="710"/>
        <v>6</v>
      </c>
      <c r="S630" t="str">
        <f>""</f>
        <v/>
      </c>
      <c r="T630" t="str">
        <f t="shared" si="752"/>
        <v xml:space="preserve">                                                                                                    </v>
      </c>
      <c r="U630" t="str">
        <f>"1         "</f>
        <v xml:space="preserve">1         </v>
      </c>
      <c r="V630" t="str">
        <f t="shared" si="748"/>
        <v>2</v>
      </c>
      <c r="W630" t="str">
        <f t="shared" si="747"/>
        <v>2</v>
      </c>
      <c r="X630" t="str">
        <f t="shared" si="729"/>
        <v>2</v>
      </c>
      <c r="Y630" t="str">
        <f t="shared" si="739"/>
        <v>2</v>
      </c>
      <c r="Z630" t="str">
        <f t="shared" si="739"/>
        <v>2</v>
      </c>
      <c r="AA630" t="str">
        <f t="shared" si="683"/>
        <v xml:space="preserve">          </v>
      </c>
      <c r="AB630" t="str">
        <f t="shared" si="671"/>
        <v>2</v>
      </c>
      <c r="AC630" t="str">
        <f t="shared" si="676"/>
        <v>2</v>
      </c>
      <c r="AD630" t="str">
        <f t="shared" si="741"/>
        <v>2</v>
      </c>
      <c r="AE630" t="str">
        <f t="shared" si="741"/>
        <v>2</v>
      </c>
      <c r="AF630" t="str">
        <f t="shared" si="741"/>
        <v>2</v>
      </c>
      <c r="AG630" t="str">
        <f t="shared" si="741"/>
        <v>2</v>
      </c>
      <c r="AH630" t="str">
        <f t="shared" si="749"/>
        <v>1</v>
      </c>
      <c r="AI630" t="str">
        <f>"3         "</f>
        <v xml:space="preserve">3         </v>
      </c>
      <c r="AJ630" t="str">
        <f t="shared" si="699"/>
        <v>170</v>
      </c>
      <c r="AK630" t="str">
        <f>"70"</f>
        <v>70</v>
      </c>
      <c r="AL630" t="str">
        <f>"429"</f>
        <v>429</v>
      </c>
      <c r="AM630" t="str">
        <f>"08"</f>
        <v>08</v>
      </c>
      <c r="AN630" t="str">
        <f>"08573"</f>
        <v>08573</v>
      </c>
      <c r="AO630" t="str">
        <f>"10/01/2020 12:00:00 a. m."</f>
        <v>10/01/2020 12:00:00 a. m.</v>
      </c>
      <c r="AP630" t="str">
        <f>"28/12/2019 12:00:00 a. m."</f>
        <v>28/12/2019 12:00:00 a. m.</v>
      </c>
      <c r="AQ630" t="str">
        <f t="shared" si="751"/>
        <v>3</v>
      </c>
      <c r="AR630" t="str">
        <f t="shared" si="740"/>
        <v>1</v>
      </c>
      <c r="AS630" t="str">
        <f>"10/01/2020 12:00:00 a. m."</f>
        <v>10/01/2020 12:00:00 a. m.</v>
      </c>
      <c r="AT630" t="str">
        <f>"2"</f>
        <v>2</v>
      </c>
      <c r="AU630" t="str">
        <f>"4/03/2020 12:00:00 a. m."</f>
        <v>4/03/2020 12:00:00 a. m.</v>
      </c>
      <c r="AV630" t="str">
        <f>"0"</f>
        <v>0</v>
      </c>
      <c r="AW630" t="str">
        <f>"2/02/2018 12:00:00 a. m."</f>
        <v>2/02/2018 12:00:00 a. m.</v>
      </c>
      <c r="AX630" t="str">
        <f>"C710"</f>
        <v>C710</v>
      </c>
      <c r="AY630" t="str">
        <f t="shared" si="684"/>
        <v>30/04/2021 12:00:00 a. m.</v>
      </c>
      <c r="AZ630" t="str">
        <f>"10/03/2020 12:00:00 a. m."</f>
        <v>10/03/2020 12:00:00 a. m.</v>
      </c>
      <c r="BA630" t="str">
        <f>""</f>
        <v/>
      </c>
      <c r="BB630" t="str">
        <f>""</f>
        <v/>
      </c>
      <c r="BC630" t="str">
        <f>""</f>
        <v/>
      </c>
      <c r="BD630" t="str">
        <f t="shared" si="744"/>
        <v>1</v>
      </c>
      <c r="BE630" t="str">
        <f t="shared" si="744"/>
        <v>1</v>
      </c>
      <c r="BF630" t="str">
        <f t="shared" si="685"/>
        <v xml:space="preserve">3         </v>
      </c>
      <c r="BG630" t="str">
        <f t="shared" si="686"/>
        <v>Confirmado por laboratorio</v>
      </c>
      <c r="BH630" t="str">
        <f>"CLINICA PORTOAZUL SA"</f>
        <v>CLINICA PORTOAZUL SA</v>
      </c>
      <c r="BI630" t="str">
        <f t="shared" si="703"/>
        <v>COLOMBIA</v>
      </c>
      <c r="BJ630" t="str">
        <f t="shared" si="687"/>
        <v>CANCER INFANTIL</v>
      </c>
      <c r="BK630" t="str">
        <f>"SUCRE"</f>
        <v>SUCRE</v>
      </c>
      <c r="BL630" t="str">
        <f>"MAJAGUAL"</f>
        <v>MAJAGUAL</v>
      </c>
      <c r="BM630" t="str">
        <f t="shared" si="705"/>
        <v>COLOMBIA</v>
      </c>
      <c r="BN630" t="str">
        <f>"SUCRE"</f>
        <v>SUCRE</v>
      </c>
      <c r="BO630" t="str">
        <f>"MAJAGUAL"</f>
        <v>MAJAGUAL</v>
      </c>
      <c r="BP630" t="str">
        <f>"ATLANTICO"</f>
        <v>ATLANTICO</v>
      </c>
      <c r="BQ630" t="str">
        <f>"PUERTO COLOMBIA"</f>
        <v>PUERTO COLOMBIA</v>
      </c>
    </row>
    <row r="631" spans="1:69" x14ac:dyDescent="0.25">
      <c r="A631" t="str">
        <f>"7278893"</f>
        <v>7278893</v>
      </c>
      <c r="B631" t="str">
        <f t="shared" si="681"/>
        <v>459</v>
      </c>
      <c r="C631" t="str">
        <f>"26/06/2020 12:00:00 a. m."</f>
        <v>26/06/2020 12:00:00 a. m.</v>
      </c>
      <c r="D631" t="str">
        <f>"25"</f>
        <v>25</v>
      </c>
      <c r="E631" t="str">
        <f t="shared" si="682"/>
        <v>2020</v>
      </c>
      <c r="F631" t="str">
        <f>"1100105681"</f>
        <v>1100105681</v>
      </c>
      <c r="G631" t="str">
        <f t="shared" si="745"/>
        <v>01</v>
      </c>
      <c r="H631" t="str">
        <f>"15"</f>
        <v>15</v>
      </c>
      <c r="I631" t="str">
        <f t="shared" si="750"/>
        <v>1</v>
      </c>
      <c r="J631" t="str">
        <f>"M"</f>
        <v>M</v>
      </c>
      <c r="K631" t="str">
        <f t="shared" si="696"/>
        <v>170</v>
      </c>
      <c r="L631" t="str">
        <f>"85"</f>
        <v>85</v>
      </c>
      <c r="M631" t="str">
        <f>"001"</f>
        <v>001</v>
      </c>
      <c r="N631" t="str">
        <f t="shared" si="746"/>
        <v>1</v>
      </c>
      <c r="O631" t="str">
        <f>"9997"</f>
        <v>9997</v>
      </c>
      <c r="P631" t="str">
        <f>"S"</f>
        <v>S</v>
      </c>
      <c r="Q631" t="str">
        <f>"EPS025"</f>
        <v>EPS025</v>
      </c>
      <c r="R631" t="str">
        <f t="shared" si="710"/>
        <v>6</v>
      </c>
      <c r="S631" t="str">
        <f>""</f>
        <v/>
      </c>
      <c r="T631" t="str">
        <f t="shared" si="752"/>
        <v xml:space="preserve">                                                                                                    </v>
      </c>
      <c r="U631" t="str">
        <f>"1         "</f>
        <v xml:space="preserve">1         </v>
      </c>
      <c r="V631" t="str">
        <f t="shared" si="748"/>
        <v>2</v>
      </c>
      <c r="W631" t="str">
        <f t="shared" si="747"/>
        <v>2</v>
      </c>
      <c r="X631" t="str">
        <f t="shared" si="729"/>
        <v>2</v>
      </c>
      <c r="Y631" t="str">
        <f t="shared" si="739"/>
        <v>2</v>
      </c>
      <c r="Z631" t="str">
        <f t="shared" si="739"/>
        <v>2</v>
      </c>
      <c r="AA631" t="str">
        <f t="shared" si="683"/>
        <v xml:space="preserve">          </v>
      </c>
      <c r="AB631" t="str">
        <f t="shared" si="671"/>
        <v>2</v>
      </c>
      <c r="AC631" t="str">
        <f t="shared" si="676"/>
        <v>2</v>
      </c>
      <c r="AD631" t="str">
        <f t="shared" si="741"/>
        <v>2</v>
      </c>
      <c r="AE631" t="str">
        <f t="shared" si="741"/>
        <v>2</v>
      </c>
      <c r="AF631" t="str">
        <f t="shared" si="741"/>
        <v>2</v>
      </c>
      <c r="AG631" t="str">
        <f t="shared" si="741"/>
        <v>2</v>
      </c>
      <c r="AH631" t="str">
        <f t="shared" si="749"/>
        <v>1</v>
      </c>
      <c r="AI631" t="str">
        <f>"1         "</f>
        <v xml:space="preserve">1         </v>
      </c>
      <c r="AJ631" t="str">
        <f t="shared" si="699"/>
        <v>170</v>
      </c>
      <c r="AK631" t="str">
        <f>"85"</f>
        <v>85</v>
      </c>
      <c r="AL631" t="str">
        <f>"001"</f>
        <v>001</v>
      </c>
      <c r="AM631" t="str">
        <f>"11"</f>
        <v>11</v>
      </c>
      <c r="AN631" t="str">
        <f>"11001"</f>
        <v>11001</v>
      </c>
      <c r="AO631" t="str">
        <f>"19/06/2020 12:00:00 a. m."</f>
        <v>19/06/2020 12:00:00 a. m.</v>
      </c>
      <c r="AP631" t="str">
        <f>"19/06/2020 12:00:00 a. m."</f>
        <v>19/06/2020 12:00:00 a. m.</v>
      </c>
      <c r="AQ631" t="str">
        <f t="shared" si="751"/>
        <v>3</v>
      </c>
      <c r="AR631" t="str">
        <f t="shared" si="740"/>
        <v>1</v>
      </c>
      <c r="AS631" t="str">
        <f>"19/06/2020 12:00:00 a. m."</f>
        <v>19/06/2020 12:00:00 a. m.</v>
      </c>
      <c r="AT631" t="str">
        <f t="shared" ref="AT631:AT637" si="753">"1"</f>
        <v>1</v>
      </c>
      <c r="AU631" t="str">
        <f>""</f>
        <v/>
      </c>
      <c r="AV631" t="str">
        <f>"0"</f>
        <v>0</v>
      </c>
      <c r="AW631" t="str">
        <f>"28/05/2005 12:00:00 a. m."</f>
        <v>28/05/2005 12:00:00 a. m.</v>
      </c>
      <c r="AX631" t="str">
        <f>""</f>
        <v/>
      </c>
      <c r="AY631" t="str">
        <f t="shared" si="684"/>
        <v>30/04/2021 12:00:00 a. m.</v>
      </c>
      <c r="AZ631" t="str">
        <f>"2/09/2020 12:00:00 a. m."</f>
        <v>2/09/2020 12:00:00 a. m.</v>
      </c>
      <c r="BA631" t="str">
        <f>""</f>
        <v/>
      </c>
      <c r="BB631" t="str">
        <f>""</f>
        <v/>
      </c>
      <c r="BC631" t="str">
        <f>""</f>
        <v/>
      </c>
      <c r="BD631" t="str">
        <f t="shared" si="744"/>
        <v>1</v>
      </c>
      <c r="BE631" t="str">
        <f t="shared" si="744"/>
        <v>1</v>
      </c>
      <c r="BF631" t="str">
        <f t="shared" si="685"/>
        <v xml:space="preserve">3         </v>
      </c>
      <c r="BG631" t="str">
        <f t="shared" si="686"/>
        <v>Confirmado por laboratorio</v>
      </c>
      <c r="BH631" t="str">
        <f>"FUNDACION HOSPITAL DE LA MISERICORDIA"</f>
        <v>FUNDACION HOSPITAL DE LA MISERICORDIA</v>
      </c>
      <c r="BI631" t="str">
        <f t="shared" si="703"/>
        <v>COLOMBIA</v>
      </c>
      <c r="BJ631" t="str">
        <f t="shared" si="687"/>
        <v>CANCER INFANTIL</v>
      </c>
      <c r="BK631" t="str">
        <f>"CASANARE"</f>
        <v>CASANARE</v>
      </c>
      <c r="BL631" t="str">
        <f>"YOPAL"</f>
        <v>YOPAL</v>
      </c>
      <c r="BM631" t="str">
        <f t="shared" si="705"/>
        <v>COLOMBIA</v>
      </c>
      <c r="BN631" t="str">
        <f>"CASANARE"</f>
        <v>CASANARE</v>
      </c>
      <c r="BO631" t="str">
        <f>"YOPAL"</f>
        <v>YOPAL</v>
      </c>
      <c r="BP631" t="str">
        <f t="shared" ref="BP631:BQ634" si="754">"BOGOTA"</f>
        <v>BOGOTA</v>
      </c>
      <c r="BQ631" t="str">
        <f t="shared" si="754"/>
        <v>BOGOTA</v>
      </c>
    </row>
    <row r="632" spans="1:69" x14ac:dyDescent="0.25">
      <c r="A632" t="str">
        <f>"7278894"</f>
        <v>7278894</v>
      </c>
      <c r="B632" t="str">
        <f t="shared" si="681"/>
        <v>459</v>
      </c>
      <c r="C632" t="str">
        <f>"13/03/2020 12:00:00 a. m."</f>
        <v>13/03/2020 12:00:00 a. m.</v>
      </c>
      <c r="D632" t="str">
        <f>"09"</f>
        <v>09</v>
      </c>
      <c r="E632" t="str">
        <f t="shared" si="682"/>
        <v>2020</v>
      </c>
      <c r="F632" t="str">
        <f>"1100105681"</f>
        <v>1100105681</v>
      </c>
      <c r="G632" t="str">
        <f t="shared" si="745"/>
        <v>01</v>
      </c>
      <c r="H632" t="str">
        <f>"12"</f>
        <v>12</v>
      </c>
      <c r="I632" t="str">
        <f t="shared" si="750"/>
        <v>1</v>
      </c>
      <c r="J632" t="str">
        <f>"M"</f>
        <v>M</v>
      </c>
      <c r="K632" t="str">
        <f t="shared" si="696"/>
        <v>170</v>
      </c>
      <c r="L632" t="str">
        <f>"85"</f>
        <v>85</v>
      </c>
      <c r="M632" t="str">
        <f>"325"</f>
        <v>325</v>
      </c>
      <c r="N632" t="str">
        <f t="shared" si="746"/>
        <v>1</v>
      </c>
      <c r="O632" t="str">
        <f>"9997"</f>
        <v>9997</v>
      </c>
      <c r="P632" t="str">
        <f>"S"</f>
        <v>S</v>
      </c>
      <c r="Q632" t="str">
        <f>"EPSS41"</f>
        <v>EPSS41</v>
      </c>
      <c r="R632" t="str">
        <f t="shared" si="710"/>
        <v>6</v>
      </c>
      <c r="S632" t="str">
        <f>""</f>
        <v/>
      </c>
      <c r="T632" t="str">
        <f t="shared" si="752"/>
        <v xml:space="preserve">                                                                                                    </v>
      </c>
      <c r="U632" t="str">
        <f>"2         "</f>
        <v xml:space="preserve">2         </v>
      </c>
      <c r="V632" t="str">
        <f t="shared" si="748"/>
        <v>2</v>
      </c>
      <c r="W632" t="str">
        <f t="shared" si="747"/>
        <v>2</v>
      </c>
      <c r="X632" t="str">
        <f t="shared" si="729"/>
        <v>2</v>
      </c>
      <c r="Y632" t="str">
        <f t="shared" si="739"/>
        <v>2</v>
      </c>
      <c r="Z632" t="str">
        <f t="shared" si="739"/>
        <v>2</v>
      </c>
      <c r="AA632" t="str">
        <f t="shared" si="683"/>
        <v xml:space="preserve">          </v>
      </c>
      <c r="AB632" t="str">
        <f t="shared" si="671"/>
        <v>2</v>
      </c>
      <c r="AC632" t="str">
        <f t="shared" si="676"/>
        <v>2</v>
      </c>
      <c r="AD632" t="str">
        <f t="shared" si="741"/>
        <v>2</v>
      </c>
      <c r="AE632" t="str">
        <f t="shared" si="741"/>
        <v>2</v>
      </c>
      <c r="AF632" t="str">
        <f t="shared" si="741"/>
        <v>2</v>
      </c>
      <c r="AG632" t="str">
        <f t="shared" si="741"/>
        <v>2</v>
      </c>
      <c r="AH632" t="str">
        <f t="shared" si="749"/>
        <v>1</v>
      </c>
      <c r="AI632" t="str">
        <f>"1         "</f>
        <v xml:space="preserve">1         </v>
      </c>
      <c r="AJ632" t="str">
        <f t="shared" si="699"/>
        <v>170</v>
      </c>
      <c r="AK632" t="str">
        <f>"85"</f>
        <v>85</v>
      </c>
      <c r="AL632" t="str">
        <f>"325"</f>
        <v>325</v>
      </c>
      <c r="AM632" t="str">
        <f>"11"</f>
        <v>11</v>
      </c>
      <c r="AN632" t="str">
        <f>"11001"</f>
        <v>11001</v>
      </c>
      <c r="AO632" t="str">
        <f>"28/02/2020 12:00:00 a. m."</f>
        <v>28/02/2020 12:00:00 a. m.</v>
      </c>
      <c r="AP632" t="str">
        <f>"20/02/2020 12:00:00 a. m."</f>
        <v>20/02/2020 12:00:00 a. m.</v>
      </c>
      <c r="AQ632" t="str">
        <f t="shared" si="751"/>
        <v>3</v>
      </c>
      <c r="AR632" t="str">
        <f t="shared" si="740"/>
        <v>1</v>
      </c>
      <c r="AS632" t="str">
        <f>"28/02/2020 12:00:00 a. m."</f>
        <v>28/02/2020 12:00:00 a. m.</v>
      </c>
      <c r="AT632" t="str">
        <f t="shared" si="753"/>
        <v>1</v>
      </c>
      <c r="AU632" t="str">
        <f>""</f>
        <v/>
      </c>
      <c r="AV632" t="str">
        <f>"7"</f>
        <v>7</v>
      </c>
      <c r="AW632" t="str">
        <f>"31/03/2007 12:00:00 a. m."</f>
        <v>31/03/2007 12:00:00 a. m.</v>
      </c>
      <c r="AX632" t="str">
        <f>""</f>
        <v/>
      </c>
      <c r="AY632" t="str">
        <f t="shared" si="684"/>
        <v>30/04/2021 12:00:00 a. m.</v>
      </c>
      <c r="AZ632" t="str">
        <f>"18/07/2020 12:00:00 a. m."</f>
        <v>18/07/2020 12:00:00 a. m.</v>
      </c>
      <c r="BA632" t="str">
        <f>""</f>
        <v/>
      </c>
      <c r="BB632" t="str">
        <f>""</f>
        <v/>
      </c>
      <c r="BC632" t="str">
        <f>""</f>
        <v/>
      </c>
      <c r="BD632" t="str">
        <f t="shared" si="744"/>
        <v>1</v>
      </c>
      <c r="BE632" t="str">
        <f t="shared" si="744"/>
        <v>1</v>
      </c>
      <c r="BF632" t="str">
        <f t="shared" si="685"/>
        <v xml:space="preserve">3         </v>
      </c>
      <c r="BG632" t="str">
        <f t="shared" si="686"/>
        <v>Confirmado por laboratorio</v>
      </c>
      <c r="BH632" t="str">
        <f>"FUNDACION HOSPITAL DE LA MISERICORDIA"</f>
        <v>FUNDACION HOSPITAL DE LA MISERICORDIA</v>
      </c>
      <c r="BI632" t="str">
        <f t="shared" si="703"/>
        <v>COLOMBIA</v>
      </c>
      <c r="BJ632" t="str">
        <f t="shared" si="687"/>
        <v>CANCER INFANTIL</v>
      </c>
      <c r="BK632" t="str">
        <f>"CASANARE"</f>
        <v>CASANARE</v>
      </c>
      <c r="BL632" t="str">
        <f>"SAN LUIS DE PALENQUE"</f>
        <v>SAN LUIS DE PALENQUE</v>
      </c>
      <c r="BM632" t="str">
        <f t="shared" si="705"/>
        <v>COLOMBIA</v>
      </c>
      <c r="BN632" t="str">
        <f>"CASANARE"</f>
        <v>CASANARE</v>
      </c>
      <c r="BO632" t="str">
        <f>"SAN LUIS DE PALENQUE"</f>
        <v>SAN LUIS DE PALENQUE</v>
      </c>
      <c r="BP632" t="str">
        <f t="shared" si="754"/>
        <v>BOGOTA</v>
      </c>
      <c r="BQ632" t="str">
        <f t="shared" si="754"/>
        <v>BOGOTA</v>
      </c>
    </row>
    <row r="633" spans="1:69" x14ac:dyDescent="0.25">
      <c r="A633" t="str">
        <f>"7278895"</f>
        <v>7278895</v>
      </c>
      <c r="B633" t="str">
        <f t="shared" si="681"/>
        <v>459</v>
      </c>
      <c r="C633" t="str">
        <f>"23/09/2020 12:00:00 a. m."</f>
        <v>23/09/2020 12:00:00 a. m.</v>
      </c>
      <c r="D633" t="str">
        <f>"35"</f>
        <v>35</v>
      </c>
      <c r="E633" t="str">
        <f t="shared" si="682"/>
        <v>2020</v>
      </c>
      <c r="F633" t="str">
        <f>"1100105681"</f>
        <v>1100105681</v>
      </c>
      <c r="G633" t="str">
        <f t="shared" si="745"/>
        <v>01</v>
      </c>
      <c r="H633" t="str">
        <f>"12"</f>
        <v>12</v>
      </c>
      <c r="I633" t="str">
        <f t="shared" si="750"/>
        <v>1</v>
      </c>
      <c r="J633" t="str">
        <f>"M"</f>
        <v>M</v>
      </c>
      <c r="K633" t="str">
        <f t="shared" si="696"/>
        <v>170</v>
      </c>
      <c r="L633" t="str">
        <f>"85"</f>
        <v>85</v>
      </c>
      <c r="M633" t="str">
        <f>"001"</f>
        <v>001</v>
      </c>
      <c r="N633" t="str">
        <f t="shared" si="746"/>
        <v>1</v>
      </c>
      <c r="O633" t="str">
        <f>"9997"</f>
        <v>9997</v>
      </c>
      <c r="P633" t="str">
        <f>"S"</f>
        <v>S</v>
      </c>
      <c r="Q633" t="str">
        <f>"EPS025"</f>
        <v>EPS025</v>
      </c>
      <c r="R633" t="str">
        <f t="shared" si="710"/>
        <v>6</v>
      </c>
      <c r="S633" t="str">
        <f>""</f>
        <v/>
      </c>
      <c r="T633" t="str">
        <f t="shared" si="752"/>
        <v xml:space="preserve">                                                                                                    </v>
      </c>
      <c r="U633" t="str">
        <f>"2         "</f>
        <v xml:space="preserve">2         </v>
      </c>
      <c r="V633" t="str">
        <f t="shared" si="748"/>
        <v>2</v>
      </c>
      <c r="W633" t="str">
        <f t="shared" si="747"/>
        <v>2</v>
      </c>
      <c r="X633" t="str">
        <f t="shared" si="729"/>
        <v>2</v>
      </c>
      <c r="Y633" t="str">
        <f t="shared" si="739"/>
        <v>2</v>
      </c>
      <c r="Z633" t="str">
        <f t="shared" si="739"/>
        <v>2</v>
      </c>
      <c r="AA633" t="str">
        <f t="shared" si="683"/>
        <v xml:space="preserve">          </v>
      </c>
      <c r="AB633" t="str">
        <f t="shared" si="671"/>
        <v>2</v>
      </c>
      <c r="AC633" t="str">
        <f t="shared" si="676"/>
        <v>2</v>
      </c>
      <c r="AD633" t="str">
        <f t="shared" si="741"/>
        <v>2</v>
      </c>
      <c r="AE633" t="str">
        <f t="shared" si="741"/>
        <v>2</v>
      </c>
      <c r="AF633" t="str">
        <f t="shared" si="741"/>
        <v>2</v>
      </c>
      <c r="AG633" t="str">
        <f t="shared" si="741"/>
        <v>2</v>
      </c>
      <c r="AH633" t="str">
        <f t="shared" si="749"/>
        <v>1</v>
      </c>
      <c r="AI633" t="str">
        <f>"1         "</f>
        <v xml:space="preserve">1         </v>
      </c>
      <c r="AJ633" t="str">
        <f t="shared" si="699"/>
        <v>170</v>
      </c>
      <c r="AK633" t="str">
        <f>"85"</f>
        <v>85</v>
      </c>
      <c r="AL633" t="str">
        <f>"001"</f>
        <v>001</v>
      </c>
      <c r="AM633" t="str">
        <f>"11"</f>
        <v>11</v>
      </c>
      <c r="AN633" t="str">
        <f>"11001"</f>
        <v>11001</v>
      </c>
      <c r="AO633" t="str">
        <f>"23/08/2020 12:00:00 a. m."</f>
        <v>23/08/2020 12:00:00 a. m.</v>
      </c>
      <c r="AP633" t="str">
        <f>"20/08/2020 12:00:00 a. m."</f>
        <v>20/08/2020 12:00:00 a. m.</v>
      </c>
      <c r="AQ633" t="str">
        <f t="shared" si="751"/>
        <v>3</v>
      </c>
      <c r="AR633" t="str">
        <f t="shared" si="740"/>
        <v>1</v>
      </c>
      <c r="AS633" t="str">
        <f>"23/08/2020 12:00:00 a. m."</f>
        <v>23/08/2020 12:00:00 a. m.</v>
      </c>
      <c r="AT633" t="str">
        <f t="shared" si="753"/>
        <v>1</v>
      </c>
      <c r="AU633" t="str">
        <f>""</f>
        <v/>
      </c>
      <c r="AV633" t="str">
        <f>"0"</f>
        <v>0</v>
      </c>
      <c r="AW633" t="str">
        <f>"22/10/2007 12:00:00 a. m."</f>
        <v>22/10/2007 12:00:00 a. m.</v>
      </c>
      <c r="AX633" t="str">
        <f>""</f>
        <v/>
      </c>
      <c r="AY633" t="str">
        <f t="shared" si="684"/>
        <v>30/04/2021 12:00:00 a. m.</v>
      </c>
      <c r="AZ633" t="str">
        <f>"28/09/2020 12:00:00 a. m."</f>
        <v>28/09/2020 12:00:00 a. m.</v>
      </c>
      <c r="BA633" t="str">
        <f>""</f>
        <v/>
      </c>
      <c r="BB633" t="str">
        <f>""</f>
        <v/>
      </c>
      <c r="BC633" t="str">
        <f>""</f>
        <v/>
      </c>
      <c r="BD633" t="str">
        <f t="shared" si="744"/>
        <v>1</v>
      </c>
      <c r="BE633" t="str">
        <f t="shared" si="744"/>
        <v>1</v>
      </c>
      <c r="BF633" t="str">
        <f t="shared" si="685"/>
        <v xml:space="preserve">3         </v>
      </c>
      <c r="BG633" t="str">
        <f t="shared" si="686"/>
        <v>Confirmado por laboratorio</v>
      </c>
      <c r="BH633" t="str">
        <f>"FUNDACION HOSPITAL DE LA MISERICORDIA"</f>
        <v>FUNDACION HOSPITAL DE LA MISERICORDIA</v>
      </c>
      <c r="BI633" t="str">
        <f t="shared" si="703"/>
        <v>COLOMBIA</v>
      </c>
      <c r="BJ633" t="str">
        <f t="shared" si="687"/>
        <v>CANCER INFANTIL</v>
      </c>
      <c r="BK633" t="str">
        <f>"CASANARE"</f>
        <v>CASANARE</v>
      </c>
      <c r="BL633" t="str">
        <f>"YOPAL"</f>
        <v>YOPAL</v>
      </c>
      <c r="BM633" t="str">
        <f t="shared" si="705"/>
        <v>COLOMBIA</v>
      </c>
      <c r="BN633" t="str">
        <f>"CASANARE"</f>
        <v>CASANARE</v>
      </c>
      <c r="BO633" t="str">
        <f>"YOPAL"</f>
        <v>YOPAL</v>
      </c>
      <c r="BP633" t="str">
        <f t="shared" si="754"/>
        <v>BOGOTA</v>
      </c>
      <c r="BQ633" t="str">
        <f t="shared" si="754"/>
        <v>BOGOTA</v>
      </c>
    </row>
    <row r="634" spans="1:69" x14ac:dyDescent="0.25">
      <c r="A634" t="str">
        <f>"7278907"</f>
        <v>7278907</v>
      </c>
      <c r="B634" t="str">
        <f t="shared" si="681"/>
        <v>459</v>
      </c>
      <c r="C634" t="str">
        <f>"3/06/2020 12:00:00 a. m."</f>
        <v>3/06/2020 12:00:00 a. m.</v>
      </c>
      <c r="D634" t="str">
        <f>"21"</f>
        <v>21</v>
      </c>
      <c r="E634" t="str">
        <f t="shared" si="682"/>
        <v>2020</v>
      </c>
      <c r="F634" t="str">
        <f>"1100105681"</f>
        <v>1100105681</v>
      </c>
      <c r="G634" t="str">
        <f t="shared" si="745"/>
        <v>01</v>
      </c>
      <c r="H634" t="str">
        <f>"7"</f>
        <v>7</v>
      </c>
      <c r="I634" t="str">
        <f t="shared" si="750"/>
        <v>1</v>
      </c>
      <c r="J634" t="str">
        <f>"F"</f>
        <v>F</v>
      </c>
      <c r="K634" t="str">
        <f t="shared" si="696"/>
        <v>170</v>
      </c>
      <c r="L634" t="str">
        <f>"73"</f>
        <v>73</v>
      </c>
      <c r="M634" t="str">
        <f>"555"</f>
        <v>555</v>
      </c>
      <c r="N634" t="str">
        <f t="shared" si="746"/>
        <v>1</v>
      </c>
      <c r="O634" t="str">
        <f>"9997"</f>
        <v>9997</v>
      </c>
      <c r="P634" t="str">
        <f>"C"</f>
        <v>C</v>
      </c>
      <c r="Q634" t="str">
        <f>"EPS037"</f>
        <v>EPS037</v>
      </c>
      <c r="R634" t="str">
        <f t="shared" si="710"/>
        <v>6</v>
      </c>
      <c r="S634" t="str">
        <f>""</f>
        <v/>
      </c>
      <c r="T634" t="str">
        <f t="shared" si="752"/>
        <v xml:space="preserve">                                                                                                    </v>
      </c>
      <c r="U634" t="str">
        <f>"2         "</f>
        <v xml:space="preserve">2         </v>
      </c>
      <c r="V634" t="str">
        <f t="shared" si="748"/>
        <v>2</v>
      </c>
      <c r="W634" t="str">
        <f t="shared" si="747"/>
        <v>2</v>
      </c>
      <c r="X634" t="str">
        <f t="shared" si="729"/>
        <v>2</v>
      </c>
      <c r="Y634" t="str">
        <f t="shared" si="739"/>
        <v>2</v>
      </c>
      <c r="Z634" t="str">
        <f t="shared" si="739"/>
        <v>2</v>
      </c>
      <c r="AA634" t="str">
        <f t="shared" si="683"/>
        <v xml:space="preserve">          </v>
      </c>
      <c r="AB634" t="str">
        <f t="shared" si="671"/>
        <v>2</v>
      </c>
      <c r="AC634" t="str">
        <f t="shared" si="676"/>
        <v>2</v>
      </c>
      <c r="AD634" t="str">
        <f t="shared" si="741"/>
        <v>2</v>
      </c>
      <c r="AE634" t="str">
        <f t="shared" si="741"/>
        <v>2</v>
      </c>
      <c r="AF634" t="str">
        <f t="shared" si="741"/>
        <v>2</v>
      </c>
      <c r="AG634" t="str">
        <f t="shared" si="741"/>
        <v>2</v>
      </c>
      <c r="AH634" t="str">
        <f t="shared" si="749"/>
        <v>1</v>
      </c>
      <c r="AI634" t="str">
        <f>"2         "</f>
        <v xml:space="preserve">2         </v>
      </c>
      <c r="AJ634" t="str">
        <f t="shared" si="699"/>
        <v>170</v>
      </c>
      <c r="AK634" t="str">
        <f>"73"</f>
        <v>73</v>
      </c>
      <c r="AL634" t="str">
        <f>"555"</f>
        <v>555</v>
      </c>
      <c r="AM634" t="str">
        <f>"11"</f>
        <v>11</v>
      </c>
      <c r="AN634" t="str">
        <f>"11001"</f>
        <v>11001</v>
      </c>
      <c r="AO634" t="str">
        <f>"17/05/2020 12:00:00 a. m."</f>
        <v>17/05/2020 12:00:00 a. m.</v>
      </c>
      <c r="AP634" t="str">
        <f>"17/04/2020 12:00:00 a. m."</f>
        <v>17/04/2020 12:00:00 a. m.</v>
      </c>
      <c r="AQ634" t="str">
        <f t="shared" si="751"/>
        <v>3</v>
      </c>
      <c r="AR634" t="str">
        <f t="shared" si="740"/>
        <v>1</v>
      </c>
      <c r="AS634" t="str">
        <f>"17/05/2020 12:00:00 a. m."</f>
        <v>17/05/2020 12:00:00 a. m.</v>
      </c>
      <c r="AT634" t="str">
        <f t="shared" si="753"/>
        <v>1</v>
      </c>
      <c r="AU634" t="str">
        <f>""</f>
        <v/>
      </c>
      <c r="AV634" t="str">
        <f>"0"</f>
        <v>0</v>
      </c>
      <c r="AW634" t="str">
        <f>"23/05/2013 12:00:00 a. m."</f>
        <v>23/05/2013 12:00:00 a. m.</v>
      </c>
      <c r="AX634" t="str">
        <f>""</f>
        <v/>
      </c>
      <c r="AY634" t="str">
        <f t="shared" si="684"/>
        <v>30/04/2021 12:00:00 a. m.</v>
      </c>
      <c r="AZ634" t="str">
        <f>"4/08/2020 12:00:00 a. m."</f>
        <v>4/08/2020 12:00:00 a. m.</v>
      </c>
      <c r="BA634" t="str">
        <f>""</f>
        <v/>
      </c>
      <c r="BB634" t="str">
        <f>""</f>
        <v/>
      </c>
      <c r="BC634" t="str">
        <f>""</f>
        <v/>
      </c>
      <c r="BD634" t="str">
        <f t="shared" si="744"/>
        <v>1</v>
      </c>
      <c r="BE634" t="str">
        <f t="shared" si="744"/>
        <v>1</v>
      </c>
      <c r="BF634" t="str">
        <f t="shared" si="685"/>
        <v xml:space="preserve">3         </v>
      </c>
      <c r="BG634" t="str">
        <f t="shared" si="686"/>
        <v>Confirmado por laboratorio</v>
      </c>
      <c r="BH634" t="str">
        <f>"FUNDACION HOSPITAL DE LA MISERICORDIA"</f>
        <v>FUNDACION HOSPITAL DE LA MISERICORDIA</v>
      </c>
      <c r="BI634" t="str">
        <f t="shared" si="703"/>
        <v>COLOMBIA</v>
      </c>
      <c r="BJ634" t="str">
        <f t="shared" si="687"/>
        <v>CANCER INFANTIL</v>
      </c>
      <c r="BK634" t="str">
        <f>"TOLIMA"</f>
        <v>TOLIMA</v>
      </c>
      <c r="BL634" t="str">
        <f>"PLANADAS"</f>
        <v>PLANADAS</v>
      </c>
      <c r="BM634" t="str">
        <f t="shared" si="705"/>
        <v>COLOMBIA</v>
      </c>
      <c r="BN634" t="str">
        <f>"TOLIMA"</f>
        <v>TOLIMA</v>
      </c>
      <c r="BO634" t="str">
        <f>"PLANADAS"</f>
        <v>PLANADAS</v>
      </c>
      <c r="BP634" t="str">
        <f t="shared" si="754"/>
        <v>BOGOTA</v>
      </c>
      <c r="BQ634" t="str">
        <f t="shared" si="754"/>
        <v>BOGOTA</v>
      </c>
    </row>
    <row r="635" spans="1:69" x14ac:dyDescent="0.25">
      <c r="A635" t="str">
        <f>"7278738"</f>
        <v>7278738</v>
      </c>
      <c r="B635" t="str">
        <f t="shared" si="681"/>
        <v>459</v>
      </c>
      <c r="C635" t="str">
        <f>"27/01/2020 12:00:00 a. m."</f>
        <v>27/01/2020 12:00:00 a. m.</v>
      </c>
      <c r="D635" t="str">
        <f>"04"</f>
        <v>04</v>
      </c>
      <c r="E635" t="str">
        <f t="shared" si="682"/>
        <v>2020</v>
      </c>
      <c r="F635" t="str">
        <f>"7600101111"</f>
        <v>7600101111</v>
      </c>
      <c r="G635" t="str">
        <f t="shared" si="745"/>
        <v>01</v>
      </c>
      <c r="H635" t="str">
        <f>"1"</f>
        <v>1</v>
      </c>
      <c r="I635" t="str">
        <f t="shared" si="750"/>
        <v>1</v>
      </c>
      <c r="J635" t="str">
        <f>"F"</f>
        <v>F</v>
      </c>
      <c r="K635" t="str">
        <f t="shared" si="696"/>
        <v>170</v>
      </c>
      <c r="L635" t="str">
        <f>"76"</f>
        <v>76</v>
      </c>
      <c r="M635" t="str">
        <f>"622"</f>
        <v>622</v>
      </c>
      <c r="N635" t="str">
        <f>"3"</f>
        <v>3</v>
      </c>
      <c r="O635" t="str">
        <f>"9999"</f>
        <v>9999</v>
      </c>
      <c r="P635" t="str">
        <f>"S"</f>
        <v>S</v>
      </c>
      <c r="Q635" t="str">
        <f>"ESS062"</f>
        <v>ESS062</v>
      </c>
      <c r="R635" t="str">
        <f t="shared" si="710"/>
        <v>6</v>
      </c>
      <c r="S635" t="str">
        <f>""</f>
        <v/>
      </c>
      <c r="T635" t="str">
        <f t="shared" si="752"/>
        <v xml:space="preserve">                                                                                                    </v>
      </c>
      <c r="U635" t="str">
        <f>"1         "</f>
        <v xml:space="preserve">1         </v>
      </c>
      <c r="V635" t="str">
        <f t="shared" si="748"/>
        <v>2</v>
      </c>
      <c r="W635" t="str">
        <f t="shared" si="747"/>
        <v>2</v>
      </c>
      <c r="X635" t="str">
        <f t="shared" si="729"/>
        <v>2</v>
      </c>
      <c r="Y635" t="str">
        <f t="shared" si="739"/>
        <v>2</v>
      </c>
      <c r="Z635" t="str">
        <f t="shared" si="739"/>
        <v>2</v>
      </c>
      <c r="AA635" t="str">
        <f t="shared" si="683"/>
        <v xml:space="preserve">          </v>
      </c>
      <c r="AB635" t="str">
        <f t="shared" si="671"/>
        <v>2</v>
      </c>
      <c r="AC635" t="str">
        <f t="shared" si="676"/>
        <v>2</v>
      </c>
      <c r="AD635" t="str">
        <f t="shared" si="741"/>
        <v>2</v>
      </c>
      <c r="AE635" t="str">
        <f t="shared" si="741"/>
        <v>2</v>
      </c>
      <c r="AF635" t="str">
        <f t="shared" si="741"/>
        <v>2</v>
      </c>
      <c r="AG635" t="str">
        <f t="shared" si="741"/>
        <v>2</v>
      </c>
      <c r="AH635" t="str">
        <f t="shared" si="749"/>
        <v>1</v>
      </c>
      <c r="AI635" t="str">
        <f t="shared" ref="AI635:AI640" si="755">"1         "</f>
        <v xml:space="preserve">1         </v>
      </c>
      <c r="AJ635" t="str">
        <f t="shared" si="699"/>
        <v>170</v>
      </c>
      <c r="AK635" t="str">
        <f>"76"</f>
        <v>76</v>
      </c>
      <c r="AL635" t="str">
        <f>"622"</f>
        <v>622</v>
      </c>
      <c r="AM635" t="str">
        <f>"76"</f>
        <v>76</v>
      </c>
      <c r="AN635" t="str">
        <f>"76001"</f>
        <v>76001</v>
      </c>
      <c r="AO635" t="str">
        <f>"22/01/2020 12:00:00 a. m."</f>
        <v>22/01/2020 12:00:00 a. m.</v>
      </c>
      <c r="AP635" t="str">
        <f>"1/01/2020 12:00:00 a. m."</f>
        <v>1/01/2020 12:00:00 a. m.</v>
      </c>
      <c r="AQ635" t="str">
        <f t="shared" si="751"/>
        <v>3</v>
      </c>
      <c r="AR635" t="str">
        <f t="shared" si="740"/>
        <v>1</v>
      </c>
      <c r="AS635" t="str">
        <f>"22/01/2020 12:00:00 a. m."</f>
        <v>22/01/2020 12:00:00 a. m.</v>
      </c>
      <c r="AT635" t="str">
        <f t="shared" si="753"/>
        <v>1</v>
      </c>
      <c r="AU635" t="str">
        <f>""</f>
        <v/>
      </c>
      <c r="AV635" t="str">
        <f>"7"</f>
        <v>7</v>
      </c>
      <c r="AW635" t="str">
        <f>"16/10/2018 12:00:00 a. m."</f>
        <v>16/10/2018 12:00:00 a. m.</v>
      </c>
      <c r="AX635" t="str">
        <f>""</f>
        <v/>
      </c>
      <c r="AY635" t="str">
        <f t="shared" si="684"/>
        <v>30/04/2021 12:00:00 a. m.</v>
      </c>
      <c r="AZ635" t="str">
        <f>"20/01/2021 12:00:00 a. m."</f>
        <v>20/01/2021 12:00:00 a. m.</v>
      </c>
      <c r="BA635" t="str">
        <f>""</f>
        <v/>
      </c>
      <c r="BB635" t="str">
        <f>""</f>
        <v/>
      </c>
      <c r="BC635" t="str">
        <f>""</f>
        <v/>
      </c>
      <c r="BD635" t="str">
        <f t="shared" si="744"/>
        <v>1</v>
      </c>
      <c r="BE635" t="str">
        <f t="shared" si="744"/>
        <v>1</v>
      </c>
      <c r="BF635" t="str">
        <f t="shared" si="685"/>
        <v xml:space="preserve">3         </v>
      </c>
      <c r="BG635" t="str">
        <f t="shared" si="686"/>
        <v>Confirmado por laboratorio</v>
      </c>
      <c r="BH635" t="str">
        <f>"CENTRO MEDICO IMBANACO CMI"</f>
        <v>CENTRO MEDICO IMBANACO CMI</v>
      </c>
      <c r="BI635" t="str">
        <f t="shared" si="703"/>
        <v>COLOMBIA</v>
      </c>
      <c r="BJ635" t="str">
        <f t="shared" si="687"/>
        <v>CANCER INFANTIL</v>
      </c>
      <c r="BK635" t="str">
        <f>"VALLE"</f>
        <v>VALLE</v>
      </c>
      <c r="BL635" t="str">
        <f>"ROLDANILLO"</f>
        <v>ROLDANILLO</v>
      </c>
      <c r="BM635" t="str">
        <f t="shared" si="705"/>
        <v>COLOMBIA</v>
      </c>
      <c r="BN635" t="str">
        <f>"VALLE"</f>
        <v>VALLE</v>
      </c>
      <c r="BO635" t="str">
        <f>"ROLDANILLO"</f>
        <v>ROLDANILLO</v>
      </c>
      <c r="BP635" t="str">
        <f>"VALLE"</f>
        <v>VALLE</v>
      </c>
      <c r="BQ635" t="str">
        <f>"CALI"</f>
        <v>CALI</v>
      </c>
    </row>
    <row r="636" spans="1:69" x14ac:dyDescent="0.25">
      <c r="A636" t="str">
        <f>"7278898"</f>
        <v>7278898</v>
      </c>
      <c r="B636" t="str">
        <f t="shared" si="681"/>
        <v>459</v>
      </c>
      <c r="C636" t="str">
        <f>"11/11/2020 12:00:00 a. m."</f>
        <v>11/11/2020 12:00:00 a. m.</v>
      </c>
      <c r="D636" t="str">
        <f>"46"</f>
        <v>46</v>
      </c>
      <c r="E636" t="str">
        <f t="shared" si="682"/>
        <v>2020</v>
      </c>
      <c r="F636" t="str">
        <f>"1100116338"</f>
        <v>1100116338</v>
      </c>
      <c r="G636" t="str">
        <f>"83"</f>
        <v>83</v>
      </c>
      <c r="H636" t="str">
        <f>"14"</f>
        <v>14</v>
      </c>
      <c r="I636" t="str">
        <f t="shared" si="750"/>
        <v>1</v>
      </c>
      <c r="J636" t="str">
        <f>"M"</f>
        <v>M</v>
      </c>
      <c r="K636" t="str">
        <f t="shared" si="696"/>
        <v>170</v>
      </c>
      <c r="L636" t="str">
        <f>"27"</f>
        <v>27</v>
      </c>
      <c r="M636" t="str">
        <f>"001"</f>
        <v>001</v>
      </c>
      <c r="N636" t="str">
        <f>"1"</f>
        <v>1</v>
      </c>
      <c r="O636" t="str">
        <f>"9997"</f>
        <v>9997</v>
      </c>
      <c r="P636" t="str">
        <f>"P"</f>
        <v>P</v>
      </c>
      <c r="Q636" t="str">
        <f>"RES003"</f>
        <v>RES003</v>
      </c>
      <c r="R636" t="str">
        <f>"5"</f>
        <v>5</v>
      </c>
      <c r="S636" t="str">
        <f>""</f>
        <v/>
      </c>
      <c r="T636" t="str">
        <f t="shared" si="752"/>
        <v xml:space="preserve">                                                                                                    </v>
      </c>
      <c r="U636" t="str">
        <f>"1         "</f>
        <v xml:space="preserve">1         </v>
      </c>
      <c r="V636" t="str">
        <f t="shared" si="748"/>
        <v>2</v>
      </c>
      <c r="W636" t="str">
        <f t="shared" si="747"/>
        <v>2</v>
      </c>
      <c r="X636" t="str">
        <f t="shared" si="729"/>
        <v>2</v>
      </c>
      <c r="Y636" t="str">
        <f t="shared" si="739"/>
        <v>2</v>
      </c>
      <c r="Z636" t="str">
        <f t="shared" si="739"/>
        <v>2</v>
      </c>
      <c r="AA636" t="str">
        <f t="shared" si="683"/>
        <v xml:space="preserve">          </v>
      </c>
      <c r="AB636" t="str">
        <f t="shared" ref="AB636:AB699" si="756">"2"</f>
        <v>2</v>
      </c>
      <c r="AC636" t="str">
        <f t="shared" si="676"/>
        <v>2</v>
      </c>
      <c r="AD636" t="str">
        <f t="shared" si="741"/>
        <v>2</v>
      </c>
      <c r="AE636" t="str">
        <f t="shared" si="741"/>
        <v>2</v>
      </c>
      <c r="AF636" t="str">
        <f t="shared" si="741"/>
        <v>2</v>
      </c>
      <c r="AG636" t="str">
        <f t="shared" si="741"/>
        <v>2</v>
      </c>
      <c r="AH636" t="str">
        <f t="shared" si="749"/>
        <v>1</v>
      </c>
      <c r="AI636" t="str">
        <f t="shared" si="755"/>
        <v xml:space="preserve">1         </v>
      </c>
      <c r="AJ636" t="str">
        <f t="shared" si="699"/>
        <v>170</v>
      </c>
      <c r="AK636" t="str">
        <f>"27"</f>
        <v>27</v>
      </c>
      <c r="AL636" t="str">
        <f>"001"</f>
        <v>001</v>
      </c>
      <c r="AM636" t="str">
        <f>"11"</f>
        <v>11</v>
      </c>
      <c r="AN636" t="str">
        <f>"11001"</f>
        <v>11001</v>
      </c>
      <c r="AO636" t="str">
        <f>"11/11/2020 12:00:00 a. m."</f>
        <v>11/11/2020 12:00:00 a. m.</v>
      </c>
      <c r="AP636" t="str">
        <f>"11/09/2020 12:00:00 a. m."</f>
        <v>11/09/2020 12:00:00 a. m.</v>
      </c>
      <c r="AQ636" t="str">
        <f>"2"</f>
        <v>2</v>
      </c>
      <c r="AR636" t="str">
        <f t="shared" si="740"/>
        <v>1</v>
      </c>
      <c r="AS636" t="str">
        <f>"11/11/2020 12:00:00 a. m."</f>
        <v>11/11/2020 12:00:00 a. m.</v>
      </c>
      <c r="AT636" t="str">
        <f t="shared" si="753"/>
        <v>1</v>
      </c>
      <c r="AU636" t="str">
        <f>""</f>
        <v/>
      </c>
      <c r="AV636" t="str">
        <f>"3"</f>
        <v>3</v>
      </c>
      <c r="AW636" t="str">
        <f>"20/04/2006 12:00:00 a. m."</f>
        <v>20/04/2006 12:00:00 a. m.</v>
      </c>
      <c r="AX636" t="str">
        <f>""</f>
        <v/>
      </c>
      <c r="AY636" t="str">
        <f t="shared" si="684"/>
        <v>30/04/2021 12:00:00 a. m.</v>
      </c>
      <c r="AZ636" t="str">
        <f>"2/12/2020 12:00:00 a. m."</f>
        <v>2/12/2020 12:00:00 a. m.</v>
      </c>
      <c r="BA636" t="str">
        <f>""</f>
        <v/>
      </c>
      <c r="BB636" t="str">
        <f>""</f>
        <v/>
      </c>
      <c r="BC636" t="str">
        <f>""</f>
        <v/>
      </c>
      <c r="BD636" t="str">
        <f t="shared" si="744"/>
        <v>1</v>
      </c>
      <c r="BE636" t="str">
        <f t="shared" si="744"/>
        <v>1</v>
      </c>
      <c r="BF636" t="str">
        <f t="shared" si="685"/>
        <v xml:space="preserve">3         </v>
      </c>
      <c r="BG636" t="str">
        <f t="shared" si="686"/>
        <v>Confirmado por laboratorio</v>
      </c>
      <c r="BH636" t="str">
        <f>"HOSPITAL MILITAR CENTRAL CHAPINERO"</f>
        <v>HOSPITAL MILITAR CENTRAL CHAPINERO</v>
      </c>
      <c r="BI636" t="str">
        <f t="shared" si="703"/>
        <v>COLOMBIA</v>
      </c>
      <c r="BJ636" t="str">
        <f t="shared" si="687"/>
        <v>CANCER INFANTIL</v>
      </c>
      <c r="BK636" t="str">
        <f>"CHOCO"</f>
        <v>CHOCO</v>
      </c>
      <c r="BL636" t="str">
        <f>"QUIBDO"</f>
        <v>QUIBDO</v>
      </c>
      <c r="BM636" t="str">
        <f t="shared" si="705"/>
        <v>COLOMBIA</v>
      </c>
      <c r="BN636" t="str">
        <f>"CHOCO"</f>
        <v>CHOCO</v>
      </c>
      <c r="BO636" t="str">
        <f>"QUIBDO"</f>
        <v>QUIBDO</v>
      </c>
      <c r="BP636" t="str">
        <f>"BOGOTA"</f>
        <v>BOGOTA</v>
      </c>
      <c r="BQ636" t="str">
        <f>"BOGOTA"</f>
        <v>BOGOTA</v>
      </c>
    </row>
    <row r="637" spans="1:69" x14ac:dyDescent="0.25">
      <c r="A637" t="str">
        <f>"7278877"</f>
        <v>7278877</v>
      </c>
      <c r="B637" t="str">
        <f t="shared" si="681"/>
        <v>459</v>
      </c>
      <c r="C637" t="str">
        <f>"15/09/2020 12:00:00 a. m."</f>
        <v>15/09/2020 12:00:00 a. m.</v>
      </c>
      <c r="D637" t="str">
        <f>"20"</f>
        <v>20</v>
      </c>
      <c r="E637" t="str">
        <f t="shared" si="682"/>
        <v>2020</v>
      </c>
      <c r="F637" t="str">
        <f>"1100105681"</f>
        <v>1100105681</v>
      </c>
      <c r="G637" t="str">
        <f t="shared" ref="G637:G664" si="757">"01"</f>
        <v>01</v>
      </c>
      <c r="H637" t="str">
        <f>"10"</f>
        <v>10</v>
      </c>
      <c r="I637" t="str">
        <f t="shared" si="750"/>
        <v>1</v>
      </c>
      <c r="J637" t="str">
        <f>"M"</f>
        <v>M</v>
      </c>
      <c r="K637" t="str">
        <f t="shared" si="696"/>
        <v>170</v>
      </c>
      <c r="L637" t="str">
        <f>"25"</f>
        <v>25</v>
      </c>
      <c r="M637" t="str">
        <f>"658"</f>
        <v>658</v>
      </c>
      <c r="N637" t="str">
        <f>"1"</f>
        <v>1</v>
      </c>
      <c r="O637" t="str">
        <f>"9997"</f>
        <v>9997</v>
      </c>
      <c r="P637" t="str">
        <f>"S"</f>
        <v>S</v>
      </c>
      <c r="Q637" t="str">
        <f>"ESS062"</f>
        <v>ESS062</v>
      </c>
      <c r="R637" t="str">
        <f t="shared" ref="R637:R667" si="758">"6"</f>
        <v>6</v>
      </c>
      <c r="S637" t="str">
        <f>""</f>
        <v/>
      </c>
      <c r="T637" t="str">
        <f t="shared" si="752"/>
        <v xml:space="preserve">                                                                                                    </v>
      </c>
      <c r="U637" t="str">
        <f>"2         "</f>
        <v xml:space="preserve">2         </v>
      </c>
      <c r="V637" t="str">
        <f t="shared" si="748"/>
        <v>2</v>
      </c>
      <c r="W637" t="str">
        <f t="shared" si="747"/>
        <v>2</v>
      </c>
      <c r="X637" t="str">
        <f t="shared" si="729"/>
        <v>2</v>
      </c>
      <c r="Y637" t="str">
        <f t="shared" si="739"/>
        <v>2</v>
      </c>
      <c r="Z637" t="str">
        <f t="shared" si="739"/>
        <v>2</v>
      </c>
      <c r="AA637" t="str">
        <f t="shared" si="683"/>
        <v xml:space="preserve">          </v>
      </c>
      <c r="AB637" t="str">
        <f t="shared" si="756"/>
        <v>2</v>
      </c>
      <c r="AC637" t="str">
        <f t="shared" ref="AC637:AC700" si="759">"2"</f>
        <v>2</v>
      </c>
      <c r="AD637" t="str">
        <f t="shared" si="741"/>
        <v>2</v>
      </c>
      <c r="AE637" t="str">
        <f t="shared" si="741"/>
        <v>2</v>
      </c>
      <c r="AF637" t="str">
        <f t="shared" si="741"/>
        <v>2</v>
      </c>
      <c r="AG637" t="str">
        <f t="shared" si="741"/>
        <v>2</v>
      </c>
      <c r="AH637" t="str">
        <f t="shared" si="749"/>
        <v>1</v>
      </c>
      <c r="AI637" t="str">
        <f t="shared" si="755"/>
        <v xml:space="preserve">1         </v>
      </c>
      <c r="AJ637" t="str">
        <f t="shared" si="699"/>
        <v>170</v>
      </c>
      <c r="AK637" t="str">
        <f>"25"</f>
        <v>25</v>
      </c>
      <c r="AL637" t="str">
        <f>"658"</f>
        <v>658</v>
      </c>
      <c r="AM637" t="str">
        <f>"11"</f>
        <v>11</v>
      </c>
      <c r="AN637" t="str">
        <f>"11001"</f>
        <v>11001</v>
      </c>
      <c r="AO637" t="str">
        <f>"10/05/2020 12:00:00 a. m."</f>
        <v>10/05/2020 12:00:00 a. m.</v>
      </c>
      <c r="AP637" t="str">
        <f>"1/04/2020 12:00:00 a. m."</f>
        <v>1/04/2020 12:00:00 a. m.</v>
      </c>
      <c r="AQ637" t="str">
        <f>"3"</f>
        <v>3</v>
      </c>
      <c r="AR637" t="str">
        <f t="shared" si="740"/>
        <v>1</v>
      </c>
      <c r="AS637" t="str">
        <f>"10/05/2020 12:00:00 a. m."</f>
        <v>10/05/2020 12:00:00 a. m.</v>
      </c>
      <c r="AT637" t="str">
        <f t="shared" si="753"/>
        <v>1</v>
      </c>
      <c r="AU637" t="str">
        <f>""</f>
        <v/>
      </c>
      <c r="AV637" t="str">
        <f>"0"</f>
        <v>0</v>
      </c>
      <c r="AW637" t="str">
        <f>"24/11/2009 12:00:00 a. m."</f>
        <v>24/11/2009 12:00:00 a. m.</v>
      </c>
      <c r="AX637" t="str">
        <f>""</f>
        <v/>
      </c>
      <c r="AY637" t="str">
        <f t="shared" si="684"/>
        <v>30/04/2021 12:00:00 a. m.</v>
      </c>
      <c r="AZ637" t="str">
        <f>"15/09/2020 12:00:00 a. m."</f>
        <v>15/09/2020 12:00:00 a. m.</v>
      </c>
      <c r="BA637" t="str">
        <f>""</f>
        <v/>
      </c>
      <c r="BB637" t="str">
        <f>""</f>
        <v/>
      </c>
      <c r="BC637" t="str">
        <f>""</f>
        <v/>
      </c>
      <c r="BD637" t="str">
        <f t="shared" si="744"/>
        <v>1</v>
      </c>
      <c r="BE637" t="str">
        <f t="shared" si="744"/>
        <v>1</v>
      </c>
      <c r="BF637" t="str">
        <f t="shared" si="685"/>
        <v xml:space="preserve">3         </v>
      </c>
      <c r="BG637" t="str">
        <f t="shared" si="686"/>
        <v>Confirmado por laboratorio</v>
      </c>
      <c r="BH637" t="str">
        <f>"FUNDACION HOSPITAL DE LA MISERICORDIA"</f>
        <v>FUNDACION HOSPITAL DE LA MISERICORDIA</v>
      </c>
      <c r="BI637" t="str">
        <f t="shared" si="703"/>
        <v>COLOMBIA</v>
      </c>
      <c r="BJ637" t="str">
        <f t="shared" si="687"/>
        <v>CANCER INFANTIL</v>
      </c>
      <c r="BK637" t="str">
        <f>"CUNDINAMARCA"</f>
        <v>CUNDINAMARCA</v>
      </c>
      <c r="BL637" t="str">
        <f>"SAN FRANCISCO"</f>
        <v>SAN FRANCISCO</v>
      </c>
      <c r="BM637" t="str">
        <f t="shared" si="705"/>
        <v>COLOMBIA</v>
      </c>
      <c r="BN637" t="str">
        <f>"CUNDINAMARCA"</f>
        <v>CUNDINAMARCA</v>
      </c>
      <c r="BO637" t="str">
        <f>"SAN FRANCISCO"</f>
        <v>SAN FRANCISCO</v>
      </c>
      <c r="BP637" t="str">
        <f>"BOGOTA"</f>
        <v>BOGOTA</v>
      </c>
      <c r="BQ637" t="str">
        <f>"BOGOTA"</f>
        <v>BOGOTA</v>
      </c>
    </row>
    <row r="638" spans="1:69" x14ac:dyDescent="0.25">
      <c r="A638" t="str">
        <f>"7278804"</f>
        <v>7278804</v>
      </c>
      <c r="B638" t="str">
        <f t="shared" si="681"/>
        <v>459</v>
      </c>
      <c r="C638" t="str">
        <f>"24/11/2020 12:00:00 a. m."</f>
        <v>24/11/2020 12:00:00 a. m.</v>
      </c>
      <c r="D638" t="str">
        <f>"44"</f>
        <v>44</v>
      </c>
      <c r="E638" t="str">
        <f t="shared" si="682"/>
        <v>2020</v>
      </c>
      <c r="F638" t="str">
        <f>"0500102175"</f>
        <v>0500102175</v>
      </c>
      <c r="G638" t="str">
        <f t="shared" si="757"/>
        <v>01</v>
      </c>
      <c r="H638" t="str">
        <f>"13"</f>
        <v>13</v>
      </c>
      <c r="I638" t="str">
        <f t="shared" si="750"/>
        <v>1</v>
      </c>
      <c r="J638" t="str">
        <f>"F"</f>
        <v>F</v>
      </c>
      <c r="K638" t="str">
        <f t="shared" si="696"/>
        <v>170</v>
      </c>
      <c r="L638" t="str">
        <f>"05"</f>
        <v>05</v>
      </c>
      <c r="M638" t="str">
        <f>"088"</f>
        <v>088</v>
      </c>
      <c r="N638" t="str">
        <f>"1"</f>
        <v>1</v>
      </c>
      <c r="O638" t="str">
        <f>"9997"</f>
        <v>9997</v>
      </c>
      <c r="P638" t="str">
        <f>"C"</f>
        <v>C</v>
      </c>
      <c r="Q638" t="str">
        <f>"EPS010"</f>
        <v>EPS010</v>
      </c>
      <c r="R638" t="str">
        <f t="shared" si="758"/>
        <v>6</v>
      </c>
      <c r="S638" t="str">
        <f>""</f>
        <v/>
      </c>
      <c r="T638" t="str">
        <f t="shared" si="752"/>
        <v xml:space="preserve">                                                                                                    </v>
      </c>
      <c r="U638" t="str">
        <f>"2         "</f>
        <v xml:space="preserve">2         </v>
      </c>
      <c r="V638" t="str">
        <f t="shared" si="748"/>
        <v>2</v>
      </c>
      <c r="W638" t="str">
        <f t="shared" si="747"/>
        <v>2</v>
      </c>
      <c r="X638" t="str">
        <f t="shared" si="729"/>
        <v>2</v>
      </c>
      <c r="Y638" t="str">
        <f t="shared" si="739"/>
        <v>2</v>
      </c>
      <c r="Z638" t="str">
        <f t="shared" si="739"/>
        <v>2</v>
      </c>
      <c r="AA638" t="str">
        <f t="shared" si="683"/>
        <v xml:space="preserve">          </v>
      </c>
      <c r="AB638" t="str">
        <f t="shared" si="756"/>
        <v>2</v>
      </c>
      <c r="AC638" t="str">
        <f t="shared" si="759"/>
        <v>2</v>
      </c>
      <c r="AD638" t="str">
        <f t="shared" si="741"/>
        <v>2</v>
      </c>
      <c r="AE638" t="str">
        <f t="shared" si="741"/>
        <v>2</v>
      </c>
      <c r="AF638" t="str">
        <f t="shared" si="741"/>
        <v>2</v>
      </c>
      <c r="AG638" t="str">
        <f t="shared" si="741"/>
        <v>2</v>
      </c>
      <c r="AH638" t="str">
        <f t="shared" si="749"/>
        <v>1</v>
      </c>
      <c r="AI638" t="str">
        <f t="shared" si="755"/>
        <v xml:space="preserve">1         </v>
      </c>
      <c r="AJ638" t="str">
        <f t="shared" si="699"/>
        <v>170</v>
      </c>
      <c r="AK638" t="str">
        <f>"05"</f>
        <v>05</v>
      </c>
      <c r="AL638" t="str">
        <f>"001"</f>
        <v>001</v>
      </c>
      <c r="AM638" t="str">
        <f>"05"</f>
        <v>05</v>
      </c>
      <c r="AN638" t="str">
        <f>"05001"</f>
        <v>05001</v>
      </c>
      <c r="AO638" t="str">
        <f>"27/10/2020 12:00:00 a. m."</f>
        <v>27/10/2020 12:00:00 a. m.</v>
      </c>
      <c r="AP638" t="str">
        <f>"15/09/2020 12:00:00 a. m."</f>
        <v>15/09/2020 12:00:00 a. m.</v>
      </c>
      <c r="AQ638" t="str">
        <f>"2"</f>
        <v>2</v>
      </c>
      <c r="AR638" t="str">
        <f t="shared" si="740"/>
        <v>1</v>
      </c>
      <c r="AS638" t="str">
        <f>"17/11/2020 12:00:00 a. m."</f>
        <v>17/11/2020 12:00:00 a. m.</v>
      </c>
      <c r="AT638" t="str">
        <f>"2"</f>
        <v>2</v>
      </c>
      <c r="AU638" t="str">
        <f>"24/12/2020 12:00:00 a. m."</f>
        <v>24/12/2020 12:00:00 a. m.</v>
      </c>
      <c r="AV638" t="str">
        <f>"3"</f>
        <v>3</v>
      </c>
      <c r="AW638" t="str">
        <f>"12/03/2007 12:00:00 a. m."</f>
        <v>12/03/2007 12:00:00 a. m.</v>
      </c>
      <c r="AX638" t="str">
        <f>"C402"</f>
        <v>C402</v>
      </c>
      <c r="AY638" t="str">
        <f t="shared" si="684"/>
        <v>30/04/2021 12:00:00 a. m.</v>
      </c>
      <c r="AZ638" t="str">
        <f>"7/12/2020 12:00:00 a. m."</f>
        <v>7/12/2020 12:00:00 a. m.</v>
      </c>
      <c r="BA638" t="str">
        <f>""</f>
        <v/>
      </c>
      <c r="BB638" t="str">
        <f>""</f>
        <v/>
      </c>
      <c r="BC638" t="str">
        <f>""</f>
        <v/>
      </c>
      <c r="BD638" t="str">
        <f t="shared" si="744"/>
        <v>1</v>
      </c>
      <c r="BE638" t="str">
        <f t="shared" si="744"/>
        <v>1</v>
      </c>
      <c r="BF638" t="str">
        <f t="shared" si="685"/>
        <v xml:space="preserve">3         </v>
      </c>
      <c r="BG638" t="str">
        <f t="shared" si="686"/>
        <v>Confirmado por laboratorio</v>
      </c>
      <c r="BH638" t="str">
        <f>"FUNDACION HOSPITALARIA SAN VICENTE DE PAUL"</f>
        <v>FUNDACION HOSPITALARIA SAN VICENTE DE PAUL</v>
      </c>
      <c r="BI638" t="str">
        <f t="shared" si="703"/>
        <v>COLOMBIA</v>
      </c>
      <c r="BJ638" t="str">
        <f t="shared" si="687"/>
        <v>CANCER INFANTIL</v>
      </c>
      <c r="BK638" t="str">
        <f>"ANTIOQUIA"</f>
        <v>ANTIOQUIA</v>
      </c>
      <c r="BL638" t="str">
        <f>"BELLO"</f>
        <v>BELLO</v>
      </c>
      <c r="BM638" t="str">
        <f t="shared" si="705"/>
        <v>COLOMBIA</v>
      </c>
      <c r="BN638" t="str">
        <f>"ANTIOQUIA"</f>
        <v>ANTIOQUIA</v>
      </c>
      <c r="BO638" t="str">
        <f>"MEDELLIN"</f>
        <v>MEDELLIN</v>
      </c>
      <c r="BP638" t="str">
        <f>"ANTIOQUIA"</f>
        <v>ANTIOQUIA</v>
      </c>
      <c r="BQ638" t="str">
        <f>"MEDELLIN"</f>
        <v>MEDELLIN</v>
      </c>
    </row>
    <row r="639" spans="1:69" x14ac:dyDescent="0.25">
      <c r="A639" t="str">
        <f>"7278946"</f>
        <v>7278946</v>
      </c>
      <c r="B639" t="str">
        <f t="shared" si="681"/>
        <v>459</v>
      </c>
      <c r="C639" t="str">
        <f>"3/12/2020 12:00:00 a. m."</f>
        <v>3/12/2020 12:00:00 a. m.</v>
      </c>
      <c r="D639" t="str">
        <f>"47"</f>
        <v>47</v>
      </c>
      <c r="E639" t="str">
        <f t="shared" si="682"/>
        <v>2020</v>
      </c>
      <c r="F639" t="str">
        <f>"2300100949"</f>
        <v>2300100949</v>
      </c>
      <c r="G639" t="str">
        <f t="shared" si="757"/>
        <v>01</v>
      </c>
      <c r="H639" t="str">
        <f>"3"</f>
        <v>3</v>
      </c>
      <c r="I639" t="str">
        <f t="shared" si="750"/>
        <v>1</v>
      </c>
      <c r="J639" t="str">
        <f>"M"</f>
        <v>M</v>
      </c>
      <c r="K639" t="str">
        <f t="shared" si="696"/>
        <v>170</v>
      </c>
      <c r="L639" t="str">
        <f>"23"</f>
        <v>23</v>
      </c>
      <c r="M639" t="str">
        <f>"079"</f>
        <v>079</v>
      </c>
      <c r="N639" t="str">
        <f>"3"</f>
        <v>3</v>
      </c>
      <c r="O639" t="str">
        <f>"9999"</f>
        <v>9999</v>
      </c>
      <c r="P639" t="str">
        <f>"S"</f>
        <v>S</v>
      </c>
      <c r="Q639" t="str">
        <f>"EPSS37"</f>
        <v>EPSS37</v>
      </c>
      <c r="R639" t="str">
        <f t="shared" si="758"/>
        <v>6</v>
      </c>
      <c r="S639" t="str">
        <f>""</f>
        <v/>
      </c>
      <c r="T639" t="str">
        <f t="shared" si="752"/>
        <v xml:space="preserve">                                                                                                    </v>
      </c>
      <c r="U639" t="str">
        <f>"1         "</f>
        <v xml:space="preserve">1         </v>
      </c>
      <c r="V639" t="str">
        <f t="shared" si="748"/>
        <v>2</v>
      </c>
      <c r="W639" t="str">
        <f t="shared" si="747"/>
        <v>2</v>
      </c>
      <c r="X639" t="str">
        <f t="shared" si="729"/>
        <v>2</v>
      </c>
      <c r="Y639" t="str">
        <f t="shared" ref="Y639:Z658" si="760">"2"</f>
        <v>2</v>
      </c>
      <c r="Z639" t="str">
        <f t="shared" si="760"/>
        <v>2</v>
      </c>
      <c r="AA639" t="str">
        <f t="shared" si="683"/>
        <v xml:space="preserve">          </v>
      </c>
      <c r="AB639" t="str">
        <f t="shared" si="756"/>
        <v>2</v>
      </c>
      <c r="AC639" t="str">
        <f t="shared" si="759"/>
        <v>2</v>
      </c>
      <c r="AD639" t="str">
        <f t="shared" si="741"/>
        <v>2</v>
      </c>
      <c r="AE639" t="str">
        <f t="shared" si="741"/>
        <v>2</v>
      </c>
      <c r="AF639" t="str">
        <f t="shared" si="741"/>
        <v>2</v>
      </c>
      <c r="AG639" t="str">
        <f t="shared" si="741"/>
        <v>2</v>
      </c>
      <c r="AH639" t="str">
        <f t="shared" si="749"/>
        <v>1</v>
      </c>
      <c r="AI639" t="str">
        <f t="shared" si="755"/>
        <v xml:space="preserve">1         </v>
      </c>
      <c r="AJ639" t="str">
        <f t="shared" si="699"/>
        <v>170</v>
      </c>
      <c r="AK639" t="str">
        <f>"23"</f>
        <v>23</v>
      </c>
      <c r="AL639" t="str">
        <f>"079"</f>
        <v>079</v>
      </c>
      <c r="AM639" t="str">
        <f>"23"</f>
        <v>23</v>
      </c>
      <c r="AN639" t="str">
        <f>"23001"</f>
        <v>23001</v>
      </c>
      <c r="AO639" t="str">
        <f>"17/11/2020 12:00:00 a. m."</f>
        <v>17/11/2020 12:00:00 a. m.</v>
      </c>
      <c r="AP639" t="str">
        <f>"12/07/2020 12:00:00 a. m."</f>
        <v>12/07/2020 12:00:00 a. m.</v>
      </c>
      <c r="AQ639" t="str">
        <f>"3"</f>
        <v>3</v>
      </c>
      <c r="AR639" t="str">
        <f t="shared" si="740"/>
        <v>1</v>
      </c>
      <c r="AS639" t="str">
        <f>"18/11/2020 12:00:00 a. m."</f>
        <v>18/11/2020 12:00:00 a. m.</v>
      </c>
      <c r="AT639" t="str">
        <f t="shared" ref="AT639:AT658" si="761">"1"</f>
        <v>1</v>
      </c>
      <c r="AU639" t="str">
        <f>""</f>
        <v/>
      </c>
      <c r="AV639" t="str">
        <f>"0"</f>
        <v>0</v>
      </c>
      <c r="AW639" t="str">
        <f>"1/11/2017 12:00:00 a. m."</f>
        <v>1/11/2017 12:00:00 a. m.</v>
      </c>
      <c r="AX639" t="str">
        <f>""</f>
        <v/>
      </c>
      <c r="AY639" t="str">
        <f t="shared" si="684"/>
        <v>30/04/2021 12:00:00 a. m.</v>
      </c>
      <c r="AZ639" t="str">
        <f>"3/12/2020 12:00:00 a. m."</f>
        <v>3/12/2020 12:00:00 a. m.</v>
      </c>
      <c r="BA639" t="str">
        <f>""</f>
        <v/>
      </c>
      <c r="BB639" t="str">
        <f>""</f>
        <v/>
      </c>
      <c r="BC639" t="str">
        <f>""</f>
        <v/>
      </c>
      <c r="BD639" t="str">
        <f t="shared" si="744"/>
        <v>1</v>
      </c>
      <c r="BE639" t="str">
        <f t="shared" si="744"/>
        <v>1</v>
      </c>
      <c r="BF639" t="str">
        <f t="shared" si="685"/>
        <v xml:space="preserve">3         </v>
      </c>
      <c r="BG639" t="str">
        <f t="shared" si="686"/>
        <v>Confirmado por laboratorio</v>
      </c>
      <c r="BH639" t="str">
        <f>"ONCOMEDICA S A"</f>
        <v>ONCOMEDICA S A</v>
      </c>
      <c r="BI639" t="str">
        <f t="shared" si="703"/>
        <v>COLOMBIA</v>
      </c>
      <c r="BJ639" t="str">
        <f t="shared" si="687"/>
        <v>CANCER INFANTIL</v>
      </c>
      <c r="BK639" t="str">
        <f>"CORDOBA"</f>
        <v>CORDOBA</v>
      </c>
      <c r="BL639" t="str">
        <f>"BUENAVISTA"</f>
        <v>BUENAVISTA</v>
      </c>
      <c r="BM639" t="str">
        <f t="shared" si="705"/>
        <v>COLOMBIA</v>
      </c>
      <c r="BN639" t="str">
        <f>"CORDOBA"</f>
        <v>CORDOBA</v>
      </c>
      <c r="BO639" t="str">
        <f>"BUENAVISTA"</f>
        <v>BUENAVISTA</v>
      </c>
      <c r="BP639" t="str">
        <f>"CORDOBA"</f>
        <v>CORDOBA</v>
      </c>
      <c r="BQ639" t="str">
        <f>"MONTERIA"</f>
        <v>MONTERIA</v>
      </c>
    </row>
    <row r="640" spans="1:69" x14ac:dyDescent="0.25">
      <c r="A640" t="str">
        <f>"7291487"</f>
        <v>7291487</v>
      </c>
      <c r="B640" t="str">
        <f t="shared" si="681"/>
        <v>459</v>
      </c>
      <c r="C640" t="str">
        <f>"13/04/2020 12:00:00 a. m."</f>
        <v>13/04/2020 12:00:00 a. m.</v>
      </c>
      <c r="D640" t="str">
        <f>"14"</f>
        <v>14</v>
      </c>
      <c r="E640" t="str">
        <f t="shared" si="682"/>
        <v>2020</v>
      </c>
      <c r="F640" t="str">
        <f>"1100116133"</f>
        <v>1100116133</v>
      </c>
      <c r="G640" t="str">
        <f t="shared" si="757"/>
        <v>01</v>
      </c>
      <c r="H640" t="str">
        <f>"2"</f>
        <v>2</v>
      </c>
      <c r="I640" t="str">
        <f t="shared" si="750"/>
        <v>1</v>
      </c>
      <c r="J640" t="str">
        <f>"F"</f>
        <v>F</v>
      </c>
      <c r="K640" t="str">
        <f t="shared" si="696"/>
        <v>170</v>
      </c>
      <c r="L640" t="str">
        <f>"11"</f>
        <v>11</v>
      </c>
      <c r="M640" t="str">
        <f t="shared" ref="M640:M648" si="762">"001"</f>
        <v>001</v>
      </c>
      <c r="N640" t="str">
        <f t="shared" ref="N640:N645" si="763">"1"</f>
        <v>1</v>
      </c>
      <c r="O640" t="str">
        <f>"9999"</f>
        <v>9999</v>
      </c>
      <c r="P640" t="str">
        <f>"C"</f>
        <v>C</v>
      </c>
      <c r="Q640" t="str">
        <f>"EPS008"</f>
        <v>EPS008</v>
      </c>
      <c r="R640" t="str">
        <f t="shared" si="758"/>
        <v>6</v>
      </c>
      <c r="S640" t="str">
        <f>""</f>
        <v/>
      </c>
      <c r="T640" t="str">
        <f t="shared" si="752"/>
        <v xml:space="preserve">                                                                                                    </v>
      </c>
      <c r="U640" t="str">
        <f>"2         "</f>
        <v xml:space="preserve">2         </v>
      </c>
      <c r="V640" t="str">
        <f t="shared" si="748"/>
        <v>2</v>
      </c>
      <c r="W640" t="str">
        <f t="shared" si="747"/>
        <v>2</v>
      </c>
      <c r="X640" t="str">
        <f t="shared" si="729"/>
        <v>2</v>
      </c>
      <c r="Y640" t="str">
        <f t="shared" si="760"/>
        <v>2</v>
      </c>
      <c r="Z640" t="str">
        <f t="shared" si="760"/>
        <v>2</v>
      </c>
      <c r="AA640" t="str">
        <f t="shared" si="683"/>
        <v xml:space="preserve">          </v>
      </c>
      <c r="AB640" t="str">
        <f t="shared" si="756"/>
        <v>2</v>
      </c>
      <c r="AC640" t="str">
        <f t="shared" si="759"/>
        <v>2</v>
      </c>
      <c r="AD640" t="str">
        <f t="shared" ref="AD640:AG659" si="764">"2"</f>
        <v>2</v>
      </c>
      <c r="AE640" t="str">
        <f t="shared" si="764"/>
        <v>2</v>
      </c>
      <c r="AF640" t="str">
        <f t="shared" si="764"/>
        <v>2</v>
      </c>
      <c r="AG640" t="str">
        <f t="shared" si="764"/>
        <v>2</v>
      </c>
      <c r="AH640" t="str">
        <f t="shared" si="749"/>
        <v>1</v>
      </c>
      <c r="AI640" t="str">
        <f t="shared" si="755"/>
        <v xml:space="preserve">1         </v>
      </c>
      <c r="AJ640" t="str">
        <f t="shared" si="699"/>
        <v>170</v>
      </c>
      <c r="AK640" t="str">
        <f>"11"</f>
        <v>11</v>
      </c>
      <c r="AL640" t="str">
        <f t="shared" ref="AL640:AL648" si="765">"001"</f>
        <v>001</v>
      </c>
      <c r="AM640" t="str">
        <f>"11"</f>
        <v>11</v>
      </c>
      <c r="AN640" t="str">
        <f>"11001"</f>
        <v>11001</v>
      </c>
      <c r="AO640" t="str">
        <f>"30/03/2020 12:00:00 a. m."</f>
        <v>30/03/2020 12:00:00 a. m.</v>
      </c>
      <c r="AP640" t="str">
        <f>"23/03/2020 12:00:00 a. m."</f>
        <v>23/03/2020 12:00:00 a. m.</v>
      </c>
      <c r="AQ640" t="str">
        <f>"2"</f>
        <v>2</v>
      </c>
      <c r="AR640" t="str">
        <f t="shared" si="740"/>
        <v>1</v>
      </c>
      <c r="AS640" t="str">
        <f>"30/03/2020 12:00:00 a. m."</f>
        <v>30/03/2020 12:00:00 a. m.</v>
      </c>
      <c r="AT640" t="str">
        <f t="shared" si="761"/>
        <v>1</v>
      </c>
      <c r="AU640" t="str">
        <f>""</f>
        <v/>
      </c>
      <c r="AV640" t="str">
        <f>"3"</f>
        <v>3</v>
      </c>
      <c r="AW640" t="str">
        <f>"3/02/2018 12:00:00 a. m."</f>
        <v>3/02/2018 12:00:00 a. m.</v>
      </c>
      <c r="AX640" t="str">
        <f>""</f>
        <v/>
      </c>
      <c r="AY640" t="str">
        <f t="shared" si="684"/>
        <v>30/04/2021 12:00:00 a. m.</v>
      </c>
      <c r="AZ640" t="str">
        <f>"5/05/2020 12:00:00 a. m."</f>
        <v>5/05/2020 12:00:00 a. m.</v>
      </c>
      <c r="BA640" t="str">
        <f>""</f>
        <v/>
      </c>
      <c r="BB640" t="str">
        <f>""</f>
        <v/>
      </c>
      <c r="BC640" t="str">
        <f>""</f>
        <v/>
      </c>
      <c r="BD640" t="str">
        <f t="shared" si="744"/>
        <v>1</v>
      </c>
      <c r="BE640" t="str">
        <f t="shared" si="744"/>
        <v>1</v>
      </c>
      <c r="BF640" t="str">
        <f t="shared" si="685"/>
        <v xml:space="preserve">3         </v>
      </c>
      <c r="BG640" t="str">
        <f t="shared" si="686"/>
        <v>Confirmado por laboratorio</v>
      </c>
      <c r="BH640" t="str">
        <f>"FUNDACION HOSPITAL INFANTIL UNIVERSITARIO DE SAN"</f>
        <v>FUNDACION HOSPITAL INFANTIL UNIVERSITARIO DE SAN</v>
      </c>
      <c r="BI640" t="str">
        <f t="shared" si="703"/>
        <v>COLOMBIA</v>
      </c>
      <c r="BJ640" t="str">
        <f t="shared" si="687"/>
        <v>CANCER INFANTIL</v>
      </c>
      <c r="BK640" t="str">
        <f t="shared" ref="BK640:BL642" si="766">"BOGOTA"</f>
        <v>BOGOTA</v>
      </c>
      <c r="BL640" t="str">
        <f t="shared" si="766"/>
        <v>BOGOTA</v>
      </c>
      <c r="BM640" t="str">
        <f t="shared" si="705"/>
        <v>COLOMBIA</v>
      </c>
      <c r="BN640" t="str">
        <f t="shared" ref="BN640:BQ642" si="767">"BOGOTA"</f>
        <v>BOGOTA</v>
      </c>
      <c r="BO640" t="str">
        <f t="shared" si="767"/>
        <v>BOGOTA</v>
      </c>
      <c r="BP640" t="str">
        <f t="shared" si="767"/>
        <v>BOGOTA</v>
      </c>
      <c r="BQ640" t="str">
        <f t="shared" si="767"/>
        <v>BOGOTA</v>
      </c>
    </row>
    <row r="641" spans="1:69" x14ac:dyDescent="0.25">
      <c r="A641" t="str">
        <f>"7291501"</f>
        <v>7291501</v>
      </c>
      <c r="B641" t="str">
        <f t="shared" si="681"/>
        <v>459</v>
      </c>
      <c r="C641" t="str">
        <f>"8/05/2020 12:00:00 a. m."</f>
        <v>8/05/2020 12:00:00 a. m.</v>
      </c>
      <c r="D641" t="str">
        <f>"08"</f>
        <v>08</v>
      </c>
      <c r="E641" t="str">
        <f t="shared" si="682"/>
        <v>2020</v>
      </c>
      <c r="F641" t="str">
        <f>"1100116133"</f>
        <v>1100116133</v>
      </c>
      <c r="G641" t="str">
        <f t="shared" si="757"/>
        <v>01</v>
      </c>
      <c r="H641" t="str">
        <f>"11"</f>
        <v>11</v>
      </c>
      <c r="I641" t="str">
        <f t="shared" si="750"/>
        <v>1</v>
      </c>
      <c r="J641" t="str">
        <f>"M"</f>
        <v>M</v>
      </c>
      <c r="K641" t="str">
        <f t="shared" si="696"/>
        <v>170</v>
      </c>
      <c r="L641" t="str">
        <f>"11"</f>
        <v>11</v>
      </c>
      <c r="M641" t="str">
        <f t="shared" si="762"/>
        <v>001</v>
      </c>
      <c r="N641" t="str">
        <f t="shared" si="763"/>
        <v>1</v>
      </c>
      <c r="O641" t="str">
        <f>"9997"</f>
        <v>9997</v>
      </c>
      <c r="P641" t="str">
        <f>"P"</f>
        <v>P</v>
      </c>
      <c r="Q641" t="str">
        <f>"RES004"</f>
        <v>RES004</v>
      </c>
      <c r="R641" t="str">
        <f t="shared" si="758"/>
        <v>6</v>
      </c>
      <c r="S641" t="str">
        <f>""</f>
        <v/>
      </c>
      <c r="T641" t="str">
        <f t="shared" si="752"/>
        <v xml:space="preserve">                                                                                                    </v>
      </c>
      <c r="U641" t="str">
        <f>"2         "</f>
        <v xml:space="preserve">2         </v>
      </c>
      <c r="V641" t="str">
        <f t="shared" si="748"/>
        <v>2</v>
      </c>
      <c r="W641" t="str">
        <f t="shared" si="747"/>
        <v>2</v>
      </c>
      <c r="X641" t="str">
        <f t="shared" si="729"/>
        <v>2</v>
      </c>
      <c r="Y641" t="str">
        <f t="shared" si="760"/>
        <v>2</v>
      </c>
      <c r="Z641" t="str">
        <f t="shared" si="760"/>
        <v>2</v>
      </c>
      <c r="AA641" t="str">
        <f t="shared" si="683"/>
        <v xml:space="preserve">          </v>
      </c>
      <c r="AB641" t="str">
        <f t="shared" si="756"/>
        <v>2</v>
      </c>
      <c r="AC641" t="str">
        <f t="shared" si="759"/>
        <v>2</v>
      </c>
      <c r="AD641" t="str">
        <f t="shared" si="764"/>
        <v>2</v>
      </c>
      <c r="AE641" t="str">
        <f t="shared" si="764"/>
        <v>2</v>
      </c>
      <c r="AF641" t="str">
        <f t="shared" si="764"/>
        <v>2</v>
      </c>
      <c r="AG641" t="str">
        <f t="shared" si="764"/>
        <v>2</v>
      </c>
      <c r="AH641" t="str">
        <f t="shared" si="749"/>
        <v>1</v>
      </c>
      <c r="AI641" t="str">
        <f>"2         "</f>
        <v xml:space="preserve">2         </v>
      </c>
      <c r="AJ641" t="str">
        <f t="shared" si="699"/>
        <v>170</v>
      </c>
      <c r="AK641" t="str">
        <f>"11"</f>
        <v>11</v>
      </c>
      <c r="AL641" t="str">
        <f t="shared" si="765"/>
        <v>001</v>
      </c>
      <c r="AM641" t="str">
        <f>"11"</f>
        <v>11</v>
      </c>
      <c r="AN641" t="str">
        <f>"11001"</f>
        <v>11001</v>
      </c>
      <c r="AO641" t="str">
        <f>"17/02/2020 12:00:00 a. m."</f>
        <v>17/02/2020 12:00:00 a. m.</v>
      </c>
      <c r="AP641" t="str">
        <f>"10/02/2020 12:00:00 a. m."</f>
        <v>10/02/2020 12:00:00 a. m.</v>
      </c>
      <c r="AQ641" t="str">
        <f>"3"</f>
        <v>3</v>
      </c>
      <c r="AR641" t="str">
        <f t="shared" si="740"/>
        <v>1</v>
      </c>
      <c r="AS641" t="str">
        <f>"17/02/2020 12:00:00 a. m."</f>
        <v>17/02/2020 12:00:00 a. m.</v>
      </c>
      <c r="AT641" t="str">
        <f t="shared" si="761"/>
        <v>1</v>
      </c>
      <c r="AU641" t="str">
        <f>""</f>
        <v/>
      </c>
      <c r="AV641" t="str">
        <f>"7"</f>
        <v>7</v>
      </c>
      <c r="AW641" t="str">
        <f>"22/11/2008 12:00:00 a. m."</f>
        <v>22/11/2008 12:00:00 a. m.</v>
      </c>
      <c r="AX641" t="str">
        <f>""</f>
        <v/>
      </c>
      <c r="AY641" t="str">
        <f t="shared" si="684"/>
        <v>30/04/2021 12:00:00 a. m.</v>
      </c>
      <c r="AZ641" t="str">
        <f>"30/12/2020 12:00:00 a. m."</f>
        <v>30/12/2020 12:00:00 a. m.</v>
      </c>
      <c r="BA641" t="str">
        <f>""</f>
        <v/>
      </c>
      <c r="BB641" t="str">
        <f>""</f>
        <v/>
      </c>
      <c r="BC641" t="str">
        <f>""</f>
        <v/>
      </c>
      <c r="BD641" t="str">
        <f t="shared" si="744"/>
        <v>1</v>
      </c>
      <c r="BE641" t="str">
        <f t="shared" si="744"/>
        <v>1</v>
      </c>
      <c r="BF641" t="str">
        <f t="shared" si="685"/>
        <v xml:space="preserve">3         </v>
      </c>
      <c r="BG641" t="str">
        <f t="shared" si="686"/>
        <v>Confirmado por laboratorio</v>
      </c>
      <c r="BH641" t="str">
        <f>"FUNDACION HOSPITAL INFANTIL UNIVERSITARIO DE SAN"</f>
        <v>FUNDACION HOSPITAL INFANTIL UNIVERSITARIO DE SAN</v>
      </c>
      <c r="BI641" t="str">
        <f t="shared" si="703"/>
        <v>COLOMBIA</v>
      </c>
      <c r="BJ641" t="str">
        <f t="shared" si="687"/>
        <v>CANCER INFANTIL</v>
      </c>
      <c r="BK641" t="str">
        <f t="shared" si="766"/>
        <v>BOGOTA</v>
      </c>
      <c r="BL641" t="str">
        <f t="shared" si="766"/>
        <v>BOGOTA</v>
      </c>
      <c r="BM641" t="str">
        <f t="shared" si="705"/>
        <v>COLOMBIA</v>
      </c>
      <c r="BN641" t="str">
        <f t="shared" si="767"/>
        <v>BOGOTA</v>
      </c>
      <c r="BO641" t="str">
        <f t="shared" si="767"/>
        <v>BOGOTA</v>
      </c>
      <c r="BP641" t="str">
        <f t="shared" si="767"/>
        <v>BOGOTA</v>
      </c>
      <c r="BQ641" t="str">
        <f t="shared" si="767"/>
        <v>BOGOTA</v>
      </c>
    </row>
    <row r="642" spans="1:69" x14ac:dyDescent="0.25">
      <c r="A642" t="str">
        <f>"7291502"</f>
        <v>7291502</v>
      </c>
      <c r="B642" t="str">
        <f t="shared" ref="B642:B705" si="768">"459"</f>
        <v>459</v>
      </c>
      <c r="C642" t="str">
        <f>"21/08/2020 12:00:00 a. m."</f>
        <v>21/08/2020 12:00:00 a. m.</v>
      </c>
      <c r="D642" t="str">
        <f>"33"</f>
        <v>33</v>
      </c>
      <c r="E642" t="str">
        <f t="shared" ref="E642:E705" si="769">"2020"</f>
        <v>2020</v>
      </c>
      <c r="F642" t="str">
        <f>"1100116133"</f>
        <v>1100116133</v>
      </c>
      <c r="G642" t="str">
        <f t="shared" si="757"/>
        <v>01</v>
      </c>
      <c r="H642" t="str">
        <f>"10"</f>
        <v>10</v>
      </c>
      <c r="I642" t="str">
        <f t="shared" si="750"/>
        <v>1</v>
      </c>
      <c r="J642" t="str">
        <f>"M"</f>
        <v>M</v>
      </c>
      <c r="K642" t="str">
        <f t="shared" si="696"/>
        <v>170</v>
      </c>
      <c r="L642" t="str">
        <f>"11"</f>
        <v>11</v>
      </c>
      <c r="M642" t="str">
        <f t="shared" si="762"/>
        <v>001</v>
      </c>
      <c r="N642" t="str">
        <f t="shared" si="763"/>
        <v>1</v>
      </c>
      <c r="O642" t="str">
        <f>"9997"</f>
        <v>9997</v>
      </c>
      <c r="P642" t="str">
        <f>"C"</f>
        <v>C</v>
      </c>
      <c r="Q642" t="str">
        <f>"EPS008"</f>
        <v>EPS008</v>
      </c>
      <c r="R642" t="str">
        <f t="shared" si="758"/>
        <v>6</v>
      </c>
      <c r="S642" t="str">
        <f>""</f>
        <v/>
      </c>
      <c r="T642" t="str">
        <f t="shared" si="752"/>
        <v xml:space="preserve">                                                                                                    </v>
      </c>
      <c r="U642" t="str">
        <f>"3         "</f>
        <v xml:space="preserve">3         </v>
      </c>
      <c r="V642" t="str">
        <f t="shared" si="748"/>
        <v>2</v>
      </c>
      <c r="W642" t="str">
        <f t="shared" si="747"/>
        <v>2</v>
      </c>
      <c r="X642" t="str">
        <f t="shared" si="729"/>
        <v>2</v>
      </c>
      <c r="Y642" t="str">
        <f t="shared" si="760"/>
        <v>2</v>
      </c>
      <c r="Z642" t="str">
        <f t="shared" si="760"/>
        <v>2</v>
      </c>
      <c r="AA642" t="str">
        <f t="shared" ref="AA642:AA705" si="770">"          "</f>
        <v xml:space="preserve">          </v>
      </c>
      <c r="AB642" t="str">
        <f t="shared" si="756"/>
        <v>2</v>
      </c>
      <c r="AC642" t="str">
        <f t="shared" si="759"/>
        <v>2</v>
      </c>
      <c r="AD642" t="str">
        <f t="shared" si="764"/>
        <v>2</v>
      </c>
      <c r="AE642" t="str">
        <f t="shared" si="764"/>
        <v>2</v>
      </c>
      <c r="AF642" t="str">
        <f t="shared" si="764"/>
        <v>2</v>
      </c>
      <c r="AG642" t="str">
        <f t="shared" si="764"/>
        <v>2</v>
      </c>
      <c r="AH642" t="str">
        <f t="shared" si="749"/>
        <v>1</v>
      </c>
      <c r="AI642" t="str">
        <f t="shared" ref="AI642:AI659" si="771">"1         "</f>
        <v xml:space="preserve">1         </v>
      </c>
      <c r="AJ642" t="str">
        <f t="shared" si="699"/>
        <v>170</v>
      </c>
      <c r="AK642" t="str">
        <f>"11"</f>
        <v>11</v>
      </c>
      <c r="AL642" t="str">
        <f t="shared" si="765"/>
        <v>001</v>
      </c>
      <c r="AM642" t="str">
        <f>"11"</f>
        <v>11</v>
      </c>
      <c r="AN642" t="str">
        <f>"11001"</f>
        <v>11001</v>
      </c>
      <c r="AO642" t="str">
        <f>"12/08/2020 12:00:00 a. m."</f>
        <v>12/08/2020 12:00:00 a. m.</v>
      </c>
      <c r="AP642" t="str">
        <f>"8/06/2020 12:00:00 a. m."</f>
        <v>8/06/2020 12:00:00 a. m.</v>
      </c>
      <c r="AQ642" t="str">
        <f>"3"</f>
        <v>3</v>
      </c>
      <c r="AR642" t="str">
        <f t="shared" si="740"/>
        <v>1</v>
      </c>
      <c r="AS642" t="str">
        <f>"12/08/2020 12:00:00 a. m."</f>
        <v>12/08/2020 12:00:00 a. m.</v>
      </c>
      <c r="AT642" t="str">
        <f t="shared" si="761"/>
        <v>1</v>
      </c>
      <c r="AU642" t="str">
        <f>""</f>
        <v/>
      </c>
      <c r="AV642" t="str">
        <f>"0"</f>
        <v>0</v>
      </c>
      <c r="AW642" t="str">
        <f>"11/06/2010 12:00:00 a. m."</f>
        <v>11/06/2010 12:00:00 a. m.</v>
      </c>
      <c r="AX642" t="str">
        <f>""</f>
        <v/>
      </c>
      <c r="AY642" t="str">
        <f t="shared" ref="AY642:AY705" si="772">"30/04/2021 12:00:00 a. m."</f>
        <v>30/04/2021 12:00:00 a. m.</v>
      </c>
      <c r="AZ642" t="str">
        <f>"24/08/2020 12:00:00 a. m."</f>
        <v>24/08/2020 12:00:00 a. m.</v>
      </c>
      <c r="BA642" t="str">
        <f>""</f>
        <v/>
      </c>
      <c r="BB642" t="str">
        <f>""</f>
        <v/>
      </c>
      <c r="BC642" t="str">
        <f>""</f>
        <v/>
      </c>
      <c r="BD642" t="str">
        <f t="shared" ref="BD642:BE661" si="773">"1"</f>
        <v>1</v>
      </c>
      <c r="BE642" t="str">
        <f t="shared" si="773"/>
        <v>1</v>
      </c>
      <c r="BF642" t="str">
        <f t="shared" ref="BF642:BF705" si="774">"3         "</f>
        <v xml:space="preserve">3         </v>
      </c>
      <c r="BG642" t="str">
        <f t="shared" ref="BG642:BG705" si="775">"Confirmado por laboratorio"</f>
        <v>Confirmado por laboratorio</v>
      </c>
      <c r="BH642" t="str">
        <f>"FUNDACION HOSPITAL INFANTIL UNIVERSITARIO DE SAN"</f>
        <v>FUNDACION HOSPITAL INFANTIL UNIVERSITARIO DE SAN</v>
      </c>
      <c r="BI642" t="str">
        <f t="shared" si="703"/>
        <v>COLOMBIA</v>
      </c>
      <c r="BJ642" t="str">
        <f t="shared" ref="BJ642:BJ705" si="776">"CANCER INFANTIL"</f>
        <v>CANCER INFANTIL</v>
      </c>
      <c r="BK642" t="str">
        <f t="shared" si="766"/>
        <v>BOGOTA</v>
      </c>
      <c r="BL642" t="str">
        <f t="shared" si="766"/>
        <v>BOGOTA</v>
      </c>
      <c r="BM642" t="str">
        <f t="shared" si="705"/>
        <v>COLOMBIA</v>
      </c>
      <c r="BN642" t="str">
        <f t="shared" si="767"/>
        <v>BOGOTA</v>
      </c>
      <c r="BO642" t="str">
        <f t="shared" si="767"/>
        <v>BOGOTA</v>
      </c>
      <c r="BP642" t="str">
        <f t="shared" si="767"/>
        <v>BOGOTA</v>
      </c>
      <c r="BQ642" t="str">
        <f t="shared" si="767"/>
        <v>BOGOTA</v>
      </c>
    </row>
    <row r="643" spans="1:69" x14ac:dyDescent="0.25">
      <c r="A643" t="str">
        <f>"7291441"</f>
        <v>7291441</v>
      </c>
      <c r="B643" t="str">
        <f t="shared" si="768"/>
        <v>459</v>
      </c>
      <c r="C643" t="str">
        <f>"10/11/2020 12:00:00 a. m."</f>
        <v>10/11/2020 12:00:00 a. m.</v>
      </c>
      <c r="D643" t="str">
        <f>"43"</f>
        <v>43</v>
      </c>
      <c r="E643" t="str">
        <f t="shared" si="769"/>
        <v>2020</v>
      </c>
      <c r="F643" t="str">
        <f>"0500102175"</f>
        <v>0500102175</v>
      </c>
      <c r="G643" t="str">
        <f t="shared" si="757"/>
        <v>01</v>
      </c>
      <c r="H643" t="str">
        <f>"2"</f>
        <v>2</v>
      </c>
      <c r="I643" t="str">
        <f t="shared" si="750"/>
        <v>1</v>
      </c>
      <c r="J643" t="str">
        <f>"M"</f>
        <v>M</v>
      </c>
      <c r="K643" t="str">
        <f t="shared" si="696"/>
        <v>170</v>
      </c>
      <c r="L643" t="str">
        <f>"05"</f>
        <v>05</v>
      </c>
      <c r="M643" t="str">
        <f t="shared" si="762"/>
        <v>001</v>
      </c>
      <c r="N643" t="str">
        <f t="shared" si="763"/>
        <v>1</v>
      </c>
      <c r="O643" t="str">
        <f>"9999"</f>
        <v>9999</v>
      </c>
      <c r="P643" t="str">
        <f>"S"</f>
        <v>S</v>
      </c>
      <c r="Q643" t="str">
        <f>"EPSS02"</f>
        <v>EPSS02</v>
      </c>
      <c r="R643" t="str">
        <f t="shared" si="758"/>
        <v>6</v>
      </c>
      <c r="S643" t="str">
        <f>""</f>
        <v/>
      </c>
      <c r="T643" t="str">
        <f t="shared" si="752"/>
        <v xml:space="preserve">                                                                                                    </v>
      </c>
      <c r="U643" t="str">
        <f>"2         "</f>
        <v xml:space="preserve">2         </v>
      </c>
      <c r="V643" t="str">
        <f t="shared" si="748"/>
        <v>2</v>
      </c>
      <c r="W643" t="str">
        <f t="shared" si="747"/>
        <v>2</v>
      </c>
      <c r="X643" t="str">
        <f t="shared" si="729"/>
        <v>2</v>
      </c>
      <c r="Y643" t="str">
        <f t="shared" si="760"/>
        <v>2</v>
      </c>
      <c r="Z643" t="str">
        <f t="shared" si="760"/>
        <v>2</v>
      </c>
      <c r="AA643" t="str">
        <f t="shared" si="770"/>
        <v xml:space="preserve">          </v>
      </c>
      <c r="AB643" t="str">
        <f t="shared" si="756"/>
        <v>2</v>
      </c>
      <c r="AC643" t="str">
        <f t="shared" si="759"/>
        <v>2</v>
      </c>
      <c r="AD643" t="str">
        <f t="shared" si="764"/>
        <v>2</v>
      </c>
      <c r="AE643" t="str">
        <f t="shared" si="764"/>
        <v>2</v>
      </c>
      <c r="AF643" t="str">
        <f t="shared" si="764"/>
        <v>2</v>
      </c>
      <c r="AG643" t="str">
        <f t="shared" si="764"/>
        <v>2</v>
      </c>
      <c r="AH643" t="str">
        <f t="shared" si="749"/>
        <v>1</v>
      </c>
      <c r="AI643" t="str">
        <f t="shared" si="771"/>
        <v xml:space="preserve">1         </v>
      </c>
      <c r="AJ643" t="str">
        <f t="shared" si="699"/>
        <v>170</v>
      </c>
      <c r="AK643" t="str">
        <f>"05"</f>
        <v>05</v>
      </c>
      <c r="AL643" t="str">
        <f t="shared" si="765"/>
        <v>001</v>
      </c>
      <c r="AM643" t="str">
        <f>"05"</f>
        <v>05</v>
      </c>
      <c r="AN643" t="str">
        <f>"05001"</f>
        <v>05001</v>
      </c>
      <c r="AO643" t="str">
        <f>"21/10/2020 12:00:00 a. m."</f>
        <v>21/10/2020 12:00:00 a. m.</v>
      </c>
      <c r="AP643" t="str">
        <f>"21/10/2020 12:00:00 a. m."</f>
        <v>21/10/2020 12:00:00 a. m.</v>
      </c>
      <c r="AQ643" t="str">
        <f>"3"</f>
        <v>3</v>
      </c>
      <c r="AR643" t="str">
        <f t="shared" si="740"/>
        <v>1</v>
      </c>
      <c r="AS643" t="str">
        <f>"27/10/2020 12:00:00 a. m."</f>
        <v>27/10/2020 12:00:00 a. m.</v>
      </c>
      <c r="AT643" t="str">
        <f t="shared" si="761"/>
        <v>1</v>
      </c>
      <c r="AU643" t="str">
        <f>""</f>
        <v/>
      </c>
      <c r="AV643" t="str">
        <f>"7"</f>
        <v>7</v>
      </c>
      <c r="AW643" t="str">
        <f>"5/08/2018 12:00:00 a. m."</f>
        <v>5/08/2018 12:00:00 a. m.</v>
      </c>
      <c r="AX643" t="str">
        <f>""</f>
        <v/>
      </c>
      <c r="AY643" t="str">
        <f t="shared" si="772"/>
        <v>30/04/2021 12:00:00 a. m.</v>
      </c>
      <c r="AZ643" t="str">
        <f>"14/12/2020 12:00:00 a. m."</f>
        <v>14/12/2020 12:00:00 a. m.</v>
      </c>
      <c r="BA643" t="str">
        <f>""</f>
        <v/>
      </c>
      <c r="BB643" t="str">
        <f>""</f>
        <v/>
      </c>
      <c r="BC643" t="str">
        <f>""</f>
        <v/>
      </c>
      <c r="BD643" t="str">
        <f t="shared" si="773"/>
        <v>1</v>
      </c>
      <c r="BE643" t="str">
        <f t="shared" si="773"/>
        <v>1</v>
      </c>
      <c r="BF643" t="str">
        <f t="shared" si="774"/>
        <v xml:space="preserve">3         </v>
      </c>
      <c r="BG643" t="str">
        <f t="shared" si="775"/>
        <v>Confirmado por laboratorio</v>
      </c>
      <c r="BH643" t="str">
        <f>"FUNDACION HOSPITALARIA SAN VICENTE DE PAUL"</f>
        <v>FUNDACION HOSPITALARIA SAN VICENTE DE PAUL</v>
      </c>
      <c r="BI643" t="str">
        <f t="shared" si="703"/>
        <v>COLOMBIA</v>
      </c>
      <c r="BJ643" t="str">
        <f t="shared" si="776"/>
        <v>CANCER INFANTIL</v>
      </c>
      <c r="BK643" t="str">
        <f>"ANTIOQUIA"</f>
        <v>ANTIOQUIA</v>
      </c>
      <c r="BL643" t="str">
        <f>"MEDELLIN"</f>
        <v>MEDELLIN</v>
      </c>
      <c r="BM643" t="str">
        <f t="shared" si="705"/>
        <v>COLOMBIA</v>
      </c>
      <c r="BN643" t="str">
        <f>"ANTIOQUIA"</f>
        <v>ANTIOQUIA</v>
      </c>
      <c r="BO643" t="str">
        <f>"MEDELLIN"</f>
        <v>MEDELLIN</v>
      </c>
      <c r="BP643" t="str">
        <f>"ANTIOQUIA"</f>
        <v>ANTIOQUIA</v>
      </c>
      <c r="BQ643" t="str">
        <f>"MEDELLIN"</f>
        <v>MEDELLIN</v>
      </c>
    </row>
    <row r="644" spans="1:69" x14ac:dyDescent="0.25">
      <c r="A644" t="str">
        <f>"7291442"</f>
        <v>7291442</v>
      </c>
      <c r="B644" t="str">
        <f t="shared" si="768"/>
        <v>459</v>
      </c>
      <c r="C644" t="str">
        <f>"20/10/2020 12:00:00 a. m."</f>
        <v>20/10/2020 12:00:00 a. m.</v>
      </c>
      <c r="D644" t="str">
        <f>"31"</f>
        <v>31</v>
      </c>
      <c r="E644" t="str">
        <f t="shared" si="769"/>
        <v>2020</v>
      </c>
      <c r="F644" t="str">
        <f>"0500102175"</f>
        <v>0500102175</v>
      </c>
      <c r="G644" t="str">
        <f t="shared" si="757"/>
        <v>01</v>
      </c>
      <c r="H644" t="str">
        <f>"1"</f>
        <v>1</v>
      </c>
      <c r="I644" t="str">
        <f t="shared" si="750"/>
        <v>1</v>
      </c>
      <c r="J644" t="str">
        <f>"M"</f>
        <v>M</v>
      </c>
      <c r="K644" t="str">
        <f t="shared" si="696"/>
        <v>170</v>
      </c>
      <c r="L644" t="str">
        <f>"05"</f>
        <v>05</v>
      </c>
      <c r="M644" t="str">
        <f t="shared" si="762"/>
        <v>001</v>
      </c>
      <c r="N644" t="str">
        <f t="shared" si="763"/>
        <v>1</v>
      </c>
      <c r="O644" t="str">
        <f>"9999"</f>
        <v>9999</v>
      </c>
      <c r="P644" t="str">
        <f>"S"</f>
        <v>S</v>
      </c>
      <c r="Q644" t="str">
        <f>"EPSS40"</f>
        <v>EPSS40</v>
      </c>
      <c r="R644" t="str">
        <f t="shared" si="758"/>
        <v>6</v>
      </c>
      <c r="S644" t="str">
        <f>""</f>
        <v/>
      </c>
      <c r="T644" t="str">
        <f t="shared" si="752"/>
        <v xml:space="preserve">                                                                                                    </v>
      </c>
      <c r="U644" t="str">
        <f>"2         "</f>
        <v xml:space="preserve">2         </v>
      </c>
      <c r="V644" t="str">
        <f t="shared" si="748"/>
        <v>2</v>
      </c>
      <c r="W644" t="str">
        <f t="shared" si="747"/>
        <v>2</v>
      </c>
      <c r="X644" t="str">
        <f t="shared" si="729"/>
        <v>2</v>
      </c>
      <c r="Y644" t="str">
        <f t="shared" si="760"/>
        <v>2</v>
      </c>
      <c r="Z644" t="str">
        <f t="shared" si="760"/>
        <v>2</v>
      </c>
      <c r="AA644" t="str">
        <f t="shared" si="770"/>
        <v xml:space="preserve">          </v>
      </c>
      <c r="AB644" t="str">
        <f t="shared" si="756"/>
        <v>2</v>
      </c>
      <c r="AC644" t="str">
        <f t="shared" si="759"/>
        <v>2</v>
      </c>
      <c r="AD644" t="str">
        <f t="shared" si="764"/>
        <v>2</v>
      </c>
      <c r="AE644" t="str">
        <f t="shared" si="764"/>
        <v>2</v>
      </c>
      <c r="AF644" t="str">
        <f t="shared" si="764"/>
        <v>2</v>
      </c>
      <c r="AG644" t="str">
        <f t="shared" si="764"/>
        <v>2</v>
      </c>
      <c r="AH644" t="str">
        <f t="shared" si="749"/>
        <v>1</v>
      </c>
      <c r="AI644" t="str">
        <f t="shared" si="771"/>
        <v xml:space="preserve">1         </v>
      </c>
      <c r="AJ644" t="str">
        <f t="shared" si="699"/>
        <v>170</v>
      </c>
      <c r="AK644" t="str">
        <f>"05"</f>
        <v>05</v>
      </c>
      <c r="AL644" t="str">
        <f t="shared" si="765"/>
        <v>001</v>
      </c>
      <c r="AM644" t="str">
        <f>"05"</f>
        <v>05</v>
      </c>
      <c r="AN644" t="str">
        <f>"05001"</f>
        <v>05001</v>
      </c>
      <c r="AO644" t="str">
        <f>"27/07/2020 12:00:00 a. m."</f>
        <v>27/07/2020 12:00:00 a. m.</v>
      </c>
      <c r="AP644" t="str">
        <f>"27/02/2020 12:00:00 a. m."</f>
        <v>27/02/2020 12:00:00 a. m.</v>
      </c>
      <c r="AQ644" t="str">
        <f>"3"</f>
        <v>3</v>
      </c>
      <c r="AR644" t="str">
        <f t="shared" si="740"/>
        <v>1</v>
      </c>
      <c r="AS644" t="str">
        <f>"3/08/2020 12:00:00 a. m."</f>
        <v>3/08/2020 12:00:00 a. m.</v>
      </c>
      <c r="AT644" t="str">
        <f t="shared" si="761"/>
        <v>1</v>
      </c>
      <c r="AU644" t="str">
        <f>""</f>
        <v/>
      </c>
      <c r="AV644" t="str">
        <f>"0"</f>
        <v>0</v>
      </c>
      <c r="AW644" t="str">
        <f>"10/05/2019 12:00:00 a. m."</f>
        <v>10/05/2019 12:00:00 a. m.</v>
      </c>
      <c r="AX644" t="str">
        <f>""</f>
        <v/>
      </c>
      <c r="AY644" t="str">
        <f t="shared" si="772"/>
        <v>30/04/2021 12:00:00 a. m.</v>
      </c>
      <c r="AZ644" t="str">
        <f>"20/10/2020 12:00:00 a. m."</f>
        <v>20/10/2020 12:00:00 a. m.</v>
      </c>
      <c r="BA644" t="str">
        <f>""</f>
        <v/>
      </c>
      <c r="BB644" t="str">
        <f>""</f>
        <v/>
      </c>
      <c r="BC644" t="str">
        <f>""</f>
        <v/>
      </c>
      <c r="BD644" t="str">
        <f t="shared" si="773"/>
        <v>1</v>
      </c>
      <c r="BE644" t="str">
        <f t="shared" si="773"/>
        <v>1</v>
      </c>
      <c r="BF644" t="str">
        <f t="shared" si="774"/>
        <v xml:space="preserve">3         </v>
      </c>
      <c r="BG644" t="str">
        <f t="shared" si="775"/>
        <v>Confirmado por laboratorio</v>
      </c>
      <c r="BH644" t="str">
        <f>"FUNDACION HOSPITALARIA SAN VICENTE DE PAUL"</f>
        <v>FUNDACION HOSPITALARIA SAN VICENTE DE PAUL</v>
      </c>
      <c r="BI644" t="str">
        <f t="shared" si="703"/>
        <v>COLOMBIA</v>
      </c>
      <c r="BJ644" t="str">
        <f t="shared" si="776"/>
        <v>CANCER INFANTIL</v>
      </c>
      <c r="BK644" t="str">
        <f>"ANTIOQUIA"</f>
        <v>ANTIOQUIA</v>
      </c>
      <c r="BL644" t="str">
        <f>"MEDELLIN"</f>
        <v>MEDELLIN</v>
      </c>
      <c r="BM644" t="str">
        <f t="shared" si="705"/>
        <v>COLOMBIA</v>
      </c>
      <c r="BN644" t="str">
        <f>"ANTIOQUIA"</f>
        <v>ANTIOQUIA</v>
      </c>
      <c r="BO644" t="str">
        <f>"MEDELLIN"</f>
        <v>MEDELLIN</v>
      </c>
      <c r="BP644" t="str">
        <f>"ANTIOQUIA"</f>
        <v>ANTIOQUIA</v>
      </c>
      <c r="BQ644" t="str">
        <f>"MEDELLIN"</f>
        <v>MEDELLIN</v>
      </c>
    </row>
    <row r="645" spans="1:69" x14ac:dyDescent="0.25">
      <c r="A645" t="str">
        <f>"7291443"</f>
        <v>7291443</v>
      </c>
      <c r="B645" t="str">
        <f t="shared" si="768"/>
        <v>459</v>
      </c>
      <c r="C645" t="str">
        <f>"2/02/2021 12:00:00 a. m."</f>
        <v>2/02/2021 12:00:00 a. m.</v>
      </c>
      <c r="D645" t="str">
        <f>"49"</f>
        <v>49</v>
      </c>
      <c r="E645" t="str">
        <f t="shared" si="769"/>
        <v>2020</v>
      </c>
      <c r="F645" t="str">
        <f>"0500102175"</f>
        <v>0500102175</v>
      </c>
      <c r="G645" t="str">
        <f t="shared" si="757"/>
        <v>01</v>
      </c>
      <c r="H645" t="str">
        <f>"10"</f>
        <v>10</v>
      </c>
      <c r="I645" t="str">
        <f t="shared" si="750"/>
        <v>1</v>
      </c>
      <c r="J645" t="str">
        <f>"M"</f>
        <v>M</v>
      </c>
      <c r="K645" t="str">
        <f t="shared" si="696"/>
        <v>170</v>
      </c>
      <c r="L645" t="str">
        <f>"05"</f>
        <v>05</v>
      </c>
      <c r="M645" t="str">
        <f t="shared" si="762"/>
        <v>001</v>
      </c>
      <c r="N645" t="str">
        <f t="shared" si="763"/>
        <v>1</v>
      </c>
      <c r="O645" t="str">
        <f>"9997"</f>
        <v>9997</v>
      </c>
      <c r="P645" t="str">
        <f>"C"</f>
        <v>C</v>
      </c>
      <c r="Q645" t="str">
        <f>"EPS010"</f>
        <v>EPS010</v>
      </c>
      <c r="R645" t="str">
        <f t="shared" si="758"/>
        <v>6</v>
      </c>
      <c r="S645" t="str">
        <f>""</f>
        <v/>
      </c>
      <c r="T645" t="str">
        <f t="shared" si="752"/>
        <v xml:space="preserve">                                                                                                    </v>
      </c>
      <c r="U645" t="str">
        <f>"2         "</f>
        <v xml:space="preserve">2         </v>
      </c>
      <c r="V645" t="str">
        <f t="shared" si="748"/>
        <v>2</v>
      </c>
      <c r="W645" t="str">
        <f t="shared" si="747"/>
        <v>2</v>
      </c>
      <c r="X645" t="str">
        <f t="shared" si="729"/>
        <v>2</v>
      </c>
      <c r="Y645" t="str">
        <f t="shared" si="760"/>
        <v>2</v>
      </c>
      <c r="Z645" t="str">
        <f t="shared" si="760"/>
        <v>2</v>
      </c>
      <c r="AA645" t="str">
        <f t="shared" si="770"/>
        <v xml:space="preserve">          </v>
      </c>
      <c r="AB645" t="str">
        <f t="shared" si="756"/>
        <v>2</v>
      </c>
      <c r="AC645" t="str">
        <f t="shared" si="759"/>
        <v>2</v>
      </c>
      <c r="AD645" t="str">
        <f t="shared" si="764"/>
        <v>2</v>
      </c>
      <c r="AE645" t="str">
        <f t="shared" si="764"/>
        <v>2</v>
      </c>
      <c r="AF645" t="str">
        <f t="shared" si="764"/>
        <v>2</v>
      </c>
      <c r="AG645" t="str">
        <f t="shared" si="764"/>
        <v>2</v>
      </c>
      <c r="AH645" t="str">
        <f t="shared" si="749"/>
        <v>1</v>
      </c>
      <c r="AI645" t="str">
        <f t="shared" si="771"/>
        <v xml:space="preserve">1         </v>
      </c>
      <c r="AJ645" t="str">
        <f t="shared" si="699"/>
        <v>170</v>
      </c>
      <c r="AK645" t="str">
        <f>"05"</f>
        <v>05</v>
      </c>
      <c r="AL645" t="str">
        <f t="shared" si="765"/>
        <v>001</v>
      </c>
      <c r="AM645" t="str">
        <f>"05"</f>
        <v>05</v>
      </c>
      <c r="AN645" t="str">
        <f>"05001"</f>
        <v>05001</v>
      </c>
      <c r="AO645" t="str">
        <f>"29/11/2020 12:00:00 a. m."</f>
        <v>29/11/2020 12:00:00 a. m.</v>
      </c>
      <c r="AP645" t="str">
        <f>"1/01/2016 12:00:00 a. m."</f>
        <v>1/01/2016 12:00:00 a. m.</v>
      </c>
      <c r="AQ645" t="str">
        <f>"3"</f>
        <v>3</v>
      </c>
      <c r="AR645" t="str">
        <f t="shared" si="740"/>
        <v>1</v>
      </c>
      <c r="AS645" t="str">
        <f>"26/01/2021 12:00:00 a. m."</f>
        <v>26/01/2021 12:00:00 a. m.</v>
      </c>
      <c r="AT645" t="str">
        <f t="shared" si="761"/>
        <v>1</v>
      </c>
      <c r="AU645" t="str">
        <f>""</f>
        <v/>
      </c>
      <c r="AV645" t="str">
        <f>"0"</f>
        <v>0</v>
      </c>
      <c r="AW645" t="str">
        <f>"11/12/2010 12:00:00 a. m."</f>
        <v>11/12/2010 12:00:00 a. m.</v>
      </c>
      <c r="AX645" t="str">
        <f>""</f>
        <v/>
      </c>
      <c r="AY645" t="str">
        <f t="shared" si="772"/>
        <v>30/04/2021 12:00:00 a. m.</v>
      </c>
      <c r="AZ645" t="str">
        <f>"2/02/2021 12:00:00 a. m."</f>
        <v>2/02/2021 12:00:00 a. m.</v>
      </c>
      <c r="BA645" t="str">
        <f>""</f>
        <v/>
      </c>
      <c r="BB645" t="str">
        <f>""</f>
        <v/>
      </c>
      <c r="BC645" t="str">
        <f>""</f>
        <v/>
      </c>
      <c r="BD645" t="str">
        <f t="shared" si="773"/>
        <v>1</v>
      </c>
      <c r="BE645" t="str">
        <f t="shared" si="773"/>
        <v>1</v>
      </c>
      <c r="BF645" t="str">
        <f t="shared" si="774"/>
        <v xml:space="preserve">3         </v>
      </c>
      <c r="BG645" t="str">
        <f t="shared" si="775"/>
        <v>Confirmado por laboratorio</v>
      </c>
      <c r="BH645" t="str">
        <f>"FUNDACION HOSPITALARIA SAN VICENTE DE PAUL"</f>
        <v>FUNDACION HOSPITALARIA SAN VICENTE DE PAUL</v>
      </c>
      <c r="BI645" t="str">
        <f t="shared" si="703"/>
        <v>COLOMBIA</v>
      </c>
      <c r="BJ645" t="str">
        <f t="shared" si="776"/>
        <v>CANCER INFANTIL</v>
      </c>
      <c r="BK645" t="str">
        <f>"ANTIOQUIA"</f>
        <v>ANTIOQUIA</v>
      </c>
      <c r="BL645" t="str">
        <f>"MEDELLIN"</f>
        <v>MEDELLIN</v>
      </c>
      <c r="BM645" t="str">
        <f t="shared" si="705"/>
        <v>COLOMBIA</v>
      </c>
      <c r="BN645" t="str">
        <f>"ANTIOQUIA"</f>
        <v>ANTIOQUIA</v>
      </c>
      <c r="BO645" t="str">
        <f>"MEDELLIN"</f>
        <v>MEDELLIN</v>
      </c>
      <c r="BP645" t="str">
        <f>"ANTIOQUIA"</f>
        <v>ANTIOQUIA</v>
      </c>
      <c r="BQ645" t="str">
        <f>"MEDELLIN"</f>
        <v>MEDELLIN</v>
      </c>
    </row>
    <row r="646" spans="1:69" x14ac:dyDescent="0.25">
      <c r="A646" t="str">
        <f>"7291399"</f>
        <v>7291399</v>
      </c>
      <c r="B646" t="str">
        <f t="shared" si="768"/>
        <v>459</v>
      </c>
      <c r="C646" t="str">
        <f>"23/11/2020 12:00:00 a. m."</f>
        <v>23/11/2020 12:00:00 a. m.</v>
      </c>
      <c r="D646" t="str">
        <f>"47"</f>
        <v>47</v>
      </c>
      <c r="E646" t="str">
        <f t="shared" si="769"/>
        <v>2020</v>
      </c>
      <c r="F646" t="str">
        <f>"7300101047"</f>
        <v>7300101047</v>
      </c>
      <c r="G646" t="str">
        <f t="shared" si="757"/>
        <v>01</v>
      </c>
      <c r="H646" t="str">
        <f>"3"</f>
        <v>3</v>
      </c>
      <c r="I646" t="str">
        <f t="shared" si="750"/>
        <v>1</v>
      </c>
      <c r="J646" t="str">
        <f>"F"</f>
        <v>F</v>
      </c>
      <c r="K646" t="str">
        <f t="shared" si="696"/>
        <v>170</v>
      </c>
      <c r="L646" t="str">
        <f>"73"</f>
        <v>73</v>
      </c>
      <c r="M646" t="str">
        <f t="shared" si="762"/>
        <v>001</v>
      </c>
      <c r="N646" t="str">
        <f>"3"</f>
        <v>3</v>
      </c>
      <c r="O646" t="str">
        <f>"9999"</f>
        <v>9999</v>
      </c>
      <c r="P646" t="str">
        <f>"S"</f>
        <v>S</v>
      </c>
      <c r="Q646" t="str">
        <f>"ESS133"</f>
        <v>ESS133</v>
      </c>
      <c r="R646" t="str">
        <f t="shared" si="758"/>
        <v>6</v>
      </c>
      <c r="S646" t="str">
        <f>""</f>
        <v/>
      </c>
      <c r="T646" t="str">
        <f t="shared" si="752"/>
        <v xml:space="preserve">                                                                                                    </v>
      </c>
      <c r="U646" t="str">
        <f>"1         "</f>
        <v xml:space="preserve">1         </v>
      </c>
      <c r="V646" t="str">
        <f t="shared" si="748"/>
        <v>2</v>
      </c>
      <c r="W646" t="str">
        <f t="shared" si="747"/>
        <v>2</v>
      </c>
      <c r="X646" t="str">
        <f t="shared" si="729"/>
        <v>2</v>
      </c>
      <c r="Y646" t="str">
        <f t="shared" si="760"/>
        <v>2</v>
      </c>
      <c r="Z646" t="str">
        <f t="shared" si="760"/>
        <v>2</v>
      </c>
      <c r="AA646" t="str">
        <f t="shared" si="770"/>
        <v xml:space="preserve">          </v>
      </c>
      <c r="AB646" t="str">
        <f t="shared" si="756"/>
        <v>2</v>
      </c>
      <c r="AC646" t="str">
        <f t="shared" si="759"/>
        <v>2</v>
      </c>
      <c r="AD646" t="str">
        <f t="shared" si="764"/>
        <v>2</v>
      </c>
      <c r="AE646" t="str">
        <f t="shared" si="764"/>
        <v>2</v>
      </c>
      <c r="AF646" t="str">
        <f t="shared" si="764"/>
        <v>2</v>
      </c>
      <c r="AG646" t="str">
        <f t="shared" si="764"/>
        <v>2</v>
      </c>
      <c r="AH646" t="str">
        <f t="shared" si="749"/>
        <v>1</v>
      </c>
      <c r="AI646" t="str">
        <f t="shared" si="771"/>
        <v xml:space="preserve">1         </v>
      </c>
      <c r="AJ646" t="str">
        <f t="shared" si="699"/>
        <v>170</v>
      </c>
      <c r="AK646" t="str">
        <f>"73"</f>
        <v>73</v>
      </c>
      <c r="AL646" t="str">
        <f t="shared" si="765"/>
        <v>001</v>
      </c>
      <c r="AM646" t="str">
        <f>"73"</f>
        <v>73</v>
      </c>
      <c r="AN646" t="str">
        <f>"73001"</f>
        <v>73001</v>
      </c>
      <c r="AO646" t="str">
        <f>"18/11/2020 12:00:00 a. m."</f>
        <v>18/11/2020 12:00:00 a. m.</v>
      </c>
      <c r="AP646" t="str">
        <f>"8/11/2020 12:00:00 a. m."</f>
        <v>8/11/2020 12:00:00 a. m.</v>
      </c>
      <c r="AQ646" t="str">
        <f>"2"</f>
        <v>2</v>
      </c>
      <c r="AR646" t="str">
        <f t="shared" si="740"/>
        <v>1</v>
      </c>
      <c r="AS646" t="str">
        <f>"18/11/2020 12:00:00 a. m."</f>
        <v>18/11/2020 12:00:00 a. m.</v>
      </c>
      <c r="AT646" t="str">
        <f t="shared" si="761"/>
        <v>1</v>
      </c>
      <c r="AU646" t="str">
        <f>""</f>
        <v/>
      </c>
      <c r="AV646" t="str">
        <f>"3"</f>
        <v>3</v>
      </c>
      <c r="AW646" t="str">
        <f>"28/09/2017 12:00:00 a. m."</f>
        <v>28/09/2017 12:00:00 a. m.</v>
      </c>
      <c r="AX646" t="str">
        <f>""</f>
        <v/>
      </c>
      <c r="AY646" t="str">
        <f t="shared" si="772"/>
        <v>30/04/2021 12:00:00 a. m.</v>
      </c>
      <c r="AZ646" t="str">
        <f>"6/04/2021 12:00:00 a. m."</f>
        <v>6/04/2021 12:00:00 a. m.</v>
      </c>
      <c r="BA646" t="str">
        <f>""</f>
        <v/>
      </c>
      <c r="BB646" t="str">
        <f>""</f>
        <v/>
      </c>
      <c r="BC646" t="str">
        <f>""</f>
        <v/>
      </c>
      <c r="BD646" t="str">
        <f t="shared" si="773"/>
        <v>1</v>
      </c>
      <c r="BE646" t="str">
        <f t="shared" si="773"/>
        <v>1</v>
      </c>
      <c r="BF646" t="str">
        <f t="shared" si="774"/>
        <v xml:space="preserve">3         </v>
      </c>
      <c r="BG646" t="str">
        <f t="shared" si="775"/>
        <v>Confirmado por laboratorio</v>
      </c>
      <c r="BH646" t="str">
        <f>"HOSPITAL FEDERICO LLERAS ACOSTA ESE SEDE LA FRANC"</f>
        <v>HOSPITAL FEDERICO LLERAS ACOSTA ESE SEDE LA FRANC</v>
      </c>
      <c r="BI646" t="str">
        <f t="shared" si="703"/>
        <v>COLOMBIA</v>
      </c>
      <c r="BJ646" t="str">
        <f t="shared" si="776"/>
        <v>CANCER INFANTIL</v>
      </c>
      <c r="BK646" t="str">
        <f>"TOLIMA"</f>
        <v>TOLIMA</v>
      </c>
      <c r="BL646" t="str">
        <f>"IBAGUE"</f>
        <v>IBAGUE</v>
      </c>
      <c r="BM646" t="str">
        <f t="shared" si="705"/>
        <v>COLOMBIA</v>
      </c>
      <c r="BN646" t="str">
        <f>"TOLIMA"</f>
        <v>TOLIMA</v>
      </c>
      <c r="BO646" t="str">
        <f>"IBAGUE"</f>
        <v>IBAGUE</v>
      </c>
      <c r="BP646" t="str">
        <f>"TOLIMA"</f>
        <v>TOLIMA</v>
      </c>
      <c r="BQ646" t="str">
        <f>"IBAGUE"</f>
        <v>IBAGUE</v>
      </c>
    </row>
    <row r="647" spans="1:69" x14ac:dyDescent="0.25">
      <c r="A647" t="str">
        <f>"7291595"</f>
        <v>7291595</v>
      </c>
      <c r="B647" t="str">
        <f t="shared" si="768"/>
        <v>459</v>
      </c>
      <c r="C647" t="str">
        <f>"6/04/2020 12:00:00 a. m."</f>
        <v>6/04/2020 12:00:00 a. m.</v>
      </c>
      <c r="D647" t="str">
        <f>"14"</f>
        <v>14</v>
      </c>
      <c r="E647" t="str">
        <f t="shared" si="769"/>
        <v>2020</v>
      </c>
      <c r="F647" t="str">
        <f>"0500102175"</f>
        <v>0500102175</v>
      </c>
      <c r="G647" t="str">
        <f t="shared" si="757"/>
        <v>01</v>
      </c>
      <c r="H647" t="str">
        <f>"1"</f>
        <v>1</v>
      </c>
      <c r="I647" t="str">
        <f t="shared" si="750"/>
        <v>1</v>
      </c>
      <c r="J647" t="str">
        <f>"F"</f>
        <v>F</v>
      </c>
      <c r="K647" t="str">
        <f t="shared" si="696"/>
        <v>170</v>
      </c>
      <c r="L647" t="str">
        <f>"23"</f>
        <v>23</v>
      </c>
      <c r="M647" t="str">
        <f t="shared" si="762"/>
        <v>001</v>
      </c>
      <c r="N647" t="str">
        <f>"3"</f>
        <v>3</v>
      </c>
      <c r="O647" t="str">
        <f>"9999"</f>
        <v>9999</v>
      </c>
      <c r="P647" t="str">
        <f>"S"</f>
        <v>S</v>
      </c>
      <c r="Q647" t="str">
        <f>"ESS024"</f>
        <v>ESS024</v>
      </c>
      <c r="R647" t="str">
        <f t="shared" si="758"/>
        <v>6</v>
      </c>
      <c r="S647" t="str">
        <f>""</f>
        <v/>
      </c>
      <c r="T647" t="str">
        <f t="shared" si="752"/>
        <v xml:space="preserve">                                                                                                    </v>
      </c>
      <c r="U647" t="str">
        <f>"2         "</f>
        <v xml:space="preserve">2         </v>
      </c>
      <c r="V647" t="str">
        <f t="shared" si="748"/>
        <v>2</v>
      </c>
      <c r="W647" t="str">
        <f t="shared" si="747"/>
        <v>2</v>
      </c>
      <c r="X647" t="str">
        <f t="shared" si="729"/>
        <v>2</v>
      </c>
      <c r="Y647" t="str">
        <f t="shared" si="760"/>
        <v>2</v>
      </c>
      <c r="Z647" t="str">
        <f t="shared" si="760"/>
        <v>2</v>
      </c>
      <c r="AA647" t="str">
        <f t="shared" si="770"/>
        <v xml:space="preserve">          </v>
      </c>
      <c r="AB647" t="str">
        <f t="shared" si="756"/>
        <v>2</v>
      </c>
      <c r="AC647" t="str">
        <f t="shared" si="759"/>
        <v>2</v>
      </c>
      <c r="AD647" t="str">
        <f t="shared" si="764"/>
        <v>2</v>
      </c>
      <c r="AE647" t="str">
        <f t="shared" si="764"/>
        <v>2</v>
      </c>
      <c r="AF647" t="str">
        <f t="shared" si="764"/>
        <v>2</v>
      </c>
      <c r="AG647" t="str">
        <f t="shared" si="764"/>
        <v>2</v>
      </c>
      <c r="AH647" t="str">
        <f t="shared" si="749"/>
        <v>1</v>
      </c>
      <c r="AI647" t="str">
        <f t="shared" si="771"/>
        <v xml:space="preserve">1         </v>
      </c>
      <c r="AJ647" t="str">
        <f t="shared" si="699"/>
        <v>170</v>
      </c>
      <c r="AK647" t="str">
        <f>"23"</f>
        <v>23</v>
      </c>
      <c r="AL647" t="str">
        <f t="shared" si="765"/>
        <v>001</v>
      </c>
      <c r="AM647" t="str">
        <f>"05"</f>
        <v>05</v>
      </c>
      <c r="AN647" t="str">
        <f>"05001"</f>
        <v>05001</v>
      </c>
      <c r="AO647" t="str">
        <f>"29/03/2020 12:00:00 a. m."</f>
        <v>29/03/2020 12:00:00 a. m.</v>
      </c>
      <c r="AP647" t="str">
        <f>"29/07/2019 12:00:00 a. m."</f>
        <v>29/07/2019 12:00:00 a. m.</v>
      </c>
      <c r="AQ647" t="str">
        <f t="shared" ref="AQ647:AQ654" si="777">"3"</f>
        <v>3</v>
      </c>
      <c r="AR647" t="str">
        <f t="shared" si="740"/>
        <v>1</v>
      </c>
      <c r="AS647" t="str">
        <f>"29/03/2020 12:00:00 a. m."</f>
        <v>29/03/2020 12:00:00 a. m.</v>
      </c>
      <c r="AT647" t="str">
        <f t="shared" si="761"/>
        <v>1</v>
      </c>
      <c r="AU647" t="str">
        <f>""</f>
        <v/>
      </c>
      <c r="AV647" t="str">
        <f>"0"</f>
        <v>0</v>
      </c>
      <c r="AW647" t="str">
        <f>"3/09/2018 12:00:00 a. m."</f>
        <v>3/09/2018 12:00:00 a. m.</v>
      </c>
      <c r="AX647" t="str">
        <f>""</f>
        <v/>
      </c>
      <c r="AY647" t="str">
        <f t="shared" si="772"/>
        <v>30/04/2021 12:00:00 a. m.</v>
      </c>
      <c r="AZ647" t="str">
        <f>"6/04/2020 12:00:00 a. m."</f>
        <v>6/04/2020 12:00:00 a. m.</v>
      </c>
      <c r="BA647" t="str">
        <f>""</f>
        <v/>
      </c>
      <c r="BB647" t="str">
        <f>""</f>
        <v/>
      </c>
      <c r="BC647" t="str">
        <f>""</f>
        <v/>
      </c>
      <c r="BD647" t="str">
        <f t="shared" si="773"/>
        <v>1</v>
      </c>
      <c r="BE647" t="str">
        <f t="shared" si="773"/>
        <v>1</v>
      </c>
      <c r="BF647" t="str">
        <f t="shared" si="774"/>
        <v xml:space="preserve">3         </v>
      </c>
      <c r="BG647" t="str">
        <f t="shared" si="775"/>
        <v>Confirmado por laboratorio</v>
      </c>
      <c r="BH647" t="str">
        <f>"FUNDACION HOSPITALARIA SAN VICENTE DE PAUL"</f>
        <v>FUNDACION HOSPITALARIA SAN VICENTE DE PAUL</v>
      </c>
      <c r="BI647" t="str">
        <f t="shared" si="703"/>
        <v>COLOMBIA</v>
      </c>
      <c r="BJ647" t="str">
        <f t="shared" si="776"/>
        <v>CANCER INFANTIL</v>
      </c>
      <c r="BK647" t="str">
        <f>"CORDOBA"</f>
        <v>CORDOBA</v>
      </c>
      <c r="BL647" t="str">
        <f>"MONTERIA"</f>
        <v>MONTERIA</v>
      </c>
      <c r="BM647" t="str">
        <f t="shared" si="705"/>
        <v>COLOMBIA</v>
      </c>
      <c r="BN647" t="str">
        <f>"CORDOBA"</f>
        <v>CORDOBA</v>
      </c>
      <c r="BO647" t="str">
        <f>"MONTERIA"</f>
        <v>MONTERIA</v>
      </c>
      <c r="BP647" t="str">
        <f>"ANTIOQUIA"</f>
        <v>ANTIOQUIA</v>
      </c>
      <c r="BQ647" t="str">
        <f>"MEDELLIN"</f>
        <v>MEDELLIN</v>
      </c>
    </row>
    <row r="648" spans="1:69" x14ac:dyDescent="0.25">
      <c r="A648" t="str">
        <f>"7291405"</f>
        <v>7291405</v>
      </c>
      <c r="B648" t="str">
        <f t="shared" si="768"/>
        <v>459</v>
      </c>
      <c r="C648" t="str">
        <f>"16/10/2020 12:00:00 a. m."</f>
        <v>16/10/2020 12:00:00 a. m.</v>
      </c>
      <c r="D648" t="str">
        <f>"41"</f>
        <v>41</v>
      </c>
      <c r="E648" t="str">
        <f t="shared" si="769"/>
        <v>2020</v>
      </c>
      <c r="F648" t="str">
        <f>"7600102870"</f>
        <v>7600102870</v>
      </c>
      <c r="G648" t="str">
        <f t="shared" si="757"/>
        <v>01</v>
      </c>
      <c r="H648" t="str">
        <f>"14"</f>
        <v>14</v>
      </c>
      <c r="I648" t="str">
        <f t="shared" si="750"/>
        <v>1</v>
      </c>
      <c r="J648" t="str">
        <f t="shared" ref="J648:J653" si="778">"M"</f>
        <v>M</v>
      </c>
      <c r="K648" t="str">
        <f t="shared" si="696"/>
        <v>170</v>
      </c>
      <c r="L648" t="str">
        <f>"76"</f>
        <v>76</v>
      </c>
      <c r="M648" t="str">
        <f t="shared" si="762"/>
        <v>001</v>
      </c>
      <c r="N648" t="str">
        <f t="shared" ref="N648:N677" si="779">"1"</f>
        <v>1</v>
      </c>
      <c r="O648" t="str">
        <f>"9999"</f>
        <v>9999</v>
      </c>
      <c r="P648" t="str">
        <f>"C"</f>
        <v>C</v>
      </c>
      <c r="Q648" t="str">
        <f>"EPS008"</f>
        <v>EPS008</v>
      </c>
      <c r="R648" t="str">
        <f t="shared" si="758"/>
        <v>6</v>
      </c>
      <c r="S648" t="str">
        <f>""</f>
        <v/>
      </c>
      <c r="T648" t="str">
        <f t="shared" si="752"/>
        <v xml:space="preserve">                                                                                                    </v>
      </c>
      <c r="U648" t="str">
        <f>"          "</f>
        <v xml:space="preserve">          </v>
      </c>
      <c r="V648" t="str">
        <f t="shared" si="748"/>
        <v>2</v>
      </c>
      <c r="W648" t="str">
        <f t="shared" si="747"/>
        <v>2</v>
      </c>
      <c r="X648" t="str">
        <f t="shared" si="729"/>
        <v>2</v>
      </c>
      <c r="Y648" t="str">
        <f t="shared" si="760"/>
        <v>2</v>
      </c>
      <c r="Z648" t="str">
        <f t="shared" si="760"/>
        <v>2</v>
      </c>
      <c r="AA648" t="str">
        <f t="shared" si="770"/>
        <v xml:space="preserve">          </v>
      </c>
      <c r="AB648" t="str">
        <f t="shared" si="756"/>
        <v>2</v>
      </c>
      <c r="AC648" t="str">
        <f t="shared" si="759"/>
        <v>2</v>
      </c>
      <c r="AD648" t="str">
        <f t="shared" si="764"/>
        <v>2</v>
      </c>
      <c r="AE648" t="str">
        <f t="shared" si="764"/>
        <v>2</v>
      </c>
      <c r="AF648" t="str">
        <f t="shared" si="764"/>
        <v>2</v>
      </c>
      <c r="AG648" t="str">
        <f t="shared" si="764"/>
        <v>2</v>
      </c>
      <c r="AH648" t="str">
        <f t="shared" si="749"/>
        <v>1</v>
      </c>
      <c r="AI648" t="str">
        <f t="shared" si="771"/>
        <v xml:space="preserve">1         </v>
      </c>
      <c r="AJ648" t="str">
        <f t="shared" si="699"/>
        <v>170</v>
      </c>
      <c r="AK648" t="str">
        <f>"76"</f>
        <v>76</v>
      </c>
      <c r="AL648" t="str">
        <f t="shared" si="765"/>
        <v>001</v>
      </c>
      <c r="AM648" t="str">
        <f>"76"</f>
        <v>76</v>
      </c>
      <c r="AN648" t="str">
        <f>"76001"</f>
        <v>76001</v>
      </c>
      <c r="AO648" t="str">
        <f>"9/10/2020 12:00:00 a. m."</f>
        <v>9/10/2020 12:00:00 a. m.</v>
      </c>
      <c r="AP648" t="str">
        <f>"3/10/2020 12:00:00 a. m."</f>
        <v>3/10/2020 12:00:00 a. m.</v>
      </c>
      <c r="AQ648" t="str">
        <f t="shared" si="777"/>
        <v>3</v>
      </c>
      <c r="AR648" t="str">
        <f t="shared" si="740"/>
        <v>1</v>
      </c>
      <c r="AS648" t="str">
        <f>"9/10/2020 12:00:00 a. m."</f>
        <v>9/10/2020 12:00:00 a. m.</v>
      </c>
      <c r="AT648" t="str">
        <f t="shared" si="761"/>
        <v>1</v>
      </c>
      <c r="AU648" t="str">
        <f>""</f>
        <v/>
      </c>
      <c r="AV648" t="str">
        <f>"3"</f>
        <v>3</v>
      </c>
      <c r="AW648" t="str">
        <f>"2/03/2006 12:00:00 a. m."</f>
        <v>2/03/2006 12:00:00 a. m.</v>
      </c>
      <c r="AX648" t="str">
        <f>""</f>
        <v/>
      </c>
      <c r="AY648" t="str">
        <f t="shared" si="772"/>
        <v>30/04/2021 12:00:00 a. m.</v>
      </c>
      <c r="AZ648" t="str">
        <f>"28/10/2020 12:00:00 a. m."</f>
        <v>28/10/2020 12:00:00 a. m.</v>
      </c>
      <c r="BA648" t="str">
        <f>""</f>
        <v/>
      </c>
      <c r="BB648" t="str">
        <f>""</f>
        <v/>
      </c>
      <c r="BC648" t="str">
        <f>""</f>
        <v/>
      </c>
      <c r="BD648" t="str">
        <f t="shared" si="773"/>
        <v>1</v>
      </c>
      <c r="BE648" t="str">
        <f t="shared" si="773"/>
        <v>1</v>
      </c>
      <c r="BF648" t="str">
        <f t="shared" si="774"/>
        <v xml:space="preserve">3         </v>
      </c>
      <c r="BG648" t="str">
        <f t="shared" si="775"/>
        <v>Confirmado por laboratorio</v>
      </c>
      <c r="BH648" t="str">
        <f>"FUNDACION VALLE DEL LILI"</f>
        <v>FUNDACION VALLE DEL LILI</v>
      </c>
      <c r="BI648" t="str">
        <f t="shared" si="703"/>
        <v>COLOMBIA</v>
      </c>
      <c r="BJ648" t="str">
        <f t="shared" si="776"/>
        <v>CANCER INFANTIL</v>
      </c>
      <c r="BK648" t="str">
        <f>"VALLE"</f>
        <v>VALLE</v>
      </c>
      <c r="BL648" t="str">
        <f>"CALI"</f>
        <v>CALI</v>
      </c>
      <c r="BM648" t="str">
        <f t="shared" si="705"/>
        <v>COLOMBIA</v>
      </c>
      <c r="BN648" t="str">
        <f>"VALLE"</f>
        <v>VALLE</v>
      </c>
      <c r="BO648" t="str">
        <f>"CALI"</f>
        <v>CALI</v>
      </c>
      <c r="BP648" t="str">
        <f>"VALLE"</f>
        <v>VALLE</v>
      </c>
      <c r="BQ648" t="str">
        <f>"CALI"</f>
        <v>CALI</v>
      </c>
    </row>
    <row r="649" spans="1:69" x14ac:dyDescent="0.25">
      <c r="A649" t="str">
        <f>"7291716"</f>
        <v>7291716</v>
      </c>
      <c r="B649" t="str">
        <f t="shared" si="768"/>
        <v>459</v>
      </c>
      <c r="C649" t="str">
        <f>"5/04/2020 12:00:00 a. m."</f>
        <v>5/04/2020 12:00:00 a. m.</v>
      </c>
      <c r="D649" t="str">
        <f>"12"</f>
        <v>12</v>
      </c>
      <c r="E649" t="str">
        <f t="shared" si="769"/>
        <v>2020</v>
      </c>
      <c r="F649" t="str">
        <f>"1100105681"</f>
        <v>1100105681</v>
      </c>
      <c r="G649" t="str">
        <f t="shared" si="757"/>
        <v>01</v>
      </c>
      <c r="H649" t="str">
        <f>"13"</f>
        <v>13</v>
      </c>
      <c r="I649" t="str">
        <f t="shared" si="750"/>
        <v>1</v>
      </c>
      <c r="J649" t="str">
        <f t="shared" si="778"/>
        <v>M</v>
      </c>
      <c r="K649" t="str">
        <f t="shared" si="696"/>
        <v>170</v>
      </c>
      <c r="L649" t="str">
        <f>"85"</f>
        <v>85</v>
      </c>
      <c r="M649" t="str">
        <f>"410"</f>
        <v>410</v>
      </c>
      <c r="N649" t="str">
        <f t="shared" si="779"/>
        <v>1</v>
      </c>
      <c r="O649" t="str">
        <f>"9997"</f>
        <v>9997</v>
      </c>
      <c r="P649" t="str">
        <f>"S"</f>
        <v>S</v>
      </c>
      <c r="Q649" t="str">
        <f>"EPS025"</f>
        <v>EPS025</v>
      </c>
      <c r="R649" t="str">
        <f t="shared" si="758"/>
        <v>6</v>
      </c>
      <c r="S649" t="str">
        <f>""</f>
        <v/>
      </c>
      <c r="T649" t="str">
        <f t="shared" si="752"/>
        <v xml:space="preserve">                                                                                                    </v>
      </c>
      <c r="U649" t="str">
        <f>"2         "</f>
        <v xml:space="preserve">2         </v>
      </c>
      <c r="V649" t="str">
        <f t="shared" si="748"/>
        <v>2</v>
      </c>
      <c r="W649" t="str">
        <f t="shared" si="747"/>
        <v>2</v>
      </c>
      <c r="X649" t="str">
        <f t="shared" si="729"/>
        <v>2</v>
      </c>
      <c r="Y649" t="str">
        <f t="shared" si="760"/>
        <v>2</v>
      </c>
      <c r="Z649" t="str">
        <f t="shared" si="760"/>
        <v>2</v>
      </c>
      <c r="AA649" t="str">
        <f t="shared" si="770"/>
        <v xml:space="preserve">          </v>
      </c>
      <c r="AB649" t="str">
        <f t="shared" si="756"/>
        <v>2</v>
      </c>
      <c r="AC649" t="str">
        <f t="shared" si="759"/>
        <v>2</v>
      </c>
      <c r="AD649" t="str">
        <f t="shared" si="764"/>
        <v>2</v>
      </c>
      <c r="AE649" t="str">
        <f t="shared" si="764"/>
        <v>2</v>
      </c>
      <c r="AF649" t="str">
        <f t="shared" si="764"/>
        <v>2</v>
      </c>
      <c r="AG649" t="str">
        <f t="shared" si="764"/>
        <v>2</v>
      </c>
      <c r="AH649" t="str">
        <f t="shared" si="749"/>
        <v>1</v>
      </c>
      <c r="AI649" t="str">
        <f t="shared" si="771"/>
        <v xml:space="preserve">1         </v>
      </c>
      <c r="AJ649" t="str">
        <f t="shared" si="699"/>
        <v>170</v>
      </c>
      <c r="AK649" t="str">
        <f>"85"</f>
        <v>85</v>
      </c>
      <c r="AL649" t="str">
        <f>"410"</f>
        <v>410</v>
      </c>
      <c r="AM649" t="str">
        <f>"11"</f>
        <v>11</v>
      </c>
      <c r="AN649" t="str">
        <f>"11001"</f>
        <v>11001</v>
      </c>
      <c r="AO649" t="str">
        <f>"15/03/2020 12:00:00 a. m."</f>
        <v>15/03/2020 12:00:00 a. m.</v>
      </c>
      <c r="AP649" t="str">
        <f>"10/01/2020 12:00:00 a. m."</f>
        <v>10/01/2020 12:00:00 a. m.</v>
      </c>
      <c r="AQ649" t="str">
        <f t="shared" si="777"/>
        <v>3</v>
      </c>
      <c r="AR649" t="str">
        <f t="shared" si="740"/>
        <v>1</v>
      </c>
      <c r="AS649" t="str">
        <f>"15/03/2020 12:00:00 a. m."</f>
        <v>15/03/2020 12:00:00 a. m.</v>
      </c>
      <c r="AT649" t="str">
        <f t="shared" si="761"/>
        <v>1</v>
      </c>
      <c r="AU649" t="str">
        <f>""</f>
        <v/>
      </c>
      <c r="AV649" t="str">
        <f>"7"</f>
        <v>7</v>
      </c>
      <c r="AW649" t="str">
        <f>"9/03/2007 12:00:00 a. m."</f>
        <v>9/03/2007 12:00:00 a. m.</v>
      </c>
      <c r="AX649" t="str">
        <f>""</f>
        <v/>
      </c>
      <c r="AY649" t="str">
        <f t="shared" si="772"/>
        <v>30/04/2021 12:00:00 a. m.</v>
      </c>
      <c r="AZ649" t="str">
        <f>"23/06/2020 12:00:00 a. m."</f>
        <v>23/06/2020 12:00:00 a. m.</v>
      </c>
      <c r="BA649" t="str">
        <f>""</f>
        <v/>
      </c>
      <c r="BB649" t="str">
        <f>""</f>
        <v/>
      </c>
      <c r="BC649" t="str">
        <f>""</f>
        <v/>
      </c>
      <c r="BD649" t="str">
        <f t="shared" si="773"/>
        <v>1</v>
      </c>
      <c r="BE649" t="str">
        <f t="shared" si="773"/>
        <v>1</v>
      </c>
      <c r="BF649" t="str">
        <f t="shared" si="774"/>
        <v xml:space="preserve">3         </v>
      </c>
      <c r="BG649" t="str">
        <f t="shared" si="775"/>
        <v>Confirmado por laboratorio</v>
      </c>
      <c r="BH649" t="str">
        <f>"FUNDACION HOSPITAL DE LA MISERICORDIA"</f>
        <v>FUNDACION HOSPITAL DE LA MISERICORDIA</v>
      </c>
      <c r="BI649" t="str">
        <f t="shared" si="703"/>
        <v>COLOMBIA</v>
      </c>
      <c r="BJ649" t="str">
        <f t="shared" si="776"/>
        <v>CANCER INFANTIL</v>
      </c>
      <c r="BK649" t="str">
        <f>"CASANARE"</f>
        <v>CASANARE</v>
      </c>
      <c r="BL649" t="str">
        <f>"TAURAMENA"</f>
        <v>TAURAMENA</v>
      </c>
      <c r="BM649" t="str">
        <f t="shared" si="705"/>
        <v>COLOMBIA</v>
      </c>
      <c r="BN649" t="str">
        <f>"CASANARE"</f>
        <v>CASANARE</v>
      </c>
      <c r="BO649" t="str">
        <f>"TAURAMENA"</f>
        <v>TAURAMENA</v>
      </c>
      <c r="BP649" t="str">
        <f t="shared" ref="BP649:BQ651" si="780">"BOGOTA"</f>
        <v>BOGOTA</v>
      </c>
      <c r="BQ649" t="str">
        <f t="shared" si="780"/>
        <v>BOGOTA</v>
      </c>
    </row>
    <row r="650" spans="1:69" x14ac:dyDescent="0.25">
      <c r="A650" t="str">
        <f>"7291669"</f>
        <v>7291669</v>
      </c>
      <c r="B650" t="str">
        <f t="shared" si="768"/>
        <v>459</v>
      </c>
      <c r="C650" t="str">
        <f>"21/04/2020 12:00:00 a. m."</f>
        <v>21/04/2020 12:00:00 a. m.</v>
      </c>
      <c r="D650" t="str">
        <f>"07"</f>
        <v>07</v>
      </c>
      <c r="E650" t="str">
        <f t="shared" si="769"/>
        <v>2020</v>
      </c>
      <c r="F650" t="str">
        <f>"1100105681"</f>
        <v>1100105681</v>
      </c>
      <c r="G650" t="str">
        <f t="shared" si="757"/>
        <v>01</v>
      </c>
      <c r="H650" t="str">
        <f>"2"</f>
        <v>2</v>
      </c>
      <c r="I650" t="str">
        <f t="shared" si="750"/>
        <v>1</v>
      </c>
      <c r="J650" t="str">
        <f t="shared" si="778"/>
        <v>M</v>
      </c>
      <c r="K650" t="str">
        <f t="shared" ref="K650:K711" si="781">"170"</f>
        <v>170</v>
      </c>
      <c r="L650" t="str">
        <f>"25"</f>
        <v>25</v>
      </c>
      <c r="M650" t="str">
        <f>"743"</f>
        <v>743</v>
      </c>
      <c r="N650" t="str">
        <f t="shared" si="779"/>
        <v>1</v>
      </c>
      <c r="O650" t="str">
        <f>"9999"</f>
        <v>9999</v>
      </c>
      <c r="P650" t="str">
        <f>"C"</f>
        <v>C</v>
      </c>
      <c r="Q650" t="str">
        <f>"EPS017"</f>
        <v>EPS017</v>
      </c>
      <c r="R650" t="str">
        <f t="shared" si="758"/>
        <v>6</v>
      </c>
      <c r="S650" t="str">
        <f>""</f>
        <v/>
      </c>
      <c r="T650" t="str">
        <f t="shared" si="752"/>
        <v xml:space="preserve">                                                                                                    </v>
      </c>
      <c r="U650" t="str">
        <f>"2         "</f>
        <v xml:space="preserve">2         </v>
      </c>
      <c r="V650" t="str">
        <f t="shared" si="748"/>
        <v>2</v>
      </c>
      <c r="W650" t="str">
        <f t="shared" si="747"/>
        <v>2</v>
      </c>
      <c r="X650" t="str">
        <f t="shared" si="729"/>
        <v>2</v>
      </c>
      <c r="Y650" t="str">
        <f t="shared" si="760"/>
        <v>2</v>
      </c>
      <c r="Z650" t="str">
        <f t="shared" si="760"/>
        <v>2</v>
      </c>
      <c r="AA650" t="str">
        <f t="shared" si="770"/>
        <v xml:space="preserve">          </v>
      </c>
      <c r="AB650" t="str">
        <f t="shared" si="756"/>
        <v>2</v>
      </c>
      <c r="AC650" t="str">
        <f t="shared" si="759"/>
        <v>2</v>
      </c>
      <c r="AD650" t="str">
        <f t="shared" si="764"/>
        <v>2</v>
      </c>
      <c r="AE650" t="str">
        <f t="shared" si="764"/>
        <v>2</v>
      </c>
      <c r="AF650" t="str">
        <f t="shared" si="764"/>
        <v>2</v>
      </c>
      <c r="AG650" t="str">
        <f t="shared" si="764"/>
        <v>2</v>
      </c>
      <c r="AH650" t="str">
        <f t="shared" si="749"/>
        <v>1</v>
      </c>
      <c r="AI650" t="str">
        <f t="shared" si="771"/>
        <v xml:space="preserve">1         </v>
      </c>
      <c r="AJ650" t="str">
        <f t="shared" ref="AJ650:AJ711" si="782">"170"</f>
        <v>170</v>
      </c>
      <c r="AK650" t="str">
        <f>"25"</f>
        <v>25</v>
      </c>
      <c r="AL650" t="str">
        <f>"743"</f>
        <v>743</v>
      </c>
      <c r="AM650" t="str">
        <f>"11"</f>
        <v>11</v>
      </c>
      <c r="AN650" t="str">
        <f>"11001"</f>
        <v>11001</v>
      </c>
      <c r="AO650" t="str">
        <f>"11/02/2020 12:00:00 a. m."</f>
        <v>11/02/2020 12:00:00 a. m.</v>
      </c>
      <c r="AP650" t="str">
        <f>"7/02/2020 12:00:00 a. m."</f>
        <v>7/02/2020 12:00:00 a. m.</v>
      </c>
      <c r="AQ650" t="str">
        <f t="shared" si="777"/>
        <v>3</v>
      </c>
      <c r="AR650" t="str">
        <f t="shared" si="740"/>
        <v>1</v>
      </c>
      <c r="AS650" t="str">
        <f>"11/02/2020 12:00:00 a. m."</f>
        <v>11/02/2020 12:00:00 a. m.</v>
      </c>
      <c r="AT650" t="str">
        <f t="shared" si="761"/>
        <v>1</v>
      </c>
      <c r="AU650" t="str">
        <f>""</f>
        <v/>
      </c>
      <c r="AV650" t="str">
        <f>"0"</f>
        <v>0</v>
      </c>
      <c r="AW650" t="str">
        <f>"16/02/2018 12:00:00 a. m."</f>
        <v>16/02/2018 12:00:00 a. m.</v>
      </c>
      <c r="AX650" t="str">
        <f>""</f>
        <v/>
      </c>
      <c r="AY650" t="str">
        <f t="shared" si="772"/>
        <v>30/04/2021 12:00:00 a. m.</v>
      </c>
      <c r="AZ650" t="str">
        <f>"21/04/2020 12:00:00 a. m."</f>
        <v>21/04/2020 12:00:00 a. m.</v>
      </c>
      <c r="BA650" t="str">
        <f>""</f>
        <v/>
      </c>
      <c r="BB650" t="str">
        <f>""</f>
        <v/>
      </c>
      <c r="BC650" t="str">
        <f>""</f>
        <v/>
      </c>
      <c r="BD650" t="str">
        <f t="shared" si="773"/>
        <v>1</v>
      </c>
      <c r="BE650" t="str">
        <f t="shared" si="773"/>
        <v>1</v>
      </c>
      <c r="BF650" t="str">
        <f t="shared" si="774"/>
        <v xml:space="preserve">3         </v>
      </c>
      <c r="BG650" t="str">
        <f t="shared" si="775"/>
        <v>Confirmado por laboratorio</v>
      </c>
      <c r="BH650" t="str">
        <f>"FUNDACION HOSPITAL DE LA MISERICORDIA"</f>
        <v>FUNDACION HOSPITAL DE LA MISERICORDIA</v>
      </c>
      <c r="BI650" t="str">
        <f t="shared" ref="BI650:BI711" si="783">"COLOMBIA"</f>
        <v>COLOMBIA</v>
      </c>
      <c r="BJ650" t="str">
        <f t="shared" si="776"/>
        <v>CANCER INFANTIL</v>
      </c>
      <c r="BK650" t="str">
        <f>"CUNDINAMARCA"</f>
        <v>CUNDINAMARCA</v>
      </c>
      <c r="BL650" t="str">
        <f>"SILVANIA"</f>
        <v>SILVANIA</v>
      </c>
      <c r="BM650" t="str">
        <f t="shared" ref="BM650:BM711" si="784">"COLOMBIA"</f>
        <v>COLOMBIA</v>
      </c>
      <c r="BN650" t="str">
        <f>"CUNDINAMARCA"</f>
        <v>CUNDINAMARCA</v>
      </c>
      <c r="BO650" t="str">
        <f>"SILVANIA"</f>
        <v>SILVANIA</v>
      </c>
      <c r="BP650" t="str">
        <f t="shared" si="780"/>
        <v>BOGOTA</v>
      </c>
      <c r="BQ650" t="str">
        <f t="shared" si="780"/>
        <v>BOGOTA</v>
      </c>
    </row>
    <row r="651" spans="1:69" x14ac:dyDescent="0.25">
      <c r="A651" t="str">
        <f>"7291659"</f>
        <v>7291659</v>
      </c>
      <c r="B651" t="str">
        <f t="shared" si="768"/>
        <v>459</v>
      </c>
      <c r="C651" t="str">
        <f>"14/08/2020 12:00:00 a. m."</f>
        <v>14/08/2020 12:00:00 a. m.</v>
      </c>
      <c r="D651" t="str">
        <f>"32"</f>
        <v>32</v>
      </c>
      <c r="E651" t="str">
        <f t="shared" si="769"/>
        <v>2020</v>
      </c>
      <c r="F651" t="str">
        <f>"1100108679"</f>
        <v>1100108679</v>
      </c>
      <c r="G651" t="str">
        <f t="shared" si="757"/>
        <v>01</v>
      </c>
      <c r="H651" t="str">
        <f>"7"</f>
        <v>7</v>
      </c>
      <c r="I651" t="str">
        <f t="shared" si="750"/>
        <v>1</v>
      </c>
      <c r="J651" t="str">
        <f t="shared" si="778"/>
        <v>M</v>
      </c>
      <c r="K651" t="str">
        <f t="shared" si="781"/>
        <v>170</v>
      </c>
      <c r="L651" t="str">
        <f>"25"</f>
        <v>25</v>
      </c>
      <c r="M651" t="str">
        <f>"754"</f>
        <v>754</v>
      </c>
      <c r="N651" t="str">
        <f t="shared" si="779"/>
        <v>1</v>
      </c>
      <c r="O651" t="str">
        <f>"9997"</f>
        <v>9997</v>
      </c>
      <c r="P651" t="str">
        <f>"C"</f>
        <v>C</v>
      </c>
      <c r="Q651" t="str">
        <f>"EPS002"</f>
        <v>EPS002</v>
      </c>
      <c r="R651" t="str">
        <f t="shared" si="758"/>
        <v>6</v>
      </c>
      <c r="S651" t="str">
        <f>""</f>
        <v/>
      </c>
      <c r="T651" t="str">
        <f t="shared" si="752"/>
        <v xml:space="preserve">                                                                                                    </v>
      </c>
      <c r="U651" t="str">
        <f>"3         "</f>
        <v xml:space="preserve">3         </v>
      </c>
      <c r="V651" t="str">
        <f t="shared" si="748"/>
        <v>2</v>
      </c>
      <c r="W651" t="str">
        <f t="shared" si="747"/>
        <v>2</v>
      </c>
      <c r="X651" t="str">
        <f t="shared" si="729"/>
        <v>2</v>
      </c>
      <c r="Y651" t="str">
        <f t="shared" si="760"/>
        <v>2</v>
      </c>
      <c r="Z651" t="str">
        <f t="shared" si="760"/>
        <v>2</v>
      </c>
      <c r="AA651" t="str">
        <f t="shared" si="770"/>
        <v xml:space="preserve">          </v>
      </c>
      <c r="AB651" t="str">
        <f t="shared" si="756"/>
        <v>2</v>
      </c>
      <c r="AC651" t="str">
        <f t="shared" si="759"/>
        <v>2</v>
      </c>
      <c r="AD651" t="str">
        <f t="shared" si="764"/>
        <v>2</v>
      </c>
      <c r="AE651" t="str">
        <f t="shared" si="764"/>
        <v>2</v>
      </c>
      <c r="AF651" t="str">
        <f t="shared" si="764"/>
        <v>2</v>
      </c>
      <c r="AG651" t="str">
        <f t="shared" si="764"/>
        <v>2</v>
      </c>
      <c r="AH651" t="str">
        <f t="shared" si="749"/>
        <v>1</v>
      </c>
      <c r="AI651" t="str">
        <f t="shared" si="771"/>
        <v xml:space="preserve">1         </v>
      </c>
      <c r="AJ651" t="str">
        <f t="shared" si="782"/>
        <v>170</v>
      </c>
      <c r="AK651" t="str">
        <f>"25"</f>
        <v>25</v>
      </c>
      <c r="AL651" t="str">
        <f>"754"</f>
        <v>754</v>
      </c>
      <c r="AM651" t="str">
        <f>"11"</f>
        <v>11</v>
      </c>
      <c r="AN651" t="str">
        <f>"11001"</f>
        <v>11001</v>
      </c>
      <c r="AO651" t="str">
        <f>"5/08/2020 12:00:00 a. m."</f>
        <v>5/08/2020 12:00:00 a. m.</v>
      </c>
      <c r="AP651" t="str">
        <f>"10/07/2020 12:00:00 a. m."</f>
        <v>10/07/2020 12:00:00 a. m.</v>
      </c>
      <c r="AQ651" t="str">
        <f t="shared" si="777"/>
        <v>3</v>
      </c>
      <c r="AR651" t="str">
        <f>"2"</f>
        <v>2</v>
      </c>
      <c r="AS651" t="str">
        <f>""</f>
        <v/>
      </c>
      <c r="AT651" t="str">
        <f t="shared" si="761"/>
        <v>1</v>
      </c>
      <c r="AU651" t="str">
        <f>""</f>
        <v/>
      </c>
      <c r="AV651" t="str">
        <f>"7"</f>
        <v>7</v>
      </c>
      <c r="AW651" t="str">
        <f>"25/07/2013 12:00:00 a. m."</f>
        <v>25/07/2013 12:00:00 a. m.</v>
      </c>
      <c r="AX651" t="str">
        <f>""</f>
        <v/>
      </c>
      <c r="AY651" t="str">
        <f t="shared" si="772"/>
        <v>30/04/2021 12:00:00 a. m.</v>
      </c>
      <c r="AZ651" t="str">
        <f>"1/03/2021 12:00:00 a. m."</f>
        <v>1/03/2021 12:00:00 a. m.</v>
      </c>
      <c r="BA651" t="str">
        <f>""</f>
        <v/>
      </c>
      <c r="BB651" t="str">
        <f>""</f>
        <v/>
      </c>
      <c r="BC651" t="str">
        <f>""</f>
        <v/>
      </c>
      <c r="BD651" t="str">
        <f t="shared" si="773"/>
        <v>1</v>
      </c>
      <c r="BE651" t="str">
        <f t="shared" si="773"/>
        <v>1</v>
      </c>
      <c r="BF651" t="str">
        <f t="shared" si="774"/>
        <v xml:space="preserve">3         </v>
      </c>
      <c r="BG651" t="str">
        <f t="shared" si="775"/>
        <v>Confirmado por laboratorio</v>
      </c>
      <c r="BH651" t="str">
        <f>"SOCIEDAD DE CIRUGIA DE BOGOTA HOSPITAL DE SAN JOSE"</f>
        <v>SOCIEDAD DE CIRUGIA DE BOGOTA HOSPITAL DE SAN JOSE</v>
      </c>
      <c r="BI651" t="str">
        <f t="shared" si="783"/>
        <v>COLOMBIA</v>
      </c>
      <c r="BJ651" t="str">
        <f t="shared" si="776"/>
        <v>CANCER INFANTIL</v>
      </c>
      <c r="BK651" t="str">
        <f>"CUNDINAMARCA"</f>
        <v>CUNDINAMARCA</v>
      </c>
      <c r="BL651" t="str">
        <f>"SOACHA"</f>
        <v>SOACHA</v>
      </c>
      <c r="BM651" t="str">
        <f t="shared" si="784"/>
        <v>COLOMBIA</v>
      </c>
      <c r="BN651" t="str">
        <f>"CUNDINAMARCA"</f>
        <v>CUNDINAMARCA</v>
      </c>
      <c r="BO651" t="str">
        <f>"SOACHA"</f>
        <v>SOACHA</v>
      </c>
      <c r="BP651" t="str">
        <f t="shared" si="780"/>
        <v>BOGOTA</v>
      </c>
      <c r="BQ651" t="str">
        <f t="shared" si="780"/>
        <v>BOGOTA</v>
      </c>
    </row>
    <row r="652" spans="1:69" x14ac:dyDescent="0.25">
      <c r="A652" t="str">
        <f>"7291406"</f>
        <v>7291406</v>
      </c>
      <c r="B652" t="str">
        <f t="shared" si="768"/>
        <v>459</v>
      </c>
      <c r="C652" t="str">
        <f>"10/11/2020 12:00:00 a. m."</f>
        <v>10/11/2020 12:00:00 a. m.</v>
      </c>
      <c r="D652" t="str">
        <f>"32"</f>
        <v>32</v>
      </c>
      <c r="E652" t="str">
        <f t="shared" si="769"/>
        <v>2020</v>
      </c>
      <c r="F652" t="str">
        <f>"7600101111"</f>
        <v>7600101111</v>
      </c>
      <c r="G652" t="str">
        <f t="shared" si="757"/>
        <v>01</v>
      </c>
      <c r="H652" t="str">
        <f>"3"</f>
        <v>3</v>
      </c>
      <c r="I652" t="str">
        <f t="shared" si="750"/>
        <v>1</v>
      </c>
      <c r="J652" t="str">
        <f t="shared" si="778"/>
        <v>M</v>
      </c>
      <c r="K652" t="str">
        <f t="shared" si="781"/>
        <v>170</v>
      </c>
      <c r="L652" t="str">
        <f>"76"</f>
        <v>76</v>
      </c>
      <c r="M652" t="str">
        <f>"001"</f>
        <v>001</v>
      </c>
      <c r="N652" t="str">
        <f t="shared" si="779"/>
        <v>1</v>
      </c>
      <c r="O652" t="str">
        <f>"9999"</f>
        <v>9999</v>
      </c>
      <c r="P652" t="str">
        <f>"S"</f>
        <v>S</v>
      </c>
      <c r="Q652" t="str">
        <f>"ESS024"</f>
        <v>ESS024</v>
      </c>
      <c r="R652" t="str">
        <f t="shared" si="758"/>
        <v>6</v>
      </c>
      <c r="S652" t="str">
        <f>""</f>
        <v/>
      </c>
      <c r="T652" t="str">
        <f t="shared" si="752"/>
        <v xml:space="preserve">                                                                                                    </v>
      </c>
      <c r="U652" t="str">
        <f>"2         "</f>
        <v xml:space="preserve">2         </v>
      </c>
      <c r="V652" t="str">
        <f t="shared" si="748"/>
        <v>2</v>
      </c>
      <c r="W652" t="str">
        <f t="shared" si="747"/>
        <v>2</v>
      </c>
      <c r="X652" t="str">
        <f t="shared" si="729"/>
        <v>2</v>
      </c>
      <c r="Y652" t="str">
        <f t="shared" si="760"/>
        <v>2</v>
      </c>
      <c r="Z652" t="str">
        <f t="shared" si="760"/>
        <v>2</v>
      </c>
      <c r="AA652" t="str">
        <f t="shared" si="770"/>
        <v xml:space="preserve">          </v>
      </c>
      <c r="AB652" t="str">
        <f t="shared" si="756"/>
        <v>2</v>
      </c>
      <c r="AC652" t="str">
        <f t="shared" si="759"/>
        <v>2</v>
      </c>
      <c r="AD652" t="str">
        <f t="shared" si="764"/>
        <v>2</v>
      </c>
      <c r="AE652" t="str">
        <f t="shared" si="764"/>
        <v>2</v>
      </c>
      <c r="AF652" t="str">
        <f t="shared" si="764"/>
        <v>2</v>
      </c>
      <c r="AG652" t="str">
        <f t="shared" si="764"/>
        <v>2</v>
      </c>
      <c r="AH652" t="str">
        <f t="shared" si="749"/>
        <v>1</v>
      </c>
      <c r="AI652" t="str">
        <f t="shared" si="771"/>
        <v xml:space="preserve">1         </v>
      </c>
      <c r="AJ652" t="str">
        <f t="shared" si="782"/>
        <v>170</v>
      </c>
      <c r="AK652" t="str">
        <f>"76"</f>
        <v>76</v>
      </c>
      <c r="AL652" t="str">
        <f>"001"</f>
        <v>001</v>
      </c>
      <c r="AM652" t="str">
        <f>"76"</f>
        <v>76</v>
      </c>
      <c r="AN652" t="str">
        <f>"76001"</f>
        <v>76001</v>
      </c>
      <c r="AO652" t="str">
        <f>"7/08/2020 12:00:00 a. m."</f>
        <v>7/08/2020 12:00:00 a. m.</v>
      </c>
      <c r="AP652" t="str">
        <f>"2/08/2020 12:00:00 a. m."</f>
        <v>2/08/2020 12:00:00 a. m.</v>
      </c>
      <c r="AQ652" t="str">
        <f t="shared" si="777"/>
        <v>3</v>
      </c>
      <c r="AR652" t="str">
        <f t="shared" ref="AR652:AR665" si="785">"1"</f>
        <v>1</v>
      </c>
      <c r="AS652" t="str">
        <f>"7/08/2020 12:00:00 a. m."</f>
        <v>7/08/2020 12:00:00 a. m.</v>
      </c>
      <c r="AT652" t="str">
        <f t="shared" si="761"/>
        <v>1</v>
      </c>
      <c r="AU652" t="str">
        <f>""</f>
        <v/>
      </c>
      <c r="AV652" t="str">
        <f>"0"</f>
        <v>0</v>
      </c>
      <c r="AW652" t="str">
        <f>"8/02/2017 12:00:00 a. m."</f>
        <v>8/02/2017 12:00:00 a. m.</v>
      </c>
      <c r="AX652" t="str">
        <f>""</f>
        <v/>
      </c>
      <c r="AY652" t="str">
        <f t="shared" si="772"/>
        <v>30/04/2021 12:00:00 a. m.</v>
      </c>
      <c r="AZ652" t="str">
        <f>"10/11/2020 12:00:00 a. m."</f>
        <v>10/11/2020 12:00:00 a. m.</v>
      </c>
      <c r="BA652" t="str">
        <f>""</f>
        <v/>
      </c>
      <c r="BB652" t="str">
        <f>""</f>
        <v/>
      </c>
      <c r="BC652" t="str">
        <f>""</f>
        <v/>
      </c>
      <c r="BD652" t="str">
        <f t="shared" si="773"/>
        <v>1</v>
      </c>
      <c r="BE652" t="str">
        <f t="shared" si="773"/>
        <v>1</v>
      </c>
      <c r="BF652" t="str">
        <f t="shared" si="774"/>
        <v xml:space="preserve">3         </v>
      </c>
      <c r="BG652" t="str">
        <f t="shared" si="775"/>
        <v>Confirmado por laboratorio</v>
      </c>
      <c r="BH652" t="str">
        <f>"CENTRO MEDICO IMBANACO CMI"</f>
        <v>CENTRO MEDICO IMBANACO CMI</v>
      </c>
      <c r="BI652" t="str">
        <f t="shared" si="783"/>
        <v>COLOMBIA</v>
      </c>
      <c r="BJ652" t="str">
        <f t="shared" si="776"/>
        <v>CANCER INFANTIL</v>
      </c>
      <c r="BK652" t="str">
        <f>"VALLE"</f>
        <v>VALLE</v>
      </c>
      <c r="BL652" t="str">
        <f>"CALI"</f>
        <v>CALI</v>
      </c>
      <c r="BM652" t="str">
        <f t="shared" si="784"/>
        <v>COLOMBIA</v>
      </c>
      <c r="BN652" t="str">
        <f>"VALLE"</f>
        <v>VALLE</v>
      </c>
      <c r="BO652" t="str">
        <f>"CALI"</f>
        <v>CALI</v>
      </c>
      <c r="BP652" t="str">
        <f>"VALLE"</f>
        <v>VALLE</v>
      </c>
      <c r="BQ652" t="str">
        <f>"CALI"</f>
        <v>CALI</v>
      </c>
    </row>
    <row r="653" spans="1:69" x14ac:dyDescent="0.25">
      <c r="A653" t="str">
        <f>"7291407"</f>
        <v>7291407</v>
      </c>
      <c r="B653" t="str">
        <f t="shared" si="768"/>
        <v>459</v>
      </c>
      <c r="C653" t="str">
        <f>"21/08/2020 12:00:00 a. m."</f>
        <v>21/08/2020 12:00:00 a. m.</v>
      </c>
      <c r="D653" t="str">
        <f>"26"</f>
        <v>26</v>
      </c>
      <c r="E653" t="str">
        <f t="shared" si="769"/>
        <v>2020</v>
      </c>
      <c r="F653" t="str">
        <f>"7600101111"</f>
        <v>7600101111</v>
      </c>
      <c r="G653" t="str">
        <f t="shared" si="757"/>
        <v>01</v>
      </c>
      <c r="H653" t="str">
        <f>"16"</f>
        <v>16</v>
      </c>
      <c r="I653" t="str">
        <f t="shared" si="750"/>
        <v>1</v>
      </c>
      <c r="J653" t="str">
        <f t="shared" si="778"/>
        <v>M</v>
      </c>
      <c r="K653" t="str">
        <f t="shared" si="781"/>
        <v>170</v>
      </c>
      <c r="L653" t="str">
        <f>"76"</f>
        <v>76</v>
      </c>
      <c r="M653" t="str">
        <f>"001"</f>
        <v>001</v>
      </c>
      <c r="N653" t="str">
        <f t="shared" si="779"/>
        <v>1</v>
      </c>
      <c r="O653" t="str">
        <f>"9997"</f>
        <v>9997</v>
      </c>
      <c r="P653" t="str">
        <f>"S"</f>
        <v>S</v>
      </c>
      <c r="Q653" t="str">
        <f>"ESS024"</f>
        <v>ESS024</v>
      </c>
      <c r="R653" t="str">
        <f t="shared" si="758"/>
        <v>6</v>
      </c>
      <c r="S653" t="str">
        <f>""</f>
        <v/>
      </c>
      <c r="T653" t="str">
        <f t="shared" si="752"/>
        <v xml:space="preserve">                                                                                                    </v>
      </c>
      <c r="U653" t="str">
        <f>"4         "</f>
        <v xml:space="preserve">4         </v>
      </c>
      <c r="V653" t="str">
        <f t="shared" si="748"/>
        <v>2</v>
      </c>
      <c r="W653" t="str">
        <f t="shared" si="747"/>
        <v>2</v>
      </c>
      <c r="X653" t="str">
        <f t="shared" si="729"/>
        <v>2</v>
      </c>
      <c r="Y653" t="str">
        <f t="shared" si="760"/>
        <v>2</v>
      </c>
      <c r="Z653" t="str">
        <f t="shared" si="760"/>
        <v>2</v>
      </c>
      <c r="AA653" t="str">
        <f t="shared" si="770"/>
        <v xml:space="preserve">          </v>
      </c>
      <c r="AB653" t="str">
        <f t="shared" si="756"/>
        <v>2</v>
      </c>
      <c r="AC653" t="str">
        <f t="shared" si="759"/>
        <v>2</v>
      </c>
      <c r="AD653" t="str">
        <f t="shared" si="764"/>
        <v>2</v>
      </c>
      <c r="AE653" t="str">
        <f t="shared" si="764"/>
        <v>2</v>
      </c>
      <c r="AF653" t="str">
        <f t="shared" si="764"/>
        <v>2</v>
      </c>
      <c r="AG653" t="str">
        <f t="shared" si="764"/>
        <v>2</v>
      </c>
      <c r="AH653" t="str">
        <f t="shared" si="749"/>
        <v>1</v>
      </c>
      <c r="AI653" t="str">
        <f t="shared" si="771"/>
        <v xml:space="preserve">1         </v>
      </c>
      <c r="AJ653" t="str">
        <f t="shared" si="782"/>
        <v>170</v>
      </c>
      <c r="AK653" t="str">
        <f>"76"</f>
        <v>76</v>
      </c>
      <c r="AL653" t="str">
        <f>"001"</f>
        <v>001</v>
      </c>
      <c r="AM653" t="str">
        <f>"76"</f>
        <v>76</v>
      </c>
      <c r="AN653" t="str">
        <f>"76001"</f>
        <v>76001</v>
      </c>
      <c r="AO653" t="str">
        <f>"24/06/2020 12:00:00 a. m."</f>
        <v>24/06/2020 12:00:00 a. m.</v>
      </c>
      <c r="AP653" t="str">
        <f>"20/06/2020 12:00:00 a. m."</f>
        <v>20/06/2020 12:00:00 a. m.</v>
      </c>
      <c r="AQ653" t="str">
        <f t="shared" si="777"/>
        <v>3</v>
      </c>
      <c r="AR653" t="str">
        <f t="shared" si="785"/>
        <v>1</v>
      </c>
      <c r="AS653" t="str">
        <f>"27/06/2020 12:00:00 a. m."</f>
        <v>27/06/2020 12:00:00 a. m.</v>
      </c>
      <c r="AT653" t="str">
        <f t="shared" si="761"/>
        <v>1</v>
      </c>
      <c r="AU653" t="str">
        <f>""</f>
        <v/>
      </c>
      <c r="AV653" t="str">
        <f>"7"</f>
        <v>7</v>
      </c>
      <c r="AW653" t="str">
        <f>"4/06/2004 12:00:00 a. m."</f>
        <v>4/06/2004 12:00:00 a. m.</v>
      </c>
      <c r="AX653" t="str">
        <f>""</f>
        <v/>
      </c>
      <c r="AY653" t="str">
        <f t="shared" si="772"/>
        <v>30/04/2021 12:00:00 a. m.</v>
      </c>
      <c r="AZ653" t="str">
        <f>"20/01/2021 12:00:00 a. m."</f>
        <v>20/01/2021 12:00:00 a. m.</v>
      </c>
      <c r="BA653" t="str">
        <f>""</f>
        <v/>
      </c>
      <c r="BB653" t="str">
        <f>""</f>
        <v/>
      </c>
      <c r="BC653" t="str">
        <f>""</f>
        <v/>
      </c>
      <c r="BD653" t="str">
        <f t="shared" si="773"/>
        <v>1</v>
      </c>
      <c r="BE653" t="str">
        <f t="shared" si="773"/>
        <v>1</v>
      </c>
      <c r="BF653" t="str">
        <f t="shared" si="774"/>
        <v xml:space="preserve">3         </v>
      </c>
      <c r="BG653" t="str">
        <f t="shared" si="775"/>
        <v>Confirmado por laboratorio</v>
      </c>
      <c r="BH653" t="str">
        <f>"CENTRO MEDICO IMBANACO CMI"</f>
        <v>CENTRO MEDICO IMBANACO CMI</v>
      </c>
      <c r="BI653" t="str">
        <f t="shared" si="783"/>
        <v>COLOMBIA</v>
      </c>
      <c r="BJ653" t="str">
        <f t="shared" si="776"/>
        <v>CANCER INFANTIL</v>
      </c>
      <c r="BK653" t="str">
        <f>"VALLE"</f>
        <v>VALLE</v>
      </c>
      <c r="BL653" t="str">
        <f>"CALI"</f>
        <v>CALI</v>
      </c>
      <c r="BM653" t="str">
        <f t="shared" si="784"/>
        <v>COLOMBIA</v>
      </c>
      <c r="BN653" t="str">
        <f>"VALLE"</f>
        <v>VALLE</v>
      </c>
      <c r="BO653" t="str">
        <f>"CALI"</f>
        <v>CALI</v>
      </c>
      <c r="BP653" t="str">
        <f>"VALLE"</f>
        <v>VALLE</v>
      </c>
      <c r="BQ653" t="str">
        <f>"CALI"</f>
        <v>CALI</v>
      </c>
    </row>
    <row r="654" spans="1:69" x14ac:dyDescent="0.25">
      <c r="A654" t="str">
        <f>"7291416"</f>
        <v>7291416</v>
      </c>
      <c r="B654" t="str">
        <f t="shared" si="768"/>
        <v>459</v>
      </c>
      <c r="C654" t="str">
        <f>"22/05/2020 12:00:00 a. m."</f>
        <v>22/05/2020 12:00:00 a. m.</v>
      </c>
      <c r="D654" t="str">
        <f>"10"</f>
        <v>10</v>
      </c>
      <c r="E654" t="str">
        <f t="shared" si="769"/>
        <v>2020</v>
      </c>
      <c r="F654" t="str">
        <f>"7600101111"</f>
        <v>7600101111</v>
      </c>
      <c r="G654" t="str">
        <f t="shared" si="757"/>
        <v>01</v>
      </c>
      <c r="H654" t="str">
        <f>"11"</f>
        <v>11</v>
      </c>
      <c r="I654" t="str">
        <f t="shared" si="750"/>
        <v>1</v>
      </c>
      <c r="J654" t="str">
        <f>"F"</f>
        <v>F</v>
      </c>
      <c r="K654" t="str">
        <f t="shared" si="781"/>
        <v>170</v>
      </c>
      <c r="L654" t="str">
        <f>"76"</f>
        <v>76</v>
      </c>
      <c r="M654" t="str">
        <f>"111"</f>
        <v>111</v>
      </c>
      <c r="N654" t="str">
        <f t="shared" si="779"/>
        <v>1</v>
      </c>
      <c r="O654" t="str">
        <f>"9999"</f>
        <v>9999</v>
      </c>
      <c r="P654" t="str">
        <f>"C"</f>
        <v>C</v>
      </c>
      <c r="Q654" t="str">
        <f>"EPS018"</f>
        <v>EPS018</v>
      </c>
      <c r="R654" t="str">
        <f t="shared" si="758"/>
        <v>6</v>
      </c>
      <c r="S654" t="str">
        <f>""</f>
        <v/>
      </c>
      <c r="T654" t="str">
        <f t="shared" si="752"/>
        <v xml:space="preserve">                                                                                                    </v>
      </c>
      <c r="U654" t="str">
        <f>"2         "</f>
        <v xml:space="preserve">2         </v>
      </c>
      <c r="V654" t="str">
        <f t="shared" si="748"/>
        <v>2</v>
      </c>
      <c r="W654" t="str">
        <f t="shared" si="747"/>
        <v>2</v>
      </c>
      <c r="X654" t="str">
        <f t="shared" si="729"/>
        <v>2</v>
      </c>
      <c r="Y654" t="str">
        <f t="shared" si="760"/>
        <v>2</v>
      </c>
      <c r="Z654" t="str">
        <f t="shared" si="760"/>
        <v>2</v>
      </c>
      <c r="AA654" t="str">
        <f t="shared" si="770"/>
        <v xml:space="preserve">          </v>
      </c>
      <c r="AB654" t="str">
        <f t="shared" si="756"/>
        <v>2</v>
      </c>
      <c r="AC654" t="str">
        <f t="shared" si="759"/>
        <v>2</v>
      </c>
      <c r="AD654" t="str">
        <f t="shared" si="764"/>
        <v>2</v>
      </c>
      <c r="AE654" t="str">
        <f t="shared" si="764"/>
        <v>2</v>
      </c>
      <c r="AF654" t="str">
        <f t="shared" si="764"/>
        <v>2</v>
      </c>
      <c r="AG654" t="str">
        <f t="shared" si="764"/>
        <v>2</v>
      </c>
      <c r="AH654" t="str">
        <f t="shared" si="749"/>
        <v>1</v>
      </c>
      <c r="AI654" t="str">
        <f t="shared" si="771"/>
        <v xml:space="preserve">1         </v>
      </c>
      <c r="AJ654" t="str">
        <f t="shared" si="782"/>
        <v>170</v>
      </c>
      <c r="AK654" t="str">
        <f>"76"</f>
        <v>76</v>
      </c>
      <c r="AL654" t="str">
        <f>"111"</f>
        <v>111</v>
      </c>
      <c r="AM654" t="str">
        <f>"76"</f>
        <v>76</v>
      </c>
      <c r="AN654" t="str">
        <f>"76001"</f>
        <v>76001</v>
      </c>
      <c r="AO654" t="str">
        <f>"4/03/2020 12:00:00 a. m."</f>
        <v>4/03/2020 12:00:00 a. m.</v>
      </c>
      <c r="AP654" t="str">
        <f>"4/12/2019 12:00:00 a. m."</f>
        <v>4/12/2019 12:00:00 a. m.</v>
      </c>
      <c r="AQ654" t="str">
        <f t="shared" si="777"/>
        <v>3</v>
      </c>
      <c r="AR654" t="str">
        <f t="shared" si="785"/>
        <v>1</v>
      </c>
      <c r="AS654" t="str">
        <f>"4/03/2020 12:00:00 a. m."</f>
        <v>4/03/2020 12:00:00 a. m.</v>
      </c>
      <c r="AT654" t="str">
        <f t="shared" si="761"/>
        <v>1</v>
      </c>
      <c r="AU654" t="str">
        <f>""</f>
        <v/>
      </c>
      <c r="AV654" t="str">
        <f>"3"</f>
        <v>3</v>
      </c>
      <c r="AW654" t="str">
        <f>"4/04/2009 12:00:00 a. m."</f>
        <v>4/04/2009 12:00:00 a. m.</v>
      </c>
      <c r="AX654" t="str">
        <f>""</f>
        <v/>
      </c>
      <c r="AY654" t="str">
        <f t="shared" si="772"/>
        <v>30/04/2021 12:00:00 a. m.</v>
      </c>
      <c r="AZ654" t="str">
        <f>"14/07/2020 12:00:00 a. m."</f>
        <v>14/07/2020 12:00:00 a. m.</v>
      </c>
      <c r="BA654" t="str">
        <f>""</f>
        <v/>
      </c>
      <c r="BB654" t="str">
        <f>""</f>
        <v/>
      </c>
      <c r="BC654" t="str">
        <f>""</f>
        <v/>
      </c>
      <c r="BD654" t="str">
        <f t="shared" si="773"/>
        <v>1</v>
      </c>
      <c r="BE654" t="str">
        <f t="shared" si="773"/>
        <v>1</v>
      </c>
      <c r="BF654" t="str">
        <f t="shared" si="774"/>
        <v xml:space="preserve">3         </v>
      </c>
      <c r="BG654" t="str">
        <f t="shared" si="775"/>
        <v>Confirmado por laboratorio</v>
      </c>
      <c r="BH654" t="str">
        <f>"CENTRO MEDICO IMBANACO CMI"</f>
        <v>CENTRO MEDICO IMBANACO CMI</v>
      </c>
      <c r="BI654" t="str">
        <f t="shared" si="783"/>
        <v>COLOMBIA</v>
      </c>
      <c r="BJ654" t="str">
        <f t="shared" si="776"/>
        <v>CANCER INFANTIL</v>
      </c>
      <c r="BK654" t="str">
        <f>"VALLE"</f>
        <v>VALLE</v>
      </c>
      <c r="BL654" t="str">
        <f>"BUGA"</f>
        <v>BUGA</v>
      </c>
      <c r="BM654" t="str">
        <f t="shared" si="784"/>
        <v>COLOMBIA</v>
      </c>
      <c r="BN654" t="str">
        <f>"VALLE"</f>
        <v>VALLE</v>
      </c>
      <c r="BO654" t="str">
        <f>"BUGA"</f>
        <v>BUGA</v>
      </c>
      <c r="BP654" t="str">
        <f>"VALLE"</f>
        <v>VALLE</v>
      </c>
      <c r="BQ654" t="str">
        <f>"CALI"</f>
        <v>CALI</v>
      </c>
    </row>
    <row r="655" spans="1:69" x14ac:dyDescent="0.25">
      <c r="A655" t="str">
        <f>"7291422"</f>
        <v>7291422</v>
      </c>
      <c r="B655" t="str">
        <f t="shared" si="768"/>
        <v>459</v>
      </c>
      <c r="C655" t="str">
        <f>"21/12/2020 12:00:00 a. m."</f>
        <v>21/12/2020 12:00:00 a. m.</v>
      </c>
      <c r="D655" t="str">
        <f>"51"</f>
        <v>51</v>
      </c>
      <c r="E655" t="str">
        <f t="shared" si="769"/>
        <v>2020</v>
      </c>
      <c r="F655" t="str">
        <f>"7600102870"</f>
        <v>7600102870</v>
      </c>
      <c r="G655" t="str">
        <f t="shared" si="757"/>
        <v>01</v>
      </c>
      <c r="H655" t="str">
        <f>"13"</f>
        <v>13</v>
      </c>
      <c r="I655" t="str">
        <f t="shared" si="750"/>
        <v>1</v>
      </c>
      <c r="J655" t="str">
        <f>"M"</f>
        <v>M</v>
      </c>
      <c r="K655" t="str">
        <f t="shared" si="781"/>
        <v>170</v>
      </c>
      <c r="L655" t="str">
        <f>"76"</f>
        <v>76</v>
      </c>
      <c r="M655" t="str">
        <f>"001"</f>
        <v>001</v>
      </c>
      <c r="N655" t="str">
        <f t="shared" si="779"/>
        <v>1</v>
      </c>
      <c r="O655" t="str">
        <f>"9999"</f>
        <v>9999</v>
      </c>
      <c r="P655" t="str">
        <f>"S"</f>
        <v>S</v>
      </c>
      <c r="Q655" t="str">
        <f>"EPSS18"</f>
        <v>EPSS18</v>
      </c>
      <c r="R655" t="str">
        <f t="shared" si="758"/>
        <v>6</v>
      </c>
      <c r="S655" t="str">
        <f>""</f>
        <v/>
      </c>
      <c r="T655" t="str">
        <f t="shared" si="752"/>
        <v xml:space="preserve">                                                                                                    </v>
      </c>
      <c r="U655" t="str">
        <f>"          "</f>
        <v xml:space="preserve">          </v>
      </c>
      <c r="V655" t="str">
        <f t="shared" si="748"/>
        <v>2</v>
      </c>
      <c r="W655" t="str">
        <f t="shared" si="747"/>
        <v>2</v>
      </c>
      <c r="X655" t="str">
        <f t="shared" si="729"/>
        <v>2</v>
      </c>
      <c r="Y655" t="str">
        <f t="shared" si="760"/>
        <v>2</v>
      </c>
      <c r="Z655" t="str">
        <f t="shared" si="760"/>
        <v>2</v>
      </c>
      <c r="AA655" t="str">
        <f t="shared" si="770"/>
        <v xml:space="preserve">          </v>
      </c>
      <c r="AB655" t="str">
        <f t="shared" si="756"/>
        <v>2</v>
      </c>
      <c r="AC655" t="str">
        <f t="shared" si="759"/>
        <v>2</v>
      </c>
      <c r="AD655" t="str">
        <f t="shared" si="764"/>
        <v>2</v>
      </c>
      <c r="AE655" t="str">
        <f t="shared" si="764"/>
        <v>2</v>
      </c>
      <c r="AF655" t="str">
        <f t="shared" si="764"/>
        <v>2</v>
      </c>
      <c r="AG655" t="str">
        <f t="shared" si="764"/>
        <v>2</v>
      </c>
      <c r="AH655" t="str">
        <f t="shared" si="749"/>
        <v>1</v>
      </c>
      <c r="AI655" t="str">
        <f t="shared" si="771"/>
        <v xml:space="preserve">1         </v>
      </c>
      <c r="AJ655" t="str">
        <f t="shared" si="782"/>
        <v>170</v>
      </c>
      <c r="AK655" t="str">
        <f>"76"</f>
        <v>76</v>
      </c>
      <c r="AL655" t="str">
        <f>"001"</f>
        <v>001</v>
      </c>
      <c r="AM655" t="str">
        <f>"76"</f>
        <v>76</v>
      </c>
      <c r="AN655" t="str">
        <f>"76001"</f>
        <v>76001</v>
      </c>
      <c r="AO655" t="str">
        <f>"14/12/2020 12:00:00 a. m."</f>
        <v>14/12/2020 12:00:00 a. m.</v>
      </c>
      <c r="AP655" t="str">
        <f>"14/12/2020 12:00:00 a. m."</f>
        <v>14/12/2020 12:00:00 a. m.</v>
      </c>
      <c r="AQ655" t="str">
        <f>"2"</f>
        <v>2</v>
      </c>
      <c r="AR655" t="str">
        <f t="shared" si="785"/>
        <v>1</v>
      </c>
      <c r="AS655" t="str">
        <f>"14/12/2020 12:00:00 a. m."</f>
        <v>14/12/2020 12:00:00 a. m.</v>
      </c>
      <c r="AT655" t="str">
        <f t="shared" si="761"/>
        <v>1</v>
      </c>
      <c r="AU655" t="str">
        <f>""</f>
        <v/>
      </c>
      <c r="AV655" t="str">
        <f>"3"</f>
        <v>3</v>
      </c>
      <c r="AW655" t="str">
        <f>"30/09/2007 12:00:00 a. m."</f>
        <v>30/09/2007 12:00:00 a. m.</v>
      </c>
      <c r="AX655" t="str">
        <f>""</f>
        <v/>
      </c>
      <c r="AY655" t="str">
        <f t="shared" si="772"/>
        <v>30/04/2021 12:00:00 a. m.</v>
      </c>
      <c r="AZ655" t="str">
        <f>"15/01/2021 12:00:00 a. m."</f>
        <v>15/01/2021 12:00:00 a. m.</v>
      </c>
      <c r="BA655" t="str">
        <f>""</f>
        <v/>
      </c>
      <c r="BB655" t="str">
        <f>""</f>
        <v/>
      </c>
      <c r="BC655" t="str">
        <f>""</f>
        <v/>
      </c>
      <c r="BD655" t="str">
        <f t="shared" si="773"/>
        <v>1</v>
      </c>
      <c r="BE655" t="str">
        <f t="shared" si="773"/>
        <v>1</v>
      </c>
      <c r="BF655" t="str">
        <f t="shared" si="774"/>
        <v xml:space="preserve">3         </v>
      </c>
      <c r="BG655" t="str">
        <f t="shared" si="775"/>
        <v>Confirmado por laboratorio</v>
      </c>
      <c r="BH655" t="str">
        <f>"FUNDACION VALLE DEL LILI"</f>
        <v>FUNDACION VALLE DEL LILI</v>
      </c>
      <c r="BI655" t="str">
        <f t="shared" si="783"/>
        <v>COLOMBIA</v>
      </c>
      <c r="BJ655" t="str">
        <f t="shared" si="776"/>
        <v>CANCER INFANTIL</v>
      </c>
      <c r="BK655" t="str">
        <f>"VALLE"</f>
        <v>VALLE</v>
      </c>
      <c r="BL655" t="str">
        <f>"CALI"</f>
        <v>CALI</v>
      </c>
      <c r="BM655" t="str">
        <f t="shared" si="784"/>
        <v>COLOMBIA</v>
      </c>
      <c r="BN655" t="str">
        <f>"VALLE"</f>
        <v>VALLE</v>
      </c>
      <c r="BO655" t="str">
        <f>"CALI"</f>
        <v>CALI</v>
      </c>
      <c r="BP655" t="str">
        <f>"VALLE"</f>
        <v>VALLE</v>
      </c>
      <c r="BQ655" t="str">
        <f>"CALI"</f>
        <v>CALI</v>
      </c>
    </row>
    <row r="656" spans="1:69" x14ac:dyDescent="0.25">
      <c r="A656" t="str">
        <f>"7278879"</f>
        <v>7278879</v>
      </c>
      <c r="B656" t="str">
        <f t="shared" si="768"/>
        <v>459</v>
      </c>
      <c r="C656" t="str">
        <f>"17/03/2020 12:00:00 a. m."</f>
        <v>17/03/2020 12:00:00 a. m.</v>
      </c>
      <c r="D656" t="str">
        <f>"08"</f>
        <v>08</v>
      </c>
      <c r="E656" t="str">
        <f t="shared" si="769"/>
        <v>2020</v>
      </c>
      <c r="F656" t="str">
        <f>"1100105681"</f>
        <v>1100105681</v>
      </c>
      <c r="G656" t="str">
        <f t="shared" si="757"/>
        <v>01</v>
      </c>
      <c r="H656" t="str">
        <f>"1"</f>
        <v>1</v>
      </c>
      <c r="I656" t="str">
        <f t="shared" si="750"/>
        <v>1</v>
      </c>
      <c r="J656" t="str">
        <f>"F"</f>
        <v>F</v>
      </c>
      <c r="K656" t="str">
        <f t="shared" si="781"/>
        <v>170</v>
      </c>
      <c r="L656" t="str">
        <f>"25"</f>
        <v>25</v>
      </c>
      <c r="M656" t="str">
        <f>"754"</f>
        <v>754</v>
      </c>
      <c r="N656" t="str">
        <f t="shared" si="779"/>
        <v>1</v>
      </c>
      <c r="O656" t="str">
        <f>"9999"</f>
        <v>9999</v>
      </c>
      <c r="P656" t="str">
        <f>"S"</f>
        <v>S</v>
      </c>
      <c r="Q656" t="str">
        <f>"EPSS34"</f>
        <v>EPSS34</v>
      </c>
      <c r="R656" t="str">
        <f t="shared" si="758"/>
        <v>6</v>
      </c>
      <c r="S656" t="str">
        <f>""</f>
        <v/>
      </c>
      <c r="T656" t="str">
        <f t="shared" si="752"/>
        <v xml:space="preserve">                                                                                                    </v>
      </c>
      <c r="U656" t="str">
        <f>"2         "</f>
        <v xml:space="preserve">2         </v>
      </c>
      <c r="V656" t="str">
        <f t="shared" si="748"/>
        <v>2</v>
      </c>
      <c r="W656" t="str">
        <f t="shared" si="747"/>
        <v>2</v>
      </c>
      <c r="X656" t="str">
        <f t="shared" si="729"/>
        <v>2</v>
      </c>
      <c r="Y656" t="str">
        <f t="shared" si="760"/>
        <v>2</v>
      </c>
      <c r="Z656" t="str">
        <f t="shared" si="760"/>
        <v>2</v>
      </c>
      <c r="AA656" t="str">
        <f t="shared" si="770"/>
        <v xml:space="preserve">          </v>
      </c>
      <c r="AB656" t="str">
        <f t="shared" si="756"/>
        <v>2</v>
      </c>
      <c r="AC656" t="str">
        <f t="shared" si="759"/>
        <v>2</v>
      </c>
      <c r="AD656" t="str">
        <f t="shared" si="764"/>
        <v>2</v>
      </c>
      <c r="AE656" t="str">
        <f t="shared" si="764"/>
        <v>2</v>
      </c>
      <c r="AF656" t="str">
        <f t="shared" si="764"/>
        <v>2</v>
      </c>
      <c r="AG656" t="str">
        <f t="shared" si="764"/>
        <v>2</v>
      </c>
      <c r="AH656" t="str">
        <f t="shared" si="749"/>
        <v>1</v>
      </c>
      <c r="AI656" t="str">
        <f t="shared" si="771"/>
        <v xml:space="preserve">1         </v>
      </c>
      <c r="AJ656" t="str">
        <f t="shared" si="782"/>
        <v>170</v>
      </c>
      <c r="AK656" t="str">
        <f>"25"</f>
        <v>25</v>
      </c>
      <c r="AL656" t="str">
        <f>"754"</f>
        <v>754</v>
      </c>
      <c r="AM656" t="str">
        <f>"11"</f>
        <v>11</v>
      </c>
      <c r="AN656" t="str">
        <f>"11001"</f>
        <v>11001</v>
      </c>
      <c r="AO656" t="str">
        <f>"17/02/2020 12:00:00 a. m."</f>
        <v>17/02/2020 12:00:00 a. m.</v>
      </c>
      <c r="AP656" t="str">
        <f>"17/01/2020 12:00:00 a. m."</f>
        <v>17/01/2020 12:00:00 a. m.</v>
      </c>
      <c r="AQ656" t="str">
        <f>"3"</f>
        <v>3</v>
      </c>
      <c r="AR656" t="str">
        <f t="shared" si="785"/>
        <v>1</v>
      </c>
      <c r="AS656" t="str">
        <f>"17/02/2020 12:00:00 a. m."</f>
        <v>17/02/2020 12:00:00 a. m.</v>
      </c>
      <c r="AT656" t="str">
        <f t="shared" si="761"/>
        <v>1</v>
      </c>
      <c r="AU656" t="str">
        <f>""</f>
        <v/>
      </c>
      <c r="AV656" t="str">
        <f>"0"</f>
        <v>0</v>
      </c>
      <c r="AW656" t="str">
        <f>"29/01/2019 12:00:00 a. m."</f>
        <v>29/01/2019 12:00:00 a. m.</v>
      </c>
      <c r="AX656" t="str">
        <f>""</f>
        <v/>
      </c>
      <c r="AY656" t="str">
        <f t="shared" si="772"/>
        <v>30/04/2021 12:00:00 a. m.</v>
      </c>
      <c r="AZ656" t="str">
        <f>"17/03/2020 12:00:00 a. m."</f>
        <v>17/03/2020 12:00:00 a. m.</v>
      </c>
      <c r="BA656" t="str">
        <f>""</f>
        <v/>
      </c>
      <c r="BB656" t="str">
        <f>""</f>
        <v/>
      </c>
      <c r="BC656" t="str">
        <f>""</f>
        <v/>
      </c>
      <c r="BD656" t="str">
        <f t="shared" si="773"/>
        <v>1</v>
      </c>
      <c r="BE656" t="str">
        <f t="shared" si="773"/>
        <v>1</v>
      </c>
      <c r="BF656" t="str">
        <f t="shared" si="774"/>
        <v xml:space="preserve">3         </v>
      </c>
      <c r="BG656" t="str">
        <f t="shared" si="775"/>
        <v>Confirmado por laboratorio</v>
      </c>
      <c r="BH656" t="str">
        <f>"FUNDACION HOSPITAL DE LA MISERICORDIA"</f>
        <v>FUNDACION HOSPITAL DE LA MISERICORDIA</v>
      </c>
      <c r="BI656" t="str">
        <f t="shared" si="783"/>
        <v>COLOMBIA</v>
      </c>
      <c r="BJ656" t="str">
        <f t="shared" si="776"/>
        <v>CANCER INFANTIL</v>
      </c>
      <c r="BK656" t="str">
        <f>"CUNDINAMARCA"</f>
        <v>CUNDINAMARCA</v>
      </c>
      <c r="BL656" t="str">
        <f>"SOACHA"</f>
        <v>SOACHA</v>
      </c>
      <c r="BM656" t="str">
        <f t="shared" si="784"/>
        <v>COLOMBIA</v>
      </c>
      <c r="BN656" t="str">
        <f>"CUNDINAMARCA"</f>
        <v>CUNDINAMARCA</v>
      </c>
      <c r="BO656" t="str">
        <f>"SOACHA"</f>
        <v>SOACHA</v>
      </c>
      <c r="BP656" t="str">
        <f>"BOGOTA"</f>
        <v>BOGOTA</v>
      </c>
      <c r="BQ656" t="str">
        <f>"BOGOTA"</f>
        <v>BOGOTA</v>
      </c>
    </row>
    <row r="657" spans="1:69" x14ac:dyDescent="0.25">
      <c r="A657" t="str">
        <f>"7278797"</f>
        <v>7278797</v>
      </c>
      <c r="B657" t="str">
        <f t="shared" si="768"/>
        <v>459</v>
      </c>
      <c r="C657" t="str">
        <f>"30/09/2020 12:00:00 a. m."</f>
        <v>30/09/2020 12:00:00 a. m.</v>
      </c>
      <c r="D657" t="str">
        <f>"23"</f>
        <v>23</v>
      </c>
      <c r="E657" t="str">
        <f t="shared" si="769"/>
        <v>2020</v>
      </c>
      <c r="F657" t="str">
        <f>"1100105681"</f>
        <v>1100105681</v>
      </c>
      <c r="G657" t="str">
        <f t="shared" si="757"/>
        <v>01</v>
      </c>
      <c r="H657" t="str">
        <f>"8"</f>
        <v>8</v>
      </c>
      <c r="I657" t="str">
        <f t="shared" si="750"/>
        <v>1</v>
      </c>
      <c r="J657" t="str">
        <f>"M"</f>
        <v>M</v>
      </c>
      <c r="K657" t="str">
        <f t="shared" si="781"/>
        <v>170</v>
      </c>
      <c r="L657" t="str">
        <f>"25"</f>
        <v>25</v>
      </c>
      <c r="M657" t="str">
        <f>"754"</f>
        <v>754</v>
      </c>
      <c r="N657" t="str">
        <f t="shared" si="779"/>
        <v>1</v>
      </c>
      <c r="O657" t="str">
        <f t="shared" ref="O657:O663" si="786">"9997"</f>
        <v>9997</v>
      </c>
      <c r="P657" t="str">
        <f>"C"</f>
        <v>C</v>
      </c>
      <c r="Q657" t="str">
        <f>"EPS017"</f>
        <v>EPS017</v>
      </c>
      <c r="R657" t="str">
        <f t="shared" si="758"/>
        <v>6</v>
      </c>
      <c r="S657" t="str">
        <f>""</f>
        <v/>
      </c>
      <c r="T657" t="str">
        <f t="shared" si="752"/>
        <v xml:space="preserve">                                                                                                    </v>
      </c>
      <c r="U657" t="str">
        <f>"2         "</f>
        <v xml:space="preserve">2         </v>
      </c>
      <c r="V657" t="str">
        <f t="shared" si="748"/>
        <v>2</v>
      </c>
      <c r="W657" t="str">
        <f t="shared" ref="W657:W688" si="787">"2"</f>
        <v>2</v>
      </c>
      <c r="X657" t="str">
        <f t="shared" si="729"/>
        <v>2</v>
      </c>
      <c r="Y657" t="str">
        <f t="shared" si="760"/>
        <v>2</v>
      </c>
      <c r="Z657" t="str">
        <f t="shared" si="760"/>
        <v>2</v>
      </c>
      <c r="AA657" t="str">
        <f t="shared" si="770"/>
        <v xml:space="preserve">          </v>
      </c>
      <c r="AB657" t="str">
        <f t="shared" si="756"/>
        <v>2</v>
      </c>
      <c r="AC657" t="str">
        <f t="shared" si="759"/>
        <v>2</v>
      </c>
      <c r="AD657" t="str">
        <f t="shared" si="764"/>
        <v>2</v>
      </c>
      <c r="AE657" t="str">
        <f t="shared" si="764"/>
        <v>2</v>
      </c>
      <c r="AF657" t="str">
        <f t="shared" si="764"/>
        <v>2</v>
      </c>
      <c r="AG657" t="str">
        <f t="shared" si="764"/>
        <v>2</v>
      </c>
      <c r="AH657" t="str">
        <f t="shared" si="749"/>
        <v>1</v>
      </c>
      <c r="AI657" t="str">
        <f t="shared" si="771"/>
        <v xml:space="preserve">1         </v>
      </c>
      <c r="AJ657" t="str">
        <f t="shared" si="782"/>
        <v>170</v>
      </c>
      <c r="AK657" t="str">
        <f>"25"</f>
        <v>25</v>
      </c>
      <c r="AL657" t="str">
        <f>"754"</f>
        <v>754</v>
      </c>
      <c r="AM657" t="str">
        <f>"11"</f>
        <v>11</v>
      </c>
      <c r="AN657" t="str">
        <f>"11001"</f>
        <v>11001</v>
      </c>
      <c r="AO657" t="str">
        <f>"1/06/2020 12:00:00 a. m."</f>
        <v>1/06/2020 12:00:00 a. m.</v>
      </c>
      <c r="AP657" t="str">
        <f>"27/05/2020 12:00:00 a. m."</f>
        <v>27/05/2020 12:00:00 a. m.</v>
      </c>
      <c r="AQ657" t="str">
        <f>"3"</f>
        <v>3</v>
      </c>
      <c r="AR657" t="str">
        <f t="shared" si="785"/>
        <v>1</v>
      </c>
      <c r="AS657" t="str">
        <f>"1/06/2020 12:00:00 a. m."</f>
        <v>1/06/2020 12:00:00 a. m.</v>
      </c>
      <c r="AT657" t="str">
        <f t="shared" si="761"/>
        <v>1</v>
      </c>
      <c r="AU657" t="str">
        <f>""</f>
        <v/>
      </c>
      <c r="AV657" t="str">
        <f>"0"</f>
        <v>0</v>
      </c>
      <c r="AW657" t="str">
        <f>"5/08/2012 12:00:00 a. m."</f>
        <v>5/08/2012 12:00:00 a. m.</v>
      </c>
      <c r="AX657" t="str">
        <f>""</f>
        <v/>
      </c>
      <c r="AY657" t="str">
        <f t="shared" si="772"/>
        <v>30/04/2021 12:00:00 a. m.</v>
      </c>
      <c r="AZ657" t="str">
        <f>"14/11/2020 12:00:00 a. m."</f>
        <v>14/11/2020 12:00:00 a. m.</v>
      </c>
      <c r="BA657" t="str">
        <f>""</f>
        <v/>
      </c>
      <c r="BB657" t="str">
        <f>""</f>
        <v/>
      </c>
      <c r="BC657" t="str">
        <f>""</f>
        <v/>
      </c>
      <c r="BD657" t="str">
        <f t="shared" si="773"/>
        <v>1</v>
      </c>
      <c r="BE657" t="str">
        <f t="shared" si="773"/>
        <v>1</v>
      </c>
      <c r="BF657" t="str">
        <f t="shared" si="774"/>
        <v xml:space="preserve">3         </v>
      </c>
      <c r="BG657" t="str">
        <f t="shared" si="775"/>
        <v>Confirmado por laboratorio</v>
      </c>
      <c r="BH657" t="str">
        <f>"FUNDACION HOSPITAL DE LA MISERICORDIA"</f>
        <v>FUNDACION HOSPITAL DE LA MISERICORDIA</v>
      </c>
      <c r="BI657" t="str">
        <f t="shared" si="783"/>
        <v>COLOMBIA</v>
      </c>
      <c r="BJ657" t="str">
        <f t="shared" si="776"/>
        <v>CANCER INFANTIL</v>
      </c>
      <c r="BK657" t="str">
        <f>"CUNDINAMARCA"</f>
        <v>CUNDINAMARCA</v>
      </c>
      <c r="BL657" t="str">
        <f>"SOACHA"</f>
        <v>SOACHA</v>
      </c>
      <c r="BM657" t="str">
        <f t="shared" si="784"/>
        <v>COLOMBIA</v>
      </c>
      <c r="BN657" t="str">
        <f>"CUNDINAMARCA"</f>
        <v>CUNDINAMARCA</v>
      </c>
      <c r="BO657" t="str">
        <f>"SOACHA"</f>
        <v>SOACHA</v>
      </c>
      <c r="BP657" t="str">
        <f>"BOGOTA"</f>
        <v>BOGOTA</v>
      </c>
      <c r="BQ657" t="str">
        <f>"BOGOTA"</f>
        <v>BOGOTA</v>
      </c>
    </row>
    <row r="658" spans="1:69" x14ac:dyDescent="0.25">
      <c r="A658" t="str">
        <f>"7278989"</f>
        <v>7278989</v>
      </c>
      <c r="B658" t="str">
        <f t="shared" si="768"/>
        <v>459</v>
      </c>
      <c r="C658" t="str">
        <f>"14/08/2020 12:00:00 a. m."</f>
        <v>14/08/2020 12:00:00 a. m.</v>
      </c>
      <c r="D658" t="str">
        <f>"32"</f>
        <v>32</v>
      </c>
      <c r="E658" t="str">
        <f t="shared" si="769"/>
        <v>2020</v>
      </c>
      <c r="F658" t="str">
        <f>"5200100283"</f>
        <v>5200100283</v>
      </c>
      <c r="G658" t="str">
        <f t="shared" si="757"/>
        <v>01</v>
      </c>
      <c r="H658" t="str">
        <f>"16"</f>
        <v>16</v>
      </c>
      <c r="I658" t="str">
        <f t="shared" si="750"/>
        <v>1</v>
      </c>
      <c r="J658" t="str">
        <f>"M"</f>
        <v>M</v>
      </c>
      <c r="K658" t="str">
        <f t="shared" si="781"/>
        <v>170</v>
      </c>
      <c r="L658" t="str">
        <f>"52"</f>
        <v>52</v>
      </c>
      <c r="M658" t="str">
        <f>"001"</f>
        <v>001</v>
      </c>
      <c r="N658" t="str">
        <f t="shared" si="779"/>
        <v>1</v>
      </c>
      <c r="O658" t="str">
        <f t="shared" si="786"/>
        <v>9997</v>
      </c>
      <c r="P658" t="str">
        <f>"C"</f>
        <v>C</v>
      </c>
      <c r="Q658" t="str">
        <f>"EPS037"</f>
        <v>EPS037</v>
      </c>
      <c r="R658" t="str">
        <f t="shared" si="758"/>
        <v>6</v>
      </c>
      <c r="S658" t="str">
        <f>""</f>
        <v/>
      </c>
      <c r="T658" t="str">
        <f t="shared" si="752"/>
        <v xml:space="preserve">                                                                                                    </v>
      </c>
      <c r="U658" t="str">
        <f>"3         "</f>
        <v xml:space="preserve">3         </v>
      </c>
      <c r="V658" t="str">
        <f t="shared" si="748"/>
        <v>2</v>
      </c>
      <c r="W658" t="str">
        <f t="shared" si="787"/>
        <v>2</v>
      </c>
      <c r="X658" t="str">
        <f t="shared" si="729"/>
        <v>2</v>
      </c>
      <c r="Y658" t="str">
        <f t="shared" si="760"/>
        <v>2</v>
      </c>
      <c r="Z658" t="str">
        <f t="shared" si="760"/>
        <v>2</v>
      </c>
      <c r="AA658" t="str">
        <f t="shared" si="770"/>
        <v xml:space="preserve">          </v>
      </c>
      <c r="AB658" t="str">
        <f t="shared" si="756"/>
        <v>2</v>
      </c>
      <c r="AC658" t="str">
        <f t="shared" si="759"/>
        <v>2</v>
      </c>
      <c r="AD658" t="str">
        <f t="shared" si="764"/>
        <v>2</v>
      </c>
      <c r="AE658" t="str">
        <f t="shared" si="764"/>
        <v>2</v>
      </c>
      <c r="AF658" t="str">
        <f t="shared" si="764"/>
        <v>2</v>
      </c>
      <c r="AG658" t="str">
        <f t="shared" si="764"/>
        <v>2</v>
      </c>
      <c r="AH658" t="str">
        <f t="shared" si="749"/>
        <v>1</v>
      </c>
      <c r="AI658" t="str">
        <f t="shared" si="771"/>
        <v xml:space="preserve">1         </v>
      </c>
      <c r="AJ658" t="str">
        <f t="shared" si="782"/>
        <v>170</v>
      </c>
      <c r="AK658" t="str">
        <f>"52"</f>
        <v>52</v>
      </c>
      <c r="AL658" t="str">
        <f>"001"</f>
        <v>001</v>
      </c>
      <c r="AM658" t="str">
        <f>"52"</f>
        <v>52</v>
      </c>
      <c r="AN658" t="str">
        <f>"52001"</f>
        <v>52001</v>
      </c>
      <c r="AO658" t="str">
        <f>"6/08/2020 12:00:00 a. m."</f>
        <v>6/08/2020 12:00:00 a. m.</v>
      </c>
      <c r="AP658" t="str">
        <f>"6/07/2020 12:00:00 a. m."</f>
        <v>6/07/2020 12:00:00 a. m.</v>
      </c>
      <c r="AQ658" t="str">
        <f>"2"</f>
        <v>2</v>
      </c>
      <c r="AR658" t="str">
        <f t="shared" si="785"/>
        <v>1</v>
      </c>
      <c r="AS658" t="str">
        <f>"6/08/2020 12:00:00 a. m."</f>
        <v>6/08/2020 12:00:00 a. m.</v>
      </c>
      <c r="AT658" t="str">
        <f t="shared" si="761"/>
        <v>1</v>
      </c>
      <c r="AU658" t="str">
        <f>""</f>
        <v/>
      </c>
      <c r="AV658" t="str">
        <f>"3"</f>
        <v>3</v>
      </c>
      <c r="AW658" t="str">
        <f>"12/08/2004 12:00:00 a. m."</f>
        <v>12/08/2004 12:00:00 a. m.</v>
      </c>
      <c r="AX658" t="str">
        <f>""</f>
        <v/>
      </c>
      <c r="AY658" t="str">
        <f t="shared" si="772"/>
        <v>30/04/2021 12:00:00 a. m.</v>
      </c>
      <c r="AZ658" t="str">
        <f>"2/09/2020 12:00:00 a. m."</f>
        <v>2/09/2020 12:00:00 a. m.</v>
      </c>
      <c r="BA658" t="str">
        <f>""</f>
        <v/>
      </c>
      <c r="BB658" t="str">
        <f>""</f>
        <v/>
      </c>
      <c r="BC658" t="str">
        <f>""</f>
        <v/>
      </c>
      <c r="BD658" t="str">
        <f t="shared" si="773"/>
        <v>1</v>
      </c>
      <c r="BE658" t="str">
        <f t="shared" si="773"/>
        <v>1</v>
      </c>
      <c r="BF658" t="str">
        <f t="shared" si="774"/>
        <v xml:space="preserve">3         </v>
      </c>
      <c r="BG658" t="str">
        <f t="shared" si="775"/>
        <v>Confirmado por laboratorio</v>
      </c>
      <c r="BH658" t="str">
        <f>"HOSPITAL INFANTIL LOS ANGELES"</f>
        <v>HOSPITAL INFANTIL LOS ANGELES</v>
      </c>
      <c r="BI658" t="str">
        <f t="shared" si="783"/>
        <v>COLOMBIA</v>
      </c>
      <c r="BJ658" t="str">
        <f t="shared" si="776"/>
        <v>CANCER INFANTIL</v>
      </c>
      <c r="BK658" t="str">
        <f>"NARIÑO"</f>
        <v>NARIÑO</v>
      </c>
      <c r="BL658" t="str">
        <f>"PASTO"</f>
        <v>PASTO</v>
      </c>
      <c r="BM658" t="str">
        <f t="shared" si="784"/>
        <v>COLOMBIA</v>
      </c>
      <c r="BN658" t="str">
        <f>"NARIÑO"</f>
        <v>NARIÑO</v>
      </c>
      <c r="BO658" t="str">
        <f>"PASTO"</f>
        <v>PASTO</v>
      </c>
      <c r="BP658" t="str">
        <f>"NARIÑO"</f>
        <v>NARIÑO</v>
      </c>
      <c r="BQ658" t="str">
        <f>"PASTO"</f>
        <v>PASTO</v>
      </c>
    </row>
    <row r="659" spans="1:69" x14ac:dyDescent="0.25">
      <c r="A659" t="str">
        <f>"7285575"</f>
        <v>7285575</v>
      </c>
      <c r="B659" t="str">
        <f t="shared" si="768"/>
        <v>459</v>
      </c>
      <c r="C659" t="str">
        <f>"21/10/2020 12:00:00 a. m."</f>
        <v>21/10/2020 12:00:00 a. m.</v>
      </c>
      <c r="D659" t="str">
        <f>"41"</f>
        <v>41</v>
      </c>
      <c r="E659" t="str">
        <f t="shared" si="769"/>
        <v>2020</v>
      </c>
      <c r="F659" t="str">
        <f>"0800100278"</f>
        <v>0800100278</v>
      </c>
      <c r="G659" t="str">
        <f t="shared" si="757"/>
        <v>01</v>
      </c>
      <c r="H659" t="str">
        <f>"17"</f>
        <v>17</v>
      </c>
      <c r="I659" t="str">
        <f t="shared" si="750"/>
        <v>1</v>
      </c>
      <c r="J659" t="str">
        <f>"F"</f>
        <v>F</v>
      </c>
      <c r="K659" t="str">
        <f t="shared" si="781"/>
        <v>170</v>
      </c>
      <c r="L659" t="str">
        <f>"08"</f>
        <v>08</v>
      </c>
      <c r="M659" t="str">
        <f>"001"</f>
        <v>001</v>
      </c>
      <c r="N659" t="str">
        <f t="shared" si="779"/>
        <v>1</v>
      </c>
      <c r="O659" t="str">
        <f t="shared" si="786"/>
        <v>9997</v>
      </c>
      <c r="P659" t="str">
        <f>"S"</f>
        <v>S</v>
      </c>
      <c r="Q659" t="str">
        <f>"CCF055"</f>
        <v>CCF055</v>
      </c>
      <c r="R659" t="str">
        <f t="shared" si="758"/>
        <v>6</v>
      </c>
      <c r="S659" t="str">
        <f>""</f>
        <v/>
      </c>
      <c r="T659" t="str">
        <f t="shared" si="752"/>
        <v xml:space="preserve">                                                                                                    </v>
      </c>
      <c r="U659" t="str">
        <f>"2         "</f>
        <v xml:space="preserve">2         </v>
      </c>
      <c r="V659" t="str">
        <f t="shared" si="748"/>
        <v>2</v>
      </c>
      <c r="W659" t="str">
        <f t="shared" si="787"/>
        <v>2</v>
      </c>
      <c r="X659" t="str">
        <f t="shared" si="729"/>
        <v>2</v>
      </c>
      <c r="Y659" t="str">
        <f t="shared" ref="Y659:Z678" si="788">"2"</f>
        <v>2</v>
      </c>
      <c r="Z659" t="str">
        <f t="shared" si="788"/>
        <v>2</v>
      </c>
      <c r="AA659" t="str">
        <f t="shared" si="770"/>
        <v xml:space="preserve">          </v>
      </c>
      <c r="AB659" t="str">
        <f t="shared" si="756"/>
        <v>2</v>
      </c>
      <c r="AC659" t="str">
        <f t="shared" si="759"/>
        <v>2</v>
      </c>
      <c r="AD659" t="str">
        <f t="shared" si="764"/>
        <v>2</v>
      </c>
      <c r="AE659" t="str">
        <f t="shared" si="764"/>
        <v>2</v>
      </c>
      <c r="AF659" t="str">
        <f t="shared" si="764"/>
        <v>2</v>
      </c>
      <c r="AG659" t="str">
        <f t="shared" si="764"/>
        <v>2</v>
      </c>
      <c r="AH659" t="str">
        <f t="shared" ref="AH659:AH690" si="789">"1"</f>
        <v>1</v>
      </c>
      <c r="AI659" t="str">
        <f t="shared" si="771"/>
        <v xml:space="preserve">1         </v>
      </c>
      <c r="AJ659" t="str">
        <f t="shared" si="782"/>
        <v>170</v>
      </c>
      <c r="AK659" t="str">
        <f>"08"</f>
        <v>08</v>
      </c>
      <c r="AL659" t="str">
        <f>"001"</f>
        <v>001</v>
      </c>
      <c r="AM659" t="str">
        <f>"08"</f>
        <v>08</v>
      </c>
      <c r="AN659" t="str">
        <f>"08001"</f>
        <v>08001</v>
      </c>
      <c r="AO659" t="str">
        <f>"9/10/2020 12:00:00 a. m."</f>
        <v>9/10/2020 12:00:00 a. m.</v>
      </c>
      <c r="AP659" t="str">
        <f>"9/10/2020 12:00:00 a. m."</f>
        <v>9/10/2020 12:00:00 a. m.</v>
      </c>
      <c r="AQ659" t="str">
        <f t="shared" ref="AQ659:AQ664" si="790">"3"</f>
        <v>3</v>
      </c>
      <c r="AR659" t="str">
        <f t="shared" si="785"/>
        <v>1</v>
      </c>
      <c r="AS659" t="str">
        <f>"9/10/2020 12:00:00 a. m."</f>
        <v>9/10/2020 12:00:00 a. m.</v>
      </c>
      <c r="AT659" t="str">
        <f>"2"</f>
        <v>2</v>
      </c>
      <c r="AU659" t="str">
        <f>"14/10/2020 12:00:00 a. m."</f>
        <v>14/10/2020 12:00:00 a. m.</v>
      </c>
      <c r="AV659" t="str">
        <f>"7"</f>
        <v>7</v>
      </c>
      <c r="AW659" t="str">
        <f>"6/03/2003 12:00:00 a. m."</f>
        <v>6/03/2003 12:00:00 a. m.</v>
      </c>
      <c r="AX659" t="str">
        <f>"C924"</f>
        <v>C924</v>
      </c>
      <c r="AY659" t="str">
        <f t="shared" si="772"/>
        <v>30/04/2021 12:00:00 a. m.</v>
      </c>
      <c r="AZ659" t="str">
        <f>"26/03/2021 12:00:00 a. m."</f>
        <v>26/03/2021 12:00:00 a. m.</v>
      </c>
      <c r="BA659" t="str">
        <f>""</f>
        <v/>
      </c>
      <c r="BB659" t="str">
        <f>""</f>
        <v/>
      </c>
      <c r="BC659" t="str">
        <f>""</f>
        <v/>
      </c>
      <c r="BD659" t="str">
        <f t="shared" si="773"/>
        <v>1</v>
      </c>
      <c r="BE659" t="str">
        <f t="shared" si="773"/>
        <v>1</v>
      </c>
      <c r="BF659" t="str">
        <f t="shared" si="774"/>
        <v xml:space="preserve">3         </v>
      </c>
      <c r="BG659" t="str">
        <f t="shared" si="775"/>
        <v>Confirmado por laboratorio</v>
      </c>
      <c r="BH659" t="str">
        <f>"CLINICA DE LA COSTA LTDA"</f>
        <v>CLINICA DE LA COSTA LTDA</v>
      </c>
      <c r="BI659" t="str">
        <f t="shared" si="783"/>
        <v>COLOMBIA</v>
      </c>
      <c r="BJ659" t="str">
        <f t="shared" si="776"/>
        <v>CANCER INFANTIL</v>
      </c>
      <c r="BK659" t="str">
        <f>"ATLANTICO"</f>
        <v>ATLANTICO</v>
      </c>
      <c r="BL659" t="str">
        <f>"BARRANQUILLA"</f>
        <v>BARRANQUILLA</v>
      </c>
      <c r="BM659" t="str">
        <f t="shared" si="784"/>
        <v>COLOMBIA</v>
      </c>
      <c r="BN659" t="str">
        <f>"ATLANTICO"</f>
        <v>ATLANTICO</v>
      </c>
      <c r="BO659" t="str">
        <f>"BARRANQUILLA"</f>
        <v>BARRANQUILLA</v>
      </c>
      <c r="BP659" t="str">
        <f>"ATLANTICO"</f>
        <v>ATLANTICO</v>
      </c>
      <c r="BQ659" t="str">
        <f>"BARRANQUILLA"</f>
        <v>BARRANQUILLA</v>
      </c>
    </row>
    <row r="660" spans="1:69" x14ac:dyDescent="0.25">
      <c r="A660" t="str">
        <f>"7285607"</f>
        <v>7285607</v>
      </c>
      <c r="B660" t="str">
        <f t="shared" si="768"/>
        <v>459</v>
      </c>
      <c r="C660" t="str">
        <f>"11/05/2020 12:00:00 a. m."</f>
        <v>11/05/2020 12:00:00 a. m.</v>
      </c>
      <c r="D660" t="str">
        <f>"10"</f>
        <v>10</v>
      </c>
      <c r="E660" t="str">
        <f t="shared" si="769"/>
        <v>2020</v>
      </c>
      <c r="F660" t="str">
        <f>"6827601666"</f>
        <v>6827601666</v>
      </c>
      <c r="G660" t="str">
        <f t="shared" si="757"/>
        <v>01</v>
      </c>
      <c r="H660" t="str">
        <f>"17"</f>
        <v>17</v>
      </c>
      <c r="I660" t="str">
        <f t="shared" ref="I660:I685" si="791">"1"</f>
        <v>1</v>
      </c>
      <c r="J660" t="str">
        <f>"F"</f>
        <v>F</v>
      </c>
      <c r="K660" t="str">
        <f t="shared" si="781"/>
        <v>170</v>
      </c>
      <c r="L660" t="str">
        <f>"68"</f>
        <v>68</v>
      </c>
      <c r="M660" t="str">
        <f>"081"</f>
        <v>081</v>
      </c>
      <c r="N660" t="str">
        <f t="shared" si="779"/>
        <v>1</v>
      </c>
      <c r="O660" t="str">
        <f t="shared" si="786"/>
        <v>9997</v>
      </c>
      <c r="P660" t="str">
        <f>"S"</f>
        <v>S</v>
      </c>
      <c r="Q660" t="str">
        <f>"EPSS37"</f>
        <v>EPSS37</v>
      </c>
      <c r="R660" t="str">
        <f t="shared" si="758"/>
        <v>6</v>
      </c>
      <c r="S660" t="str">
        <f>""</f>
        <v/>
      </c>
      <c r="T660" t="str">
        <f t="shared" si="752"/>
        <v xml:space="preserve">                                                                                                    </v>
      </c>
      <c r="U660" t="str">
        <f>"1         "</f>
        <v xml:space="preserve">1         </v>
      </c>
      <c r="V660" t="str">
        <f t="shared" si="748"/>
        <v>2</v>
      </c>
      <c r="W660" t="str">
        <f t="shared" si="787"/>
        <v>2</v>
      </c>
      <c r="X660" t="str">
        <f t="shared" si="729"/>
        <v>2</v>
      </c>
      <c r="Y660" t="str">
        <f t="shared" si="788"/>
        <v>2</v>
      </c>
      <c r="Z660" t="str">
        <f t="shared" si="788"/>
        <v>2</v>
      </c>
      <c r="AA660" t="str">
        <f t="shared" si="770"/>
        <v xml:space="preserve">          </v>
      </c>
      <c r="AB660" t="str">
        <f t="shared" si="756"/>
        <v>2</v>
      </c>
      <c r="AC660" t="str">
        <f t="shared" si="759"/>
        <v>2</v>
      </c>
      <c r="AD660" t="str">
        <f t="shared" ref="AD660:AG679" si="792">"2"</f>
        <v>2</v>
      </c>
      <c r="AE660" t="str">
        <f t="shared" si="792"/>
        <v>2</v>
      </c>
      <c r="AF660" t="str">
        <f t="shared" si="792"/>
        <v>2</v>
      </c>
      <c r="AG660" t="str">
        <f t="shared" si="792"/>
        <v>2</v>
      </c>
      <c r="AH660" t="str">
        <f t="shared" si="789"/>
        <v>1</v>
      </c>
      <c r="AI660" t="str">
        <f>"2         "</f>
        <v xml:space="preserve">2         </v>
      </c>
      <c r="AJ660" t="str">
        <f t="shared" si="782"/>
        <v>170</v>
      </c>
      <c r="AK660" t="str">
        <f>"68"</f>
        <v>68</v>
      </c>
      <c r="AL660" t="str">
        <f>"081"</f>
        <v>081</v>
      </c>
      <c r="AM660" t="str">
        <f>"68"</f>
        <v>68</v>
      </c>
      <c r="AN660" t="str">
        <f>"68276"</f>
        <v>68276</v>
      </c>
      <c r="AO660" t="str">
        <f>"5/03/2020 12:00:00 a. m."</f>
        <v>5/03/2020 12:00:00 a. m.</v>
      </c>
      <c r="AP660" t="str">
        <f>"5/03/2017 12:00:00 a. m."</f>
        <v>5/03/2017 12:00:00 a. m.</v>
      </c>
      <c r="AQ660" t="str">
        <f t="shared" si="790"/>
        <v>3</v>
      </c>
      <c r="AR660" t="str">
        <f t="shared" si="785"/>
        <v>1</v>
      </c>
      <c r="AS660" t="str">
        <f>"5/03/2020 12:00:00 a. m."</f>
        <v>5/03/2020 12:00:00 a. m.</v>
      </c>
      <c r="AT660" t="str">
        <f t="shared" ref="AT660:AT679" si="793">"1"</f>
        <v>1</v>
      </c>
      <c r="AU660" t="str">
        <f>""</f>
        <v/>
      </c>
      <c r="AV660" t="str">
        <f>"0"</f>
        <v>0</v>
      </c>
      <c r="AW660" t="str">
        <f>"24/04/2003 12:00:00 a. m."</f>
        <v>24/04/2003 12:00:00 a. m.</v>
      </c>
      <c r="AX660" t="str">
        <f>""</f>
        <v/>
      </c>
      <c r="AY660" t="str">
        <f t="shared" si="772"/>
        <v>30/04/2021 12:00:00 a. m.</v>
      </c>
      <c r="AZ660" t="str">
        <f>"13/05/2020 12:00:00 a. m."</f>
        <v>13/05/2020 12:00:00 a. m.</v>
      </c>
      <c r="BA660" t="str">
        <f>""</f>
        <v/>
      </c>
      <c r="BB660" t="str">
        <f>""</f>
        <v/>
      </c>
      <c r="BC660" t="str">
        <f>""</f>
        <v/>
      </c>
      <c r="BD660" t="str">
        <f t="shared" si="773"/>
        <v>1</v>
      </c>
      <c r="BE660" t="str">
        <f t="shared" si="773"/>
        <v>1</v>
      </c>
      <c r="BF660" t="str">
        <f t="shared" si="774"/>
        <v xml:space="preserve">3         </v>
      </c>
      <c r="BG660" t="str">
        <f t="shared" si="775"/>
        <v>Confirmado por laboratorio</v>
      </c>
      <c r="BH660" t="str">
        <f>"FUNDACION OFTALMOLOGICA DE SDER FOSCAL"</f>
        <v>FUNDACION OFTALMOLOGICA DE SDER FOSCAL</v>
      </c>
      <c r="BI660" t="str">
        <f t="shared" si="783"/>
        <v>COLOMBIA</v>
      </c>
      <c r="BJ660" t="str">
        <f t="shared" si="776"/>
        <v>CANCER INFANTIL</v>
      </c>
      <c r="BK660" t="str">
        <f>"SANTANDER"</f>
        <v>SANTANDER</v>
      </c>
      <c r="BL660" t="str">
        <f>"BARRANCABERMEJA"</f>
        <v>BARRANCABERMEJA</v>
      </c>
      <c r="BM660" t="str">
        <f t="shared" si="784"/>
        <v>COLOMBIA</v>
      </c>
      <c r="BN660" t="str">
        <f>"SANTANDER"</f>
        <v>SANTANDER</v>
      </c>
      <c r="BO660" t="str">
        <f>"BARRANCABERMEJA"</f>
        <v>BARRANCABERMEJA</v>
      </c>
      <c r="BP660" t="str">
        <f>"SANTANDER"</f>
        <v>SANTANDER</v>
      </c>
      <c r="BQ660" t="str">
        <f>"FLORIDABLANCA"</f>
        <v>FLORIDABLANCA</v>
      </c>
    </row>
    <row r="661" spans="1:69" x14ac:dyDescent="0.25">
      <c r="A661" t="str">
        <f>"7285533"</f>
        <v>7285533</v>
      </c>
      <c r="B661" t="str">
        <f t="shared" si="768"/>
        <v>459</v>
      </c>
      <c r="C661" t="str">
        <f>"31/03/2020 12:00:00 a. m."</f>
        <v>31/03/2020 12:00:00 a. m.</v>
      </c>
      <c r="D661" t="str">
        <f>"14"</f>
        <v>14</v>
      </c>
      <c r="E661" t="str">
        <f t="shared" si="769"/>
        <v>2020</v>
      </c>
      <c r="F661" t="str">
        <f>"6827601666"</f>
        <v>6827601666</v>
      </c>
      <c r="G661" t="str">
        <f t="shared" si="757"/>
        <v>01</v>
      </c>
      <c r="H661" t="str">
        <f>"12"</f>
        <v>12</v>
      </c>
      <c r="I661" t="str">
        <f t="shared" si="791"/>
        <v>1</v>
      </c>
      <c r="J661" t="str">
        <f>"F"</f>
        <v>F</v>
      </c>
      <c r="K661" t="str">
        <f t="shared" si="781"/>
        <v>170</v>
      </c>
      <c r="L661" t="str">
        <f>"68"</f>
        <v>68</v>
      </c>
      <c r="M661" t="str">
        <f>"081"</f>
        <v>081</v>
      </c>
      <c r="N661" t="str">
        <f t="shared" si="779"/>
        <v>1</v>
      </c>
      <c r="O661" t="str">
        <f t="shared" si="786"/>
        <v>9997</v>
      </c>
      <c r="P661" t="str">
        <f>"C"</f>
        <v>C</v>
      </c>
      <c r="Q661" t="str">
        <f>"EPS037"</f>
        <v>EPS037</v>
      </c>
      <c r="R661" t="str">
        <f t="shared" si="758"/>
        <v>6</v>
      </c>
      <c r="S661" t="str">
        <f>""</f>
        <v/>
      </c>
      <c r="T661" t="str">
        <f t="shared" si="752"/>
        <v xml:space="preserve">                                                                                                    </v>
      </c>
      <c r="U661" t="str">
        <f>"3         "</f>
        <v xml:space="preserve">3         </v>
      </c>
      <c r="V661" t="str">
        <f t="shared" si="748"/>
        <v>2</v>
      </c>
      <c r="W661" t="str">
        <f t="shared" si="787"/>
        <v>2</v>
      </c>
      <c r="X661" t="str">
        <f t="shared" si="729"/>
        <v>2</v>
      </c>
      <c r="Y661" t="str">
        <f t="shared" si="788"/>
        <v>2</v>
      </c>
      <c r="Z661" t="str">
        <f t="shared" si="788"/>
        <v>2</v>
      </c>
      <c r="AA661" t="str">
        <f t="shared" si="770"/>
        <v xml:space="preserve">          </v>
      </c>
      <c r="AB661" t="str">
        <f t="shared" si="756"/>
        <v>2</v>
      </c>
      <c r="AC661" t="str">
        <f t="shared" si="759"/>
        <v>2</v>
      </c>
      <c r="AD661" t="str">
        <f t="shared" si="792"/>
        <v>2</v>
      </c>
      <c r="AE661" t="str">
        <f t="shared" si="792"/>
        <v>2</v>
      </c>
      <c r="AF661" t="str">
        <f t="shared" si="792"/>
        <v>2</v>
      </c>
      <c r="AG661" t="str">
        <f t="shared" si="792"/>
        <v>2</v>
      </c>
      <c r="AH661" t="str">
        <f t="shared" si="789"/>
        <v>1</v>
      </c>
      <c r="AI661" t="str">
        <f t="shared" ref="AI661:AI671" si="794">"1         "</f>
        <v xml:space="preserve">1         </v>
      </c>
      <c r="AJ661" t="str">
        <f t="shared" si="782"/>
        <v>170</v>
      </c>
      <c r="AK661" t="str">
        <f>"68"</f>
        <v>68</v>
      </c>
      <c r="AL661" t="str">
        <f>"081"</f>
        <v>081</v>
      </c>
      <c r="AM661" t="str">
        <f>"68"</f>
        <v>68</v>
      </c>
      <c r="AN661" t="str">
        <f>"68276"</f>
        <v>68276</v>
      </c>
      <c r="AO661" t="str">
        <f>"31/03/2020 12:00:00 a. m."</f>
        <v>31/03/2020 12:00:00 a. m.</v>
      </c>
      <c r="AP661" t="str">
        <f>"30/12/2019 12:00:00 a. m."</f>
        <v>30/12/2019 12:00:00 a. m.</v>
      </c>
      <c r="AQ661" t="str">
        <f t="shared" si="790"/>
        <v>3</v>
      </c>
      <c r="AR661" t="str">
        <f t="shared" si="785"/>
        <v>1</v>
      </c>
      <c r="AS661" t="str">
        <f>"31/03/2020 12:00:00 a. m."</f>
        <v>31/03/2020 12:00:00 a. m.</v>
      </c>
      <c r="AT661" t="str">
        <f t="shared" si="793"/>
        <v>1</v>
      </c>
      <c r="AU661" t="str">
        <f>""</f>
        <v/>
      </c>
      <c r="AV661" t="str">
        <f>"0"</f>
        <v>0</v>
      </c>
      <c r="AW661" t="str">
        <f>"28/07/2007 12:00:00 a. m."</f>
        <v>28/07/2007 12:00:00 a. m.</v>
      </c>
      <c r="AX661" t="str">
        <f>""</f>
        <v/>
      </c>
      <c r="AY661" t="str">
        <f t="shared" si="772"/>
        <v>30/04/2021 12:00:00 a. m.</v>
      </c>
      <c r="AZ661" t="str">
        <f>"14/04/2020 12:00:00 a. m."</f>
        <v>14/04/2020 12:00:00 a. m.</v>
      </c>
      <c r="BA661" t="str">
        <f>""</f>
        <v/>
      </c>
      <c r="BB661" t="str">
        <f>""</f>
        <v/>
      </c>
      <c r="BC661" t="str">
        <f>""</f>
        <v/>
      </c>
      <c r="BD661" t="str">
        <f t="shared" si="773"/>
        <v>1</v>
      </c>
      <c r="BE661" t="str">
        <f t="shared" si="773"/>
        <v>1</v>
      </c>
      <c r="BF661" t="str">
        <f t="shared" si="774"/>
        <v xml:space="preserve">3         </v>
      </c>
      <c r="BG661" t="str">
        <f t="shared" si="775"/>
        <v>Confirmado por laboratorio</v>
      </c>
      <c r="BH661" t="str">
        <f>"FUNDACION OFTALMOLOGICA DE SDER FOSCAL"</f>
        <v>FUNDACION OFTALMOLOGICA DE SDER FOSCAL</v>
      </c>
      <c r="BI661" t="str">
        <f t="shared" si="783"/>
        <v>COLOMBIA</v>
      </c>
      <c r="BJ661" t="str">
        <f t="shared" si="776"/>
        <v>CANCER INFANTIL</v>
      </c>
      <c r="BK661" t="str">
        <f>"SANTANDER"</f>
        <v>SANTANDER</v>
      </c>
      <c r="BL661" t="str">
        <f>"BARRANCABERMEJA"</f>
        <v>BARRANCABERMEJA</v>
      </c>
      <c r="BM661" t="str">
        <f t="shared" si="784"/>
        <v>COLOMBIA</v>
      </c>
      <c r="BN661" t="str">
        <f>"SANTANDER"</f>
        <v>SANTANDER</v>
      </c>
      <c r="BO661" t="str">
        <f>"BARRANCABERMEJA"</f>
        <v>BARRANCABERMEJA</v>
      </c>
      <c r="BP661" t="str">
        <f>"SANTANDER"</f>
        <v>SANTANDER</v>
      </c>
      <c r="BQ661" t="str">
        <f>"FLORIDABLANCA"</f>
        <v>FLORIDABLANCA</v>
      </c>
    </row>
    <row r="662" spans="1:69" x14ac:dyDescent="0.25">
      <c r="A662" t="str">
        <f>"7285536"</f>
        <v>7285536</v>
      </c>
      <c r="B662" t="str">
        <f t="shared" si="768"/>
        <v>459</v>
      </c>
      <c r="C662" t="str">
        <f>"6/04/2020 12:00:00 a. m."</f>
        <v>6/04/2020 12:00:00 a. m.</v>
      </c>
      <c r="D662" t="str">
        <f>"10"</f>
        <v>10</v>
      </c>
      <c r="E662" t="str">
        <f t="shared" si="769"/>
        <v>2020</v>
      </c>
      <c r="F662" t="str">
        <f>"6800100431"</f>
        <v>6800100431</v>
      </c>
      <c r="G662" t="str">
        <f t="shared" si="757"/>
        <v>01</v>
      </c>
      <c r="H662" t="str">
        <f>"6"</f>
        <v>6</v>
      </c>
      <c r="I662" t="str">
        <f t="shared" si="791"/>
        <v>1</v>
      </c>
      <c r="J662" t="str">
        <f>"M"</f>
        <v>M</v>
      </c>
      <c r="K662" t="str">
        <f t="shared" si="781"/>
        <v>170</v>
      </c>
      <c r="L662" t="str">
        <f>"68"</f>
        <v>68</v>
      </c>
      <c r="M662" t="str">
        <f>"081"</f>
        <v>081</v>
      </c>
      <c r="N662" t="str">
        <f t="shared" si="779"/>
        <v>1</v>
      </c>
      <c r="O662" t="str">
        <f t="shared" si="786"/>
        <v>9997</v>
      </c>
      <c r="P662" t="str">
        <f>"C"</f>
        <v>C</v>
      </c>
      <c r="Q662" t="str">
        <f>"EPS016"</f>
        <v>EPS016</v>
      </c>
      <c r="R662" t="str">
        <f t="shared" si="758"/>
        <v>6</v>
      </c>
      <c r="S662" t="str">
        <f>""</f>
        <v/>
      </c>
      <c r="T662" t="str">
        <f t="shared" si="752"/>
        <v xml:space="preserve">                                                                                                    </v>
      </c>
      <c r="U662" t="str">
        <f>"2         "</f>
        <v xml:space="preserve">2         </v>
      </c>
      <c r="V662" t="str">
        <f t="shared" si="748"/>
        <v>2</v>
      </c>
      <c r="W662" t="str">
        <f t="shared" si="787"/>
        <v>2</v>
      </c>
      <c r="X662" t="str">
        <f t="shared" si="729"/>
        <v>2</v>
      </c>
      <c r="Y662" t="str">
        <f t="shared" si="788"/>
        <v>2</v>
      </c>
      <c r="Z662" t="str">
        <f t="shared" si="788"/>
        <v>2</v>
      </c>
      <c r="AA662" t="str">
        <f t="shared" si="770"/>
        <v xml:space="preserve">          </v>
      </c>
      <c r="AB662" t="str">
        <f t="shared" si="756"/>
        <v>2</v>
      </c>
      <c r="AC662" t="str">
        <f t="shared" si="759"/>
        <v>2</v>
      </c>
      <c r="AD662" t="str">
        <f t="shared" si="792"/>
        <v>2</v>
      </c>
      <c r="AE662" t="str">
        <f t="shared" si="792"/>
        <v>2</v>
      </c>
      <c r="AF662" t="str">
        <f t="shared" si="792"/>
        <v>2</v>
      </c>
      <c r="AG662" t="str">
        <f t="shared" si="792"/>
        <v>2</v>
      </c>
      <c r="AH662" t="str">
        <f t="shared" si="789"/>
        <v>1</v>
      </c>
      <c r="AI662" t="str">
        <f t="shared" si="794"/>
        <v xml:space="preserve">1         </v>
      </c>
      <c r="AJ662" t="str">
        <f t="shared" si="782"/>
        <v>170</v>
      </c>
      <c r="AK662" t="str">
        <f>"68"</f>
        <v>68</v>
      </c>
      <c r="AL662" t="str">
        <f>"081"</f>
        <v>081</v>
      </c>
      <c r="AM662" t="str">
        <f>"68"</f>
        <v>68</v>
      </c>
      <c r="AN662" t="str">
        <f>"68001"</f>
        <v>68001</v>
      </c>
      <c r="AO662" t="str">
        <f>"5/03/2020 12:00:00 a. m."</f>
        <v>5/03/2020 12:00:00 a. m.</v>
      </c>
      <c r="AP662" t="str">
        <f>"15/11/2019 12:00:00 a. m."</f>
        <v>15/11/2019 12:00:00 a. m.</v>
      </c>
      <c r="AQ662" t="str">
        <f t="shared" si="790"/>
        <v>3</v>
      </c>
      <c r="AR662" t="str">
        <f t="shared" si="785"/>
        <v>1</v>
      </c>
      <c r="AS662" t="str">
        <f>"5/03/2020 12:00:00 a. m."</f>
        <v>5/03/2020 12:00:00 a. m.</v>
      </c>
      <c r="AT662" t="str">
        <f t="shared" si="793"/>
        <v>1</v>
      </c>
      <c r="AU662" t="str">
        <f>""</f>
        <v/>
      </c>
      <c r="AV662" t="str">
        <f>"7"</f>
        <v>7</v>
      </c>
      <c r="AW662" t="str">
        <f>"23/07/2013 12:00:00 a. m."</f>
        <v>23/07/2013 12:00:00 a. m.</v>
      </c>
      <c r="AX662" t="str">
        <f>""</f>
        <v/>
      </c>
      <c r="AY662" t="str">
        <f t="shared" si="772"/>
        <v>30/04/2021 12:00:00 a. m.</v>
      </c>
      <c r="AZ662" t="str">
        <f>"6/04/2021 12:00:00 a. m."</f>
        <v>6/04/2021 12:00:00 a. m.</v>
      </c>
      <c r="BA662" t="str">
        <f>""</f>
        <v/>
      </c>
      <c r="BB662" t="str">
        <f>""</f>
        <v/>
      </c>
      <c r="BC662" t="str">
        <f>""</f>
        <v/>
      </c>
      <c r="BD662" t="str">
        <f t="shared" ref="BD662:BE681" si="795">"1"</f>
        <v>1</v>
      </c>
      <c r="BE662" t="str">
        <f t="shared" si="795"/>
        <v>1</v>
      </c>
      <c r="BF662" t="str">
        <f t="shared" si="774"/>
        <v xml:space="preserve">3         </v>
      </c>
      <c r="BG662" t="str">
        <f t="shared" si="775"/>
        <v>Confirmado por laboratorio</v>
      </c>
      <c r="BH662" t="str">
        <f>"CLINICA MATERNO INFANTEL SAN LUIS SA"</f>
        <v>CLINICA MATERNO INFANTEL SAN LUIS SA</v>
      </c>
      <c r="BI662" t="str">
        <f t="shared" si="783"/>
        <v>COLOMBIA</v>
      </c>
      <c r="BJ662" t="str">
        <f t="shared" si="776"/>
        <v>CANCER INFANTIL</v>
      </c>
      <c r="BK662" t="str">
        <f>"SANTANDER"</f>
        <v>SANTANDER</v>
      </c>
      <c r="BL662" t="str">
        <f>"BARRANCABERMEJA"</f>
        <v>BARRANCABERMEJA</v>
      </c>
      <c r="BM662" t="str">
        <f t="shared" si="784"/>
        <v>COLOMBIA</v>
      </c>
      <c r="BN662" t="str">
        <f>"SANTANDER"</f>
        <v>SANTANDER</v>
      </c>
      <c r="BO662" t="str">
        <f>"BARRANCABERMEJA"</f>
        <v>BARRANCABERMEJA</v>
      </c>
      <c r="BP662" t="str">
        <f>"SANTANDER"</f>
        <v>SANTANDER</v>
      </c>
      <c r="BQ662" t="str">
        <f>"BUCARAMANGA"</f>
        <v>BUCARAMANGA</v>
      </c>
    </row>
    <row r="663" spans="1:69" x14ac:dyDescent="0.25">
      <c r="A663" t="str">
        <f>"7285560"</f>
        <v>7285560</v>
      </c>
      <c r="B663" t="str">
        <f t="shared" si="768"/>
        <v>459</v>
      </c>
      <c r="C663" t="str">
        <f>"29/09/2020 12:00:00 a. m."</f>
        <v>29/09/2020 12:00:00 a. m.</v>
      </c>
      <c r="D663" t="str">
        <f>"38"</f>
        <v>38</v>
      </c>
      <c r="E663" t="str">
        <f t="shared" si="769"/>
        <v>2020</v>
      </c>
      <c r="F663" t="str">
        <f>"6800100431"</f>
        <v>6800100431</v>
      </c>
      <c r="G663" t="str">
        <f t="shared" si="757"/>
        <v>01</v>
      </c>
      <c r="H663" t="str">
        <f>"8"</f>
        <v>8</v>
      </c>
      <c r="I663" t="str">
        <f t="shared" si="791"/>
        <v>1</v>
      </c>
      <c r="J663" t="str">
        <f>"M"</f>
        <v>M</v>
      </c>
      <c r="K663" t="str">
        <f t="shared" si="781"/>
        <v>170</v>
      </c>
      <c r="L663" t="str">
        <f>"68"</f>
        <v>68</v>
      </c>
      <c r="M663" t="str">
        <f>"255"</f>
        <v>255</v>
      </c>
      <c r="N663" t="str">
        <f t="shared" si="779"/>
        <v>1</v>
      </c>
      <c r="O663" t="str">
        <f t="shared" si="786"/>
        <v>9997</v>
      </c>
      <c r="P663" t="str">
        <f>"S"</f>
        <v>S</v>
      </c>
      <c r="Q663" t="str">
        <f>"ESS133"</f>
        <v>ESS133</v>
      </c>
      <c r="R663" t="str">
        <f t="shared" si="758"/>
        <v>6</v>
      </c>
      <c r="S663" t="str">
        <f>""</f>
        <v/>
      </c>
      <c r="T663" t="str">
        <f t="shared" si="752"/>
        <v xml:space="preserve">                                                                                                    </v>
      </c>
      <c r="U663" t="str">
        <f>"          "</f>
        <v xml:space="preserve">          </v>
      </c>
      <c r="V663" t="str">
        <f t="shared" si="748"/>
        <v>2</v>
      </c>
      <c r="W663" t="str">
        <f t="shared" si="787"/>
        <v>2</v>
      </c>
      <c r="X663" t="str">
        <f t="shared" si="729"/>
        <v>2</v>
      </c>
      <c r="Y663" t="str">
        <f t="shared" si="788"/>
        <v>2</v>
      </c>
      <c r="Z663" t="str">
        <f t="shared" si="788"/>
        <v>2</v>
      </c>
      <c r="AA663" t="str">
        <f t="shared" si="770"/>
        <v xml:space="preserve">          </v>
      </c>
      <c r="AB663" t="str">
        <f t="shared" si="756"/>
        <v>2</v>
      </c>
      <c r="AC663" t="str">
        <f t="shared" si="759"/>
        <v>2</v>
      </c>
      <c r="AD663" t="str">
        <f t="shared" si="792"/>
        <v>2</v>
      </c>
      <c r="AE663" t="str">
        <f t="shared" si="792"/>
        <v>2</v>
      </c>
      <c r="AF663" t="str">
        <f t="shared" si="792"/>
        <v>2</v>
      </c>
      <c r="AG663" t="str">
        <f t="shared" si="792"/>
        <v>2</v>
      </c>
      <c r="AH663" t="str">
        <f t="shared" si="789"/>
        <v>1</v>
      </c>
      <c r="AI663" t="str">
        <f t="shared" si="794"/>
        <v xml:space="preserve">1         </v>
      </c>
      <c r="AJ663" t="str">
        <f t="shared" si="782"/>
        <v>170</v>
      </c>
      <c r="AK663" t="str">
        <f>"68"</f>
        <v>68</v>
      </c>
      <c r="AL663" t="str">
        <f>"255"</f>
        <v>255</v>
      </c>
      <c r="AM663" t="str">
        <f>"68"</f>
        <v>68</v>
      </c>
      <c r="AN663" t="str">
        <f>"68001"</f>
        <v>68001</v>
      </c>
      <c r="AO663" t="str">
        <f>"17/09/2020 12:00:00 a. m."</f>
        <v>17/09/2020 12:00:00 a. m.</v>
      </c>
      <c r="AP663" t="str">
        <f>"17/09/2020 12:00:00 a. m."</f>
        <v>17/09/2020 12:00:00 a. m.</v>
      </c>
      <c r="AQ663" t="str">
        <f t="shared" si="790"/>
        <v>3</v>
      </c>
      <c r="AR663" t="str">
        <f t="shared" si="785"/>
        <v>1</v>
      </c>
      <c r="AS663" t="str">
        <f>"24/09/2020 12:00:00 a. m."</f>
        <v>24/09/2020 12:00:00 a. m.</v>
      </c>
      <c r="AT663" t="str">
        <f t="shared" si="793"/>
        <v>1</v>
      </c>
      <c r="AU663" t="str">
        <f>""</f>
        <v/>
      </c>
      <c r="AV663" t="str">
        <f>"0"</f>
        <v>0</v>
      </c>
      <c r="AW663" t="str">
        <f>"21/09/2012 12:00:00 a. m."</f>
        <v>21/09/2012 12:00:00 a. m.</v>
      </c>
      <c r="AX663" t="str">
        <f>""</f>
        <v/>
      </c>
      <c r="AY663" t="str">
        <f t="shared" si="772"/>
        <v>30/04/2021 12:00:00 a. m.</v>
      </c>
      <c r="AZ663" t="str">
        <f>"18/10/2020 12:00:00 a. m."</f>
        <v>18/10/2020 12:00:00 a. m.</v>
      </c>
      <c r="BA663" t="str">
        <f>""</f>
        <v/>
      </c>
      <c r="BB663" t="str">
        <f>""</f>
        <v/>
      </c>
      <c r="BC663" t="str">
        <f>""</f>
        <v/>
      </c>
      <c r="BD663" t="str">
        <f t="shared" si="795"/>
        <v>1</v>
      </c>
      <c r="BE663" t="str">
        <f t="shared" si="795"/>
        <v>1</v>
      </c>
      <c r="BF663" t="str">
        <f t="shared" si="774"/>
        <v xml:space="preserve">3         </v>
      </c>
      <c r="BG663" t="str">
        <f t="shared" si="775"/>
        <v>Confirmado por laboratorio</v>
      </c>
      <c r="BH663" t="str">
        <f>"CLINICA MATERNO INFANTEL SAN LUIS SA"</f>
        <v>CLINICA MATERNO INFANTEL SAN LUIS SA</v>
      </c>
      <c r="BI663" t="str">
        <f t="shared" si="783"/>
        <v>COLOMBIA</v>
      </c>
      <c r="BJ663" t="str">
        <f t="shared" si="776"/>
        <v>CANCER INFANTIL</v>
      </c>
      <c r="BK663" t="str">
        <f>"SANTANDER"</f>
        <v>SANTANDER</v>
      </c>
      <c r="BL663" t="str">
        <f>"EL PLAYON"</f>
        <v>EL PLAYON</v>
      </c>
      <c r="BM663" t="str">
        <f t="shared" si="784"/>
        <v>COLOMBIA</v>
      </c>
      <c r="BN663" t="str">
        <f>"SANTANDER"</f>
        <v>SANTANDER</v>
      </c>
      <c r="BO663" t="str">
        <f>"EL PLAYON"</f>
        <v>EL PLAYON</v>
      </c>
      <c r="BP663" t="str">
        <f>"SANTANDER"</f>
        <v>SANTANDER</v>
      </c>
      <c r="BQ663" t="str">
        <f>"BUCARAMANGA"</f>
        <v>BUCARAMANGA</v>
      </c>
    </row>
    <row r="664" spans="1:69" x14ac:dyDescent="0.25">
      <c r="A664" t="str">
        <f>"7285474"</f>
        <v>7285474</v>
      </c>
      <c r="B664" t="str">
        <f t="shared" si="768"/>
        <v>459</v>
      </c>
      <c r="C664" t="str">
        <f>"11/05/2020 12:00:00 a. m."</f>
        <v>11/05/2020 12:00:00 a. m.</v>
      </c>
      <c r="D664" t="str">
        <f>"11"</f>
        <v>11</v>
      </c>
      <c r="E664" t="str">
        <f t="shared" si="769"/>
        <v>2020</v>
      </c>
      <c r="F664" t="str">
        <f>"6800100431"</f>
        <v>6800100431</v>
      </c>
      <c r="G664" t="str">
        <f t="shared" si="757"/>
        <v>01</v>
      </c>
      <c r="H664" t="str">
        <f>"2"</f>
        <v>2</v>
      </c>
      <c r="I664" t="str">
        <f t="shared" si="791"/>
        <v>1</v>
      </c>
      <c r="J664" t="str">
        <f>"F"</f>
        <v>F</v>
      </c>
      <c r="K664" t="str">
        <f t="shared" si="781"/>
        <v>170</v>
      </c>
      <c r="L664" t="str">
        <f>"54"</f>
        <v>54</v>
      </c>
      <c r="M664" t="str">
        <f>"498"</f>
        <v>498</v>
      </c>
      <c r="N664" t="str">
        <f t="shared" si="779"/>
        <v>1</v>
      </c>
      <c r="O664" t="str">
        <f>"9999"</f>
        <v>9999</v>
      </c>
      <c r="P664" t="str">
        <f>"S"</f>
        <v>S</v>
      </c>
      <c r="Q664" t="str">
        <f>"ESS133"</f>
        <v>ESS133</v>
      </c>
      <c r="R664" t="str">
        <f t="shared" si="758"/>
        <v>6</v>
      </c>
      <c r="S664" t="str">
        <f>""</f>
        <v/>
      </c>
      <c r="T664" t="str">
        <f t="shared" si="752"/>
        <v xml:space="preserve">                                                                                                    </v>
      </c>
      <c r="U664" t="str">
        <f>"          "</f>
        <v xml:space="preserve">          </v>
      </c>
      <c r="V664" t="str">
        <f t="shared" si="748"/>
        <v>2</v>
      </c>
      <c r="W664" t="str">
        <f t="shared" si="787"/>
        <v>2</v>
      </c>
      <c r="X664" t="str">
        <f t="shared" si="729"/>
        <v>2</v>
      </c>
      <c r="Y664" t="str">
        <f t="shared" si="788"/>
        <v>2</v>
      </c>
      <c r="Z664" t="str">
        <f t="shared" si="788"/>
        <v>2</v>
      </c>
      <c r="AA664" t="str">
        <f t="shared" si="770"/>
        <v xml:space="preserve">          </v>
      </c>
      <c r="AB664" t="str">
        <f t="shared" si="756"/>
        <v>2</v>
      </c>
      <c r="AC664" t="str">
        <f t="shared" si="759"/>
        <v>2</v>
      </c>
      <c r="AD664" t="str">
        <f t="shared" si="792"/>
        <v>2</v>
      </c>
      <c r="AE664" t="str">
        <f t="shared" si="792"/>
        <v>2</v>
      </c>
      <c r="AF664" t="str">
        <f t="shared" si="792"/>
        <v>2</v>
      </c>
      <c r="AG664" t="str">
        <f t="shared" si="792"/>
        <v>2</v>
      </c>
      <c r="AH664" t="str">
        <f t="shared" si="789"/>
        <v>1</v>
      </c>
      <c r="AI664" t="str">
        <f t="shared" si="794"/>
        <v xml:space="preserve">1         </v>
      </c>
      <c r="AJ664" t="str">
        <f t="shared" si="782"/>
        <v>170</v>
      </c>
      <c r="AK664" t="str">
        <f>"54"</f>
        <v>54</v>
      </c>
      <c r="AL664" t="str">
        <f>"498"</f>
        <v>498</v>
      </c>
      <c r="AM664" t="str">
        <f>"68"</f>
        <v>68</v>
      </c>
      <c r="AN664" t="str">
        <f>"68001"</f>
        <v>68001</v>
      </c>
      <c r="AO664" t="str">
        <f>"13/03/2020 12:00:00 a. m."</f>
        <v>13/03/2020 12:00:00 a. m.</v>
      </c>
      <c r="AP664" t="str">
        <f>"10/03/2020 12:00:00 a. m."</f>
        <v>10/03/2020 12:00:00 a. m.</v>
      </c>
      <c r="AQ664" t="str">
        <f t="shared" si="790"/>
        <v>3</v>
      </c>
      <c r="AR664" t="str">
        <f t="shared" si="785"/>
        <v>1</v>
      </c>
      <c r="AS664" t="str">
        <f>"14/03/2020 12:00:00 a. m."</f>
        <v>14/03/2020 12:00:00 a. m.</v>
      </c>
      <c r="AT664" t="str">
        <f t="shared" si="793"/>
        <v>1</v>
      </c>
      <c r="AU664" t="str">
        <f>""</f>
        <v/>
      </c>
      <c r="AV664" t="str">
        <f>"0"</f>
        <v>0</v>
      </c>
      <c r="AW664" t="str">
        <f>"18/07/2018 12:00:00 a. m."</f>
        <v>18/07/2018 12:00:00 a. m.</v>
      </c>
      <c r="AX664" t="str">
        <f>""</f>
        <v/>
      </c>
      <c r="AY664" t="str">
        <f t="shared" si="772"/>
        <v>30/04/2021 12:00:00 a. m.</v>
      </c>
      <c r="AZ664" t="str">
        <f>"10/10/2020 12:00:00 a. m."</f>
        <v>10/10/2020 12:00:00 a. m.</v>
      </c>
      <c r="BA664" t="str">
        <f>""</f>
        <v/>
      </c>
      <c r="BB664" t="str">
        <f>""</f>
        <v/>
      </c>
      <c r="BC664" t="str">
        <f>""</f>
        <v/>
      </c>
      <c r="BD664" t="str">
        <f t="shared" si="795"/>
        <v>1</v>
      </c>
      <c r="BE664" t="str">
        <f t="shared" si="795"/>
        <v>1</v>
      </c>
      <c r="BF664" t="str">
        <f t="shared" si="774"/>
        <v xml:space="preserve">3         </v>
      </c>
      <c r="BG664" t="str">
        <f t="shared" si="775"/>
        <v>Confirmado por laboratorio</v>
      </c>
      <c r="BH664" t="str">
        <f>"CLINICA MATERNO INFANTEL SAN LUIS SA"</f>
        <v>CLINICA MATERNO INFANTEL SAN LUIS SA</v>
      </c>
      <c r="BI664" t="str">
        <f t="shared" si="783"/>
        <v>COLOMBIA</v>
      </c>
      <c r="BJ664" t="str">
        <f t="shared" si="776"/>
        <v>CANCER INFANTIL</v>
      </c>
      <c r="BK664" t="str">
        <f>"NORTE SANTANDER"</f>
        <v>NORTE SANTANDER</v>
      </c>
      <c r="BL664" t="str">
        <f>"OCAÑA"</f>
        <v>OCAÑA</v>
      </c>
      <c r="BM664" t="str">
        <f t="shared" si="784"/>
        <v>COLOMBIA</v>
      </c>
      <c r="BN664" t="str">
        <f>"NORTE SANTANDER"</f>
        <v>NORTE SANTANDER</v>
      </c>
      <c r="BO664" t="str">
        <f>"OCAÑA"</f>
        <v>OCAÑA</v>
      </c>
      <c r="BP664" t="str">
        <f>"SANTANDER"</f>
        <v>SANTANDER</v>
      </c>
      <c r="BQ664" t="str">
        <f>"BUCARAMANGA"</f>
        <v>BUCARAMANGA</v>
      </c>
    </row>
    <row r="665" spans="1:69" x14ac:dyDescent="0.25">
      <c r="A665" t="str">
        <f>"7291647"</f>
        <v>7291647</v>
      </c>
      <c r="B665" t="str">
        <f t="shared" si="768"/>
        <v>459</v>
      </c>
      <c r="C665" t="str">
        <f>"9/12/2020 12:00:00 a. m."</f>
        <v>9/12/2020 12:00:00 a. m.</v>
      </c>
      <c r="D665" t="str">
        <f>"50"</f>
        <v>50</v>
      </c>
      <c r="E665" t="str">
        <f t="shared" si="769"/>
        <v>2020</v>
      </c>
      <c r="F665" t="str">
        <f>"1100108171"</f>
        <v>1100108171</v>
      </c>
      <c r="G665" t="str">
        <f>"02"</f>
        <v>02</v>
      </c>
      <c r="H665" t="str">
        <f>"4"</f>
        <v>4</v>
      </c>
      <c r="I665" t="str">
        <f t="shared" si="791"/>
        <v>1</v>
      </c>
      <c r="J665" t="str">
        <f>"M"</f>
        <v>M</v>
      </c>
      <c r="K665" t="str">
        <f t="shared" si="781"/>
        <v>170</v>
      </c>
      <c r="L665" t="str">
        <f>"25"</f>
        <v>25</v>
      </c>
      <c r="M665" t="str">
        <f>"290"</f>
        <v>290</v>
      </c>
      <c r="N665" t="str">
        <f t="shared" si="779"/>
        <v>1</v>
      </c>
      <c r="O665" t="str">
        <f>"9997"</f>
        <v>9997</v>
      </c>
      <c r="P665" t="str">
        <f>"S"</f>
        <v>S</v>
      </c>
      <c r="Q665" t="str">
        <f>"EPSS17"</f>
        <v>EPSS17</v>
      </c>
      <c r="R665" t="str">
        <f t="shared" si="758"/>
        <v>6</v>
      </c>
      <c r="S665" t="str">
        <f>""</f>
        <v/>
      </c>
      <c r="T665" t="str">
        <f t="shared" si="752"/>
        <v xml:space="preserve">                                                                                                    </v>
      </c>
      <c r="U665" t="str">
        <f>"1         "</f>
        <v xml:space="preserve">1         </v>
      </c>
      <c r="V665" t="str">
        <f t="shared" si="748"/>
        <v>2</v>
      </c>
      <c r="W665" t="str">
        <f t="shared" si="787"/>
        <v>2</v>
      </c>
      <c r="X665" t="str">
        <f t="shared" si="729"/>
        <v>2</v>
      </c>
      <c r="Y665" t="str">
        <f t="shared" si="788"/>
        <v>2</v>
      </c>
      <c r="Z665" t="str">
        <f t="shared" si="788"/>
        <v>2</v>
      </c>
      <c r="AA665" t="str">
        <f t="shared" si="770"/>
        <v xml:space="preserve">          </v>
      </c>
      <c r="AB665" t="str">
        <f t="shared" si="756"/>
        <v>2</v>
      </c>
      <c r="AC665" t="str">
        <f t="shared" si="759"/>
        <v>2</v>
      </c>
      <c r="AD665" t="str">
        <f t="shared" si="792"/>
        <v>2</v>
      </c>
      <c r="AE665" t="str">
        <f t="shared" si="792"/>
        <v>2</v>
      </c>
      <c r="AF665" t="str">
        <f t="shared" si="792"/>
        <v>2</v>
      </c>
      <c r="AG665" t="str">
        <f t="shared" si="792"/>
        <v>2</v>
      </c>
      <c r="AH665" t="str">
        <f t="shared" si="789"/>
        <v>1</v>
      </c>
      <c r="AI665" t="str">
        <f t="shared" si="794"/>
        <v xml:space="preserve">1         </v>
      </c>
      <c r="AJ665" t="str">
        <f t="shared" si="782"/>
        <v>170</v>
      </c>
      <c r="AK665" t="str">
        <f>"25"</f>
        <v>25</v>
      </c>
      <c r="AL665" t="str">
        <f>"290"</f>
        <v>290</v>
      </c>
      <c r="AM665" t="str">
        <f>"11"</f>
        <v>11</v>
      </c>
      <c r="AN665" t="str">
        <f>"11001"</f>
        <v>11001</v>
      </c>
      <c r="AO665" t="str">
        <f>"8/12/2020 12:00:00 a. m."</f>
        <v>8/12/2020 12:00:00 a. m.</v>
      </c>
      <c r="AP665" t="str">
        <f>"22/11/2020 12:00:00 a. m."</f>
        <v>22/11/2020 12:00:00 a. m.</v>
      </c>
      <c r="AQ665" t="str">
        <f>"2"</f>
        <v>2</v>
      </c>
      <c r="AR665" t="str">
        <f t="shared" si="785"/>
        <v>1</v>
      </c>
      <c r="AS665" t="str">
        <f>"8/12/2020 12:00:00 a. m."</f>
        <v>8/12/2020 12:00:00 a. m.</v>
      </c>
      <c r="AT665" t="str">
        <f t="shared" si="793"/>
        <v>1</v>
      </c>
      <c r="AU665" t="str">
        <f>""</f>
        <v/>
      </c>
      <c r="AV665" t="str">
        <f>"3"</f>
        <v>3</v>
      </c>
      <c r="AW665" t="str">
        <f>"23/02/2016 12:00:00 a. m."</f>
        <v>23/02/2016 12:00:00 a. m.</v>
      </c>
      <c r="AX665" t="str">
        <f>""</f>
        <v/>
      </c>
      <c r="AY665" t="str">
        <f t="shared" si="772"/>
        <v>30/04/2021 12:00:00 a. m.</v>
      </c>
      <c r="AZ665" t="str">
        <f>"26/12/2020 12:00:00 a. m."</f>
        <v>26/12/2020 12:00:00 a. m.</v>
      </c>
      <c r="BA665" t="str">
        <f>""</f>
        <v/>
      </c>
      <c r="BB665" t="str">
        <f>""</f>
        <v/>
      </c>
      <c r="BC665" t="str">
        <f>""</f>
        <v/>
      </c>
      <c r="BD665" t="str">
        <f t="shared" si="795"/>
        <v>1</v>
      </c>
      <c r="BE665" t="str">
        <f t="shared" si="795"/>
        <v>1</v>
      </c>
      <c r="BF665" t="str">
        <f t="shared" si="774"/>
        <v xml:space="preserve">3         </v>
      </c>
      <c r="BG665" t="str">
        <f t="shared" si="775"/>
        <v>Confirmado por laboratorio</v>
      </c>
      <c r="BH665" t="str">
        <f>"CLINICA INFANTIL COLSUBSIDIO"</f>
        <v>CLINICA INFANTIL COLSUBSIDIO</v>
      </c>
      <c r="BI665" t="str">
        <f t="shared" si="783"/>
        <v>COLOMBIA</v>
      </c>
      <c r="BJ665" t="str">
        <f t="shared" si="776"/>
        <v>CANCER INFANTIL</v>
      </c>
      <c r="BK665" t="str">
        <f>"CUNDINAMARCA"</f>
        <v>CUNDINAMARCA</v>
      </c>
      <c r="BL665" t="str">
        <f>"FUSAGASUGA"</f>
        <v>FUSAGASUGA</v>
      </c>
      <c r="BM665" t="str">
        <f t="shared" si="784"/>
        <v>COLOMBIA</v>
      </c>
      <c r="BN665" t="str">
        <f>"CUNDINAMARCA"</f>
        <v>CUNDINAMARCA</v>
      </c>
      <c r="BO665" t="str">
        <f>"FUSAGASUGA"</f>
        <v>FUSAGASUGA</v>
      </c>
      <c r="BP665" t="str">
        <f>"BOGOTA"</f>
        <v>BOGOTA</v>
      </c>
      <c r="BQ665" t="str">
        <f>"BOGOTA"</f>
        <v>BOGOTA</v>
      </c>
    </row>
    <row r="666" spans="1:69" x14ac:dyDescent="0.25">
      <c r="A666" t="str">
        <f>"7291699"</f>
        <v>7291699</v>
      </c>
      <c r="B666" t="str">
        <f t="shared" si="768"/>
        <v>459</v>
      </c>
      <c r="C666" t="str">
        <f>"23/11/2020 12:00:00 a. m."</f>
        <v>23/11/2020 12:00:00 a. m.</v>
      </c>
      <c r="D666" t="str">
        <f>"43"</f>
        <v>43</v>
      </c>
      <c r="E666" t="str">
        <f t="shared" si="769"/>
        <v>2020</v>
      </c>
      <c r="F666" t="str">
        <f>"7600102870"</f>
        <v>7600102870</v>
      </c>
      <c r="G666" t="str">
        <f t="shared" ref="G666:G671" si="796">"01"</f>
        <v>01</v>
      </c>
      <c r="H666" t="str">
        <f>"5"</f>
        <v>5</v>
      </c>
      <c r="I666" t="str">
        <f t="shared" si="791"/>
        <v>1</v>
      </c>
      <c r="J666" t="str">
        <f>"F"</f>
        <v>F</v>
      </c>
      <c r="K666" t="str">
        <f t="shared" si="781"/>
        <v>170</v>
      </c>
      <c r="L666" t="str">
        <f>"76"</f>
        <v>76</v>
      </c>
      <c r="M666" t="str">
        <f>"834"</f>
        <v>834</v>
      </c>
      <c r="N666" t="str">
        <f t="shared" si="779"/>
        <v>1</v>
      </c>
      <c r="O666" t="str">
        <f>"9999"</f>
        <v>9999</v>
      </c>
      <c r="P666" t="str">
        <f>"C"</f>
        <v>C</v>
      </c>
      <c r="Q666" t="str">
        <f>"EPS037"</f>
        <v>EPS037</v>
      </c>
      <c r="R666" t="str">
        <f t="shared" si="758"/>
        <v>6</v>
      </c>
      <c r="S666" t="str">
        <f>""</f>
        <v/>
      </c>
      <c r="T666" t="str">
        <f t="shared" si="752"/>
        <v xml:space="preserve">                                                                                                    </v>
      </c>
      <c r="U666" t="str">
        <f>"          "</f>
        <v xml:space="preserve">          </v>
      </c>
      <c r="V666" t="str">
        <f t="shared" si="748"/>
        <v>2</v>
      </c>
      <c r="W666" t="str">
        <f t="shared" si="787"/>
        <v>2</v>
      </c>
      <c r="X666" t="str">
        <f t="shared" ref="X666:X729" si="797">"2"</f>
        <v>2</v>
      </c>
      <c r="Y666" t="str">
        <f t="shared" si="788"/>
        <v>2</v>
      </c>
      <c r="Z666" t="str">
        <f t="shared" si="788"/>
        <v>2</v>
      </c>
      <c r="AA666" t="str">
        <f t="shared" si="770"/>
        <v xml:space="preserve">          </v>
      </c>
      <c r="AB666" t="str">
        <f t="shared" si="756"/>
        <v>2</v>
      </c>
      <c r="AC666" t="str">
        <f t="shared" si="759"/>
        <v>2</v>
      </c>
      <c r="AD666" t="str">
        <f t="shared" si="792"/>
        <v>2</v>
      </c>
      <c r="AE666" t="str">
        <f t="shared" si="792"/>
        <v>2</v>
      </c>
      <c r="AF666" t="str">
        <f t="shared" si="792"/>
        <v>2</v>
      </c>
      <c r="AG666" t="str">
        <f t="shared" si="792"/>
        <v>2</v>
      </c>
      <c r="AH666" t="str">
        <f t="shared" si="789"/>
        <v>1</v>
      </c>
      <c r="AI666" t="str">
        <f t="shared" si="794"/>
        <v xml:space="preserve">1         </v>
      </c>
      <c r="AJ666" t="str">
        <f t="shared" si="782"/>
        <v>170</v>
      </c>
      <c r="AK666" t="str">
        <f>"76"</f>
        <v>76</v>
      </c>
      <c r="AL666" t="str">
        <f>"834"</f>
        <v>834</v>
      </c>
      <c r="AM666" t="str">
        <f>"76"</f>
        <v>76</v>
      </c>
      <c r="AN666" t="str">
        <f>"76001"</f>
        <v>76001</v>
      </c>
      <c r="AO666" t="str">
        <f>"22/10/2020 12:00:00 a. m."</f>
        <v>22/10/2020 12:00:00 a. m.</v>
      </c>
      <c r="AP666" t="str">
        <f>"22/10/2020 12:00:00 a. m."</f>
        <v>22/10/2020 12:00:00 a. m.</v>
      </c>
      <c r="AQ666" t="str">
        <f>"3"</f>
        <v>3</v>
      </c>
      <c r="AR666" t="str">
        <f>"2"</f>
        <v>2</v>
      </c>
      <c r="AS666" t="str">
        <f>""</f>
        <v/>
      </c>
      <c r="AT666" t="str">
        <f t="shared" si="793"/>
        <v>1</v>
      </c>
      <c r="AU666" t="str">
        <f>""</f>
        <v/>
      </c>
      <c r="AV666" t="str">
        <f>"0"</f>
        <v>0</v>
      </c>
      <c r="AW666" t="str">
        <f>"13/03/2015 12:00:00 a. m."</f>
        <v>13/03/2015 12:00:00 a. m.</v>
      </c>
      <c r="AX666" t="str">
        <f>""</f>
        <v/>
      </c>
      <c r="AY666" t="str">
        <f t="shared" si="772"/>
        <v>30/04/2021 12:00:00 a. m.</v>
      </c>
      <c r="AZ666" t="str">
        <f>"23/11/2020 12:00:00 a. m."</f>
        <v>23/11/2020 12:00:00 a. m.</v>
      </c>
      <c r="BA666" t="str">
        <f>""</f>
        <v/>
      </c>
      <c r="BB666" t="str">
        <f>""</f>
        <v/>
      </c>
      <c r="BC666" t="str">
        <f>""</f>
        <v/>
      </c>
      <c r="BD666" t="str">
        <f t="shared" si="795"/>
        <v>1</v>
      </c>
      <c r="BE666" t="str">
        <f t="shared" si="795"/>
        <v>1</v>
      </c>
      <c r="BF666" t="str">
        <f t="shared" si="774"/>
        <v xml:space="preserve">3         </v>
      </c>
      <c r="BG666" t="str">
        <f t="shared" si="775"/>
        <v>Confirmado por laboratorio</v>
      </c>
      <c r="BH666" t="str">
        <f>"FUNDACION VALLE DEL LILI"</f>
        <v>FUNDACION VALLE DEL LILI</v>
      </c>
      <c r="BI666" t="str">
        <f t="shared" si="783"/>
        <v>COLOMBIA</v>
      </c>
      <c r="BJ666" t="str">
        <f t="shared" si="776"/>
        <v>CANCER INFANTIL</v>
      </c>
      <c r="BK666" t="str">
        <f>"VALLE"</f>
        <v>VALLE</v>
      </c>
      <c r="BL666" t="str">
        <f>"TULUA"</f>
        <v>TULUA</v>
      </c>
      <c r="BM666" t="str">
        <f t="shared" si="784"/>
        <v>COLOMBIA</v>
      </c>
      <c r="BN666" t="str">
        <f>"VALLE"</f>
        <v>VALLE</v>
      </c>
      <c r="BO666" t="str">
        <f>"TULUA"</f>
        <v>TULUA</v>
      </c>
      <c r="BP666" t="str">
        <f>"VALLE"</f>
        <v>VALLE</v>
      </c>
      <c r="BQ666" t="str">
        <f>"CALI"</f>
        <v>CALI</v>
      </c>
    </row>
    <row r="667" spans="1:69" x14ac:dyDescent="0.25">
      <c r="A667" t="str">
        <f>"7291707"</f>
        <v>7291707</v>
      </c>
      <c r="B667" t="str">
        <f t="shared" si="768"/>
        <v>459</v>
      </c>
      <c r="C667" t="str">
        <f>"30/11/2020 12:00:00 a. m."</f>
        <v>30/11/2020 12:00:00 a. m.</v>
      </c>
      <c r="D667" t="str">
        <f>"48"</f>
        <v>48</v>
      </c>
      <c r="E667" t="str">
        <f t="shared" si="769"/>
        <v>2020</v>
      </c>
      <c r="F667" t="str">
        <f>"7600102870"</f>
        <v>7600102870</v>
      </c>
      <c r="G667" t="str">
        <f t="shared" si="796"/>
        <v>01</v>
      </c>
      <c r="H667" t="str">
        <f>"7"</f>
        <v>7</v>
      </c>
      <c r="I667" t="str">
        <f t="shared" si="791"/>
        <v>1</v>
      </c>
      <c r="J667" t="str">
        <f>"M"</f>
        <v>M</v>
      </c>
      <c r="K667" t="str">
        <f t="shared" si="781"/>
        <v>170</v>
      </c>
      <c r="L667" t="str">
        <f>"76"</f>
        <v>76</v>
      </c>
      <c r="M667" t="str">
        <f>"834"</f>
        <v>834</v>
      </c>
      <c r="N667" t="str">
        <f t="shared" si="779"/>
        <v>1</v>
      </c>
      <c r="O667" t="str">
        <f>"9999"</f>
        <v>9999</v>
      </c>
      <c r="P667" t="str">
        <f>"C"</f>
        <v>C</v>
      </c>
      <c r="Q667" t="str">
        <f>"EPS016"</f>
        <v>EPS016</v>
      </c>
      <c r="R667" t="str">
        <f t="shared" si="758"/>
        <v>6</v>
      </c>
      <c r="S667" t="str">
        <f>""</f>
        <v/>
      </c>
      <c r="T667" t="str">
        <f t="shared" si="752"/>
        <v xml:space="preserve">                                                                                                    </v>
      </c>
      <c r="U667" t="str">
        <f>"          "</f>
        <v xml:space="preserve">          </v>
      </c>
      <c r="V667" t="str">
        <f t="shared" si="748"/>
        <v>2</v>
      </c>
      <c r="W667" t="str">
        <f t="shared" si="787"/>
        <v>2</v>
      </c>
      <c r="X667" t="str">
        <f t="shared" si="797"/>
        <v>2</v>
      </c>
      <c r="Y667" t="str">
        <f t="shared" si="788"/>
        <v>2</v>
      </c>
      <c r="Z667" t="str">
        <f t="shared" si="788"/>
        <v>2</v>
      </c>
      <c r="AA667" t="str">
        <f t="shared" si="770"/>
        <v xml:space="preserve">          </v>
      </c>
      <c r="AB667" t="str">
        <f t="shared" si="756"/>
        <v>2</v>
      </c>
      <c r="AC667" t="str">
        <f t="shared" si="759"/>
        <v>2</v>
      </c>
      <c r="AD667" t="str">
        <f t="shared" si="792"/>
        <v>2</v>
      </c>
      <c r="AE667" t="str">
        <f t="shared" si="792"/>
        <v>2</v>
      </c>
      <c r="AF667" t="str">
        <f t="shared" si="792"/>
        <v>2</v>
      </c>
      <c r="AG667" t="str">
        <f t="shared" si="792"/>
        <v>2</v>
      </c>
      <c r="AH667" t="str">
        <f t="shared" si="789"/>
        <v>1</v>
      </c>
      <c r="AI667" t="str">
        <f t="shared" si="794"/>
        <v xml:space="preserve">1         </v>
      </c>
      <c r="AJ667" t="str">
        <f t="shared" si="782"/>
        <v>170</v>
      </c>
      <c r="AK667" t="str">
        <f>"76"</f>
        <v>76</v>
      </c>
      <c r="AL667" t="str">
        <f>"834"</f>
        <v>834</v>
      </c>
      <c r="AM667" t="str">
        <f>"76"</f>
        <v>76</v>
      </c>
      <c r="AN667" t="str">
        <f>"76001"</f>
        <v>76001</v>
      </c>
      <c r="AO667" t="str">
        <f>"25/11/2020 12:00:00 a. m."</f>
        <v>25/11/2020 12:00:00 a. m.</v>
      </c>
      <c r="AP667" t="str">
        <f>"20/11/2020 12:00:00 a. m."</f>
        <v>20/11/2020 12:00:00 a. m.</v>
      </c>
      <c r="AQ667" t="str">
        <f>"2"</f>
        <v>2</v>
      </c>
      <c r="AR667" t="str">
        <f>"1"</f>
        <v>1</v>
      </c>
      <c r="AS667" t="str">
        <f>"25/11/2020 12:00:00 a. m."</f>
        <v>25/11/2020 12:00:00 a. m.</v>
      </c>
      <c r="AT667" t="str">
        <f t="shared" si="793"/>
        <v>1</v>
      </c>
      <c r="AU667" t="str">
        <f>""</f>
        <v/>
      </c>
      <c r="AV667" t="str">
        <f>"3"</f>
        <v>3</v>
      </c>
      <c r="AW667" t="str">
        <f>"23/01/2013 12:00:00 a. m."</f>
        <v>23/01/2013 12:00:00 a. m.</v>
      </c>
      <c r="AX667" t="str">
        <f>""</f>
        <v/>
      </c>
      <c r="AY667" t="str">
        <f t="shared" si="772"/>
        <v>30/04/2021 12:00:00 a. m.</v>
      </c>
      <c r="AZ667" t="str">
        <f>"15/01/2021 12:00:00 a. m."</f>
        <v>15/01/2021 12:00:00 a. m.</v>
      </c>
      <c r="BA667" t="str">
        <f>""</f>
        <v/>
      </c>
      <c r="BB667" t="str">
        <f>""</f>
        <v/>
      </c>
      <c r="BC667" t="str">
        <f>""</f>
        <v/>
      </c>
      <c r="BD667" t="str">
        <f t="shared" si="795"/>
        <v>1</v>
      </c>
      <c r="BE667" t="str">
        <f t="shared" si="795"/>
        <v>1</v>
      </c>
      <c r="BF667" t="str">
        <f t="shared" si="774"/>
        <v xml:space="preserve">3         </v>
      </c>
      <c r="BG667" t="str">
        <f t="shared" si="775"/>
        <v>Confirmado por laboratorio</v>
      </c>
      <c r="BH667" t="str">
        <f>"FUNDACION VALLE DEL LILI"</f>
        <v>FUNDACION VALLE DEL LILI</v>
      </c>
      <c r="BI667" t="str">
        <f t="shared" si="783"/>
        <v>COLOMBIA</v>
      </c>
      <c r="BJ667" t="str">
        <f t="shared" si="776"/>
        <v>CANCER INFANTIL</v>
      </c>
      <c r="BK667" t="str">
        <f>"VALLE"</f>
        <v>VALLE</v>
      </c>
      <c r="BL667" t="str">
        <f>"TULUA"</f>
        <v>TULUA</v>
      </c>
      <c r="BM667" t="str">
        <f t="shared" si="784"/>
        <v>COLOMBIA</v>
      </c>
      <c r="BN667" t="str">
        <f>"VALLE"</f>
        <v>VALLE</v>
      </c>
      <c r="BO667" t="str">
        <f>"TULUA"</f>
        <v>TULUA</v>
      </c>
      <c r="BP667" t="str">
        <f>"VALLE"</f>
        <v>VALLE</v>
      </c>
      <c r="BQ667" t="str">
        <f>"CALI"</f>
        <v>CALI</v>
      </c>
    </row>
    <row r="668" spans="1:69" x14ac:dyDescent="0.25">
      <c r="A668" t="str">
        <f>"7291721"</f>
        <v>7291721</v>
      </c>
      <c r="B668" t="str">
        <f t="shared" si="768"/>
        <v>459</v>
      </c>
      <c r="C668" t="str">
        <f>"30/10/2020 12:00:00 a. m."</f>
        <v>30/10/2020 12:00:00 a. m.</v>
      </c>
      <c r="D668" t="str">
        <f>"41"</f>
        <v>41</v>
      </c>
      <c r="E668" t="str">
        <f t="shared" si="769"/>
        <v>2020</v>
      </c>
      <c r="F668" t="str">
        <f>"2000100409"</f>
        <v>2000100409</v>
      </c>
      <c r="G668" t="str">
        <f t="shared" si="796"/>
        <v>01</v>
      </c>
      <c r="H668" t="str">
        <f>"9"</f>
        <v>9</v>
      </c>
      <c r="I668" t="str">
        <f t="shared" si="791"/>
        <v>1</v>
      </c>
      <c r="J668" t="str">
        <f>"M"</f>
        <v>M</v>
      </c>
      <c r="K668" t="str">
        <f t="shared" si="781"/>
        <v>170</v>
      </c>
      <c r="L668" t="str">
        <f>"44"</f>
        <v>44</v>
      </c>
      <c r="M668" t="str">
        <f>"430"</f>
        <v>430</v>
      </c>
      <c r="N668" t="str">
        <f t="shared" si="779"/>
        <v>1</v>
      </c>
      <c r="O668" t="str">
        <f>"9997"</f>
        <v>9997</v>
      </c>
      <c r="P668" t="str">
        <f>"S"</f>
        <v>S</v>
      </c>
      <c r="Q668" t="str">
        <f>"EPSI01"</f>
        <v>EPSI01</v>
      </c>
      <c r="R668" t="str">
        <f>"1"</f>
        <v>1</v>
      </c>
      <c r="S668" t="str">
        <f>""</f>
        <v/>
      </c>
      <c r="T66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68" t="str">
        <f>"2         "</f>
        <v xml:space="preserve">2         </v>
      </c>
      <c r="V668" t="str">
        <f t="shared" si="748"/>
        <v>2</v>
      </c>
      <c r="W668" t="str">
        <f t="shared" si="787"/>
        <v>2</v>
      </c>
      <c r="X668" t="str">
        <f t="shared" si="797"/>
        <v>2</v>
      </c>
      <c r="Y668" t="str">
        <f t="shared" si="788"/>
        <v>2</v>
      </c>
      <c r="Z668" t="str">
        <f t="shared" si="788"/>
        <v>2</v>
      </c>
      <c r="AA668" t="str">
        <f t="shared" si="770"/>
        <v xml:space="preserve">          </v>
      </c>
      <c r="AB668" t="str">
        <f t="shared" si="756"/>
        <v>2</v>
      </c>
      <c r="AC668" t="str">
        <f t="shared" si="759"/>
        <v>2</v>
      </c>
      <c r="AD668" t="str">
        <f t="shared" si="792"/>
        <v>2</v>
      </c>
      <c r="AE668" t="str">
        <f t="shared" si="792"/>
        <v>2</v>
      </c>
      <c r="AF668" t="str">
        <f t="shared" si="792"/>
        <v>2</v>
      </c>
      <c r="AG668" t="str">
        <f t="shared" si="792"/>
        <v>2</v>
      </c>
      <c r="AH668" t="str">
        <f t="shared" si="789"/>
        <v>1</v>
      </c>
      <c r="AI668" t="str">
        <f t="shared" si="794"/>
        <v xml:space="preserve">1         </v>
      </c>
      <c r="AJ668" t="str">
        <f t="shared" si="782"/>
        <v>170</v>
      </c>
      <c r="AK668" t="str">
        <f>"44"</f>
        <v>44</v>
      </c>
      <c r="AL668" t="str">
        <f>"430"</f>
        <v>430</v>
      </c>
      <c r="AM668" t="str">
        <f>"20"</f>
        <v>20</v>
      </c>
      <c r="AN668" t="str">
        <f>"20001"</f>
        <v>20001</v>
      </c>
      <c r="AO668" t="str">
        <f>"9/10/2020 12:00:00 a. m."</f>
        <v>9/10/2020 12:00:00 a. m.</v>
      </c>
      <c r="AP668" t="str">
        <f>"10/08/2020 12:00:00 a. m."</f>
        <v>10/08/2020 12:00:00 a. m.</v>
      </c>
      <c r="AQ668" t="str">
        <f>"3"</f>
        <v>3</v>
      </c>
      <c r="AR668" t="str">
        <f>"1"</f>
        <v>1</v>
      </c>
      <c r="AS668" t="str">
        <f>"10/10/2020 12:00:00 a. m."</f>
        <v>10/10/2020 12:00:00 a. m.</v>
      </c>
      <c r="AT668" t="str">
        <f t="shared" si="793"/>
        <v>1</v>
      </c>
      <c r="AU668" t="str">
        <f>""</f>
        <v/>
      </c>
      <c r="AV668" t="str">
        <f>"7"</f>
        <v>7</v>
      </c>
      <c r="AW668" t="str">
        <f>"11/11/2010 12:00:00 a. m."</f>
        <v>11/11/2010 12:00:00 a. m.</v>
      </c>
      <c r="AX668" t="str">
        <f>""</f>
        <v/>
      </c>
      <c r="AY668" t="str">
        <f t="shared" si="772"/>
        <v>30/04/2021 12:00:00 a. m.</v>
      </c>
      <c r="AZ668" t="str">
        <f>"10/12/2020 12:00:00 a. m."</f>
        <v>10/12/2020 12:00:00 a. m.</v>
      </c>
      <c r="BA668" t="str">
        <f>""</f>
        <v/>
      </c>
      <c r="BB668" t="str">
        <f>""</f>
        <v/>
      </c>
      <c r="BC668" t="str">
        <f>""</f>
        <v/>
      </c>
      <c r="BD668" t="str">
        <f t="shared" si="795"/>
        <v>1</v>
      </c>
      <c r="BE668" t="str">
        <f t="shared" si="795"/>
        <v>1</v>
      </c>
      <c r="BF668" t="str">
        <f t="shared" si="774"/>
        <v xml:space="preserve">3         </v>
      </c>
      <c r="BG668" t="str">
        <f t="shared" si="775"/>
        <v>Confirmado por laboratorio</v>
      </c>
      <c r="BH668" t="str">
        <f>"SOCIEDAD DE ONCOLOGIA Y HEMATOLOGIA DEL CESAR LTDA"</f>
        <v>SOCIEDAD DE ONCOLOGIA Y HEMATOLOGIA DEL CESAR LTDA</v>
      </c>
      <c r="BI668" t="str">
        <f t="shared" si="783"/>
        <v>COLOMBIA</v>
      </c>
      <c r="BJ668" t="str">
        <f t="shared" si="776"/>
        <v>CANCER INFANTIL</v>
      </c>
      <c r="BK668" t="str">
        <f>"GUAJIRA"</f>
        <v>GUAJIRA</v>
      </c>
      <c r="BL668" t="str">
        <f>"MAICAO"</f>
        <v>MAICAO</v>
      </c>
      <c r="BM668" t="str">
        <f t="shared" si="784"/>
        <v>COLOMBIA</v>
      </c>
      <c r="BN668" t="str">
        <f>"GUAJIRA"</f>
        <v>GUAJIRA</v>
      </c>
      <c r="BO668" t="str">
        <f>"MAICAO"</f>
        <v>MAICAO</v>
      </c>
      <c r="BP668" t="str">
        <f>"CESAR"</f>
        <v>CESAR</v>
      </c>
      <c r="BQ668" t="str">
        <f>"VALLEDUPAR"</f>
        <v>VALLEDUPAR</v>
      </c>
    </row>
    <row r="669" spans="1:69" x14ac:dyDescent="0.25">
      <c r="A669" t="str">
        <f>"7291708"</f>
        <v>7291708</v>
      </c>
      <c r="B669" t="str">
        <f t="shared" si="768"/>
        <v>459</v>
      </c>
      <c r="C669" t="str">
        <f>"11/05/2020 12:00:00 a. m."</f>
        <v>11/05/2020 12:00:00 a. m.</v>
      </c>
      <c r="D669" t="str">
        <f>"19"</f>
        <v>19</v>
      </c>
      <c r="E669" t="str">
        <f t="shared" si="769"/>
        <v>2020</v>
      </c>
      <c r="F669" t="str">
        <f>"7600102870"</f>
        <v>7600102870</v>
      </c>
      <c r="G669" t="str">
        <f t="shared" si="796"/>
        <v>01</v>
      </c>
      <c r="H669" t="str">
        <f>"1"</f>
        <v>1</v>
      </c>
      <c r="I669" t="str">
        <f t="shared" si="791"/>
        <v>1</v>
      </c>
      <c r="J669" t="str">
        <f>"M"</f>
        <v>M</v>
      </c>
      <c r="K669" t="str">
        <f t="shared" si="781"/>
        <v>170</v>
      </c>
      <c r="L669" t="str">
        <f>"76"</f>
        <v>76</v>
      </c>
      <c r="M669" t="str">
        <f>"834"</f>
        <v>834</v>
      </c>
      <c r="N669" t="str">
        <f t="shared" si="779"/>
        <v>1</v>
      </c>
      <c r="O669" t="str">
        <f>"9999"</f>
        <v>9999</v>
      </c>
      <c r="P669" t="str">
        <f>"S"</f>
        <v>S</v>
      </c>
      <c r="Q669" t="str">
        <f>"ESS118"</f>
        <v>ESS118</v>
      </c>
      <c r="R669" t="str">
        <f t="shared" ref="R669:R700" si="798">"6"</f>
        <v>6</v>
      </c>
      <c r="S669" t="str">
        <f>""</f>
        <v/>
      </c>
      <c r="T669" t="str">
        <f t="shared" ref="T669:T700" si="799">"                                                                                                    "</f>
        <v xml:space="preserve">                                                                                                    </v>
      </c>
      <c r="U669" t="str">
        <f>"          "</f>
        <v xml:space="preserve">          </v>
      </c>
      <c r="V669" t="str">
        <f t="shared" si="748"/>
        <v>2</v>
      </c>
      <c r="W669" t="str">
        <f t="shared" si="787"/>
        <v>2</v>
      </c>
      <c r="X669" t="str">
        <f t="shared" si="797"/>
        <v>2</v>
      </c>
      <c r="Y669" t="str">
        <f t="shared" si="788"/>
        <v>2</v>
      </c>
      <c r="Z669" t="str">
        <f t="shared" si="788"/>
        <v>2</v>
      </c>
      <c r="AA669" t="str">
        <f t="shared" si="770"/>
        <v xml:space="preserve">          </v>
      </c>
      <c r="AB669" t="str">
        <f t="shared" si="756"/>
        <v>2</v>
      </c>
      <c r="AC669" t="str">
        <f t="shared" si="759"/>
        <v>2</v>
      </c>
      <c r="AD669" t="str">
        <f t="shared" si="792"/>
        <v>2</v>
      </c>
      <c r="AE669" t="str">
        <f t="shared" si="792"/>
        <v>2</v>
      </c>
      <c r="AF669" t="str">
        <f t="shared" si="792"/>
        <v>2</v>
      </c>
      <c r="AG669" t="str">
        <f t="shared" si="792"/>
        <v>2</v>
      </c>
      <c r="AH669" t="str">
        <f t="shared" si="789"/>
        <v>1</v>
      </c>
      <c r="AI669" t="str">
        <f t="shared" si="794"/>
        <v xml:space="preserve">1         </v>
      </c>
      <c r="AJ669" t="str">
        <f t="shared" si="782"/>
        <v>170</v>
      </c>
      <c r="AK669" t="str">
        <f>"76"</f>
        <v>76</v>
      </c>
      <c r="AL669" t="str">
        <f>"834"</f>
        <v>834</v>
      </c>
      <c r="AM669" t="str">
        <f>"76"</f>
        <v>76</v>
      </c>
      <c r="AN669" t="str">
        <f>"76001"</f>
        <v>76001</v>
      </c>
      <c r="AO669" t="str">
        <f>"8/05/2020 12:00:00 a. m."</f>
        <v>8/05/2020 12:00:00 a. m.</v>
      </c>
      <c r="AP669" t="str">
        <f>"6/05/2020 12:00:00 a. m."</f>
        <v>6/05/2020 12:00:00 a. m.</v>
      </c>
      <c r="AQ669" t="str">
        <f>"2"</f>
        <v>2</v>
      </c>
      <c r="AR669" t="str">
        <f>"1"</f>
        <v>1</v>
      </c>
      <c r="AS669" t="str">
        <f>"8/05/2020 12:00:00 a. m."</f>
        <v>8/05/2020 12:00:00 a. m.</v>
      </c>
      <c r="AT669" t="str">
        <f t="shared" si="793"/>
        <v>1</v>
      </c>
      <c r="AU669" t="str">
        <f>""</f>
        <v/>
      </c>
      <c r="AV669" t="str">
        <f>"3"</f>
        <v>3</v>
      </c>
      <c r="AW669" t="str">
        <f>"23/06/2018 12:00:00 a. m."</f>
        <v>23/06/2018 12:00:00 a. m.</v>
      </c>
      <c r="AX669" t="str">
        <f>""</f>
        <v/>
      </c>
      <c r="AY669" t="str">
        <f t="shared" si="772"/>
        <v>30/04/2021 12:00:00 a. m.</v>
      </c>
      <c r="AZ669" t="str">
        <f>"18/05/2020 12:00:00 a. m."</f>
        <v>18/05/2020 12:00:00 a. m.</v>
      </c>
      <c r="BA669" t="str">
        <f>""</f>
        <v/>
      </c>
      <c r="BB669" t="str">
        <f>""</f>
        <v/>
      </c>
      <c r="BC669" t="str">
        <f>""</f>
        <v/>
      </c>
      <c r="BD669" t="str">
        <f t="shared" si="795"/>
        <v>1</v>
      </c>
      <c r="BE669" t="str">
        <f t="shared" si="795"/>
        <v>1</v>
      </c>
      <c r="BF669" t="str">
        <f t="shared" si="774"/>
        <v xml:space="preserve">3         </v>
      </c>
      <c r="BG669" t="str">
        <f t="shared" si="775"/>
        <v>Confirmado por laboratorio</v>
      </c>
      <c r="BH669" t="str">
        <f>"FUNDACION VALLE DEL LILI"</f>
        <v>FUNDACION VALLE DEL LILI</v>
      </c>
      <c r="BI669" t="str">
        <f t="shared" si="783"/>
        <v>COLOMBIA</v>
      </c>
      <c r="BJ669" t="str">
        <f t="shared" si="776"/>
        <v>CANCER INFANTIL</v>
      </c>
      <c r="BK669" t="str">
        <f>"VALLE"</f>
        <v>VALLE</v>
      </c>
      <c r="BL669" t="str">
        <f>"TULUA"</f>
        <v>TULUA</v>
      </c>
      <c r="BM669" t="str">
        <f t="shared" si="784"/>
        <v>COLOMBIA</v>
      </c>
      <c r="BN669" t="str">
        <f>"VALLE"</f>
        <v>VALLE</v>
      </c>
      <c r="BO669" t="str">
        <f>"TULUA"</f>
        <v>TULUA</v>
      </c>
      <c r="BP669" t="str">
        <f>"VALLE"</f>
        <v>VALLE</v>
      </c>
      <c r="BQ669" t="str">
        <f>"CALI"</f>
        <v>CALI</v>
      </c>
    </row>
    <row r="670" spans="1:69" x14ac:dyDescent="0.25">
      <c r="A670" t="str">
        <f>"7291645"</f>
        <v>7291645</v>
      </c>
      <c r="B670" t="str">
        <f t="shared" si="768"/>
        <v>459</v>
      </c>
      <c r="C670" t="str">
        <f>"1/10/2020 12:00:00 a. m."</f>
        <v>1/10/2020 12:00:00 a. m.</v>
      </c>
      <c r="D670" t="str">
        <f>"39"</f>
        <v>39</v>
      </c>
      <c r="E670" t="str">
        <f t="shared" si="769"/>
        <v>2020</v>
      </c>
      <c r="F670" t="str">
        <f>"1100105681"</f>
        <v>1100105681</v>
      </c>
      <c r="G670" t="str">
        <f t="shared" si="796"/>
        <v>01</v>
      </c>
      <c r="H670" t="str">
        <f>"15"</f>
        <v>15</v>
      </c>
      <c r="I670" t="str">
        <f t="shared" si="791"/>
        <v>1</v>
      </c>
      <c r="J670" t="str">
        <f>"F"</f>
        <v>F</v>
      </c>
      <c r="K670" t="str">
        <f t="shared" si="781"/>
        <v>170</v>
      </c>
      <c r="L670" t="str">
        <f>"25"</f>
        <v>25</v>
      </c>
      <c r="M670" t="str">
        <f>"743"</f>
        <v>743</v>
      </c>
      <c r="N670" t="str">
        <f t="shared" si="779"/>
        <v>1</v>
      </c>
      <c r="O670" t="str">
        <f>"9997"</f>
        <v>9997</v>
      </c>
      <c r="P670" t="str">
        <f>"S"</f>
        <v>S</v>
      </c>
      <c r="Q670" t="str">
        <f>"EPS022"</f>
        <v>EPS022</v>
      </c>
      <c r="R670" t="str">
        <f t="shared" si="798"/>
        <v>6</v>
      </c>
      <c r="S670" t="str">
        <f>""</f>
        <v/>
      </c>
      <c r="T670" t="str">
        <f t="shared" si="799"/>
        <v xml:space="preserve">                                                                                                    </v>
      </c>
      <c r="U670" t="str">
        <f>"2         "</f>
        <v xml:space="preserve">2         </v>
      </c>
      <c r="V670" t="str">
        <f t="shared" si="748"/>
        <v>2</v>
      </c>
      <c r="W670" t="str">
        <f t="shared" si="787"/>
        <v>2</v>
      </c>
      <c r="X670" t="str">
        <f t="shared" si="797"/>
        <v>2</v>
      </c>
      <c r="Y670" t="str">
        <f t="shared" si="788"/>
        <v>2</v>
      </c>
      <c r="Z670" t="str">
        <f t="shared" si="788"/>
        <v>2</v>
      </c>
      <c r="AA670" t="str">
        <f t="shared" si="770"/>
        <v xml:space="preserve">          </v>
      </c>
      <c r="AB670" t="str">
        <f t="shared" si="756"/>
        <v>2</v>
      </c>
      <c r="AC670" t="str">
        <f t="shared" si="759"/>
        <v>2</v>
      </c>
      <c r="AD670" t="str">
        <f t="shared" si="792"/>
        <v>2</v>
      </c>
      <c r="AE670" t="str">
        <f t="shared" si="792"/>
        <v>2</v>
      </c>
      <c r="AF670" t="str">
        <f t="shared" si="792"/>
        <v>2</v>
      </c>
      <c r="AG670" t="str">
        <f t="shared" si="792"/>
        <v>2</v>
      </c>
      <c r="AH670" t="str">
        <f t="shared" si="789"/>
        <v>1</v>
      </c>
      <c r="AI670" t="str">
        <f t="shared" si="794"/>
        <v xml:space="preserve">1         </v>
      </c>
      <c r="AJ670" t="str">
        <f t="shared" si="782"/>
        <v>170</v>
      </c>
      <c r="AK670" t="str">
        <f>"25"</f>
        <v>25</v>
      </c>
      <c r="AL670" t="str">
        <f>"743"</f>
        <v>743</v>
      </c>
      <c r="AM670" t="str">
        <f>"11"</f>
        <v>11</v>
      </c>
      <c r="AN670" t="str">
        <f>"11001"</f>
        <v>11001</v>
      </c>
      <c r="AO670" t="str">
        <f>"23/09/2020 12:00:00 a. m."</f>
        <v>23/09/2020 12:00:00 a. m.</v>
      </c>
      <c r="AP670" t="str">
        <f>"22/08/2020 12:00:00 a. m."</f>
        <v>22/08/2020 12:00:00 a. m.</v>
      </c>
      <c r="AQ670" t="str">
        <f>"3"</f>
        <v>3</v>
      </c>
      <c r="AR670" t="str">
        <f>"1"</f>
        <v>1</v>
      </c>
      <c r="AS670" t="str">
        <f>"23/09/2020 12:00:00 a. m."</f>
        <v>23/09/2020 12:00:00 a. m.</v>
      </c>
      <c r="AT670" t="str">
        <f t="shared" si="793"/>
        <v>1</v>
      </c>
      <c r="AU670" t="str">
        <f>""</f>
        <v/>
      </c>
      <c r="AV670" t="str">
        <f>"0"</f>
        <v>0</v>
      </c>
      <c r="AW670" t="str">
        <f>"27/01/2005 12:00:00 a. m."</f>
        <v>27/01/2005 12:00:00 a. m.</v>
      </c>
      <c r="AX670" t="str">
        <f>""</f>
        <v/>
      </c>
      <c r="AY670" t="str">
        <f t="shared" si="772"/>
        <v>30/04/2021 12:00:00 a. m.</v>
      </c>
      <c r="AZ670" t="str">
        <f>"15/10/2020 12:00:00 a. m."</f>
        <v>15/10/2020 12:00:00 a. m.</v>
      </c>
      <c r="BA670" t="str">
        <f>""</f>
        <v/>
      </c>
      <c r="BB670" t="str">
        <f>""</f>
        <v/>
      </c>
      <c r="BC670" t="str">
        <f>""</f>
        <v/>
      </c>
      <c r="BD670" t="str">
        <f t="shared" si="795"/>
        <v>1</v>
      </c>
      <c r="BE670" t="str">
        <f t="shared" si="795"/>
        <v>1</v>
      </c>
      <c r="BF670" t="str">
        <f t="shared" si="774"/>
        <v xml:space="preserve">3         </v>
      </c>
      <c r="BG670" t="str">
        <f t="shared" si="775"/>
        <v>Confirmado por laboratorio</v>
      </c>
      <c r="BH670" t="str">
        <f>"FUNDACION HOSPITAL DE LA MISERICORDIA"</f>
        <v>FUNDACION HOSPITAL DE LA MISERICORDIA</v>
      </c>
      <c r="BI670" t="str">
        <f t="shared" si="783"/>
        <v>COLOMBIA</v>
      </c>
      <c r="BJ670" t="str">
        <f t="shared" si="776"/>
        <v>CANCER INFANTIL</v>
      </c>
      <c r="BK670" t="str">
        <f>"CUNDINAMARCA"</f>
        <v>CUNDINAMARCA</v>
      </c>
      <c r="BL670" t="str">
        <f>"SILVANIA"</f>
        <v>SILVANIA</v>
      </c>
      <c r="BM670" t="str">
        <f t="shared" si="784"/>
        <v>COLOMBIA</v>
      </c>
      <c r="BN670" t="str">
        <f>"CUNDINAMARCA"</f>
        <v>CUNDINAMARCA</v>
      </c>
      <c r="BO670" t="str">
        <f>"SILVANIA"</f>
        <v>SILVANIA</v>
      </c>
      <c r="BP670" t="str">
        <f>"BOGOTA"</f>
        <v>BOGOTA</v>
      </c>
      <c r="BQ670" t="str">
        <f>"BOGOTA"</f>
        <v>BOGOTA</v>
      </c>
    </row>
    <row r="671" spans="1:69" x14ac:dyDescent="0.25">
      <c r="A671" t="str">
        <f>"7291589"</f>
        <v>7291589</v>
      </c>
      <c r="B671" t="str">
        <f t="shared" si="768"/>
        <v>459</v>
      </c>
      <c r="C671" t="str">
        <f>"8/10/2020 12:00:00 a. m."</f>
        <v>8/10/2020 12:00:00 a. m.</v>
      </c>
      <c r="D671" t="str">
        <f>"39"</f>
        <v>39</v>
      </c>
      <c r="E671" t="str">
        <f t="shared" si="769"/>
        <v>2020</v>
      </c>
      <c r="F671" t="str">
        <f>"1300101187"</f>
        <v>1300101187</v>
      </c>
      <c r="G671" t="str">
        <f t="shared" si="796"/>
        <v>01</v>
      </c>
      <c r="H671" t="str">
        <f>"2"</f>
        <v>2</v>
      </c>
      <c r="I671" t="str">
        <f t="shared" si="791"/>
        <v>1</v>
      </c>
      <c r="J671" t="str">
        <f>"F"</f>
        <v>F</v>
      </c>
      <c r="K671" t="str">
        <f t="shared" si="781"/>
        <v>170</v>
      </c>
      <c r="L671" t="str">
        <f>"13"</f>
        <v>13</v>
      </c>
      <c r="M671" t="str">
        <f>"001"</f>
        <v>001</v>
      </c>
      <c r="N671" t="str">
        <f t="shared" si="779"/>
        <v>1</v>
      </c>
      <c r="O671" t="str">
        <f>"9999"</f>
        <v>9999</v>
      </c>
      <c r="P671" t="str">
        <f>"S"</f>
        <v>S</v>
      </c>
      <c r="Q671" t="str">
        <f>"EPSS37"</f>
        <v>EPSS37</v>
      </c>
      <c r="R671" t="str">
        <f t="shared" si="798"/>
        <v>6</v>
      </c>
      <c r="S671" t="str">
        <f>""</f>
        <v/>
      </c>
      <c r="T671" t="str">
        <f t="shared" si="799"/>
        <v xml:space="preserve">                                                                                                    </v>
      </c>
      <c r="U671" t="str">
        <f>"1         "</f>
        <v xml:space="preserve">1         </v>
      </c>
      <c r="V671" t="str">
        <f t="shared" si="748"/>
        <v>2</v>
      </c>
      <c r="W671" t="str">
        <f t="shared" si="787"/>
        <v>2</v>
      </c>
      <c r="X671" t="str">
        <f t="shared" si="797"/>
        <v>2</v>
      </c>
      <c r="Y671" t="str">
        <f t="shared" si="788"/>
        <v>2</v>
      </c>
      <c r="Z671" t="str">
        <f t="shared" si="788"/>
        <v>2</v>
      </c>
      <c r="AA671" t="str">
        <f t="shared" si="770"/>
        <v xml:space="preserve">          </v>
      </c>
      <c r="AB671" t="str">
        <f t="shared" si="756"/>
        <v>2</v>
      </c>
      <c r="AC671" t="str">
        <f t="shared" si="759"/>
        <v>2</v>
      </c>
      <c r="AD671" t="str">
        <f t="shared" si="792"/>
        <v>2</v>
      </c>
      <c r="AE671" t="str">
        <f t="shared" si="792"/>
        <v>2</v>
      </c>
      <c r="AF671" t="str">
        <f t="shared" si="792"/>
        <v>2</v>
      </c>
      <c r="AG671" t="str">
        <f t="shared" si="792"/>
        <v>2</v>
      </c>
      <c r="AH671" t="str">
        <f t="shared" si="789"/>
        <v>1</v>
      </c>
      <c r="AI671" t="str">
        <f t="shared" si="794"/>
        <v xml:space="preserve">1         </v>
      </c>
      <c r="AJ671" t="str">
        <f t="shared" si="782"/>
        <v>170</v>
      </c>
      <c r="AK671" t="str">
        <f>"13"</f>
        <v>13</v>
      </c>
      <c r="AL671" t="str">
        <f>"001"</f>
        <v>001</v>
      </c>
      <c r="AM671" t="str">
        <f>"13"</f>
        <v>13</v>
      </c>
      <c r="AN671" t="str">
        <f>"13001"</f>
        <v>13001</v>
      </c>
      <c r="AO671" t="str">
        <f>"25/09/2020 12:00:00 a. m."</f>
        <v>25/09/2020 12:00:00 a. m.</v>
      </c>
      <c r="AP671" t="str">
        <f>"25/08/2020 12:00:00 a. m."</f>
        <v>25/08/2020 12:00:00 a. m.</v>
      </c>
      <c r="AQ671" t="str">
        <f>"2"</f>
        <v>2</v>
      </c>
      <c r="AR671" t="str">
        <f>"1"</f>
        <v>1</v>
      </c>
      <c r="AS671" t="str">
        <f>"25/09/2020 12:00:00 a. m."</f>
        <v>25/09/2020 12:00:00 a. m.</v>
      </c>
      <c r="AT671" t="str">
        <f t="shared" si="793"/>
        <v>1</v>
      </c>
      <c r="AU671" t="str">
        <f>""</f>
        <v/>
      </c>
      <c r="AV671" t="str">
        <f>"3"</f>
        <v>3</v>
      </c>
      <c r="AW671" t="str">
        <f>"13/08/2018 12:00:00 a. m."</f>
        <v>13/08/2018 12:00:00 a. m.</v>
      </c>
      <c r="AX671" t="str">
        <f>""</f>
        <v/>
      </c>
      <c r="AY671" t="str">
        <f t="shared" si="772"/>
        <v>30/04/2021 12:00:00 a. m.</v>
      </c>
      <c r="AZ671" t="str">
        <f>"17/12/2020 12:00:00 a. m."</f>
        <v>17/12/2020 12:00:00 a. m.</v>
      </c>
      <c r="BA671" t="str">
        <f>""</f>
        <v/>
      </c>
      <c r="BB671" t="str">
        <f>""</f>
        <v/>
      </c>
      <c r="BC671" t="str">
        <f>""</f>
        <v/>
      </c>
      <c r="BD671" t="str">
        <f t="shared" si="795"/>
        <v>1</v>
      </c>
      <c r="BE671" t="str">
        <f t="shared" si="795"/>
        <v>1</v>
      </c>
      <c r="BF671" t="str">
        <f t="shared" si="774"/>
        <v xml:space="preserve">3         </v>
      </c>
      <c r="BG671" t="str">
        <f t="shared" si="775"/>
        <v>Confirmado por laboratorio</v>
      </c>
      <c r="BH671" t="str">
        <f>"HOSPITAL INFANTIL NAPOLEON FRANCO PAREJA"</f>
        <v>HOSPITAL INFANTIL NAPOLEON FRANCO PAREJA</v>
      </c>
      <c r="BI671" t="str">
        <f t="shared" si="783"/>
        <v>COLOMBIA</v>
      </c>
      <c r="BJ671" t="str">
        <f t="shared" si="776"/>
        <v>CANCER INFANTIL</v>
      </c>
      <c r="BK671" t="str">
        <f>"BOLIVAR"</f>
        <v>BOLIVAR</v>
      </c>
      <c r="BL671" t="str">
        <f>"CARTAGENA"</f>
        <v>CARTAGENA</v>
      </c>
      <c r="BM671" t="str">
        <f t="shared" si="784"/>
        <v>COLOMBIA</v>
      </c>
      <c r="BN671" t="str">
        <f>"BOLIVAR"</f>
        <v>BOLIVAR</v>
      </c>
      <c r="BO671" t="str">
        <f>"CARTAGENA"</f>
        <v>CARTAGENA</v>
      </c>
      <c r="BP671" t="str">
        <f>"BOLIVAR"</f>
        <v>BOLIVAR</v>
      </c>
      <c r="BQ671" t="str">
        <f>"CARTAGENA"</f>
        <v>CARTAGENA</v>
      </c>
    </row>
    <row r="672" spans="1:69" x14ac:dyDescent="0.25">
      <c r="A672" t="str">
        <f>"7291540"</f>
        <v>7291540</v>
      </c>
      <c r="B672" t="str">
        <f t="shared" si="768"/>
        <v>459</v>
      </c>
      <c r="C672" t="str">
        <f>"9/06/2020 12:00:00 a. m."</f>
        <v>9/06/2020 12:00:00 a. m.</v>
      </c>
      <c r="D672" t="str">
        <f>"24"</f>
        <v>24</v>
      </c>
      <c r="E672" t="str">
        <f t="shared" si="769"/>
        <v>2020</v>
      </c>
      <c r="F672" t="str">
        <f>"1100123118"</f>
        <v>1100123118</v>
      </c>
      <c r="G672" t="str">
        <f>"04"</f>
        <v>04</v>
      </c>
      <c r="H672" t="str">
        <f>"14"</f>
        <v>14</v>
      </c>
      <c r="I672" t="str">
        <f t="shared" si="791"/>
        <v>1</v>
      </c>
      <c r="J672" t="str">
        <f>"F"</f>
        <v>F</v>
      </c>
      <c r="K672" t="str">
        <f t="shared" si="781"/>
        <v>170</v>
      </c>
      <c r="L672" t="str">
        <f>"11"</f>
        <v>11</v>
      </c>
      <c r="M672" t="str">
        <f>"001"</f>
        <v>001</v>
      </c>
      <c r="N672" t="str">
        <f t="shared" si="779"/>
        <v>1</v>
      </c>
      <c r="O672" t="str">
        <f>"9997"</f>
        <v>9997</v>
      </c>
      <c r="P672" t="str">
        <f>"P"</f>
        <v>P</v>
      </c>
      <c r="Q672" t="str">
        <f>"RES001"</f>
        <v>RES001</v>
      </c>
      <c r="R672" t="str">
        <f t="shared" si="798"/>
        <v>6</v>
      </c>
      <c r="S672" t="str">
        <f>""</f>
        <v/>
      </c>
      <c r="T672" t="str">
        <f t="shared" si="799"/>
        <v xml:space="preserve">                                                                                                    </v>
      </c>
      <c r="U672" t="str">
        <f>"2         "</f>
        <v xml:space="preserve">2         </v>
      </c>
      <c r="V672" t="str">
        <f t="shared" si="748"/>
        <v>2</v>
      </c>
      <c r="W672" t="str">
        <f t="shared" si="787"/>
        <v>2</v>
      </c>
      <c r="X672" t="str">
        <f t="shared" si="797"/>
        <v>2</v>
      </c>
      <c r="Y672" t="str">
        <f t="shared" si="788"/>
        <v>2</v>
      </c>
      <c r="Z672" t="str">
        <f t="shared" si="788"/>
        <v>2</v>
      </c>
      <c r="AA672" t="str">
        <f t="shared" si="770"/>
        <v xml:space="preserve">          </v>
      </c>
      <c r="AB672" t="str">
        <f t="shared" si="756"/>
        <v>2</v>
      </c>
      <c r="AC672" t="str">
        <f t="shared" si="759"/>
        <v>2</v>
      </c>
      <c r="AD672" t="str">
        <f t="shared" si="792"/>
        <v>2</v>
      </c>
      <c r="AE672" t="str">
        <f t="shared" si="792"/>
        <v>2</v>
      </c>
      <c r="AF672" t="str">
        <f t="shared" si="792"/>
        <v>2</v>
      </c>
      <c r="AG672" t="str">
        <f t="shared" si="792"/>
        <v>2</v>
      </c>
      <c r="AH672" t="str">
        <f t="shared" si="789"/>
        <v>1</v>
      </c>
      <c r="AI672" t="str">
        <f>"2         "</f>
        <v xml:space="preserve">2         </v>
      </c>
      <c r="AJ672" t="str">
        <f t="shared" si="782"/>
        <v>170</v>
      </c>
      <c r="AK672" t="str">
        <f>"11"</f>
        <v>11</v>
      </c>
      <c r="AL672" t="str">
        <f>"001"</f>
        <v>001</v>
      </c>
      <c r="AM672" t="str">
        <f>"11"</f>
        <v>11</v>
      </c>
      <c r="AN672" t="str">
        <f>"11001"</f>
        <v>11001</v>
      </c>
      <c r="AO672" t="str">
        <f>"12/03/2020 12:00:00 a. m."</f>
        <v>12/03/2020 12:00:00 a. m.</v>
      </c>
      <c r="AP672" t="str">
        <f>"12/03/2020 12:00:00 a. m."</f>
        <v>12/03/2020 12:00:00 a. m.</v>
      </c>
      <c r="AQ672" t="str">
        <f>"2"</f>
        <v>2</v>
      </c>
      <c r="AR672" t="str">
        <f>"2"</f>
        <v>2</v>
      </c>
      <c r="AS672" t="str">
        <f>""</f>
        <v/>
      </c>
      <c r="AT672" t="str">
        <f t="shared" si="793"/>
        <v>1</v>
      </c>
      <c r="AU672" t="str">
        <f>""</f>
        <v/>
      </c>
      <c r="AV672" t="str">
        <f>"3"</f>
        <v>3</v>
      </c>
      <c r="AW672" t="str">
        <f>"31/08/2005 12:00:00 a. m."</f>
        <v>31/08/2005 12:00:00 a. m.</v>
      </c>
      <c r="AX672" t="str">
        <f>""</f>
        <v/>
      </c>
      <c r="AY672" t="str">
        <f t="shared" si="772"/>
        <v>30/04/2021 12:00:00 a. m.</v>
      </c>
      <c r="AZ672" t="str">
        <f>"19/08/2020 12:00:00 a. m."</f>
        <v>19/08/2020 12:00:00 a. m.</v>
      </c>
      <c r="BA672" t="str">
        <f>"7"</f>
        <v>7</v>
      </c>
      <c r="BB672" t="str">
        <f>"0000000001"</f>
        <v>0000000001</v>
      </c>
      <c r="BC672" t="str">
        <f>"000"</f>
        <v>000</v>
      </c>
      <c r="BD672" t="str">
        <f t="shared" si="795"/>
        <v>1</v>
      </c>
      <c r="BE672" t="str">
        <f t="shared" si="795"/>
        <v>1</v>
      </c>
      <c r="BF672" t="str">
        <f t="shared" si="774"/>
        <v xml:space="preserve">3         </v>
      </c>
      <c r="BG672" t="str">
        <f t="shared" si="775"/>
        <v>Confirmado por laboratorio</v>
      </c>
      <c r="BH672" t="str">
        <f>"EPS UNIDAD MEDICA BG EDGAR YESID DUARTE VALERO"</f>
        <v>EPS UNIDAD MEDICA BG EDGAR YESID DUARTE VALERO</v>
      </c>
      <c r="BI672" t="str">
        <f t="shared" si="783"/>
        <v>COLOMBIA</v>
      </c>
      <c r="BJ672" t="str">
        <f t="shared" si="776"/>
        <v>CANCER INFANTIL</v>
      </c>
      <c r="BK672" t="str">
        <f>"BOGOTA"</f>
        <v>BOGOTA</v>
      </c>
      <c r="BL672" t="str">
        <f>"BOGOTA"</f>
        <v>BOGOTA</v>
      </c>
      <c r="BM672" t="str">
        <f t="shared" si="784"/>
        <v>COLOMBIA</v>
      </c>
      <c r="BN672" t="str">
        <f>"BOGOTA"</f>
        <v>BOGOTA</v>
      </c>
      <c r="BO672" t="str">
        <f>"BOGOTA"</f>
        <v>BOGOTA</v>
      </c>
      <c r="BP672" t="str">
        <f>"BOGOTA"</f>
        <v>BOGOTA</v>
      </c>
      <c r="BQ672" t="str">
        <f>"BOGOTA"</f>
        <v>BOGOTA</v>
      </c>
    </row>
    <row r="673" spans="1:69" x14ac:dyDescent="0.25">
      <c r="A673" t="str">
        <f>"7291599"</f>
        <v>7291599</v>
      </c>
      <c r="B673" t="str">
        <f t="shared" si="768"/>
        <v>459</v>
      </c>
      <c r="C673" t="str">
        <f>"10/07/2020 12:00:00 a. m."</f>
        <v>10/07/2020 12:00:00 a. m.</v>
      </c>
      <c r="D673" t="str">
        <f>"25"</f>
        <v>25</v>
      </c>
      <c r="E673" t="str">
        <f t="shared" si="769"/>
        <v>2020</v>
      </c>
      <c r="F673" t="str">
        <f>"6854704947"</f>
        <v>6854704947</v>
      </c>
      <c r="G673" t="str">
        <f t="shared" ref="G673:G684" si="800">"01"</f>
        <v>01</v>
      </c>
      <c r="H673" t="str">
        <f>"14"</f>
        <v>14</v>
      </c>
      <c r="I673" t="str">
        <f t="shared" si="791"/>
        <v>1</v>
      </c>
      <c r="J673" t="str">
        <f>"M"</f>
        <v>M</v>
      </c>
      <c r="K673" t="str">
        <f t="shared" si="781"/>
        <v>170</v>
      </c>
      <c r="L673" t="str">
        <f>"20"</f>
        <v>20</v>
      </c>
      <c r="M673" t="str">
        <f>"400"</f>
        <v>400</v>
      </c>
      <c r="N673" t="str">
        <f t="shared" si="779"/>
        <v>1</v>
      </c>
      <c r="O673" t="str">
        <f>"9997"</f>
        <v>9997</v>
      </c>
      <c r="P673" t="str">
        <f>"C"</f>
        <v>C</v>
      </c>
      <c r="Q673" t="str">
        <f>"EPS002"</f>
        <v>EPS002</v>
      </c>
      <c r="R673" t="str">
        <f t="shared" si="798"/>
        <v>6</v>
      </c>
      <c r="S673" t="str">
        <f>""</f>
        <v/>
      </c>
      <c r="T673" t="str">
        <f t="shared" si="799"/>
        <v xml:space="preserve">                                                                                                    </v>
      </c>
      <c r="U673" t="str">
        <f>"2         "</f>
        <v xml:space="preserve">2         </v>
      </c>
      <c r="V673" t="str">
        <f t="shared" si="748"/>
        <v>2</v>
      </c>
      <c r="W673" t="str">
        <f t="shared" si="787"/>
        <v>2</v>
      </c>
      <c r="X673" t="str">
        <f t="shared" si="797"/>
        <v>2</v>
      </c>
      <c r="Y673" t="str">
        <f t="shared" si="788"/>
        <v>2</v>
      </c>
      <c r="Z673" t="str">
        <f t="shared" si="788"/>
        <v>2</v>
      </c>
      <c r="AA673" t="str">
        <f t="shared" si="770"/>
        <v xml:space="preserve">          </v>
      </c>
      <c r="AB673" t="str">
        <f t="shared" si="756"/>
        <v>2</v>
      </c>
      <c r="AC673" t="str">
        <f t="shared" si="759"/>
        <v>2</v>
      </c>
      <c r="AD673" t="str">
        <f t="shared" si="792"/>
        <v>2</v>
      </c>
      <c r="AE673" t="str">
        <f t="shared" si="792"/>
        <v>2</v>
      </c>
      <c r="AF673" t="str">
        <f t="shared" si="792"/>
        <v>2</v>
      </c>
      <c r="AG673" t="str">
        <f t="shared" si="792"/>
        <v>2</v>
      </c>
      <c r="AH673" t="str">
        <f t="shared" si="789"/>
        <v>1</v>
      </c>
      <c r="AI673" t="str">
        <f t="shared" ref="AI673:AI680" si="801">"1         "</f>
        <v xml:space="preserve">1         </v>
      </c>
      <c r="AJ673" t="str">
        <f t="shared" si="782"/>
        <v>170</v>
      </c>
      <c r="AK673" t="str">
        <f>"20"</f>
        <v>20</v>
      </c>
      <c r="AL673" t="str">
        <f>"400"</f>
        <v>400</v>
      </c>
      <c r="AM673" t="str">
        <f>"68"</f>
        <v>68</v>
      </c>
      <c r="AN673" t="str">
        <f>"68547"</f>
        <v>68547</v>
      </c>
      <c r="AO673" t="str">
        <f>"17/06/2020 12:00:00 a. m."</f>
        <v>17/06/2020 12:00:00 a. m.</v>
      </c>
      <c r="AP673" t="str">
        <f>"17/05/2020 12:00:00 a. m."</f>
        <v>17/05/2020 12:00:00 a. m.</v>
      </c>
      <c r="AQ673" t="str">
        <f>"3"</f>
        <v>3</v>
      </c>
      <c r="AR673" t="str">
        <f t="shared" ref="AR673:AR684" si="802">"1"</f>
        <v>1</v>
      </c>
      <c r="AS673" t="str">
        <f>"17/06/2020 12:00:00 a. m."</f>
        <v>17/06/2020 12:00:00 a. m.</v>
      </c>
      <c r="AT673" t="str">
        <f t="shared" si="793"/>
        <v>1</v>
      </c>
      <c r="AU673" t="str">
        <f>""</f>
        <v/>
      </c>
      <c r="AV673" t="str">
        <f>"0"</f>
        <v>0</v>
      </c>
      <c r="AW673" t="str">
        <f>"4/10/2005 12:00:00 a. m."</f>
        <v>4/10/2005 12:00:00 a. m.</v>
      </c>
      <c r="AX673" t="str">
        <f>""</f>
        <v/>
      </c>
      <c r="AY673" t="str">
        <f t="shared" si="772"/>
        <v>30/04/2021 12:00:00 a. m.</v>
      </c>
      <c r="AZ673" t="str">
        <f>"10/07/2020 12:00:00 a. m."</f>
        <v>10/07/2020 12:00:00 a. m.</v>
      </c>
      <c r="BA673" t="str">
        <f>""</f>
        <v/>
      </c>
      <c r="BB673" t="str">
        <f>""</f>
        <v/>
      </c>
      <c r="BC673" t="str">
        <f>""</f>
        <v/>
      </c>
      <c r="BD673" t="str">
        <f t="shared" si="795"/>
        <v>1</v>
      </c>
      <c r="BE673" t="str">
        <f t="shared" si="795"/>
        <v>1</v>
      </c>
      <c r="BF673" t="str">
        <f t="shared" si="774"/>
        <v xml:space="preserve">3         </v>
      </c>
      <c r="BG673" t="str">
        <f t="shared" si="775"/>
        <v>Confirmado por laboratorio</v>
      </c>
      <c r="BH673" t="str">
        <f>"HOSPITAL INTERNACIONAL DE COLOMBIA"</f>
        <v>HOSPITAL INTERNACIONAL DE COLOMBIA</v>
      </c>
      <c r="BI673" t="str">
        <f t="shared" si="783"/>
        <v>COLOMBIA</v>
      </c>
      <c r="BJ673" t="str">
        <f t="shared" si="776"/>
        <v>CANCER INFANTIL</v>
      </c>
      <c r="BK673" t="str">
        <f>"CESAR"</f>
        <v>CESAR</v>
      </c>
      <c r="BL673" t="str">
        <f>"LA JAGUA DE IBIRICO"</f>
        <v>LA JAGUA DE IBIRICO</v>
      </c>
      <c r="BM673" t="str">
        <f t="shared" si="784"/>
        <v>COLOMBIA</v>
      </c>
      <c r="BN673" t="str">
        <f>"CESAR"</f>
        <v>CESAR</v>
      </c>
      <c r="BO673" t="str">
        <f>"LA JAGUA DE IBIRICO"</f>
        <v>LA JAGUA DE IBIRICO</v>
      </c>
      <c r="BP673" t="str">
        <f>"SANTANDER"</f>
        <v>SANTANDER</v>
      </c>
      <c r="BQ673" t="str">
        <f>"PIEDECUESTA"</f>
        <v>PIEDECUESTA</v>
      </c>
    </row>
    <row r="674" spans="1:69" x14ac:dyDescent="0.25">
      <c r="A674" t="str">
        <f>"7278990"</f>
        <v>7278990</v>
      </c>
      <c r="B674" t="str">
        <f t="shared" si="768"/>
        <v>459</v>
      </c>
      <c r="C674" t="str">
        <f>"12/09/2020 12:00:00 a. m."</f>
        <v>12/09/2020 12:00:00 a. m.</v>
      </c>
      <c r="D674" t="str">
        <f>"37"</f>
        <v>37</v>
      </c>
      <c r="E674" t="str">
        <f t="shared" si="769"/>
        <v>2020</v>
      </c>
      <c r="F674" t="str">
        <f>"5200100283"</f>
        <v>5200100283</v>
      </c>
      <c r="G674" t="str">
        <f t="shared" si="800"/>
        <v>01</v>
      </c>
      <c r="H674" t="str">
        <f>"10"</f>
        <v>10</v>
      </c>
      <c r="I674" t="str">
        <f t="shared" si="791"/>
        <v>1</v>
      </c>
      <c r="J674" t="str">
        <f>"F"</f>
        <v>F</v>
      </c>
      <c r="K674" t="str">
        <f t="shared" si="781"/>
        <v>170</v>
      </c>
      <c r="L674" t="str">
        <f>"52"</f>
        <v>52</v>
      </c>
      <c r="M674" t="str">
        <f>"001"</f>
        <v>001</v>
      </c>
      <c r="N674" t="str">
        <f t="shared" si="779"/>
        <v>1</v>
      </c>
      <c r="O674" t="str">
        <f>"9997"</f>
        <v>9997</v>
      </c>
      <c r="P674" t="str">
        <f>"S"</f>
        <v>S</v>
      </c>
      <c r="Q674" t="str">
        <f>"EPSI05"</f>
        <v>EPSI05</v>
      </c>
      <c r="R674" t="str">
        <f t="shared" si="798"/>
        <v>6</v>
      </c>
      <c r="S674" t="str">
        <f>""</f>
        <v/>
      </c>
      <c r="T674" t="str">
        <f t="shared" si="799"/>
        <v xml:space="preserve">                                                                                                    </v>
      </c>
      <c r="U674" t="str">
        <f>"2         "</f>
        <v xml:space="preserve">2         </v>
      </c>
      <c r="V674" t="str">
        <f t="shared" si="748"/>
        <v>2</v>
      </c>
      <c r="W674" t="str">
        <f t="shared" si="787"/>
        <v>2</v>
      </c>
      <c r="X674" t="str">
        <f t="shared" si="797"/>
        <v>2</v>
      </c>
      <c r="Y674" t="str">
        <f t="shared" si="788"/>
        <v>2</v>
      </c>
      <c r="Z674" t="str">
        <f t="shared" si="788"/>
        <v>2</v>
      </c>
      <c r="AA674" t="str">
        <f t="shared" si="770"/>
        <v xml:space="preserve">          </v>
      </c>
      <c r="AB674" t="str">
        <f t="shared" si="756"/>
        <v>2</v>
      </c>
      <c r="AC674" t="str">
        <f t="shared" si="759"/>
        <v>2</v>
      </c>
      <c r="AD674" t="str">
        <f t="shared" si="792"/>
        <v>2</v>
      </c>
      <c r="AE674" t="str">
        <f t="shared" si="792"/>
        <v>2</v>
      </c>
      <c r="AF674" t="str">
        <f t="shared" si="792"/>
        <v>2</v>
      </c>
      <c r="AG674" t="str">
        <f t="shared" si="792"/>
        <v>2</v>
      </c>
      <c r="AH674" t="str">
        <f t="shared" si="789"/>
        <v>1</v>
      </c>
      <c r="AI674" t="str">
        <f t="shared" si="801"/>
        <v xml:space="preserve">1         </v>
      </c>
      <c r="AJ674" t="str">
        <f t="shared" si="782"/>
        <v>170</v>
      </c>
      <c r="AK674" t="str">
        <f>"52"</f>
        <v>52</v>
      </c>
      <c r="AL674" t="str">
        <f>"001"</f>
        <v>001</v>
      </c>
      <c r="AM674" t="str">
        <f>"52"</f>
        <v>52</v>
      </c>
      <c r="AN674" t="str">
        <f>"52001"</f>
        <v>52001</v>
      </c>
      <c r="AO674" t="str">
        <f>"8/09/2020 12:00:00 a. m."</f>
        <v>8/09/2020 12:00:00 a. m.</v>
      </c>
      <c r="AP674" t="str">
        <f>"1/06/2020 12:00:00 a. m."</f>
        <v>1/06/2020 12:00:00 a. m.</v>
      </c>
      <c r="AQ674" t="str">
        <f>"2"</f>
        <v>2</v>
      </c>
      <c r="AR674" t="str">
        <f t="shared" si="802"/>
        <v>1</v>
      </c>
      <c r="AS674" t="str">
        <f>"8/09/2020 12:00:00 a. m."</f>
        <v>8/09/2020 12:00:00 a. m.</v>
      </c>
      <c r="AT674" t="str">
        <f t="shared" si="793"/>
        <v>1</v>
      </c>
      <c r="AU674" t="str">
        <f>""</f>
        <v/>
      </c>
      <c r="AV674" t="str">
        <f>"3"</f>
        <v>3</v>
      </c>
      <c r="AW674" t="str">
        <f>"29/03/2010 12:00:00 a. m."</f>
        <v>29/03/2010 12:00:00 a. m.</v>
      </c>
      <c r="AX674" t="str">
        <f>""</f>
        <v/>
      </c>
      <c r="AY674" t="str">
        <f t="shared" si="772"/>
        <v>30/04/2021 12:00:00 a. m.</v>
      </c>
      <c r="AZ674" t="str">
        <f>"5/11/2020 12:00:00 a. m."</f>
        <v>5/11/2020 12:00:00 a. m.</v>
      </c>
      <c r="BA674" t="str">
        <f>""</f>
        <v/>
      </c>
      <c r="BB674" t="str">
        <f>""</f>
        <v/>
      </c>
      <c r="BC674" t="str">
        <f>""</f>
        <v/>
      </c>
      <c r="BD674" t="str">
        <f t="shared" si="795"/>
        <v>1</v>
      </c>
      <c r="BE674" t="str">
        <f t="shared" si="795"/>
        <v>1</v>
      </c>
      <c r="BF674" t="str">
        <f t="shared" si="774"/>
        <v xml:space="preserve">3         </v>
      </c>
      <c r="BG674" t="str">
        <f t="shared" si="775"/>
        <v>Confirmado por laboratorio</v>
      </c>
      <c r="BH674" t="str">
        <f>"HOSPITAL INFANTIL LOS ANGELES"</f>
        <v>HOSPITAL INFANTIL LOS ANGELES</v>
      </c>
      <c r="BI674" t="str">
        <f t="shared" si="783"/>
        <v>COLOMBIA</v>
      </c>
      <c r="BJ674" t="str">
        <f t="shared" si="776"/>
        <v>CANCER INFANTIL</v>
      </c>
      <c r="BK674" t="str">
        <f>"NARIÑO"</f>
        <v>NARIÑO</v>
      </c>
      <c r="BL674" t="str">
        <f>"PASTO"</f>
        <v>PASTO</v>
      </c>
      <c r="BM674" t="str">
        <f t="shared" si="784"/>
        <v>COLOMBIA</v>
      </c>
      <c r="BN674" t="str">
        <f>"NARIÑO"</f>
        <v>NARIÑO</v>
      </c>
      <c r="BO674" t="str">
        <f>"PASTO"</f>
        <v>PASTO</v>
      </c>
      <c r="BP674" t="str">
        <f>"NARIÑO"</f>
        <v>NARIÑO</v>
      </c>
      <c r="BQ674" t="str">
        <f>"PASTO"</f>
        <v>PASTO</v>
      </c>
    </row>
    <row r="675" spans="1:69" x14ac:dyDescent="0.25">
      <c r="A675" t="str">
        <f>"7278993"</f>
        <v>7278993</v>
      </c>
      <c r="B675" t="str">
        <f t="shared" si="768"/>
        <v>459</v>
      </c>
      <c r="C675" t="str">
        <f>"13/07/2020 12:00:00 a. m."</f>
        <v>13/07/2020 12:00:00 a. m.</v>
      </c>
      <c r="D675" t="str">
        <f>"28"</f>
        <v>28</v>
      </c>
      <c r="E675" t="str">
        <f t="shared" si="769"/>
        <v>2020</v>
      </c>
      <c r="F675" t="str">
        <f>"5200100283"</f>
        <v>5200100283</v>
      </c>
      <c r="G675" t="str">
        <f t="shared" si="800"/>
        <v>01</v>
      </c>
      <c r="H675" t="str">
        <f>"11"</f>
        <v>11</v>
      </c>
      <c r="I675" t="str">
        <f t="shared" si="791"/>
        <v>1</v>
      </c>
      <c r="J675" t="str">
        <f>"F"</f>
        <v>F</v>
      </c>
      <c r="K675" t="str">
        <f t="shared" si="781"/>
        <v>170</v>
      </c>
      <c r="L675" t="str">
        <f>"52"</f>
        <v>52</v>
      </c>
      <c r="M675" t="str">
        <f>"001"</f>
        <v>001</v>
      </c>
      <c r="N675" t="str">
        <f t="shared" si="779"/>
        <v>1</v>
      </c>
      <c r="O675" t="str">
        <f>"9997"</f>
        <v>9997</v>
      </c>
      <c r="P675" t="str">
        <f>"S"</f>
        <v>S</v>
      </c>
      <c r="Q675" t="str">
        <f>"ESS118"</f>
        <v>ESS118</v>
      </c>
      <c r="R675" t="str">
        <f t="shared" si="798"/>
        <v>6</v>
      </c>
      <c r="S675" t="str">
        <f>""</f>
        <v/>
      </c>
      <c r="T675" t="str">
        <f t="shared" si="799"/>
        <v xml:space="preserve">                                                                                                    </v>
      </c>
      <c r="U675" t="str">
        <f>"1         "</f>
        <v xml:space="preserve">1         </v>
      </c>
      <c r="V675" t="str">
        <f t="shared" si="748"/>
        <v>2</v>
      </c>
      <c r="W675" t="str">
        <f t="shared" si="787"/>
        <v>2</v>
      </c>
      <c r="X675" t="str">
        <f t="shared" si="797"/>
        <v>2</v>
      </c>
      <c r="Y675" t="str">
        <f t="shared" si="788"/>
        <v>2</v>
      </c>
      <c r="Z675" t="str">
        <f t="shared" si="788"/>
        <v>2</v>
      </c>
      <c r="AA675" t="str">
        <f t="shared" si="770"/>
        <v xml:space="preserve">          </v>
      </c>
      <c r="AB675" t="str">
        <f t="shared" si="756"/>
        <v>2</v>
      </c>
      <c r="AC675" t="str">
        <f t="shared" si="759"/>
        <v>2</v>
      </c>
      <c r="AD675" t="str">
        <f t="shared" si="792"/>
        <v>2</v>
      </c>
      <c r="AE675" t="str">
        <f t="shared" si="792"/>
        <v>2</v>
      </c>
      <c r="AF675" t="str">
        <f t="shared" si="792"/>
        <v>2</v>
      </c>
      <c r="AG675" t="str">
        <f t="shared" si="792"/>
        <v>2</v>
      </c>
      <c r="AH675" t="str">
        <f t="shared" si="789"/>
        <v>1</v>
      </c>
      <c r="AI675" t="str">
        <f t="shared" si="801"/>
        <v xml:space="preserve">1         </v>
      </c>
      <c r="AJ675" t="str">
        <f t="shared" si="782"/>
        <v>170</v>
      </c>
      <c r="AK675" t="str">
        <f>"52"</f>
        <v>52</v>
      </c>
      <c r="AL675" t="str">
        <f>"001"</f>
        <v>001</v>
      </c>
      <c r="AM675" t="str">
        <f>"52"</f>
        <v>52</v>
      </c>
      <c r="AN675" t="str">
        <f>"52001"</f>
        <v>52001</v>
      </c>
      <c r="AO675" t="str">
        <f>"10/07/2020 12:00:00 a. m."</f>
        <v>10/07/2020 12:00:00 a. m.</v>
      </c>
      <c r="AP675" t="str">
        <f>"10/06/2020 12:00:00 a. m."</f>
        <v>10/06/2020 12:00:00 a. m.</v>
      </c>
      <c r="AQ675" t="str">
        <f>"2"</f>
        <v>2</v>
      </c>
      <c r="AR675" t="str">
        <f t="shared" si="802"/>
        <v>1</v>
      </c>
      <c r="AS675" t="str">
        <f>"10/07/2020 12:00:00 a. m."</f>
        <v>10/07/2020 12:00:00 a. m.</v>
      </c>
      <c r="AT675" t="str">
        <f t="shared" si="793"/>
        <v>1</v>
      </c>
      <c r="AU675" t="str">
        <f>""</f>
        <v/>
      </c>
      <c r="AV675" t="str">
        <f>"3"</f>
        <v>3</v>
      </c>
      <c r="AW675" t="str">
        <f>"24/03/2009 12:00:00 a. m."</f>
        <v>24/03/2009 12:00:00 a. m.</v>
      </c>
      <c r="AX675" t="str">
        <f>""</f>
        <v/>
      </c>
      <c r="AY675" t="str">
        <f t="shared" si="772"/>
        <v>30/04/2021 12:00:00 a. m.</v>
      </c>
      <c r="AZ675" t="str">
        <f>"9/09/2020 12:00:00 a. m."</f>
        <v>9/09/2020 12:00:00 a. m.</v>
      </c>
      <c r="BA675" t="str">
        <f>""</f>
        <v/>
      </c>
      <c r="BB675" t="str">
        <f>""</f>
        <v/>
      </c>
      <c r="BC675" t="str">
        <f>""</f>
        <v/>
      </c>
      <c r="BD675" t="str">
        <f t="shared" si="795"/>
        <v>1</v>
      </c>
      <c r="BE675" t="str">
        <f t="shared" si="795"/>
        <v>1</v>
      </c>
      <c r="BF675" t="str">
        <f t="shared" si="774"/>
        <v xml:space="preserve">3         </v>
      </c>
      <c r="BG675" t="str">
        <f t="shared" si="775"/>
        <v>Confirmado por laboratorio</v>
      </c>
      <c r="BH675" t="str">
        <f>"HOSPITAL INFANTIL LOS ANGELES"</f>
        <v>HOSPITAL INFANTIL LOS ANGELES</v>
      </c>
      <c r="BI675" t="str">
        <f t="shared" si="783"/>
        <v>COLOMBIA</v>
      </c>
      <c r="BJ675" t="str">
        <f t="shared" si="776"/>
        <v>CANCER INFANTIL</v>
      </c>
      <c r="BK675" t="str">
        <f>"NARIÑO"</f>
        <v>NARIÑO</v>
      </c>
      <c r="BL675" t="str">
        <f>"PASTO"</f>
        <v>PASTO</v>
      </c>
      <c r="BM675" t="str">
        <f t="shared" si="784"/>
        <v>COLOMBIA</v>
      </c>
      <c r="BN675" t="str">
        <f>"NARIÑO"</f>
        <v>NARIÑO</v>
      </c>
      <c r="BO675" t="str">
        <f>"PASTO"</f>
        <v>PASTO</v>
      </c>
      <c r="BP675" t="str">
        <f>"NARIÑO"</f>
        <v>NARIÑO</v>
      </c>
      <c r="BQ675" t="str">
        <f>"PASTO"</f>
        <v>PASTO</v>
      </c>
    </row>
    <row r="676" spans="1:69" x14ac:dyDescent="0.25">
      <c r="A676" t="str">
        <f>"7278808"</f>
        <v>7278808</v>
      </c>
      <c r="B676" t="str">
        <f t="shared" si="768"/>
        <v>459</v>
      </c>
      <c r="C676" t="str">
        <f>"26/10/2020 12:00:00 a. m."</f>
        <v>26/10/2020 12:00:00 a. m.</v>
      </c>
      <c r="D676" t="str">
        <f>"33"</f>
        <v>33</v>
      </c>
      <c r="E676" t="str">
        <f t="shared" si="769"/>
        <v>2020</v>
      </c>
      <c r="F676" t="str">
        <f>"0500102175"</f>
        <v>0500102175</v>
      </c>
      <c r="G676" t="str">
        <f t="shared" si="800"/>
        <v>01</v>
      </c>
      <c r="H676" t="str">
        <f>"11"</f>
        <v>11</v>
      </c>
      <c r="I676" t="str">
        <f t="shared" si="791"/>
        <v>1</v>
      </c>
      <c r="J676" t="str">
        <f>"M"</f>
        <v>M</v>
      </c>
      <c r="K676" t="str">
        <f t="shared" si="781"/>
        <v>170</v>
      </c>
      <c r="L676" t="str">
        <f>"05"</f>
        <v>05</v>
      </c>
      <c r="M676" t="str">
        <f>"890"</f>
        <v>890</v>
      </c>
      <c r="N676" t="str">
        <f t="shared" si="779"/>
        <v>1</v>
      </c>
      <c r="O676" t="str">
        <f>"9997"</f>
        <v>9997</v>
      </c>
      <c r="P676" t="str">
        <f>"S"</f>
        <v>S</v>
      </c>
      <c r="Q676" t="str">
        <f>"EPSS40"</f>
        <v>EPSS40</v>
      </c>
      <c r="R676" t="str">
        <f t="shared" si="798"/>
        <v>6</v>
      </c>
      <c r="S676" t="str">
        <f>""</f>
        <v/>
      </c>
      <c r="T676" t="str">
        <f t="shared" si="799"/>
        <v xml:space="preserve">                                                                                                    </v>
      </c>
      <c r="U676" t="str">
        <f>"2         "</f>
        <v xml:space="preserve">2         </v>
      </c>
      <c r="V676" t="str">
        <f t="shared" si="748"/>
        <v>2</v>
      </c>
      <c r="W676" t="str">
        <f t="shared" si="787"/>
        <v>2</v>
      </c>
      <c r="X676" t="str">
        <f t="shared" si="797"/>
        <v>2</v>
      </c>
      <c r="Y676" t="str">
        <f t="shared" si="788"/>
        <v>2</v>
      </c>
      <c r="Z676" t="str">
        <f t="shared" si="788"/>
        <v>2</v>
      </c>
      <c r="AA676" t="str">
        <f t="shared" si="770"/>
        <v xml:space="preserve">          </v>
      </c>
      <c r="AB676" t="str">
        <f t="shared" si="756"/>
        <v>2</v>
      </c>
      <c r="AC676" t="str">
        <f t="shared" si="759"/>
        <v>2</v>
      </c>
      <c r="AD676" t="str">
        <f t="shared" si="792"/>
        <v>2</v>
      </c>
      <c r="AE676" t="str">
        <f t="shared" si="792"/>
        <v>2</v>
      </c>
      <c r="AF676" t="str">
        <f t="shared" si="792"/>
        <v>2</v>
      </c>
      <c r="AG676" t="str">
        <f t="shared" si="792"/>
        <v>2</v>
      </c>
      <c r="AH676" t="str">
        <f t="shared" si="789"/>
        <v>1</v>
      </c>
      <c r="AI676" t="str">
        <f t="shared" si="801"/>
        <v xml:space="preserve">1         </v>
      </c>
      <c r="AJ676" t="str">
        <f t="shared" si="782"/>
        <v>170</v>
      </c>
      <c r="AK676" t="str">
        <f>"05"</f>
        <v>05</v>
      </c>
      <c r="AL676" t="str">
        <f>"890"</f>
        <v>890</v>
      </c>
      <c r="AM676" t="str">
        <f>"05"</f>
        <v>05</v>
      </c>
      <c r="AN676" t="str">
        <f>"05001"</f>
        <v>05001</v>
      </c>
      <c r="AO676" t="str">
        <f>"15/08/2020 12:00:00 a. m."</f>
        <v>15/08/2020 12:00:00 a. m.</v>
      </c>
      <c r="AP676" t="str">
        <f>"1/08/2020 12:00:00 a. m."</f>
        <v>1/08/2020 12:00:00 a. m.</v>
      </c>
      <c r="AQ676" t="str">
        <f t="shared" ref="AQ676:AQ682" si="803">"3"</f>
        <v>3</v>
      </c>
      <c r="AR676" t="str">
        <f t="shared" si="802"/>
        <v>1</v>
      </c>
      <c r="AS676" t="str">
        <f>"15/08/2020 12:00:00 a. m."</f>
        <v>15/08/2020 12:00:00 a. m.</v>
      </c>
      <c r="AT676" t="str">
        <f t="shared" si="793"/>
        <v>1</v>
      </c>
      <c r="AU676" t="str">
        <f>""</f>
        <v/>
      </c>
      <c r="AV676" t="str">
        <f>"0"</f>
        <v>0</v>
      </c>
      <c r="AW676" t="str">
        <f>"11/08/2009 12:00:00 a. m."</f>
        <v>11/08/2009 12:00:00 a. m.</v>
      </c>
      <c r="AX676" t="str">
        <f>""</f>
        <v/>
      </c>
      <c r="AY676" t="str">
        <f t="shared" si="772"/>
        <v>30/04/2021 12:00:00 a. m.</v>
      </c>
      <c r="AZ676" t="str">
        <f>"26/10/2020 12:00:00 a. m."</f>
        <v>26/10/2020 12:00:00 a. m.</v>
      </c>
      <c r="BA676" t="str">
        <f>""</f>
        <v/>
      </c>
      <c r="BB676" t="str">
        <f>""</f>
        <v/>
      </c>
      <c r="BC676" t="str">
        <f>""</f>
        <v/>
      </c>
      <c r="BD676" t="str">
        <f t="shared" si="795"/>
        <v>1</v>
      </c>
      <c r="BE676" t="str">
        <f t="shared" si="795"/>
        <v>1</v>
      </c>
      <c r="BF676" t="str">
        <f t="shared" si="774"/>
        <v xml:space="preserve">3         </v>
      </c>
      <c r="BG676" t="str">
        <f t="shared" si="775"/>
        <v>Confirmado por laboratorio</v>
      </c>
      <c r="BH676" t="str">
        <f>"FUNDACION HOSPITALARIA SAN VICENTE DE PAUL"</f>
        <v>FUNDACION HOSPITALARIA SAN VICENTE DE PAUL</v>
      </c>
      <c r="BI676" t="str">
        <f t="shared" si="783"/>
        <v>COLOMBIA</v>
      </c>
      <c r="BJ676" t="str">
        <f t="shared" si="776"/>
        <v>CANCER INFANTIL</v>
      </c>
      <c r="BK676" t="str">
        <f>"ANTIOQUIA"</f>
        <v>ANTIOQUIA</v>
      </c>
      <c r="BL676" t="str">
        <f>"YOLOMBO"</f>
        <v>YOLOMBO</v>
      </c>
      <c r="BM676" t="str">
        <f t="shared" si="784"/>
        <v>COLOMBIA</v>
      </c>
      <c r="BN676" t="str">
        <f>"ANTIOQUIA"</f>
        <v>ANTIOQUIA</v>
      </c>
      <c r="BO676" t="str">
        <f>"YOLOMBO"</f>
        <v>YOLOMBO</v>
      </c>
      <c r="BP676" t="str">
        <f>"ANTIOQUIA"</f>
        <v>ANTIOQUIA</v>
      </c>
      <c r="BQ676" t="str">
        <f>"MEDELLIN"</f>
        <v>MEDELLIN</v>
      </c>
    </row>
    <row r="677" spans="1:69" x14ac:dyDescent="0.25">
      <c r="A677" t="str">
        <f>"7291468"</f>
        <v>7291468</v>
      </c>
      <c r="B677" t="str">
        <f t="shared" si="768"/>
        <v>459</v>
      </c>
      <c r="C677" t="str">
        <f>"12/01/2021 12:00:00 a. m."</f>
        <v>12/01/2021 12:00:00 a. m.</v>
      </c>
      <c r="D677" t="str">
        <f>"42"</f>
        <v>42</v>
      </c>
      <c r="E677" t="str">
        <f t="shared" si="769"/>
        <v>2020</v>
      </c>
      <c r="F677" t="str">
        <f>"0500102175"</f>
        <v>0500102175</v>
      </c>
      <c r="G677" t="str">
        <f t="shared" si="800"/>
        <v>01</v>
      </c>
      <c r="H677" t="str">
        <f>"11"</f>
        <v>11</v>
      </c>
      <c r="I677" t="str">
        <f t="shared" si="791"/>
        <v>1</v>
      </c>
      <c r="J677" t="str">
        <f>"F"</f>
        <v>F</v>
      </c>
      <c r="K677" t="str">
        <f t="shared" si="781"/>
        <v>170</v>
      </c>
      <c r="L677" t="str">
        <f>"05"</f>
        <v>05</v>
      </c>
      <c r="M677" t="str">
        <f>"001"</f>
        <v>001</v>
      </c>
      <c r="N677" t="str">
        <f t="shared" si="779"/>
        <v>1</v>
      </c>
      <c r="O677" t="str">
        <f>"9999"</f>
        <v>9999</v>
      </c>
      <c r="P677" t="str">
        <f>"S"</f>
        <v>S</v>
      </c>
      <c r="Q677" t="str">
        <f>"ESS024"</f>
        <v>ESS024</v>
      </c>
      <c r="R677" t="str">
        <f t="shared" si="798"/>
        <v>6</v>
      </c>
      <c r="S677" t="str">
        <f>""</f>
        <v/>
      </c>
      <c r="T677" t="str">
        <f t="shared" si="799"/>
        <v xml:space="preserve">                                                                                                    </v>
      </c>
      <c r="U677" t="str">
        <f>"1         "</f>
        <v xml:space="preserve">1         </v>
      </c>
      <c r="V677" t="str">
        <f t="shared" si="748"/>
        <v>2</v>
      </c>
      <c r="W677" t="str">
        <f t="shared" si="787"/>
        <v>2</v>
      </c>
      <c r="X677" t="str">
        <f t="shared" si="797"/>
        <v>2</v>
      </c>
      <c r="Y677" t="str">
        <f t="shared" si="788"/>
        <v>2</v>
      </c>
      <c r="Z677" t="str">
        <f t="shared" si="788"/>
        <v>2</v>
      </c>
      <c r="AA677" t="str">
        <f t="shared" si="770"/>
        <v xml:space="preserve">          </v>
      </c>
      <c r="AB677" t="str">
        <f t="shared" si="756"/>
        <v>2</v>
      </c>
      <c r="AC677" t="str">
        <f t="shared" si="759"/>
        <v>2</v>
      </c>
      <c r="AD677" t="str">
        <f t="shared" si="792"/>
        <v>2</v>
      </c>
      <c r="AE677" t="str">
        <f t="shared" si="792"/>
        <v>2</v>
      </c>
      <c r="AF677" t="str">
        <f t="shared" si="792"/>
        <v>2</v>
      </c>
      <c r="AG677" t="str">
        <f t="shared" si="792"/>
        <v>2</v>
      </c>
      <c r="AH677" t="str">
        <f t="shared" si="789"/>
        <v>1</v>
      </c>
      <c r="AI677" t="str">
        <f t="shared" si="801"/>
        <v xml:space="preserve">1         </v>
      </c>
      <c r="AJ677" t="str">
        <f t="shared" si="782"/>
        <v>170</v>
      </c>
      <c r="AK677" t="str">
        <f>"05"</f>
        <v>05</v>
      </c>
      <c r="AL677" t="str">
        <f>"001"</f>
        <v>001</v>
      </c>
      <c r="AM677" t="str">
        <f>"05"</f>
        <v>05</v>
      </c>
      <c r="AN677" t="str">
        <f>"05001"</f>
        <v>05001</v>
      </c>
      <c r="AO677" t="str">
        <f>"12/10/2020 12:00:00 a. m."</f>
        <v>12/10/2020 12:00:00 a. m.</v>
      </c>
      <c r="AP677" t="str">
        <f>"20/09/2020 12:00:00 a. m."</f>
        <v>20/09/2020 12:00:00 a. m.</v>
      </c>
      <c r="AQ677" t="str">
        <f t="shared" si="803"/>
        <v>3</v>
      </c>
      <c r="AR677" t="str">
        <f t="shared" si="802"/>
        <v>1</v>
      </c>
      <c r="AS677" t="str">
        <f>"12/10/2020 12:00:00 a. m."</f>
        <v>12/10/2020 12:00:00 a. m.</v>
      </c>
      <c r="AT677" t="str">
        <f t="shared" si="793"/>
        <v>1</v>
      </c>
      <c r="AU677" t="str">
        <f>""</f>
        <v/>
      </c>
      <c r="AV677" t="str">
        <f>"0"</f>
        <v>0</v>
      </c>
      <c r="AW677" t="str">
        <f>"29/12/2009 12:00:00 a. m."</f>
        <v>29/12/2009 12:00:00 a. m.</v>
      </c>
      <c r="AX677" t="str">
        <f>""</f>
        <v/>
      </c>
      <c r="AY677" t="str">
        <f t="shared" si="772"/>
        <v>30/04/2021 12:00:00 a. m.</v>
      </c>
      <c r="AZ677" t="str">
        <f>"12/01/2021 12:00:00 a. m."</f>
        <v>12/01/2021 12:00:00 a. m.</v>
      </c>
      <c r="BA677" t="str">
        <f>""</f>
        <v/>
      </c>
      <c r="BB677" t="str">
        <f>""</f>
        <v/>
      </c>
      <c r="BC677" t="str">
        <f>""</f>
        <v/>
      </c>
      <c r="BD677" t="str">
        <f t="shared" si="795"/>
        <v>1</v>
      </c>
      <c r="BE677" t="str">
        <f t="shared" si="795"/>
        <v>1</v>
      </c>
      <c r="BF677" t="str">
        <f t="shared" si="774"/>
        <v xml:space="preserve">3         </v>
      </c>
      <c r="BG677" t="str">
        <f t="shared" si="775"/>
        <v>Confirmado por laboratorio</v>
      </c>
      <c r="BH677" t="str">
        <f>"FUNDACION HOSPITALARIA SAN VICENTE DE PAUL"</f>
        <v>FUNDACION HOSPITALARIA SAN VICENTE DE PAUL</v>
      </c>
      <c r="BI677" t="str">
        <f t="shared" si="783"/>
        <v>COLOMBIA</v>
      </c>
      <c r="BJ677" t="str">
        <f t="shared" si="776"/>
        <v>CANCER INFANTIL</v>
      </c>
      <c r="BK677" t="str">
        <f>"ANTIOQUIA"</f>
        <v>ANTIOQUIA</v>
      </c>
      <c r="BL677" t="str">
        <f>"MEDELLIN"</f>
        <v>MEDELLIN</v>
      </c>
      <c r="BM677" t="str">
        <f t="shared" si="784"/>
        <v>COLOMBIA</v>
      </c>
      <c r="BN677" t="str">
        <f>"ANTIOQUIA"</f>
        <v>ANTIOQUIA</v>
      </c>
      <c r="BO677" t="str">
        <f>"MEDELLIN"</f>
        <v>MEDELLIN</v>
      </c>
      <c r="BP677" t="str">
        <f>"ANTIOQUIA"</f>
        <v>ANTIOQUIA</v>
      </c>
      <c r="BQ677" t="str">
        <f>"MEDELLIN"</f>
        <v>MEDELLIN</v>
      </c>
    </row>
    <row r="678" spans="1:69" x14ac:dyDescent="0.25">
      <c r="A678" t="str">
        <f>"7291370"</f>
        <v>7291370</v>
      </c>
      <c r="B678" t="str">
        <f t="shared" si="768"/>
        <v>459</v>
      </c>
      <c r="C678" t="str">
        <f>"29/05/2020 12:00:00 a. m."</f>
        <v>29/05/2020 12:00:00 a. m.</v>
      </c>
      <c r="D678" t="str">
        <f>"20"</f>
        <v>20</v>
      </c>
      <c r="E678" t="str">
        <f t="shared" si="769"/>
        <v>2020</v>
      </c>
      <c r="F678" t="str">
        <f>"7600105765"</f>
        <v>7600105765</v>
      </c>
      <c r="G678" t="str">
        <f t="shared" si="800"/>
        <v>01</v>
      </c>
      <c r="H678" t="str">
        <f>"6"</f>
        <v>6</v>
      </c>
      <c r="I678" t="str">
        <f t="shared" si="791"/>
        <v>1</v>
      </c>
      <c r="J678" t="str">
        <f>"F"</f>
        <v>F</v>
      </c>
      <c r="K678" t="str">
        <f t="shared" si="781"/>
        <v>170</v>
      </c>
      <c r="L678" t="str">
        <f>"76"</f>
        <v>76</v>
      </c>
      <c r="M678" t="str">
        <f>"130"</f>
        <v>130</v>
      </c>
      <c r="N678" t="str">
        <f>"2"</f>
        <v>2</v>
      </c>
      <c r="O678" t="str">
        <f>"9997"</f>
        <v>9997</v>
      </c>
      <c r="P678" t="str">
        <f>"C"</f>
        <v>C</v>
      </c>
      <c r="Q678" t="str">
        <f>"EPS016"</f>
        <v>EPS016</v>
      </c>
      <c r="R678" t="str">
        <f t="shared" si="798"/>
        <v>6</v>
      </c>
      <c r="S678" t="str">
        <f>""</f>
        <v/>
      </c>
      <c r="T678" t="str">
        <f t="shared" si="799"/>
        <v xml:space="preserve">                                                                                                    </v>
      </c>
      <c r="U678" t="str">
        <f>"3         "</f>
        <v xml:space="preserve">3         </v>
      </c>
      <c r="V678" t="str">
        <f t="shared" si="748"/>
        <v>2</v>
      </c>
      <c r="W678" t="str">
        <f t="shared" si="787"/>
        <v>2</v>
      </c>
      <c r="X678" t="str">
        <f t="shared" si="797"/>
        <v>2</v>
      </c>
      <c r="Y678" t="str">
        <f t="shared" si="788"/>
        <v>2</v>
      </c>
      <c r="Z678" t="str">
        <f t="shared" si="788"/>
        <v>2</v>
      </c>
      <c r="AA678" t="str">
        <f t="shared" si="770"/>
        <v xml:space="preserve">          </v>
      </c>
      <c r="AB678" t="str">
        <f t="shared" si="756"/>
        <v>2</v>
      </c>
      <c r="AC678" t="str">
        <f t="shared" si="759"/>
        <v>2</v>
      </c>
      <c r="AD678" t="str">
        <f t="shared" si="792"/>
        <v>2</v>
      </c>
      <c r="AE678" t="str">
        <f t="shared" si="792"/>
        <v>2</v>
      </c>
      <c r="AF678" t="str">
        <f t="shared" si="792"/>
        <v>2</v>
      </c>
      <c r="AG678" t="str">
        <f t="shared" si="792"/>
        <v>2</v>
      </c>
      <c r="AH678" t="str">
        <f t="shared" si="789"/>
        <v>1</v>
      </c>
      <c r="AI678" t="str">
        <f t="shared" si="801"/>
        <v xml:space="preserve">1         </v>
      </c>
      <c r="AJ678" t="str">
        <f t="shared" si="782"/>
        <v>170</v>
      </c>
      <c r="AK678" t="str">
        <f>"76"</f>
        <v>76</v>
      </c>
      <c r="AL678" t="str">
        <f>"001"</f>
        <v>001</v>
      </c>
      <c r="AM678" t="str">
        <f>"76"</f>
        <v>76</v>
      </c>
      <c r="AN678" t="str">
        <f>"76001"</f>
        <v>76001</v>
      </c>
      <c r="AO678" t="str">
        <f>"15/05/2020 12:00:00 a. m."</f>
        <v>15/05/2020 12:00:00 a. m.</v>
      </c>
      <c r="AP678" t="str">
        <f>"15/02/2020 12:00:00 a. m."</f>
        <v>15/02/2020 12:00:00 a. m.</v>
      </c>
      <c r="AQ678" t="str">
        <f t="shared" si="803"/>
        <v>3</v>
      </c>
      <c r="AR678" t="str">
        <f t="shared" si="802"/>
        <v>1</v>
      </c>
      <c r="AS678" t="str">
        <f>"15/05/2020 12:00:00 a. m."</f>
        <v>15/05/2020 12:00:00 a. m.</v>
      </c>
      <c r="AT678" t="str">
        <f t="shared" si="793"/>
        <v>1</v>
      </c>
      <c r="AU678" t="str">
        <f>""</f>
        <v/>
      </c>
      <c r="AV678" t="str">
        <f>"7"</f>
        <v>7</v>
      </c>
      <c r="AW678" t="str">
        <f>"8/10/2013 12:00:00 a. m."</f>
        <v>8/10/2013 12:00:00 a. m.</v>
      </c>
      <c r="AX678" t="str">
        <f>""</f>
        <v/>
      </c>
      <c r="AY678" t="str">
        <f t="shared" si="772"/>
        <v>30/04/2021 12:00:00 a. m.</v>
      </c>
      <c r="AZ678" t="str">
        <f>"15/12/2020 12:00:00 a. m."</f>
        <v>15/12/2020 12:00:00 a. m.</v>
      </c>
      <c r="BA678" t="str">
        <f>""</f>
        <v/>
      </c>
      <c r="BB678" t="str">
        <f>""</f>
        <v/>
      </c>
      <c r="BC678" t="str">
        <f>""</f>
        <v/>
      </c>
      <c r="BD678" t="str">
        <f t="shared" si="795"/>
        <v>1</v>
      </c>
      <c r="BE678" t="str">
        <f t="shared" si="795"/>
        <v>1</v>
      </c>
      <c r="BF678" t="str">
        <f t="shared" si="774"/>
        <v xml:space="preserve">3         </v>
      </c>
      <c r="BG678" t="str">
        <f t="shared" si="775"/>
        <v>Confirmado por laboratorio</v>
      </c>
      <c r="BH678" t="str">
        <f>"CLINICA LOS FARALLONES SA SEDE CARRERA 44"</f>
        <v>CLINICA LOS FARALLONES SA SEDE CARRERA 44</v>
      </c>
      <c r="BI678" t="str">
        <f t="shared" si="783"/>
        <v>COLOMBIA</v>
      </c>
      <c r="BJ678" t="str">
        <f t="shared" si="776"/>
        <v>CANCER INFANTIL</v>
      </c>
      <c r="BK678" t="str">
        <f>"VALLE"</f>
        <v>VALLE</v>
      </c>
      <c r="BL678" t="str">
        <f>"CANDELARIA"</f>
        <v>CANDELARIA</v>
      </c>
      <c r="BM678" t="str">
        <f t="shared" si="784"/>
        <v>COLOMBIA</v>
      </c>
      <c r="BN678" t="str">
        <f>"VALLE"</f>
        <v>VALLE</v>
      </c>
      <c r="BO678" t="str">
        <f>"CALI"</f>
        <v>CALI</v>
      </c>
      <c r="BP678" t="str">
        <f>"VALLE"</f>
        <v>VALLE</v>
      </c>
      <c r="BQ678" t="str">
        <f>"CALI"</f>
        <v>CALI</v>
      </c>
    </row>
    <row r="679" spans="1:69" x14ac:dyDescent="0.25">
      <c r="A679" t="str">
        <f>"7291379"</f>
        <v>7291379</v>
      </c>
      <c r="B679" t="str">
        <f t="shared" si="768"/>
        <v>459</v>
      </c>
      <c r="C679" t="str">
        <f>"24/06/2020 12:00:00 a. m."</f>
        <v>24/06/2020 12:00:00 a. m.</v>
      </c>
      <c r="D679" t="str">
        <f>"16"</f>
        <v>16</v>
      </c>
      <c r="E679" t="str">
        <f t="shared" si="769"/>
        <v>2020</v>
      </c>
      <c r="F679" t="str">
        <f>"7600102870"</f>
        <v>7600102870</v>
      </c>
      <c r="G679" t="str">
        <f t="shared" si="800"/>
        <v>01</v>
      </c>
      <c r="H679" t="str">
        <f>"15"</f>
        <v>15</v>
      </c>
      <c r="I679" t="str">
        <f t="shared" si="791"/>
        <v>1</v>
      </c>
      <c r="J679" t="str">
        <f>"F"</f>
        <v>F</v>
      </c>
      <c r="K679" t="str">
        <f t="shared" si="781"/>
        <v>170</v>
      </c>
      <c r="L679" t="str">
        <f>"76"</f>
        <v>76</v>
      </c>
      <c r="M679" t="str">
        <f>"130"</f>
        <v>130</v>
      </c>
      <c r="N679" t="str">
        <f>"1"</f>
        <v>1</v>
      </c>
      <c r="O679" t="str">
        <f>"9999"</f>
        <v>9999</v>
      </c>
      <c r="P679" t="str">
        <f>"C"</f>
        <v>C</v>
      </c>
      <c r="Q679" t="str">
        <f>"EPS018"</f>
        <v>EPS018</v>
      </c>
      <c r="R679" t="str">
        <f t="shared" si="798"/>
        <v>6</v>
      </c>
      <c r="S679" t="str">
        <f>""</f>
        <v/>
      </c>
      <c r="T679" t="str">
        <f t="shared" si="799"/>
        <v xml:space="preserve">                                                                                                    </v>
      </c>
      <c r="U679" t="str">
        <f>"          "</f>
        <v xml:space="preserve">          </v>
      </c>
      <c r="V679" t="str">
        <f t="shared" si="748"/>
        <v>2</v>
      </c>
      <c r="W679" t="str">
        <f t="shared" si="787"/>
        <v>2</v>
      </c>
      <c r="X679" t="str">
        <f t="shared" si="797"/>
        <v>2</v>
      </c>
      <c r="Y679" t="str">
        <f t="shared" ref="Y679:Z698" si="804">"2"</f>
        <v>2</v>
      </c>
      <c r="Z679" t="str">
        <f t="shared" si="804"/>
        <v>2</v>
      </c>
      <c r="AA679" t="str">
        <f t="shared" si="770"/>
        <v xml:space="preserve">          </v>
      </c>
      <c r="AB679" t="str">
        <f t="shared" si="756"/>
        <v>2</v>
      </c>
      <c r="AC679" t="str">
        <f t="shared" si="759"/>
        <v>2</v>
      </c>
      <c r="AD679" t="str">
        <f t="shared" si="792"/>
        <v>2</v>
      </c>
      <c r="AE679" t="str">
        <f t="shared" si="792"/>
        <v>2</v>
      </c>
      <c r="AF679" t="str">
        <f t="shared" si="792"/>
        <v>2</v>
      </c>
      <c r="AG679" t="str">
        <f t="shared" si="792"/>
        <v>2</v>
      </c>
      <c r="AH679" t="str">
        <f t="shared" si="789"/>
        <v>1</v>
      </c>
      <c r="AI679" t="str">
        <f t="shared" si="801"/>
        <v xml:space="preserve">1         </v>
      </c>
      <c r="AJ679" t="str">
        <f t="shared" si="782"/>
        <v>170</v>
      </c>
      <c r="AK679" t="str">
        <f>"76"</f>
        <v>76</v>
      </c>
      <c r="AL679" t="str">
        <f>"130"</f>
        <v>130</v>
      </c>
      <c r="AM679" t="str">
        <f>"76"</f>
        <v>76</v>
      </c>
      <c r="AN679" t="str">
        <f>"76001"</f>
        <v>76001</v>
      </c>
      <c r="AO679" t="str">
        <f>"14/04/2020 12:00:00 a. m."</f>
        <v>14/04/2020 12:00:00 a. m.</v>
      </c>
      <c r="AP679" t="str">
        <f>"24/03/2020 12:00:00 a. m."</f>
        <v>24/03/2020 12:00:00 a. m.</v>
      </c>
      <c r="AQ679" t="str">
        <f t="shared" si="803"/>
        <v>3</v>
      </c>
      <c r="AR679" t="str">
        <f t="shared" si="802"/>
        <v>1</v>
      </c>
      <c r="AS679" t="str">
        <f>"14/04/2020 12:00:00 a. m."</f>
        <v>14/04/2020 12:00:00 a. m.</v>
      </c>
      <c r="AT679" t="str">
        <f t="shared" si="793"/>
        <v>1</v>
      </c>
      <c r="AU679" t="str">
        <f>""</f>
        <v/>
      </c>
      <c r="AV679" t="str">
        <f>"3"</f>
        <v>3</v>
      </c>
      <c r="AW679" t="str">
        <f>"22/02/2005 12:00:00 a. m."</f>
        <v>22/02/2005 12:00:00 a. m.</v>
      </c>
      <c r="AX679" t="str">
        <f>""</f>
        <v/>
      </c>
      <c r="AY679" t="str">
        <f t="shared" si="772"/>
        <v>30/04/2021 12:00:00 a. m.</v>
      </c>
      <c r="AZ679" t="str">
        <f>"14/07/2020 12:00:00 a. m."</f>
        <v>14/07/2020 12:00:00 a. m.</v>
      </c>
      <c r="BA679" t="str">
        <f>""</f>
        <v/>
      </c>
      <c r="BB679" t="str">
        <f>""</f>
        <v/>
      </c>
      <c r="BC679" t="str">
        <f>""</f>
        <v/>
      </c>
      <c r="BD679" t="str">
        <f t="shared" si="795"/>
        <v>1</v>
      </c>
      <c r="BE679" t="str">
        <f t="shared" si="795"/>
        <v>1</v>
      </c>
      <c r="BF679" t="str">
        <f t="shared" si="774"/>
        <v xml:space="preserve">3         </v>
      </c>
      <c r="BG679" t="str">
        <f t="shared" si="775"/>
        <v>Confirmado por laboratorio</v>
      </c>
      <c r="BH679" t="str">
        <f>"FUNDACION VALLE DEL LILI"</f>
        <v>FUNDACION VALLE DEL LILI</v>
      </c>
      <c r="BI679" t="str">
        <f t="shared" si="783"/>
        <v>COLOMBIA</v>
      </c>
      <c r="BJ679" t="str">
        <f t="shared" si="776"/>
        <v>CANCER INFANTIL</v>
      </c>
      <c r="BK679" t="str">
        <f>"VALLE"</f>
        <v>VALLE</v>
      </c>
      <c r="BL679" t="str">
        <f>"CANDELARIA"</f>
        <v>CANDELARIA</v>
      </c>
      <c r="BM679" t="str">
        <f t="shared" si="784"/>
        <v>COLOMBIA</v>
      </c>
      <c r="BN679" t="str">
        <f>"VALLE"</f>
        <v>VALLE</v>
      </c>
      <c r="BO679" t="str">
        <f>"CANDELARIA"</f>
        <v>CANDELARIA</v>
      </c>
      <c r="BP679" t="str">
        <f>"VALLE"</f>
        <v>VALLE</v>
      </c>
      <c r="BQ679" t="str">
        <f>"CALI"</f>
        <v>CALI</v>
      </c>
    </row>
    <row r="680" spans="1:69" x14ac:dyDescent="0.25">
      <c r="A680" t="str">
        <f>"7278799"</f>
        <v>7278799</v>
      </c>
      <c r="B680" t="str">
        <f t="shared" si="768"/>
        <v>459</v>
      </c>
      <c r="C680" t="str">
        <f>"3/06/2020 12:00:00 a. m."</f>
        <v>3/06/2020 12:00:00 a. m.</v>
      </c>
      <c r="D680" t="str">
        <f>"23"</f>
        <v>23</v>
      </c>
      <c r="E680" t="str">
        <f t="shared" si="769"/>
        <v>2020</v>
      </c>
      <c r="F680" t="str">
        <f>"0500102104"</f>
        <v>0500102104</v>
      </c>
      <c r="G680" t="str">
        <f t="shared" si="800"/>
        <v>01</v>
      </c>
      <c r="H680" t="str">
        <f>"12"</f>
        <v>12</v>
      </c>
      <c r="I680" t="str">
        <f t="shared" si="791"/>
        <v>1</v>
      </c>
      <c r="J680" t="str">
        <f>"M"</f>
        <v>M</v>
      </c>
      <c r="K680" t="str">
        <f t="shared" si="781"/>
        <v>170</v>
      </c>
      <c r="L680" t="str">
        <f>"05"</f>
        <v>05</v>
      </c>
      <c r="M680" t="str">
        <f>"660"</f>
        <v>660</v>
      </c>
      <c r="N680" t="str">
        <f>"1"</f>
        <v>1</v>
      </c>
      <c r="O680" t="str">
        <f>"9997"</f>
        <v>9997</v>
      </c>
      <c r="P680" t="str">
        <f>"C"</f>
        <v>C</v>
      </c>
      <c r="Q680" t="str">
        <f>"EPS040"</f>
        <v>EPS040</v>
      </c>
      <c r="R680" t="str">
        <f t="shared" si="798"/>
        <v>6</v>
      </c>
      <c r="S680" t="str">
        <f>""</f>
        <v/>
      </c>
      <c r="T680" t="str">
        <f t="shared" si="799"/>
        <v xml:space="preserve">                                                                                                    </v>
      </c>
      <c r="U680" t="str">
        <f>"2         "</f>
        <v xml:space="preserve">2         </v>
      </c>
      <c r="V680" t="str">
        <f t="shared" si="748"/>
        <v>2</v>
      </c>
      <c r="W680" t="str">
        <f t="shared" si="787"/>
        <v>2</v>
      </c>
      <c r="X680" t="str">
        <f t="shared" si="797"/>
        <v>2</v>
      </c>
      <c r="Y680" t="str">
        <f t="shared" si="804"/>
        <v>2</v>
      </c>
      <c r="Z680" t="str">
        <f t="shared" si="804"/>
        <v>2</v>
      </c>
      <c r="AA680" t="str">
        <f t="shared" si="770"/>
        <v xml:space="preserve">          </v>
      </c>
      <c r="AB680" t="str">
        <f t="shared" si="756"/>
        <v>2</v>
      </c>
      <c r="AC680" t="str">
        <f t="shared" si="759"/>
        <v>2</v>
      </c>
      <c r="AD680" t="str">
        <f t="shared" ref="AD680:AG699" si="805">"2"</f>
        <v>2</v>
      </c>
      <c r="AE680" t="str">
        <f t="shared" si="805"/>
        <v>2</v>
      </c>
      <c r="AF680" t="str">
        <f t="shared" si="805"/>
        <v>2</v>
      </c>
      <c r="AG680" t="str">
        <f t="shared" si="805"/>
        <v>2</v>
      </c>
      <c r="AH680" t="str">
        <f t="shared" si="789"/>
        <v>1</v>
      </c>
      <c r="AI680" t="str">
        <f t="shared" si="801"/>
        <v xml:space="preserve">1         </v>
      </c>
      <c r="AJ680" t="str">
        <f t="shared" si="782"/>
        <v>170</v>
      </c>
      <c r="AK680" t="str">
        <f>"05"</f>
        <v>05</v>
      </c>
      <c r="AL680" t="str">
        <f>"660"</f>
        <v>660</v>
      </c>
      <c r="AM680" t="str">
        <f>"05"</f>
        <v>05</v>
      </c>
      <c r="AN680" t="str">
        <f>"05001"</f>
        <v>05001</v>
      </c>
      <c r="AO680" t="str">
        <f>"3/06/2020 12:00:00 a. m."</f>
        <v>3/06/2020 12:00:00 a. m.</v>
      </c>
      <c r="AP680" t="str">
        <f>"22/05/2020 12:00:00 a. m."</f>
        <v>22/05/2020 12:00:00 a. m.</v>
      </c>
      <c r="AQ680" t="str">
        <f t="shared" si="803"/>
        <v>3</v>
      </c>
      <c r="AR680" t="str">
        <f t="shared" si="802"/>
        <v>1</v>
      </c>
      <c r="AS680" t="str">
        <f>"3/06/2020 12:00:00 a. m."</f>
        <v>3/06/2020 12:00:00 a. m.</v>
      </c>
      <c r="AT680" t="str">
        <f>"2"</f>
        <v>2</v>
      </c>
      <c r="AU680" t="str">
        <f>"15/08/2020 12:00:00 a. m."</f>
        <v>15/08/2020 12:00:00 a. m.</v>
      </c>
      <c r="AV680" t="str">
        <f>"7"</f>
        <v>7</v>
      </c>
      <c r="AW680" t="str">
        <f>"14/12/2007 12:00:00 a. m."</f>
        <v>14/12/2007 12:00:00 a. m.</v>
      </c>
      <c r="AX680" t="str">
        <f>"J159"</f>
        <v>J159</v>
      </c>
      <c r="AY680" t="str">
        <f t="shared" si="772"/>
        <v>30/04/2021 12:00:00 a. m.</v>
      </c>
      <c r="AZ680" t="str">
        <f>"26/08/2020 12:00:00 a. m."</f>
        <v>26/08/2020 12:00:00 a. m.</v>
      </c>
      <c r="BA680" t="str">
        <f>""</f>
        <v/>
      </c>
      <c r="BB680" t="str">
        <f>""</f>
        <v/>
      </c>
      <c r="BC680" t="str">
        <f>""</f>
        <v/>
      </c>
      <c r="BD680" t="str">
        <f t="shared" si="795"/>
        <v>1</v>
      </c>
      <c r="BE680" t="str">
        <f t="shared" si="795"/>
        <v>1</v>
      </c>
      <c r="BF680" t="str">
        <f t="shared" si="774"/>
        <v xml:space="preserve">3         </v>
      </c>
      <c r="BG680" t="str">
        <f t="shared" si="775"/>
        <v>Confirmado por laboratorio</v>
      </c>
      <c r="BH680" t="str">
        <f>"HOSPITAL PABLO TOBON URIBE"</f>
        <v>HOSPITAL PABLO TOBON URIBE</v>
      </c>
      <c r="BI680" t="str">
        <f t="shared" si="783"/>
        <v>COLOMBIA</v>
      </c>
      <c r="BJ680" t="str">
        <f t="shared" si="776"/>
        <v>CANCER INFANTIL</v>
      </c>
      <c r="BK680" t="str">
        <f>"ANTIOQUIA"</f>
        <v>ANTIOQUIA</v>
      </c>
      <c r="BL680" t="str">
        <f>"SAN LUIS"</f>
        <v>SAN LUIS</v>
      </c>
      <c r="BM680" t="str">
        <f t="shared" si="784"/>
        <v>COLOMBIA</v>
      </c>
      <c r="BN680" t="str">
        <f>"ANTIOQUIA"</f>
        <v>ANTIOQUIA</v>
      </c>
      <c r="BO680" t="str">
        <f>"SAN LUIS"</f>
        <v>SAN LUIS</v>
      </c>
      <c r="BP680" t="str">
        <f>"ANTIOQUIA"</f>
        <v>ANTIOQUIA</v>
      </c>
      <c r="BQ680" t="str">
        <f>"MEDELLIN"</f>
        <v>MEDELLIN</v>
      </c>
    </row>
    <row r="681" spans="1:69" x14ac:dyDescent="0.25">
      <c r="A681" t="str">
        <f>"7278935"</f>
        <v>7278935</v>
      </c>
      <c r="B681" t="str">
        <f t="shared" si="768"/>
        <v>459</v>
      </c>
      <c r="C681" t="str">
        <f>"21/04/2020 12:00:00 a. m."</f>
        <v>21/04/2020 12:00:00 a. m.</v>
      </c>
      <c r="D681" t="str">
        <f>"03"</f>
        <v>03</v>
      </c>
      <c r="E681" t="str">
        <f t="shared" si="769"/>
        <v>2020</v>
      </c>
      <c r="F681" t="str">
        <f>"2300100949"</f>
        <v>2300100949</v>
      </c>
      <c r="G681" t="str">
        <f t="shared" si="800"/>
        <v>01</v>
      </c>
      <c r="H681" t="str">
        <f>"9"</f>
        <v>9</v>
      </c>
      <c r="I681" t="str">
        <f t="shared" si="791"/>
        <v>1</v>
      </c>
      <c r="J681" t="str">
        <f>"F"</f>
        <v>F</v>
      </c>
      <c r="K681" t="str">
        <f t="shared" si="781"/>
        <v>170</v>
      </c>
      <c r="L681" t="str">
        <f>"23"</f>
        <v>23</v>
      </c>
      <c r="M681" t="str">
        <f>"807"</f>
        <v>807</v>
      </c>
      <c r="N681" t="str">
        <f>"1"</f>
        <v>1</v>
      </c>
      <c r="O681" t="str">
        <f>"9997"</f>
        <v>9997</v>
      </c>
      <c r="P681" t="str">
        <f>"E"</f>
        <v>E</v>
      </c>
      <c r="Q681" t="str">
        <f>"PEC001"</f>
        <v>PEC001</v>
      </c>
      <c r="R681" t="str">
        <f t="shared" si="798"/>
        <v>6</v>
      </c>
      <c r="S681" t="str">
        <f>""</f>
        <v/>
      </c>
      <c r="T681" t="str">
        <f t="shared" si="799"/>
        <v xml:space="preserve">                                                                                                    </v>
      </c>
      <c r="U681" t="str">
        <f>"1         "</f>
        <v xml:space="preserve">1         </v>
      </c>
      <c r="V681" t="str">
        <f t="shared" si="748"/>
        <v>2</v>
      </c>
      <c r="W681" t="str">
        <f t="shared" si="787"/>
        <v>2</v>
      </c>
      <c r="X681" t="str">
        <f t="shared" si="797"/>
        <v>2</v>
      </c>
      <c r="Y681" t="str">
        <f t="shared" si="804"/>
        <v>2</v>
      </c>
      <c r="Z681" t="str">
        <f t="shared" si="804"/>
        <v>2</v>
      </c>
      <c r="AA681" t="str">
        <f t="shared" si="770"/>
        <v xml:space="preserve">          </v>
      </c>
      <c r="AB681" t="str">
        <f t="shared" si="756"/>
        <v>2</v>
      </c>
      <c r="AC681" t="str">
        <f t="shared" si="759"/>
        <v>2</v>
      </c>
      <c r="AD681" t="str">
        <f t="shared" si="805"/>
        <v>2</v>
      </c>
      <c r="AE681" t="str">
        <f t="shared" si="805"/>
        <v>2</v>
      </c>
      <c r="AF681" t="str">
        <f t="shared" si="805"/>
        <v>2</v>
      </c>
      <c r="AG681" t="str">
        <f t="shared" si="805"/>
        <v>2</v>
      </c>
      <c r="AH681" t="str">
        <f t="shared" si="789"/>
        <v>1</v>
      </c>
      <c r="AI681" t="str">
        <f>"2         "</f>
        <v xml:space="preserve">2         </v>
      </c>
      <c r="AJ681" t="str">
        <f t="shared" si="782"/>
        <v>170</v>
      </c>
      <c r="AK681" t="str">
        <f>"23"</f>
        <v>23</v>
      </c>
      <c r="AL681" t="str">
        <f>"807"</f>
        <v>807</v>
      </c>
      <c r="AM681" t="str">
        <f>"23"</f>
        <v>23</v>
      </c>
      <c r="AN681" t="str">
        <f>"23001"</f>
        <v>23001</v>
      </c>
      <c r="AO681" t="str">
        <f>"16/01/2020 12:00:00 a. m."</f>
        <v>16/01/2020 12:00:00 a. m.</v>
      </c>
      <c r="AP681" t="str">
        <f>"10/10/2019 12:00:00 a. m."</f>
        <v>10/10/2019 12:00:00 a. m.</v>
      </c>
      <c r="AQ681" t="str">
        <f t="shared" si="803"/>
        <v>3</v>
      </c>
      <c r="AR681" t="str">
        <f t="shared" si="802"/>
        <v>1</v>
      </c>
      <c r="AS681" t="str">
        <f>"20/04/2020 12:00:00 a. m."</f>
        <v>20/04/2020 12:00:00 a. m.</v>
      </c>
      <c r="AT681" t="str">
        <f t="shared" ref="AT681:AT705" si="806">"1"</f>
        <v>1</v>
      </c>
      <c r="AU681" t="str">
        <f>""</f>
        <v/>
      </c>
      <c r="AV681" t="str">
        <f>"7"</f>
        <v>7</v>
      </c>
      <c r="AW681" t="str">
        <f>"24/04/2010 12:00:00 a. m."</f>
        <v>24/04/2010 12:00:00 a. m.</v>
      </c>
      <c r="AX681" t="str">
        <f>""</f>
        <v/>
      </c>
      <c r="AY681" t="str">
        <f t="shared" si="772"/>
        <v>30/04/2021 12:00:00 a. m.</v>
      </c>
      <c r="AZ681" t="str">
        <f>"29/04/2020 12:00:00 a. m."</f>
        <v>29/04/2020 12:00:00 a. m.</v>
      </c>
      <c r="BA681" t="str">
        <f>""</f>
        <v/>
      </c>
      <c r="BB681" t="str">
        <f>""</f>
        <v/>
      </c>
      <c r="BC681" t="str">
        <f>""</f>
        <v/>
      </c>
      <c r="BD681" t="str">
        <f t="shared" si="795"/>
        <v>1</v>
      </c>
      <c r="BE681" t="str">
        <f t="shared" si="795"/>
        <v>1</v>
      </c>
      <c r="BF681" t="str">
        <f t="shared" si="774"/>
        <v xml:space="preserve">3         </v>
      </c>
      <c r="BG681" t="str">
        <f t="shared" si="775"/>
        <v>Confirmado por laboratorio</v>
      </c>
      <c r="BH681" t="str">
        <f>"ONCOMEDICA S A"</f>
        <v>ONCOMEDICA S A</v>
      </c>
      <c r="BI681" t="str">
        <f t="shared" si="783"/>
        <v>COLOMBIA</v>
      </c>
      <c r="BJ681" t="str">
        <f t="shared" si="776"/>
        <v>CANCER INFANTIL</v>
      </c>
      <c r="BK681" t="str">
        <f>"CORDOBA"</f>
        <v>CORDOBA</v>
      </c>
      <c r="BL681" t="str">
        <f>"TIERRALTA"</f>
        <v>TIERRALTA</v>
      </c>
      <c r="BM681" t="str">
        <f t="shared" si="784"/>
        <v>COLOMBIA</v>
      </c>
      <c r="BN681" t="str">
        <f>"CORDOBA"</f>
        <v>CORDOBA</v>
      </c>
      <c r="BO681" t="str">
        <f>"TIERRALTA"</f>
        <v>TIERRALTA</v>
      </c>
      <c r="BP681" t="str">
        <f>"CORDOBA"</f>
        <v>CORDOBA</v>
      </c>
      <c r="BQ681" t="str">
        <f>"MONTERIA"</f>
        <v>MONTERIA</v>
      </c>
    </row>
    <row r="682" spans="1:69" x14ac:dyDescent="0.25">
      <c r="A682" t="str">
        <f>"7278827"</f>
        <v>7278827</v>
      </c>
      <c r="B682" t="str">
        <f t="shared" si="768"/>
        <v>459</v>
      </c>
      <c r="C682" t="str">
        <f>"16/09/2020 12:00:00 a. m."</f>
        <v>16/09/2020 12:00:00 a. m.</v>
      </c>
      <c r="D682" t="str">
        <f>"29"</f>
        <v>29</v>
      </c>
      <c r="E682" t="str">
        <f t="shared" si="769"/>
        <v>2020</v>
      </c>
      <c r="F682" t="str">
        <f>"1100105681"</f>
        <v>1100105681</v>
      </c>
      <c r="G682" t="str">
        <f t="shared" si="800"/>
        <v>01</v>
      </c>
      <c r="H682" t="str">
        <f>"16"</f>
        <v>16</v>
      </c>
      <c r="I682" t="str">
        <f t="shared" si="791"/>
        <v>1</v>
      </c>
      <c r="J682" t="str">
        <f>"M"</f>
        <v>M</v>
      </c>
      <c r="K682" t="str">
        <f t="shared" si="781"/>
        <v>170</v>
      </c>
      <c r="L682" t="str">
        <f>"25"</f>
        <v>25</v>
      </c>
      <c r="M682" t="str">
        <f>"754"</f>
        <v>754</v>
      </c>
      <c r="N682" t="str">
        <f>"1"</f>
        <v>1</v>
      </c>
      <c r="O682" t="str">
        <f>"9997"</f>
        <v>9997</v>
      </c>
      <c r="P682" t="str">
        <f>"C"</f>
        <v>C</v>
      </c>
      <c r="Q682" t="str">
        <f>"EPS008"</f>
        <v>EPS008</v>
      </c>
      <c r="R682" t="str">
        <f t="shared" si="798"/>
        <v>6</v>
      </c>
      <c r="S682" t="str">
        <f>""</f>
        <v/>
      </c>
      <c r="T682" t="str">
        <f t="shared" si="799"/>
        <v xml:space="preserve">                                                                                                    </v>
      </c>
      <c r="U682" t="str">
        <f>"2         "</f>
        <v xml:space="preserve">2         </v>
      </c>
      <c r="V682" t="str">
        <f t="shared" si="748"/>
        <v>2</v>
      </c>
      <c r="W682" t="str">
        <f t="shared" si="787"/>
        <v>2</v>
      </c>
      <c r="X682" t="str">
        <f t="shared" si="797"/>
        <v>2</v>
      </c>
      <c r="Y682" t="str">
        <f t="shared" si="804"/>
        <v>2</v>
      </c>
      <c r="Z682" t="str">
        <f t="shared" si="804"/>
        <v>2</v>
      </c>
      <c r="AA682" t="str">
        <f t="shared" si="770"/>
        <v xml:space="preserve">          </v>
      </c>
      <c r="AB682" t="str">
        <f t="shared" si="756"/>
        <v>2</v>
      </c>
      <c r="AC682" t="str">
        <f t="shared" si="759"/>
        <v>2</v>
      </c>
      <c r="AD682" t="str">
        <f t="shared" si="805"/>
        <v>2</v>
      </c>
      <c r="AE682" t="str">
        <f t="shared" si="805"/>
        <v>2</v>
      </c>
      <c r="AF682" t="str">
        <f t="shared" si="805"/>
        <v>2</v>
      </c>
      <c r="AG682" t="str">
        <f t="shared" si="805"/>
        <v>2</v>
      </c>
      <c r="AH682" t="str">
        <f t="shared" si="789"/>
        <v>1</v>
      </c>
      <c r="AI682" t="str">
        <f t="shared" ref="AI682:AI688" si="807">"1         "</f>
        <v xml:space="preserve">1         </v>
      </c>
      <c r="AJ682" t="str">
        <f t="shared" si="782"/>
        <v>170</v>
      </c>
      <c r="AK682" t="str">
        <f>"25"</f>
        <v>25</v>
      </c>
      <c r="AL682" t="str">
        <f>"754"</f>
        <v>754</v>
      </c>
      <c r="AM682" t="str">
        <f>"11"</f>
        <v>11</v>
      </c>
      <c r="AN682" t="str">
        <f>"11001"</f>
        <v>11001</v>
      </c>
      <c r="AO682" t="str">
        <f>"15/07/2020 12:00:00 a. m."</f>
        <v>15/07/2020 12:00:00 a. m.</v>
      </c>
      <c r="AP682" t="str">
        <f>"15/06/2020 12:00:00 a. m."</f>
        <v>15/06/2020 12:00:00 a. m.</v>
      </c>
      <c r="AQ682" t="str">
        <f t="shared" si="803"/>
        <v>3</v>
      </c>
      <c r="AR682" t="str">
        <f t="shared" si="802"/>
        <v>1</v>
      </c>
      <c r="AS682" t="str">
        <f>"15/07/2020 12:00:00 a. m."</f>
        <v>15/07/2020 12:00:00 a. m.</v>
      </c>
      <c r="AT682" t="str">
        <f t="shared" si="806"/>
        <v>1</v>
      </c>
      <c r="AU682" t="str">
        <f>""</f>
        <v/>
      </c>
      <c r="AV682" t="str">
        <f>"0"</f>
        <v>0</v>
      </c>
      <c r="AW682" t="str">
        <f>"16/05/2004 12:00:00 a. m."</f>
        <v>16/05/2004 12:00:00 a. m.</v>
      </c>
      <c r="AX682" t="str">
        <f>""</f>
        <v/>
      </c>
      <c r="AY682" t="str">
        <f t="shared" si="772"/>
        <v>30/04/2021 12:00:00 a. m.</v>
      </c>
      <c r="AZ682" t="str">
        <f>"25/09/2020 12:00:00 a. m."</f>
        <v>25/09/2020 12:00:00 a. m.</v>
      </c>
      <c r="BA682" t="str">
        <f>""</f>
        <v/>
      </c>
      <c r="BB682" t="str">
        <f>""</f>
        <v/>
      </c>
      <c r="BC682" t="str">
        <f>""</f>
        <v/>
      </c>
      <c r="BD682" t="str">
        <f t="shared" ref="BD682:BE701" si="808">"1"</f>
        <v>1</v>
      </c>
      <c r="BE682" t="str">
        <f t="shared" si="808"/>
        <v>1</v>
      </c>
      <c r="BF682" t="str">
        <f t="shared" si="774"/>
        <v xml:space="preserve">3         </v>
      </c>
      <c r="BG682" t="str">
        <f t="shared" si="775"/>
        <v>Confirmado por laboratorio</v>
      </c>
      <c r="BH682" t="str">
        <f>"FUNDACION HOSPITAL DE LA MISERICORDIA"</f>
        <v>FUNDACION HOSPITAL DE LA MISERICORDIA</v>
      </c>
      <c r="BI682" t="str">
        <f t="shared" si="783"/>
        <v>COLOMBIA</v>
      </c>
      <c r="BJ682" t="str">
        <f t="shared" si="776"/>
        <v>CANCER INFANTIL</v>
      </c>
      <c r="BK682" t="str">
        <f>"CUNDINAMARCA"</f>
        <v>CUNDINAMARCA</v>
      </c>
      <c r="BL682" t="str">
        <f>"SOACHA"</f>
        <v>SOACHA</v>
      </c>
      <c r="BM682" t="str">
        <f t="shared" si="784"/>
        <v>COLOMBIA</v>
      </c>
      <c r="BN682" t="str">
        <f>"CUNDINAMARCA"</f>
        <v>CUNDINAMARCA</v>
      </c>
      <c r="BO682" t="str">
        <f>"SOACHA"</f>
        <v>SOACHA</v>
      </c>
      <c r="BP682" t="str">
        <f>"BOGOTA"</f>
        <v>BOGOTA</v>
      </c>
      <c r="BQ682" t="str">
        <f>"BOGOTA"</f>
        <v>BOGOTA</v>
      </c>
    </row>
    <row r="683" spans="1:69" x14ac:dyDescent="0.25">
      <c r="A683" t="str">
        <f>"7278858"</f>
        <v>7278858</v>
      </c>
      <c r="B683" t="str">
        <f t="shared" si="768"/>
        <v>459</v>
      </c>
      <c r="C683" t="str">
        <f>"9/09/2020 12:00:00 a. m."</f>
        <v>9/09/2020 12:00:00 a. m.</v>
      </c>
      <c r="D683" t="str">
        <f>"35"</f>
        <v>35</v>
      </c>
      <c r="E683" t="str">
        <f t="shared" si="769"/>
        <v>2020</v>
      </c>
      <c r="F683" t="str">
        <f>"0500102175"</f>
        <v>0500102175</v>
      </c>
      <c r="G683" t="str">
        <f t="shared" si="800"/>
        <v>01</v>
      </c>
      <c r="H683" t="str">
        <f>"12"</f>
        <v>12</v>
      </c>
      <c r="I683" t="str">
        <f t="shared" si="791"/>
        <v>1</v>
      </c>
      <c r="J683" t="str">
        <f>"F"</f>
        <v>F</v>
      </c>
      <c r="K683" t="str">
        <f t="shared" si="781"/>
        <v>170</v>
      </c>
      <c r="L683" t="str">
        <f>"05"</f>
        <v>05</v>
      </c>
      <c r="M683" t="str">
        <f>"837"</f>
        <v>837</v>
      </c>
      <c r="N683" t="str">
        <f>"3"</f>
        <v>3</v>
      </c>
      <c r="O683" t="str">
        <f>"9999"</f>
        <v>9999</v>
      </c>
      <c r="P683" t="str">
        <f>"S"</f>
        <v>S</v>
      </c>
      <c r="Q683" t="str">
        <f>"EPSS40"</f>
        <v>EPSS40</v>
      </c>
      <c r="R683" t="str">
        <f t="shared" si="798"/>
        <v>6</v>
      </c>
      <c r="S683" t="str">
        <f>""</f>
        <v/>
      </c>
      <c r="T683" t="str">
        <f t="shared" si="799"/>
        <v xml:space="preserve">                                                                                                    </v>
      </c>
      <c r="U683" t="str">
        <f>"2         "</f>
        <v xml:space="preserve">2         </v>
      </c>
      <c r="V683" t="str">
        <f t="shared" si="748"/>
        <v>2</v>
      </c>
      <c r="W683" t="str">
        <f t="shared" si="787"/>
        <v>2</v>
      </c>
      <c r="X683" t="str">
        <f t="shared" si="797"/>
        <v>2</v>
      </c>
      <c r="Y683" t="str">
        <f t="shared" si="804"/>
        <v>2</v>
      </c>
      <c r="Z683" t="str">
        <f t="shared" si="804"/>
        <v>2</v>
      </c>
      <c r="AA683" t="str">
        <f t="shared" si="770"/>
        <v xml:space="preserve">          </v>
      </c>
      <c r="AB683" t="str">
        <f t="shared" si="756"/>
        <v>2</v>
      </c>
      <c r="AC683" t="str">
        <f t="shared" si="759"/>
        <v>2</v>
      </c>
      <c r="AD683" t="str">
        <f t="shared" si="805"/>
        <v>2</v>
      </c>
      <c r="AE683" t="str">
        <f t="shared" si="805"/>
        <v>2</v>
      </c>
      <c r="AF683" t="str">
        <f t="shared" si="805"/>
        <v>2</v>
      </c>
      <c r="AG683" t="str">
        <f t="shared" si="805"/>
        <v>2</v>
      </c>
      <c r="AH683" t="str">
        <f t="shared" si="789"/>
        <v>1</v>
      </c>
      <c r="AI683" t="str">
        <f t="shared" si="807"/>
        <v xml:space="preserve">1         </v>
      </c>
      <c r="AJ683" t="str">
        <f t="shared" si="782"/>
        <v>170</v>
      </c>
      <c r="AK683" t="str">
        <f>"05"</f>
        <v>05</v>
      </c>
      <c r="AL683" t="str">
        <f>"837"</f>
        <v>837</v>
      </c>
      <c r="AM683" t="str">
        <f>"05"</f>
        <v>05</v>
      </c>
      <c r="AN683" t="str">
        <f>"05001"</f>
        <v>05001</v>
      </c>
      <c r="AO683" t="str">
        <f>"25/08/2020 12:00:00 a. m."</f>
        <v>25/08/2020 12:00:00 a. m.</v>
      </c>
      <c r="AP683" t="str">
        <f>"12/03/2020 12:00:00 a. m."</f>
        <v>12/03/2020 12:00:00 a. m.</v>
      </c>
      <c r="AQ683" t="str">
        <f>"2"</f>
        <v>2</v>
      </c>
      <c r="AR683" t="str">
        <f t="shared" si="802"/>
        <v>1</v>
      </c>
      <c r="AS683" t="str">
        <f>"25/08/2020 12:00:00 a. m."</f>
        <v>25/08/2020 12:00:00 a. m.</v>
      </c>
      <c r="AT683" t="str">
        <f t="shared" si="806"/>
        <v>1</v>
      </c>
      <c r="AU683" t="str">
        <f>""</f>
        <v/>
      </c>
      <c r="AV683" t="str">
        <f>"3"</f>
        <v>3</v>
      </c>
      <c r="AW683" t="str">
        <f>"13/07/2008 12:00:00 a. m."</f>
        <v>13/07/2008 12:00:00 a. m.</v>
      </c>
      <c r="AX683" t="str">
        <f>""</f>
        <v/>
      </c>
      <c r="AY683" t="str">
        <f t="shared" si="772"/>
        <v>30/04/2021 12:00:00 a. m.</v>
      </c>
      <c r="AZ683" t="str">
        <f>"22/10/2020 12:00:00 a. m."</f>
        <v>22/10/2020 12:00:00 a. m.</v>
      </c>
      <c r="BA683" t="str">
        <f>""</f>
        <v/>
      </c>
      <c r="BB683" t="str">
        <f>""</f>
        <v/>
      </c>
      <c r="BC683" t="str">
        <f>""</f>
        <v/>
      </c>
      <c r="BD683" t="str">
        <f t="shared" si="808"/>
        <v>1</v>
      </c>
      <c r="BE683" t="str">
        <f t="shared" si="808"/>
        <v>1</v>
      </c>
      <c r="BF683" t="str">
        <f t="shared" si="774"/>
        <v xml:space="preserve">3         </v>
      </c>
      <c r="BG683" t="str">
        <f t="shared" si="775"/>
        <v>Confirmado por laboratorio</v>
      </c>
      <c r="BH683" t="str">
        <f>"FUNDACION HOSPITALARIA SAN VICENTE DE PAUL"</f>
        <v>FUNDACION HOSPITALARIA SAN VICENTE DE PAUL</v>
      </c>
      <c r="BI683" t="str">
        <f t="shared" si="783"/>
        <v>COLOMBIA</v>
      </c>
      <c r="BJ683" t="str">
        <f t="shared" si="776"/>
        <v>CANCER INFANTIL</v>
      </c>
      <c r="BK683" t="str">
        <f>"ANTIOQUIA"</f>
        <v>ANTIOQUIA</v>
      </c>
      <c r="BL683" t="str">
        <f>"TURBO"</f>
        <v>TURBO</v>
      </c>
      <c r="BM683" t="str">
        <f t="shared" si="784"/>
        <v>COLOMBIA</v>
      </c>
      <c r="BN683" t="str">
        <f>"ANTIOQUIA"</f>
        <v>ANTIOQUIA</v>
      </c>
      <c r="BO683" t="str">
        <f>"TURBO"</f>
        <v>TURBO</v>
      </c>
      <c r="BP683" t="str">
        <f>"ANTIOQUIA"</f>
        <v>ANTIOQUIA</v>
      </c>
      <c r="BQ683" t="str">
        <f>"MEDELLIN"</f>
        <v>MEDELLIN</v>
      </c>
    </row>
    <row r="684" spans="1:69" x14ac:dyDescent="0.25">
      <c r="A684" t="str">
        <f>"7278865"</f>
        <v>7278865</v>
      </c>
      <c r="B684" t="str">
        <f t="shared" si="768"/>
        <v>459</v>
      </c>
      <c r="C684" t="str">
        <f>"5/05/2020 12:00:00 a. m."</f>
        <v>5/05/2020 12:00:00 a. m.</v>
      </c>
      <c r="D684" t="str">
        <f>"12"</f>
        <v>12</v>
      </c>
      <c r="E684" t="str">
        <f t="shared" si="769"/>
        <v>2020</v>
      </c>
      <c r="F684" t="str">
        <f>"0500102175"</f>
        <v>0500102175</v>
      </c>
      <c r="G684" t="str">
        <f t="shared" si="800"/>
        <v>01</v>
      </c>
      <c r="H684" t="str">
        <f>"1"</f>
        <v>1</v>
      </c>
      <c r="I684" t="str">
        <f t="shared" si="791"/>
        <v>1</v>
      </c>
      <c r="J684" t="str">
        <f>"F"</f>
        <v>F</v>
      </c>
      <c r="K684" t="str">
        <f t="shared" si="781"/>
        <v>170</v>
      </c>
      <c r="L684" t="str">
        <f>"05"</f>
        <v>05</v>
      </c>
      <c r="M684" t="str">
        <f>"001"</f>
        <v>001</v>
      </c>
      <c r="N684" t="str">
        <f t="shared" ref="N684:N690" si="809">"1"</f>
        <v>1</v>
      </c>
      <c r="O684" t="str">
        <f>"9999"</f>
        <v>9999</v>
      </c>
      <c r="P684" t="str">
        <f>"S"</f>
        <v>S</v>
      </c>
      <c r="Q684" t="str">
        <f>"EPSS10"</f>
        <v>EPSS10</v>
      </c>
      <c r="R684" t="str">
        <f t="shared" si="798"/>
        <v>6</v>
      </c>
      <c r="S684" t="str">
        <f>""</f>
        <v/>
      </c>
      <c r="T684" t="str">
        <f t="shared" si="799"/>
        <v xml:space="preserve">                                                                                                    </v>
      </c>
      <c r="U684" t="str">
        <f>"3         "</f>
        <v xml:space="preserve">3         </v>
      </c>
      <c r="V684" t="str">
        <f t="shared" si="748"/>
        <v>2</v>
      </c>
      <c r="W684" t="str">
        <f t="shared" si="787"/>
        <v>2</v>
      </c>
      <c r="X684" t="str">
        <f t="shared" si="797"/>
        <v>2</v>
      </c>
      <c r="Y684" t="str">
        <f t="shared" si="804"/>
        <v>2</v>
      </c>
      <c r="Z684" t="str">
        <f t="shared" si="804"/>
        <v>2</v>
      </c>
      <c r="AA684" t="str">
        <f t="shared" si="770"/>
        <v xml:space="preserve">          </v>
      </c>
      <c r="AB684" t="str">
        <f t="shared" si="756"/>
        <v>2</v>
      </c>
      <c r="AC684" t="str">
        <f t="shared" si="759"/>
        <v>2</v>
      </c>
      <c r="AD684" t="str">
        <f t="shared" si="805"/>
        <v>2</v>
      </c>
      <c r="AE684" t="str">
        <f t="shared" si="805"/>
        <v>2</v>
      </c>
      <c r="AF684" t="str">
        <f t="shared" si="805"/>
        <v>2</v>
      </c>
      <c r="AG684" t="str">
        <f t="shared" si="805"/>
        <v>2</v>
      </c>
      <c r="AH684" t="str">
        <f t="shared" si="789"/>
        <v>1</v>
      </c>
      <c r="AI684" t="str">
        <f t="shared" si="807"/>
        <v xml:space="preserve">1         </v>
      </c>
      <c r="AJ684" t="str">
        <f t="shared" si="782"/>
        <v>170</v>
      </c>
      <c r="AK684" t="str">
        <f>"05"</f>
        <v>05</v>
      </c>
      <c r="AL684" t="str">
        <f>"001"</f>
        <v>001</v>
      </c>
      <c r="AM684" t="str">
        <f>"05"</f>
        <v>05</v>
      </c>
      <c r="AN684" t="str">
        <f>"05001"</f>
        <v>05001</v>
      </c>
      <c r="AO684" t="str">
        <f>"16/03/2020 12:00:00 a. m."</f>
        <v>16/03/2020 12:00:00 a. m.</v>
      </c>
      <c r="AP684" t="str">
        <f>"16/01/2020 12:00:00 a. m."</f>
        <v>16/01/2020 12:00:00 a. m.</v>
      </c>
      <c r="AQ684" t="str">
        <f>"3"</f>
        <v>3</v>
      </c>
      <c r="AR684" t="str">
        <f t="shared" si="802"/>
        <v>1</v>
      </c>
      <c r="AS684" t="str">
        <f>"18/03/2020 12:00:00 a. m."</f>
        <v>18/03/2020 12:00:00 a. m.</v>
      </c>
      <c r="AT684" t="str">
        <f t="shared" si="806"/>
        <v>1</v>
      </c>
      <c r="AU684" t="str">
        <f>""</f>
        <v/>
      </c>
      <c r="AV684" t="str">
        <f>"0"</f>
        <v>0</v>
      </c>
      <c r="AW684" t="str">
        <f>"29/05/2018 12:00:00 a. m."</f>
        <v>29/05/2018 12:00:00 a. m.</v>
      </c>
      <c r="AX684" t="str">
        <f>""</f>
        <v/>
      </c>
      <c r="AY684" t="str">
        <f t="shared" si="772"/>
        <v>30/04/2021 12:00:00 a. m.</v>
      </c>
      <c r="AZ684" t="str">
        <f>"5/05/2020 12:00:00 a. m."</f>
        <v>5/05/2020 12:00:00 a. m.</v>
      </c>
      <c r="BA684" t="str">
        <f>""</f>
        <v/>
      </c>
      <c r="BB684" t="str">
        <f>""</f>
        <v/>
      </c>
      <c r="BC684" t="str">
        <f>""</f>
        <v/>
      </c>
      <c r="BD684" t="str">
        <f t="shared" si="808"/>
        <v>1</v>
      </c>
      <c r="BE684" t="str">
        <f t="shared" si="808"/>
        <v>1</v>
      </c>
      <c r="BF684" t="str">
        <f t="shared" si="774"/>
        <v xml:space="preserve">3         </v>
      </c>
      <c r="BG684" t="str">
        <f t="shared" si="775"/>
        <v>Confirmado por laboratorio</v>
      </c>
      <c r="BH684" t="str">
        <f>"FUNDACION HOSPITALARIA SAN VICENTE DE PAUL"</f>
        <v>FUNDACION HOSPITALARIA SAN VICENTE DE PAUL</v>
      </c>
      <c r="BI684" t="str">
        <f t="shared" si="783"/>
        <v>COLOMBIA</v>
      </c>
      <c r="BJ684" t="str">
        <f t="shared" si="776"/>
        <v>CANCER INFANTIL</v>
      </c>
      <c r="BK684" t="str">
        <f>"ANTIOQUIA"</f>
        <v>ANTIOQUIA</v>
      </c>
      <c r="BL684" t="str">
        <f>"MEDELLIN"</f>
        <v>MEDELLIN</v>
      </c>
      <c r="BM684" t="str">
        <f t="shared" si="784"/>
        <v>COLOMBIA</v>
      </c>
      <c r="BN684" t="str">
        <f>"ANTIOQUIA"</f>
        <v>ANTIOQUIA</v>
      </c>
      <c r="BO684" t="str">
        <f>"MEDELLIN"</f>
        <v>MEDELLIN</v>
      </c>
      <c r="BP684" t="str">
        <f>"ANTIOQUIA"</f>
        <v>ANTIOQUIA</v>
      </c>
      <c r="BQ684" t="str">
        <f>"MEDELLIN"</f>
        <v>MEDELLIN</v>
      </c>
    </row>
    <row r="685" spans="1:69" x14ac:dyDescent="0.25">
      <c r="A685" t="str">
        <f>"7278805"</f>
        <v>7278805</v>
      </c>
      <c r="B685" t="str">
        <f t="shared" si="768"/>
        <v>459</v>
      </c>
      <c r="C685" t="str">
        <f>"3/02/2021 12:00:00 a. m."</f>
        <v>3/02/2021 12:00:00 a. m.</v>
      </c>
      <c r="D685" t="str">
        <f>"49"</f>
        <v>49</v>
      </c>
      <c r="E685" t="str">
        <f t="shared" si="769"/>
        <v>2020</v>
      </c>
      <c r="F685" t="str">
        <f>"0500103448"</f>
        <v>0500103448</v>
      </c>
      <c r="G685" t="str">
        <f>"03"</f>
        <v>03</v>
      </c>
      <c r="H685" t="str">
        <f>"16"</f>
        <v>16</v>
      </c>
      <c r="I685" t="str">
        <f t="shared" si="791"/>
        <v>1</v>
      </c>
      <c r="J685" t="str">
        <f>"F"</f>
        <v>F</v>
      </c>
      <c r="K685" t="str">
        <f t="shared" si="781"/>
        <v>170</v>
      </c>
      <c r="L685" t="str">
        <f>"05"</f>
        <v>05</v>
      </c>
      <c r="M685" t="str">
        <f>"001"</f>
        <v>001</v>
      </c>
      <c r="N685" t="str">
        <f t="shared" si="809"/>
        <v>1</v>
      </c>
      <c r="O685" t="str">
        <f>"9997"</f>
        <v>9997</v>
      </c>
      <c r="P685" t="str">
        <f>"C"</f>
        <v>C</v>
      </c>
      <c r="Q685" t="str">
        <f>"EPS037"</f>
        <v>EPS037</v>
      </c>
      <c r="R685" t="str">
        <f t="shared" si="798"/>
        <v>6</v>
      </c>
      <c r="S685" t="str">
        <f>""</f>
        <v/>
      </c>
      <c r="T685" t="str">
        <f t="shared" si="799"/>
        <v xml:space="preserve">                                                                                                    </v>
      </c>
      <c r="U685" t="str">
        <f>"2         "</f>
        <v xml:space="preserve">2         </v>
      </c>
      <c r="V685" t="str">
        <f t="shared" si="748"/>
        <v>2</v>
      </c>
      <c r="W685" t="str">
        <f t="shared" si="787"/>
        <v>2</v>
      </c>
      <c r="X685" t="str">
        <f t="shared" si="797"/>
        <v>2</v>
      </c>
      <c r="Y685" t="str">
        <f t="shared" si="804"/>
        <v>2</v>
      </c>
      <c r="Z685" t="str">
        <f t="shared" si="804"/>
        <v>2</v>
      </c>
      <c r="AA685" t="str">
        <f t="shared" si="770"/>
        <v xml:space="preserve">          </v>
      </c>
      <c r="AB685" t="str">
        <f t="shared" si="756"/>
        <v>2</v>
      </c>
      <c r="AC685" t="str">
        <f t="shared" si="759"/>
        <v>2</v>
      </c>
      <c r="AD685" t="str">
        <f t="shared" si="805"/>
        <v>2</v>
      </c>
      <c r="AE685" t="str">
        <f t="shared" si="805"/>
        <v>2</v>
      </c>
      <c r="AF685" t="str">
        <f t="shared" si="805"/>
        <v>2</v>
      </c>
      <c r="AG685" t="str">
        <f t="shared" si="805"/>
        <v>2</v>
      </c>
      <c r="AH685" t="str">
        <f t="shared" si="789"/>
        <v>1</v>
      </c>
      <c r="AI685" t="str">
        <f t="shared" si="807"/>
        <v xml:space="preserve">1         </v>
      </c>
      <c r="AJ685" t="str">
        <f t="shared" si="782"/>
        <v>170</v>
      </c>
      <c r="AK685" t="str">
        <f>"05"</f>
        <v>05</v>
      </c>
      <c r="AL685" t="str">
        <f>"001"</f>
        <v>001</v>
      </c>
      <c r="AM685" t="str">
        <f>"05"</f>
        <v>05</v>
      </c>
      <c r="AN685" t="str">
        <f>"05001"</f>
        <v>05001</v>
      </c>
      <c r="AO685" t="str">
        <f>"2/12/2020 12:00:00 a. m."</f>
        <v>2/12/2020 12:00:00 a. m.</v>
      </c>
      <c r="AP685" t="str">
        <f>"2/12/2020 12:00:00 a. m."</f>
        <v>2/12/2020 12:00:00 a. m.</v>
      </c>
      <c r="AQ685" t="str">
        <f>"3"</f>
        <v>3</v>
      </c>
      <c r="AR685" t="str">
        <f>"2"</f>
        <v>2</v>
      </c>
      <c r="AS685" t="str">
        <f>""</f>
        <v/>
      </c>
      <c r="AT685" t="str">
        <f t="shared" si="806"/>
        <v>1</v>
      </c>
      <c r="AU685" t="str">
        <f>""</f>
        <v/>
      </c>
      <c r="AV685" t="str">
        <f>"0"</f>
        <v>0</v>
      </c>
      <c r="AW685" t="str">
        <f>"7/05/2004 12:00:00 a. m."</f>
        <v>7/05/2004 12:00:00 a. m.</v>
      </c>
      <c r="AX685" t="str">
        <f>""</f>
        <v/>
      </c>
      <c r="AY685" t="str">
        <f t="shared" si="772"/>
        <v>30/04/2021 12:00:00 a. m.</v>
      </c>
      <c r="AZ685" t="str">
        <f>"3/02/2021 12:00:00 a. m."</f>
        <v>3/02/2021 12:00:00 a. m.</v>
      </c>
      <c r="BA685" t="str">
        <f>""</f>
        <v/>
      </c>
      <c r="BB685" t="str">
        <f>""</f>
        <v/>
      </c>
      <c r="BC685" t="str">
        <f>""</f>
        <v/>
      </c>
      <c r="BD685" t="str">
        <f t="shared" si="808"/>
        <v>1</v>
      </c>
      <c r="BE685" t="str">
        <f t="shared" si="808"/>
        <v>1</v>
      </c>
      <c r="BF685" t="str">
        <f t="shared" si="774"/>
        <v xml:space="preserve">3         </v>
      </c>
      <c r="BG685" t="str">
        <f t="shared" si="775"/>
        <v>Confirmado por laboratorio</v>
      </c>
      <c r="BH685" t="str">
        <f>"UNIVERSIDAD PONTIFICIA BOLIVARIANA"</f>
        <v>UNIVERSIDAD PONTIFICIA BOLIVARIANA</v>
      </c>
      <c r="BI685" t="str">
        <f t="shared" si="783"/>
        <v>COLOMBIA</v>
      </c>
      <c r="BJ685" t="str">
        <f t="shared" si="776"/>
        <v>CANCER INFANTIL</v>
      </c>
      <c r="BK685" t="str">
        <f>"ANTIOQUIA"</f>
        <v>ANTIOQUIA</v>
      </c>
      <c r="BL685" t="str">
        <f>"MEDELLIN"</f>
        <v>MEDELLIN</v>
      </c>
      <c r="BM685" t="str">
        <f t="shared" si="784"/>
        <v>COLOMBIA</v>
      </c>
      <c r="BN685" t="str">
        <f>"ANTIOQUIA"</f>
        <v>ANTIOQUIA</v>
      </c>
      <c r="BO685" t="str">
        <f>"MEDELLIN"</f>
        <v>MEDELLIN</v>
      </c>
      <c r="BP685" t="str">
        <f>"ANTIOQUIA"</f>
        <v>ANTIOQUIA</v>
      </c>
      <c r="BQ685" t="str">
        <f>"MEDELLIN"</f>
        <v>MEDELLIN</v>
      </c>
    </row>
    <row r="686" spans="1:69" x14ac:dyDescent="0.25">
      <c r="A686" t="str">
        <f>"7291508"</f>
        <v>7291508</v>
      </c>
      <c r="B686" t="str">
        <f t="shared" si="768"/>
        <v>459</v>
      </c>
      <c r="C686" t="str">
        <f>"6/03/2020 12:00:00 a. m."</f>
        <v>6/03/2020 12:00:00 a. m.</v>
      </c>
      <c r="D686" t="str">
        <f>"04"</f>
        <v>04</v>
      </c>
      <c r="E686" t="str">
        <f t="shared" si="769"/>
        <v>2020</v>
      </c>
      <c r="F686" t="str">
        <f>"1100105681"</f>
        <v>1100105681</v>
      </c>
      <c r="G686" t="str">
        <f t="shared" ref="G686:G691" si="810">"01"</f>
        <v>01</v>
      </c>
      <c r="H686" t="str">
        <f>"7"</f>
        <v>7</v>
      </c>
      <c r="I686" t="str">
        <f>"2"</f>
        <v>2</v>
      </c>
      <c r="J686" t="str">
        <f>"M"</f>
        <v>M</v>
      </c>
      <c r="K686" t="str">
        <f t="shared" si="781"/>
        <v>170</v>
      </c>
      <c r="L686" t="str">
        <f>"11"</f>
        <v>11</v>
      </c>
      <c r="M686" t="str">
        <f>"001"</f>
        <v>001</v>
      </c>
      <c r="N686" t="str">
        <f t="shared" si="809"/>
        <v>1</v>
      </c>
      <c r="O686" t="str">
        <f>"9999"</f>
        <v>9999</v>
      </c>
      <c r="P686" t="str">
        <f>"C"</f>
        <v>C</v>
      </c>
      <c r="Q686" t="str">
        <f>"EPS017"</f>
        <v>EPS017</v>
      </c>
      <c r="R686" t="str">
        <f t="shared" si="798"/>
        <v>6</v>
      </c>
      <c r="S686" t="str">
        <f>""</f>
        <v/>
      </c>
      <c r="T686" t="str">
        <f t="shared" si="799"/>
        <v xml:space="preserve">                                                                                                    </v>
      </c>
      <c r="U686" t="str">
        <f>"2         "</f>
        <v xml:space="preserve">2         </v>
      </c>
      <c r="V686" t="str">
        <f t="shared" si="748"/>
        <v>2</v>
      </c>
      <c r="W686" t="str">
        <f t="shared" si="787"/>
        <v>2</v>
      </c>
      <c r="X686" t="str">
        <f t="shared" si="797"/>
        <v>2</v>
      </c>
      <c r="Y686" t="str">
        <f t="shared" si="804"/>
        <v>2</v>
      </c>
      <c r="Z686" t="str">
        <f t="shared" si="804"/>
        <v>2</v>
      </c>
      <c r="AA686" t="str">
        <f t="shared" si="770"/>
        <v xml:space="preserve">          </v>
      </c>
      <c r="AB686" t="str">
        <f t="shared" si="756"/>
        <v>2</v>
      </c>
      <c r="AC686" t="str">
        <f t="shared" si="759"/>
        <v>2</v>
      </c>
      <c r="AD686" t="str">
        <f t="shared" si="805"/>
        <v>2</v>
      </c>
      <c r="AE686" t="str">
        <f t="shared" si="805"/>
        <v>2</v>
      </c>
      <c r="AF686" t="str">
        <f t="shared" si="805"/>
        <v>2</v>
      </c>
      <c r="AG686" t="str">
        <f t="shared" si="805"/>
        <v>2</v>
      </c>
      <c r="AH686" t="str">
        <f t="shared" si="789"/>
        <v>1</v>
      </c>
      <c r="AI686" t="str">
        <f t="shared" si="807"/>
        <v xml:space="preserve">1         </v>
      </c>
      <c r="AJ686" t="str">
        <f t="shared" si="782"/>
        <v>170</v>
      </c>
      <c r="AK686" t="str">
        <f>"11"</f>
        <v>11</v>
      </c>
      <c r="AL686" t="str">
        <f>"001"</f>
        <v>001</v>
      </c>
      <c r="AM686" t="str">
        <f>"11"</f>
        <v>11</v>
      </c>
      <c r="AN686" t="str">
        <f>"11001"</f>
        <v>11001</v>
      </c>
      <c r="AO686" t="str">
        <f>"20/01/2020 12:00:00 a. m."</f>
        <v>20/01/2020 12:00:00 a. m.</v>
      </c>
      <c r="AP686" t="str">
        <f>"20/12/2019 12:00:00 a. m."</f>
        <v>20/12/2019 12:00:00 a. m.</v>
      </c>
      <c r="AQ686" t="str">
        <f>"3"</f>
        <v>3</v>
      </c>
      <c r="AR686" t="str">
        <f t="shared" ref="AR686:AR691" si="811">"1"</f>
        <v>1</v>
      </c>
      <c r="AS686" t="str">
        <f>"20/01/2020 12:00:00 a. m."</f>
        <v>20/01/2020 12:00:00 a. m.</v>
      </c>
      <c r="AT686" t="str">
        <f t="shared" si="806"/>
        <v>1</v>
      </c>
      <c r="AU686" t="str">
        <f>""</f>
        <v/>
      </c>
      <c r="AV686" t="str">
        <f>"0"</f>
        <v>0</v>
      </c>
      <c r="AW686" t="str">
        <f>"8/07/2019 12:00:00 a. m."</f>
        <v>8/07/2019 12:00:00 a. m.</v>
      </c>
      <c r="AX686" t="str">
        <f>""</f>
        <v/>
      </c>
      <c r="AY686" t="str">
        <f t="shared" si="772"/>
        <v>30/04/2021 12:00:00 a. m.</v>
      </c>
      <c r="AZ686" t="str">
        <f>"6/03/2020 12:00:00 a. m."</f>
        <v>6/03/2020 12:00:00 a. m.</v>
      </c>
      <c r="BA686" t="str">
        <f>""</f>
        <v/>
      </c>
      <c r="BB686" t="str">
        <f>""</f>
        <v/>
      </c>
      <c r="BC686" t="str">
        <f>""</f>
        <v/>
      </c>
      <c r="BD686" t="str">
        <f t="shared" si="808"/>
        <v>1</v>
      </c>
      <c r="BE686" t="str">
        <f t="shared" si="808"/>
        <v>1</v>
      </c>
      <c r="BF686" t="str">
        <f t="shared" si="774"/>
        <v xml:space="preserve">3         </v>
      </c>
      <c r="BG686" t="str">
        <f t="shared" si="775"/>
        <v>Confirmado por laboratorio</v>
      </c>
      <c r="BH686" t="str">
        <f>"FUNDACION HOSPITAL DE LA MISERICORDIA"</f>
        <v>FUNDACION HOSPITAL DE LA MISERICORDIA</v>
      </c>
      <c r="BI686" t="str">
        <f t="shared" si="783"/>
        <v>COLOMBIA</v>
      </c>
      <c r="BJ686" t="str">
        <f t="shared" si="776"/>
        <v>CANCER INFANTIL</v>
      </c>
      <c r="BK686" t="str">
        <f>"BOGOTA"</f>
        <v>BOGOTA</v>
      </c>
      <c r="BL686" t="str">
        <f>"BOGOTA"</f>
        <v>BOGOTA</v>
      </c>
      <c r="BM686" t="str">
        <f t="shared" si="784"/>
        <v>COLOMBIA</v>
      </c>
      <c r="BN686" t="str">
        <f>"BOGOTA"</f>
        <v>BOGOTA</v>
      </c>
      <c r="BO686" t="str">
        <f>"BOGOTA"</f>
        <v>BOGOTA</v>
      </c>
      <c r="BP686" t="str">
        <f>"BOGOTA"</f>
        <v>BOGOTA</v>
      </c>
      <c r="BQ686" t="str">
        <f>"BOGOTA"</f>
        <v>BOGOTA</v>
      </c>
    </row>
    <row r="687" spans="1:69" x14ac:dyDescent="0.25">
      <c r="A687" t="str">
        <f>"7291632"</f>
        <v>7291632</v>
      </c>
      <c r="B687" t="str">
        <f t="shared" si="768"/>
        <v>459</v>
      </c>
      <c r="C687" t="str">
        <f>"21/02/2020 12:00:00 a. m."</f>
        <v>21/02/2020 12:00:00 a. m.</v>
      </c>
      <c r="D687" t="str">
        <f>"08"</f>
        <v>08</v>
      </c>
      <c r="E687" t="str">
        <f t="shared" si="769"/>
        <v>2020</v>
      </c>
      <c r="F687" t="str">
        <f>"2300100949"</f>
        <v>2300100949</v>
      </c>
      <c r="G687" t="str">
        <f t="shared" si="810"/>
        <v>01</v>
      </c>
      <c r="H687" t="str">
        <f>"16"</f>
        <v>16</v>
      </c>
      <c r="I687" t="str">
        <f t="shared" ref="I687:I712" si="812">"1"</f>
        <v>1</v>
      </c>
      <c r="J687" t="str">
        <f>"M"</f>
        <v>M</v>
      </c>
      <c r="K687" t="str">
        <f t="shared" si="781"/>
        <v>170</v>
      </c>
      <c r="L687" t="str">
        <f>"23"</f>
        <v>23</v>
      </c>
      <c r="M687" t="str">
        <f>"001"</f>
        <v>001</v>
      </c>
      <c r="N687" t="str">
        <f t="shared" si="809"/>
        <v>1</v>
      </c>
      <c r="O687" t="str">
        <f t="shared" ref="O687:O694" si="813">"9997"</f>
        <v>9997</v>
      </c>
      <c r="P687" t="str">
        <f>"S"</f>
        <v>S</v>
      </c>
      <c r="Q687" t="str">
        <f>"ESSC24"</f>
        <v>ESSC24</v>
      </c>
      <c r="R687" t="str">
        <f t="shared" si="798"/>
        <v>6</v>
      </c>
      <c r="S687" t="str">
        <f>""</f>
        <v/>
      </c>
      <c r="T687" t="str">
        <f t="shared" si="799"/>
        <v xml:space="preserve">                                                                                                    </v>
      </c>
      <c r="U687" t="str">
        <f>"1         "</f>
        <v xml:space="preserve">1         </v>
      </c>
      <c r="V687" t="str">
        <f t="shared" si="748"/>
        <v>2</v>
      </c>
      <c r="W687" t="str">
        <f t="shared" si="787"/>
        <v>2</v>
      </c>
      <c r="X687" t="str">
        <f t="shared" si="797"/>
        <v>2</v>
      </c>
      <c r="Y687" t="str">
        <f t="shared" si="804"/>
        <v>2</v>
      </c>
      <c r="Z687" t="str">
        <f t="shared" si="804"/>
        <v>2</v>
      </c>
      <c r="AA687" t="str">
        <f t="shared" si="770"/>
        <v xml:space="preserve">          </v>
      </c>
      <c r="AB687" t="str">
        <f t="shared" si="756"/>
        <v>2</v>
      </c>
      <c r="AC687" t="str">
        <f t="shared" si="759"/>
        <v>2</v>
      </c>
      <c r="AD687" t="str">
        <f t="shared" si="805"/>
        <v>2</v>
      </c>
      <c r="AE687" t="str">
        <f t="shared" si="805"/>
        <v>2</v>
      </c>
      <c r="AF687" t="str">
        <f t="shared" si="805"/>
        <v>2</v>
      </c>
      <c r="AG687" t="str">
        <f t="shared" si="805"/>
        <v>2</v>
      </c>
      <c r="AH687" t="str">
        <f t="shared" si="789"/>
        <v>1</v>
      </c>
      <c r="AI687" t="str">
        <f t="shared" si="807"/>
        <v xml:space="preserve">1         </v>
      </c>
      <c r="AJ687" t="str">
        <f t="shared" si="782"/>
        <v>170</v>
      </c>
      <c r="AK687" t="str">
        <f>"23"</f>
        <v>23</v>
      </c>
      <c r="AL687" t="str">
        <f>"001"</f>
        <v>001</v>
      </c>
      <c r="AM687" t="str">
        <f>"23"</f>
        <v>23</v>
      </c>
      <c r="AN687" t="str">
        <f>"23001"</f>
        <v>23001</v>
      </c>
      <c r="AO687" t="str">
        <f>"17/02/2020 12:00:00 a. m."</f>
        <v>17/02/2020 12:00:00 a. m.</v>
      </c>
      <c r="AP687" t="str">
        <f>"18/01/2020 12:00:00 a. m."</f>
        <v>18/01/2020 12:00:00 a. m.</v>
      </c>
      <c r="AQ687" t="str">
        <f>"2"</f>
        <v>2</v>
      </c>
      <c r="AR687" t="str">
        <f t="shared" si="811"/>
        <v>1</v>
      </c>
      <c r="AS687" t="str">
        <f>"17/02/2020 12:00:00 a. m."</f>
        <v>17/02/2020 12:00:00 a. m.</v>
      </c>
      <c r="AT687" t="str">
        <f t="shared" si="806"/>
        <v>1</v>
      </c>
      <c r="AU687" t="str">
        <f>""</f>
        <v/>
      </c>
      <c r="AV687" t="str">
        <f>"3"</f>
        <v>3</v>
      </c>
      <c r="AW687" t="str">
        <f>"14/08/2003 12:00:00 a. m."</f>
        <v>14/08/2003 12:00:00 a. m.</v>
      </c>
      <c r="AX687" t="str">
        <f>""</f>
        <v/>
      </c>
      <c r="AY687" t="str">
        <f t="shared" si="772"/>
        <v>30/04/2021 12:00:00 a. m.</v>
      </c>
      <c r="AZ687" t="str">
        <f>"15/10/2020 12:00:00 a. m."</f>
        <v>15/10/2020 12:00:00 a. m.</v>
      </c>
      <c r="BA687" t="str">
        <f>""</f>
        <v/>
      </c>
      <c r="BB687" t="str">
        <f>""</f>
        <v/>
      </c>
      <c r="BC687" t="str">
        <f>""</f>
        <v/>
      </c>
      <c r="BD687" t="str">
        <f t="shared" si="808"/>
        <v>1</v>
      </c>
      <c r="BE687" t="str">
        <f t="shared" si="808"/>
        <v>1</v>
      </c>
      <c r="BF687" t="str">
        <f t="shared" si="774"/>
        <v xml:space="preserve">3         </v>
      </c>
      <c r="BG687" t="str">
        <f t="shared" si="775"/>
        <v>Confirmado por laboratorio</v>
      </c>
      <c r="BH687" t="str">
        <f>"ONCOMEDICA S A"</f>
        <v>ONCOMEDICA S A</v>
      </c>
      <c r="BI687" t="str">
        <f t="shared" si="783"/>
        <v>COLOMBIA</v>
      </c>
      <c r="BJ687" t="str">
        <f t="shared" si="776"/>
        <v>CANCER INFANTIL</v>
      </c>
      <c r="BK687" t="str">
        <f>"CORDOBA"</f>
        <v>CORDOBA</v>
      </c>
      <c r="BL687" t="str">
        <f>"MONTERIA"</f>
        <v>MONTERIA</v>
      </c>
      <c r="BM687" t="str">
        <f t="shared" si="784"/>
        <v>COLOMBIA</v>
      </c>
      <c r="BN687" t="str">
        <f>"CORDOBA"</f>
        <v>CORDOBA</v>
      </c>
      <c r="BO687" t="str">
        <f>"MONTERIA"</f>
        <v>MONTERIA</v>
      </c>
      <c r="BP687" t="str">
        <f>"CORDOBA"</f>
        <v>CORDOBA</v>
      </c>
      <c r="BQ687" t="str">
        <f>"MONTERIA"</f>
        <v>MONTERIA</v>
      </c>
    </row>
    <row r="688" spans="1:69" x14ac:dyDescent="0.25">
      <c r="A688" t="str">
        <f>"7291521"</f>
        <v>7291521</v>
      </c>
      <c r="B688" t="str">
        <f t="shared" si="768"/>
        <v>459</v>
      </c>
      <c r="C688" t="str">
        <f>"20/11/2020 12:00:00 a. m."</f>
        <v>20/11/2020 12:00:00 a. m.</v>
      </c>
      <c r="D688" t="str">
        <f>"39"</f>
        <v>39</v>
      </c>
      <c r="E688" t="str">
        <f t="shared" si="769"/>
        <v>2020</v>
      </c>
      <c r="F688" t="str">
        <f>"1100105681"</f>
        <v>1100105681</v>
      </c>
      <c r="G688" t="str">
        <f t="shared" si="810"/>
        <v>01</v>
      </c>
      <c r="H688" t="str">
        <f>"14"</f>
        <v>14</v>
      </c>
      <c r="I688" t="str">
        <f t="shared" si="812"/>
        <v>1</v>
      </c>
      <c r="J688" t="str">
        <f>"F"</f>
        <v>F</v>
      </c>
      <c r="K688" t="str">
        <f t="shared" si="781"/>
        <v>170</v>
      </c>
      <c r="L688" t="str">
        <f>"11"</f>
        <v>11</v>
      </c>
      <c r="M688" t="str">
        <f>"001"</f>
        <v>001</v>
      </c>
      <c r="N688" t="str">
        <f t="shared" si="809"/>
        <v>1</v>
      </c>
      <c r="O688" t="str">
        <f t="shared" si="813"/>
        <v>9997</v>
      </c>
      <c r="P688" t="str">
        <f>"C"</f>
        <v>C</v>
      </c>
      <c r="Q688" t="str">
        <f>"EPS005"</f>
        <v>EPS005</v>
      </c>
      <c r="R688" t="str">
        <f t="shared" si="798"/>
        <v>6</v>
      </c>
      <c r="S688" t="str">
        <f>""</f>
        <v/>
      </c>
      <c r="T688" t="str">
        <f t="shared" si="799"/>
        <v xml:space="preserve">                                                                                                    </v>
      </c>
      <c r="U688" t="str">
        <f>"2         "</f>
        <v xml:space="preserve">2         </v>
      </c>
      <c r="V688" t="str">
        <f t="shared" si="748"/>
        <v>2</v>
      </c>
      <c r="W688" t="str">
        <f t="shared" si="787"/>
        <v>2</v>
      </c>
      <c r="X688" t="str">
        <f t="shared" si="797"/>
        <v>2</v>
      </c>
      <c r="Y688" t="str">
        <f t="shared" si="804"/>
        <v>2</v>
      </c>
      <c r="Z688" t="str">
        <f t="shared" si="804"/>
        <v>2</v>
      </c>
      <c r="AA688" t="str">
        <f t="shared" si="770"/>
        <v xml:space="preserve">          </v>
      </c>
      <c r="AB688" t="str">
        <f t="shared" si="756"/>
        <v>2</v>
      </c>
      <c r="AC688" t="str">
        <f t="shared" si="759"/>
        <v>2</v>
      </c>
      <c r="AD688" t="str">
        <f t="shared" si="805"/>
        <v>2</v>
      </c>
      <c r="AE688" t="str">
        <f t="shared" si="805"/>
        <v>2</v>
      </c>
      <c r="AF688" t="str">
        <f t="shared" si="805"/>
        <v>2</v>
      </c>
      <c r="AG688" t="str">
        <f t="shared" si="805"/>
        <v>2</v>
      </c>
      <c r="AH688" t="str">
        <f t="shared" si="789"/>
        <v>1</v>
      </c>
      <c r="AI688" t="str">
        <f t="shared" si="807"/>
        <v xml:space="preserve">1         </v>
      </c>
      <c r="AJ688" t="str">
        <f t="shared" si="782"/>
        <v>170</v>
      </c>
      <c r="AK688" t="str">
        <f>"11"</f>
        <v>11</v>
      </c>
      <c r="AL688" t="str">
        <f>"001"</f>
        <v>001</v>
      </c>
      <c r="AM688" t="str">
        <f t="shared" ref="AM688:AM694" si="814">"11"</f>
        <v>11</v>
      </c>
      <c r="AN688" t="str">
        <f t="shared" ref="AN688:AN694" si="815">"11001"</f>
        <v>11001</v>
      </c>
      <c r="AO688" t="str">
        <f>"22/09/2020 12:00:00 a. m."</f>
        <v>22/09/2020 12:00:00 a. m.</v>
      </c>
      <c r="AP688" t="str">
        <f>"18/09/2020 12:00:00 a. m."</f>
        <v>18/09/2020 12:00:00 a. m.</v>
      </c>
      <c r="AQ688" t="str">
        <f>"3"</f>
        <v>3</v>
      </c>
      <c r="AR688" t="str">
        <f t="shared" si="811"/>
        <v>1</v>
      </c>
      <c r="AS688" t="str">
        <f>"22/09/2020 12:00:00 a. m."</f>
        <v>22/09/2020 12:00:00 a. m.</v>
      </c>
      <c r="AT688" t="str">
        <f t="shared" si="806"/>
        <v>1</v>
      </c>
      <c r="AU688" t="str">
        <f>""</f>
        <v/>
      </c>
      <c r="AV688" t="str">
        <f>"0"</f>
        <v>0</v>
      </c>
      <c r="AW688" t="str">
        <f>"28/06/2006 12:00:00 a. m."</f>
        <v>28/06/2006 12:00:00 a. m.</v>
      </c>
      <c r="AX688" t="str">
        <f>""</f>
        <v/>
      </c>
      <c r="AY688" t="str">
        <f t="shared" si="772"/>
        <v>30/04/2021 12:00:00 a. m.</v>
      </c>
      <c r="AZ688" t="str">
        <f>"20/11/2020 12:00:00 a. m."</f>
        <v>20/11/2020 12:00:00 a. m.</v>
      </c>
      <c r="BA688" t="str">
        <f>""</f>
        <v/>
      </c>
      <c r="BB688" t="str">
        <f>""</f>
        <v/>
      </c>
      <c r="BC688" t="str">
        <f>""</f>
        <v/>
      </c>
      <c r="BD688" t="str">
        <f t="shared" si="808"/>
        <v>1</v>
      </c>
      <c r="BE688" t="str">
        <f t="shared" si="808"/>
        <v>1</v>
      </c>
      <c r="BF688" t="str">
        <f t="shared" si="774"/>
        <v xml:space="preserve">3         </v>
      </c>
      <c r="BG688" t="str">
        <f t="shared" si="775"/>
        <v>Confirmado por laboratorio</v>
      </c>
      <c r="BH688" t="str">
        <f>"FUNDACION HOSPITAL DE LA MISERICORDIA"</f>
        <v>FUNDACION HOSPITAL DE LA MISERICORDIA</v>
      </c>
      <c r="BI688" t="str">
        <f t="shared" si="783"/>
        <v>COLOMBIA</v>
      </c>
      <c r="BJ688" t="str">
        <f t="shared" si="776"/>
        <v>CANCER INFANTIL</v>
      </c>
      <c r="BK688" t="str">
        <f>"BOGOTA"</f>
        <v>BOGOTA</v>
      </c>
      <c r="BL688" t="str">
        <f>"BOGOTA"</f>
        <v>BOGOTA</v>
      </c>
      <c r="BM688" t="str">
        <f t="shared" si="784"/>
        <v>COLOMBIA</v>
      </c>
      <c r="BN688" t="str">
        <f>"BOGOTA"</f>
        <v>BOGOTA</v>
      </c>
      <c r="BO688" t="str">
        <f>"BOGOTA"</f>
        <v>BOGOTA</v>
      </c>
      <c r="BP688" t="str">
        <f>"BOGOTA"</f>
        <v>BOGOTA</v>
      </c>
      <c r="BQ688" t="str">
        <f>"BOGOTA"</f>
        <v>BOGOTA</v>
      </c>
    </row>
    <row r="689" spans="1:69" x14ac:dyDescent="0.25">
      <c r="A689" t="str">
        <f>"7291507"</f>
        <v>7291507</v>
      </c>
      <c r="B689" t="str">
        <f t="shared" si="768"/>
        <v>459</v>
      </c>
      <c r="C689" t="str">
        <f>"30/11/2020 12:00:00 a. m."</f>
        <v>30/11/2020 12:00:00 a. m.</v>
      </c>
      <c r="D689" t="str">
        <f>"47"</f>
        <v>47</v>
      </c>
      <c r="E689" t="str">
        <f t="shared" si="769"/>
        <v>2020</v>
      </c>
      <c r="F689" t="str">
        <f>"1100105618"</f>
        <v>1100105618</v>
      </c>
      <c r="G689" t="str">
        <f t="shared" si="810"/>
        <v>01</v>
      </c>
      <c r="H689" t="str">
        <f>"5"</f>
        <v>5</v>
      </c>
      <c r="I689" t="str">
        <f t="shared" si="812"/>
        <v>1</v>
      </c>
      <c r="J689" t="str">
        <f>"M"</f>
        <v>M</v>
      </c>
      <c r="K689" t="str">
        <f t="shared" si="781"/>
        <v>170</v>
      </c>
      <c r="L689" t="str">
        <f>"25"</f>
        <v>25</v>
      </c>
      <c r="M689" t="str">
        <f>"754"</f>
        <v>754</v>
      </c>
      <c r="N689" t="str">
        <f t="shared" si="809"/>
        <v>1</v>
      </c>
      <c r="O689" t="str">
        <f t="shared" si="813"/>
        <v>9997</v>
      </c>
      <c r="P689" t="str">
        <f>"C"</f>
        <v>C</v>
      </c>
      <c r="Q689" t="str">
        <f>"EPS008"</f>
        <v>EPS008</v>
      </c>
      <c r="R689" t="str">
        <f t="shared" si="798"/>
        <v>6</v>
      </c>
      <c r="S689" t="str">
        <f>""</f>
        <v/>
      </c>
      <c r="T689" t="str">
        <f t="shared" si="799"/>
        <v xml:space="preserve">                                                                                                    </v>
      </c>
      <c r="U689" t="str">
        <f>"3         "</f>
        <v xml:space="preserve">3         </v>
      </c>
      <c r="V689" t="str">
        <f t="shared" si="748"/>
        <v>2</v>
      </c>
      <c r="W689" t="str">
        <f t="shared" ref="W689:W701" si="816">"2"</f>
        <v>2</v>
      </c>
      <c r="X689" t="str">
        <f t="shared" si="797"/>
        <v>2</v>
      </c>
      <c r="Y689" t="str">
        <f t="shared" si="804"/>
        <v>2</v>
      </c>
      <c r="Z689" t="str">
        <f t="shared" si="804"/>
        <v>2</v>
      </c>
      <c r="AA689" t="str">
        <f t="shared" si="770"/>
        <v xml:space="preserve">          </v>
      </c>
      <c r="AB689" t="str">
        <f t="shared" si="756"/>
        <v>2</v>
      </c>
      <c r="AC689" t="str">
        <f t="shared" si="759"/>
        <v>2</v>
      </c>
      <c r="AD689" t="str">
        <f t="shared" si="805"/>
        <v>2</v>
      </c>
      <c r="AE689" t="str">
        <f t="shared" si="805"/>
        <v>2</v>
      </c>
      <c r="AF689" t="str">
        <f t="shared" si="805"/>
        <v>2</v>
      </c>
      <c r="AG689" t="str">
        <f t="shared" si="805"/>
        <v>2</v>
      </c>
      <c r="AH689" t="str">
        <f t="shared" si="789"/>
        <v>1</v>
      </c>
      <c r="AI689" t="str">
        <f>"2         "</f>
        <v xml:space="preserve">2         </v>
      </c>
      <c r="AJ689" t="str">
        <f t="shared" si="782"/>
        <v>170</v>
      </c>
      <c r="AK689" t="str">
        <f>"25"</f>
        <v>25</v>
      </c>
      <c r="AL689" t="str">
        <f>"754"</f>
        <v>754</v>
      </c>
      <c r="AM689" t="str">
        <f t="shared" si="814"/>
        <v>11</v>
      </c>
      <c r="AN689" t="str">
        <f t="shared" si="815"/>
        <v>11001</v>
      </c>
      <c r="AO689" t="str">
        <f>"21/11/2020 12:00:00 a. m."</f>
        <v>21/11/2020 12:00:00 a. m.</v>
      </c>
      <c r="AP689" t="str">
        <f>"21/11/2020 12:00:00 a. m."</f>
        <v>21/11/2020 12:00:00 a. m.</v>
      </c>
      <c r="AQ689" t="str">
        <f>"2"</f>
        <v>2</v>
      </c>
      <c r="AR689" t="str">
        <f t="shared" si="811"/>
        <v>1</v>
      </c>
      <c r="AS689" t="str">
        <f>"21/11/2020 12:00:00 a. m."</f>
        <v>21/11/2020 12:00:00 a. m.</v>
      </c>
      <c r="AT689" t="str">
        <f t="shared" si="806"/>
        <v>1</v>
      </c>
      <c r="AU689" t="str">
        <f>""</f>
        <v/>
      </c>
      <c r="AV689" t="str">
        <f>"3"</f>
        <v>3</v>
      </c>
      <c r="AW689" t="str">
        <f>"3/08/2015 12:00:00 a. m."</f>
        <v>3/08/2015 12:00:00 a. m.</v>
      </c>
      <c r="AX689" t="str">
        <f>""</f>
        <v/>
      </c>
      <c r="AY689" t="str">
        <f t="shared" si="772"/>
        <v>30/04/2021 12:00:00 a. m.</v>
      </c>
      <c r="AZ689" t="str">
        <f>"18/12/2020 12:00:00 a. m."</f>
        <v>18/12/2020 12:00:00 a. m.</v>
      </c>
      <c r="BA689" t="str">
        <f>""</f>
        <v/>
      </c>
      <c r="BB689" t="str">
        <f>""</f>
        <v/>
      </c>
      <c r="BC689" t="str">
        <f>""</f>
        <v/>
      </c>
      <c r="BD689" t="str">
        <f t="shared" si="808"/>
        <v>1</v>
      </c>
      <c r="BE689" t="str">
        <f t="shared" si="808"/>
        <v>1</v>
      </c>
      <c r="BF689" t="str">
        <f t="shared" si="774"/>
        <v xml:space="preserve">3         </v>
      </c>
      <c r="BG689" t="str">
        <f t="shared" si="775"/>
        <v>Confirmado por laboratorio</v>
      </c>
      <c r="BH689" t="str">
        <f>"HOSPITAL UNIVERSITARIO FUNDACION SANTA FE - USAQU"</f>
        <v>HOSPITAL UNIVERSITARIO FUNDACION SANTA FE - USAQU</v>
      </c>
      <c r="BI689" t="str">
        <f t="shared" si="783"/>
        <v>COLOMBIA</v>
      </c>
      <c r="BJ689" t="str">
        <f t="shared" si="776"/>
        <v>CANCER INFANTIL</v>
      </c>
      <c r="BK689" t="str">
        <f>"CUNDINAMARCA"</f>
        <v>CUNDINAMARCA</v>
      </c>
      <c r="BL689" t="str">
        <f>"SOACHA"</f>
        <v>SOACHA</v>
      </c>
      <c r="BM689" t="str">
        <f t="shared" si="784"/>
        <v>COLOMBIA</v>
      </c>
      <c r="BN689" t="str">
        <f>"CUNDINAMARCA"</f>
        <v>CUNDINAMARCA</v>
      </c>
      <c r="BO689" t="str">
        <f>"SOACHA"</f>
        <v>SOACHA</v>
      </c>
      <c r="BP689" t="str">
        <f t="shared" ref="BP689:BQ694" si="817">"BOGOTA"</f>
        <v>BOGOTA</v>
      </c>
      <c r="BQ689" t="str">
        <f t="shared" si="817"/>
        <v>BOGOTA</v>
      </c>
    </row>
    <row r="690" spans="1:69" x14ac:dyDescent="0.25">
      <c r="A690" t="str">
        <f>"7291372"</f>
        <v>7291372</v>
      </c>
      <c r="B690" t="str">
        <f t="shared" si="768"/>
        <v>459</v>
      </c>
      <c r="C690" t="str">
        <f>"26/02/2020 12:00:00 a. m."</f>
        <v>26/02/2020 12:00:00 a. m.</v>
      </c>
      <c r="D690" t="str">
        <f>"07"</f>
        <v>07</v>
      </c>
      <c r="E690" t="str">
        <f t="shared" si="769"/>
        <v>2020</v>
      </c>
      <c r="F690" t="str">
        <f>"1100106065"</f>
        <v>1100106065</v>
      </c>
      <c r="G690" t="str">
        <f t="shared" si="810"/>
        <v>01</v>
      </c>
      <c r="H690" t="str">
        <f>"13"</f>
        <v>13</v>
      </c>
      <c r="I690" t="str">
        <f t="shared" si="812"/>
        <v>1</v>
      </c>
      <c r="J690" t="str">
        <f>"F"</f>
        <v>F</v>
      </c>
      <c r="K690" t="str">
        <f t="shared" si="781"/>
        <v>170</v>
      </c>
      <c r="L690" t="str">
        <f>"25"</f>
        <v>25</v>
      </c>
      <c r="M690" t="str">
        <f>"754"</f>
        <v>754</v>
      </c>
      <c r="N690" t="str">
        <f t="shared" si="809"/>
        <v>1</v>
      </c>
      <c r="O690" t="str">
        <f t="shared" si="813"/>
        <v>9997</v>
      </c>
      <c r="P690" t="str">
        <f>"S"</f>
        <v>S</v>
      </c>
      <c r="Q690" t="str">
        <f>"ESS133"</f>
        <v>ESS133</v>
      </c>
      <c r="R690" t="str">
        <f t="shared" si="798"/>
        <v>6</v>
      </c>
      <c r="S690" t="str">
        <f>""</f>
        <v/>
      </c>
      <c r="T690" t="str">
        <f t="shared" si="799"/>
        <v xml:space="preserve">                                                                                                    </v>
      </c>
      <c r="U690" t="str">
        <f>"1         "</f>
        <v xml:space="preserve">1         </v>
      </c>
      <c r="V690" t="str">
        <f t="shared" si="748"/>
        <v>2</v>
      </c>
      <c r="W690" t="str">
        <f t="shared" si="816"/>
        <v>2</v>
      </c>
      <c r="X690" t="str">
        <f t="shared" si="797"/>
        <v>2</v>
      </c>
      <c r="Y690" t="str">
        <f t="shared" si="804"/>
        <v>2</v>
      </c>
      <c r="Z690" t="str">
        <f t="shared" si="804"/>
        <v>2</v>
      </c>
      <c r="AA690" t="str">
        <f t="shared" si="770"/>
        <v xml:space="preserve">          </v>
      </c>
      <c r="AB690" t="str">
        <f t="shared" si="756"/>
        <v>2</v>
      </c>
      <c r="AC690" t="str">
        <f t="shared" si="759"/>
        <v>2</v>
      </c>
      <c r="AD690" t="str">
        <f t="shared" si="805"/>
        <v>2</v>
      </c>
      <c r="AE690" t="str">
        <f t="shared" si="805"/>
        <v>2</v>
      </c>
      <c r="AF690" t="str">
        <f t="shared" si="805"/>
        <v>2</v>
      </c>
      <c r="AG690" t="str">
        <f t="shared" si="805"/>
        <v>2</v>
      </c>
      <c r="AH690" t="str">
        <f t="shared" si="789"/>
        <v>1</v>
      </c>
      <c r="AI690" t="str">
        <f>"1         "</f>
        <v xml:space="preserve">1         </v>
      </c>
      <c r="AJ690" t="str">
        <f t="shared" si="782"/>
        <v>170</v>
      </c>
      <c r="AK690" t="str">
        <f>"25"</f>
        <v>25</v>
      </c>
      <c r="AL690" t="str">
        <f>"754"</f>
        <v>754</v>
      </c>
      <c r="AM690" t="str">
        <f t="shared" si="814"/>
        <v>11</v>
      </c>
      <c r="AN690" t="str">
        <f t="shared" si="815"/>
        <v>11001</v>
      </c>
      <c r="AO690" t="str">
        <f>"14/02/2020 12:00:00 a. m."</f>
        <v>14/02/2020 12:00:00 a. m.</v>
      </c>
      <c r="AP690" t="str">
        <f>"11/11/2019 12:00:00 a. m."</f>
        <v>11/11/2019 12:00:00 a. m.</v>
      </c>
      <c r="AQ690" t="str">
        <f>"3"</f>
        <v>3</v>
      </c>
      <c r="AR690" t="str">
        <f t="shared" si="811"/>
        <v>1</v>
      </c>
      <c r="AS690" t="str">
        <f>"14/02/2020 12:00:00 a. m."</f>
        <v>14/02/2020 12:00:00 a. m.</v>
      </c>
      <c r="AT690" t="str">
        <f t="shared" si="806"/>
        <v>1</v>
      </c>
      <c r="AU690" t="str">
        <f>""</f>
        <v/>
      </c>
      <c r="AV690" t="str">
        <f>"7"</f>
        <v>7</v>
      </c>
      <c r="AW690" t="str">
        <f>"1/10/2006 12:00:00 a. m."</f>
        <v>1/10/2006 12:00:00 a. m.</v>
      </c>
      <c r="AX690" t="str">
        <f>""</f>
        <v/>
      </c>
      <c r="AY690" t="str">
        <f t="shared" si="772"/>
        <v>30/04/2021 12:00:00 a. m.</v>
      </c>
      <c r="AZ690" t="str">
        <f>"16/02/2021 12:00:00 a. m."</f>
        <v>16/02/2021 12:00:00 a. m.</v>
      </c>
      <c r="BA690" t="str">
        <f>""</f>
        <v/>
      </c>
      <c r="BB690" t="str">
        <f>""</f>
        <v/>
      </c>
      <c r="BC690" t="str">
        <f>""</f>
        <v/>
      </c>
      <c r="BD690" t="str">
        <f t="shared" si="808"/>
        <v>1</v>
      </c>
      <c r="BE690" t="str">
        <f t="shared" si="808"/>
        <v>1</v>
      </c>
      <c r="BF690" t="str">
        <f t="shared" si="774"/>
        <v xml:space="preserve">3         </v>
      </c>
      <c r="BG690" t="str">
        <f t="shared" si="775"/>
        <v>Confirmado por laboratorio</v>
      </c>
      <c r="BH690" t="str">
        <f>"ESE INSTITUTO NACIONAL DE CANCEROLOGIA"</f>
        <v>ESE INSTITUTO NACIONAL DE CANCEROLOGIA</v>
      </c>
      <c r="BI690" t="str">
        <f t="shared" si="783"/>
        <v>COLOMBIA</v>
      </c>
      <c r="BJ690" t="str">
        <f t="shared" si="776"/>
        <v>CANCER INFANTIL</v>
      </c>
      <c r="BK690" t="str">
        <f>"CUNDINAMARCA"</f>
        <v>CUNDINAMARCA</v>
      </c>
      <c r="BL690" t="str">
        <f>"SOACHA"</f>
        <v>SOACHA</v>
      </c>
      <c r="BM690" t="str">
        <f t="shared" si="784"/>
        <v>COLOMBIA</v>
      </c>
      <c r="BN690" t="str">
        <f>"CUNDINAMARCA"</f>
        <v>CUNDINAMARCA</v>
      </c>
      <c r="BO690" t="str">
        <f>"SOACHA"</f>
        <v>SOACHA</v>
      </c>
      <c r="BP690" t="str">
        <f t="shared" si="817"/>
        <v>BOGOTA</v>
      </c>
      <c r="BQ690" t="str">
        <f t="shared" si="817"/>
        <v>BOGOTA</v>
      </c>
    </row>
    <row r="691" spans="1:69" x14ac:dyDescent="0.25">
      <c r="A691" t="str">
        <f>"7291383"</f>
        <v>7291383</v>
      </c>
      <c r="B691" t="str">
        <f t="shared" si="768"/>
        <v>459</v>
      </c>
      <c r="C691" t="str">
        <f>"29/12/2020 12:00:00 a. m."</f>
        <v>29/12/2020 12:00:00 a. m.</v>
      </c>
      <c r="D691" t="str">
        <f>"53"</f>
        <v>53</v>
      </c>
      <c r="E691" t="str">
        <f t="shared" si="769"/>
        <v>2020</v>
      </c>
      <c r="F691" t="str">
        <f>"1100106065"</f>
        <v>1100106065</v>
      </c>
      <c r="G691" t="str">
        <f t="shared" si="810"/>
        <v>01</v>
      </c>
      <c r="H691" t="str">
        <f>"13"</f>
        <v>13</v>
      </c>
      <c r="I691" t="str">
        <f t="shared" si="812"/>
        <v>1</v>
      </c>
      <c r="J691" t="str">
        <f>"F"</f>
        <v>F</v>
      </c>
      <c r="K691" t="str">
        <f t="shared" si="781"/>
        <v>170</v>
      </c>
      <c r="L691" t="str">
        <f>"73"</f>
        <v>73</v>
      </c>
      <c r="M691" t="str">
        <f>"283"</f>
        <v>283</v>
      </c>
      <c r="N691" t="str">
        <f>"3"</f>
        <v>3</v>
      </c>
      <c r="O691" t="str">
        <f t="shared" si="813"/>
        <v>9997</v>
      </c>
      <c r="P691" t="str">
        <f>"S"</f>
        <v>S</v>
      </c>
      <c r="Q691" t="str">
        <f>"ESS133"</f>
        <v>ESS133</v>
      </c>
      <c r="R691" t="str">
        <f t="shared" si="798"/>
        <v>6</v>
      </c>
      <c r="S691" t="str">
        <f>""</f>
        <v/>
      </c>
      <c r="T691" t="str">
        <f t="shared" si="799"/>
        <v xml:space="preserve">                                                                                                    </v>
      </c>
      <c r="U691" t="str">
        <f>"1         "</f>
        <v xml:space="preserve">1         </v>
      </c>
      <c r="V691" t="str">
        <f t="shared" ref="V691:V754" si="818">"2"</f>
        <v>2</v>
      </c>
      <c r="W691" t="str">
        <f t="shared" si="816"/>
        <v>2</v>
      </c>
      <c r="X691" t="str">
        <f t="shared" si="797"/>
        <v>2</v>
      </c>
      <c r="Y691" t="str">
        <f t="shared" si="804"/>
        <v>2</v>
      </c>
      <c r="Z691" t="str">
        <f t="shared" si="804"/>
        <v>2</v>
      </c>
      <c r="AA691" t="str">
        <f t="shared" si="770"/>
        <v xml:space="preserve">          </v>
      </c>
      <c r="AB691" t="str">
        <f t="shared" si="756"/>
        <v>2</v>
      </c>
      <c r="AC691" t="str">
        <f t="shared" si="759"/>
        <v>2</v>
      </c>
      <c r="AD691" t="str">
        <f t="shared" si="805"/>
        <v>2</v>
      </c>
      <c r="AE691" t="str">
        <f t="shared" si="805"/>
        <v>2</v>
      </c>
      <c r="AF691" t="str">
        <f t="shared" si="805"/>
        <v>2</v>
      </c>
      <c r="AG691" t="str">
        <f t="shared" si="805"/>
        <v>2</v>
      </c>
      <c r="AH691" t="str">
        <f t="shared" ref="AH691:AH701" si="819">"1"</f>
        <v>1</v>
      </c>
      <c r="AI691" t="str">
        <f>"1         "</f>
        <v xml:space="preserve">1         </v>
      </c>
      <c r="AJ691" t="str">
        <f t="shared" si="782"/>
        <v>170</v>
      </c>
      <c r="AK691" t="str">
        <f>"73"</f>
        <v>73</v>
      </c>
      <c r="AL691" t="str">
        <f>"283"</f>
        <v>283</v>
      </c>
      <c r="AM691" t="str">
        <f t="shared" si="814"/>
        <v>11</v>
      </c>
      <c r="AN691" t="str">
        <f t="shared" si="815"/>
        <v>11001</v>
      </c>
      <c r="AO691" t="str">
        <f>"29/12/2020 12:00:00 a. m."</f>
        <v>29/12/2020 12:00:00 a. m.</v>
      </c>
      <c r="AP691" t="str">
        <f>"14/02/2020 12:00:00 a. m."</f>
        <v>14/02/2020 12:00:00 a. m.</v>
      </c>
      <c r="AQ691" t="str">
        <f>"3"</f>
        <v>3</v>
      </c>
      <c r="AR691" t="str">
        <f t="shared" si="811"/>
        <v>1</v>
      </c>
      <c r="AS691" t="str">
        <f>"29/12/2020 12:00:00 a. m."</f>
        <v>29/12/2020 12:00:00 a. m.</v>
      </c>
      <c r="AT691" t="str">
        <f t="shared" si="806"/>
        <v>1</v>
      </c>
      <c r="AU691" t="str">
        <f>""</f>
        <v/>
      </c>
      <c r="AV691" t="str">
        <f>"0"</f>
        <v>0</v>
      </c>
      <c r="AW691" t="str">
        <f>"16/04/2007 12:00:00 a. m."</f>
        <v>16/04/2007 12:00:00 a. m.</v>
      </c>
      <c r="AX691" t="str">
        <f>""</f>
        <v/>
      </c>
      <c r="AY691" t="str">
        <f t="shared" si="772"/>
        <v>30/04/2021 12:00:00 a. m.</v>
      </c>
      <c r="AZ691" t="str">
        <f>"8/01/2021 12:00:00 a. m."</f>
        <v>8/01/2021 12:00:00 a. m.</v>
      </c>
      <c r="BA691" t="str">
        <f>""</f>
        <v/>
      </c>
      <c r="BB691" t="str">
        <f>""</f>
        <v/>
      </c>
      <c r="BC691" t="str">
        <f>""</f>
        <v/>
      </c>
      <c r="BD691" t="str">
        <f t="shared" si="808"/>
        <v>1</v>
      </c>
      <c r="BE691" t="str">
        <f t="shared" si="808"/>
        <v>1</v>
      </c>
      <c r="BF691" t="str">
        <f t="shared" si="774"/>
        <v xml:space="preserve">3         </v>
      </c>
      <c r="BG691" t="str">
        <f t="shared" si="775"/>
        <v>Confirmado por laboratorio</v>
      </c>
      <c r="BH691" t="str">
        <f>"ESE INSTITUTO NACIONAL DE CANCEROLOGIA"</f>
        <v>ESE INSTITUTO NACIONAL DE CANCEROLOGIA</v>
      </c>
      <c r="BI691" t="str">
        <f t="shared" si="783"/>
        <v>COLOMBIA</v>
      </c>
      <c r="BJ691" t="str">
        <f t="shared" si="776"/>
        <v>CANCER INFANTIL</v>
      </c>
      <c r="BK691" t="str">
        <f>"TOLIMA"</f>
        <v>TOLIMA</v>
      </c>
      <c r="BL691" t="str">
        <f>"FRESNO"</f>
        <v>FRESNO</v>
      </c>
      <c r="BM691" t="str">
        <f t="shared" si="784"/>
        <v>COLOMBIA</v>
      </c>
      <c r="BN691" t="str">
        <f>"TOLIMA"</f>
        <v>TOLIMA</v>
      </c>
      <c r="BO691" t="str">
        <f>"FRESNO"</f>
        <v>FRESNO</v>
      </c>
      <c r="BP691" t="str">
        <f t="shared" si="817"/>
        <v>BOGOTA</v>
      </c>
      <c r="BQ691" t="str">
        <f t="shared" si="817"/>
        <v>BOGOTA</v>
      </c>
    </row>
    <row r="692" spans="1:69" x14ac:dyDescent="0.25">
      <c r="A692" t="str">
        <f>"7285645"</f>
        <v>7285645</v>
      </c>
      <c r="B692" t="str">
        <f t="shared" si="768"/>
        <v>459</v>
      </c>
      <c r="C692" t="str">
        <f>"17/02/2021 12:00:00 a. m."</f>
        <v>17/02/2021 12:00:00 a. m.</v>
      </c>
      <c r="D692" t="str">
        <f>"49"</f>
        <v>49</v>
      </c>
      <c r="E692" t="str">
        <f t="shared" si="769"/>
        <v>2020</v>
      </c>
      <c r="F692" t="str">
        <f>"1100123118"</f>
        <v>1100123118</v>
      </c>
      <c r="G692" t="str">
        <f>"04"</f>
        <v>04</v>
      </c>
      <c r="H692" t="str">
        <f>"13"</f>
        <v>13</v>
      </c>
      <c r="I692" t="str">
        <f t="shared" si="812"/>
        <v>1</v>
      </c>
      <c r="J692" t="str">
        <f>"F"</f>
        <v>F</v>
      </c>
      <c r="K692" t="str">
        <f t="shared" si="781"/>
        <v>170</v>
      </c>
      <c r="L692" t="str">
        <f>"11"</f>
        <v>11</v>
      </c>
      <c r="M692" t="str">
        <f>"001"</f>
        <v>001</v>
      </c>
      <c r="N692" t="str">
        <f t="shared" ref="N692:N700" si="820">"1"</f>
        <v>1</v>
      </c>
      <c r="O692" t="str">
        <f t="shared" si="813"/>
        <v>9997</v>
      </c>
      <c r="P692" t="str">
        <f>"P"</f>
        <v>P</v>
      </c>
      <c r="Q692" t="str">
        <f>"RES001"</f>
        <v>RES001</v>
      </c>
      <c r="R692" t="str">
        <f t="shared" si="798"/>
        <v>6</v>
      </c>
      <c r="S692" t="str">
        <f>""</f>
        <v/>
      </c>
      <c r="T692" t="str">
        <f t="shared" si="799"/>
        <v xml:space="preserve">                                                                                                    </v>
      </c>
      <c r="U692" t="str">
        <f>"3         "</f>
        <v xml:space="preserve">3         </v>
      </c>
      <c r="V692" t="str">
        <f t="shared" si="818"/>
        <v>2</v>
      </c>
      <c r="W692" t="str">
        <f t="shared" si="816"/>
        <v>2</v>
      </c>
      <c r="X692" t="str">
        <f t="shared" si="797"/>
        <v>2</v>
      </c>
      <c r="Y692" t="str">
        <f t="shared" si="804"/>
        <v>2</v>
      </c>
      <c r="Z692" t="str">
        <f t="shared" si="804"/>
        <v>2</v>
      </c>
      <c r="AA692" t="str">
        <f t="shared" si="770"/>
        <v xml:space="preserve">          </v>
      </c>
      <c r="AB692" t="str">
        <f t="shared" si="756"/>
        <v>2</v>
      </c>
      <c r="AC692" t="str">
        <f t="shared" si="759"/>
        <v>2</v>
      </c>
      <c r="AD692" t="str">
        <f t="shared" si="805"/>
        <v>2</v>
      </c>
      <c r="AE692" t="str">
        <f t="shared" si="805"/>
        <v>2</v>
      </c>
      <c r="AF692" t="str">
        <f t="shared" si="805"/>
        <v>2</v>
      </c>
      <c r="AG692" t="str">
        <f t="shared" si="805"/>
        <v>2</v>
      </c>
      <c r="AH692" t="str">
        <f t="shared" si="819"/>
        <v>1</v>
      </c>
      <c r="AI692" t="str">
        <f>"2         "</f>
        <v xml:space="preserve">2         </v>
      </c>
      <c r="AJ692" t="str">
        <f t="shared" si="782"/>
        <v>170</v>
      </c>
      <c r="AK692" t="str">
        <f>"11"</f>
        <v>11</v>
      </c>
      <c r="AL692" t="str">
        <f>"001"</f>
        <v>001</v>
      </c>
      <c r="AM692" t="str">
        <f t="shared" si="814"/>
        <v>11</v>
      </c>
      <c r="AN692" t="str">
        <f t="shared" si="815"/>
        <v>11001</v>
      </c>
      <c r="AO692" t="str">
        <f>"1/12/2020 12:00:00 a. m."</f>
        <v>1/12/2020 12:00:00 a. m.</v>
      </c>
      <c r="AP692" t="str">
        <f>"15/10/2020 12:00:00 a. m."</f>
        <v>15/10/2020 12:00:00 a. m.</v>
      </c>
      <c r="AQ692" t="str">
        <f>"2"</f>
        <v>2</v>
      </c>
      <c r="AR692" t="str">
        <f>"2"</f>
        <v>2</v>
      </c>
      <c r="AS692" t="str">
        <f>""</f>
        <v/>
      </c>
      <c r="AT692" t="str">
        <f t="shared" si="806"/>
        <v>1</v>
      </c>
      <c r="AU692" t="str">
        <f>""</f>
        <v/>
      </c>
      <c r="AV692" t="str">
        <f>"3"</f>
        <v>3</v>
      </c>
      <c r="AW692" t="str">
        <f>"19/09/2007 12:00:00 a. m."</f>
        <v>19/09/2007 12:00:00 a. m.</v>
      </c>
      <c r="AX692" t="str">
        <f>""</f>
        <v/>
      </c>
      <c r="AY692" t="str">
        <f t="shared" si="772"/>
        <v>30/04/2021 12:00:00 a. m.</v>
      </c>
      <c r="AZ692" t="str">
        <f>"8/04/2021 12:00:00 a. m."</f>
        <v>8/04/2021 12:00:00 a. m.</v>
      </c>
      <c r="BA692" t="str">
        <f>"7"</f>
        <v>7</v>
      </c>
      <c r="BB692" t="str">
        <f>"0000000001"</f>
        <v>0000000001</v>
      </c>
      <c r="BC692" t="str">
        <f>"000"</f>
        <v>000</v>
      </c>
      <c r="BD692" t="str">
        <f t="shared" si="808"/>
        <v>1</v>
      </c>
      <c r="BE692" t="str">
        <f t="shared" si="808"/>
        <v>1</v>
      </c>
      <c r="BF692" t="str">
        <f t="shared" si="774"/>
        <v xml:space="preserve">3         </v>
      </c>
      <c r="BG692" t="str">
        <f t="shared" si="775"/>
        <v>Confirmado por laboratorio</v>
      </c>
      <c r="BH692" t="str">
        <f>"EPS UNIDAD MEDICA BG EDGAR YESID DUARTE VALERO"</f>
        <v>EPS UNIDAD MEDICA BG EDGAR YESID DUARTE VALERO</v>
      </c>
      <c r="BI692" t="str">
        <f t="shared" si="783"/>
        <v>COLOMBIA</v>
      </c>
      <c r="BJ692" t="str">
        <f t="shared" si="776"/>
        <v>CANCER INFANTIL</v>
      </c>
      <c r="BK692" t="str">
        <f t="shared" ref="BK692:BL694" si="821">"BOGOTA"</f>
        <v>BOGOTA</v>
      </c>
      <c r="BL692" t="str">
        <f t="shared" si="821"/>
        <v>BOGOTA</v>
      </c>
      <c r="BM692" t="str">
        <f t="shared" si="784"/>
        <v>COLOMBIA</v>
      </c>
      <c r="BN692" t="str">
        <f t="shared" ref="BN692:BO694" si="822">"BOGOTA"</f>
        <v>BOGOTA</v>
      </c>
      <c r="BO692" t="str">
        <f t="shared" si="822"/>
        <v>BOGOTA</v>
      </c>
      <c r="BP692" t="str">
        <f t="shared" si="817"/>
        <v>BOGOTA</v>
      </c>
      <c r="BQ692" t="str">
        <f t="shared" si="817"/>
        <v>BOGOTA</v>
      </c>
    </row>
    <row r="693" spans="1:69" x14ac:dyDescent="0.25">
      <c r="A693" t="str">
        <f>"7285648"</f>
        <v>7285648</v>
      </c>
      <c r="B693" t="str">
        <f t="shared" si="768"/>
        <v>459</v>
      </c>
      <c r="C693" t="str">
        <f>"10/02/2020 12:00:00 a. m."</f>
        <v>10/02/2020 12:00:00 a. m.</v>
      </c>
      <c r="D693" t="str">
        <f>"03"</f>
        <v>03</v>
      </c>
      <c r="E693" t="str">
        <f t="shared" si="769"/>
        <v>2020</v>
      </c>
      <c r="F693" t="str">
        <f>"1100105681"</f>
        <v>1100105681</v>
      </c>
      <c r="G693" t="str">
        <f t="shared" ref="G693:G736" si="823">"01"</f>
        <v>01</v>
      </c>
      <c r="H693" t="str">
        <f>"11"</f>
        <v>11</v>
      </c>
      <c r="I693" t="str">
        <f t="shared" si="812"/>
        <v>1</v>
      </c>
      <c r="J693" t="str">
        <f>"F"</f>
        <v>F</v>
      </c>
      <c r="K693" t="str">
        <f t="shared" si="781"/>
        <v>170</v>
      </c>
      <c r="L693" t="str">
        <f>"11"</f>
        <v>11</v>
      </c>
      <c r="M693" t="str">
        <f>"001"</f>
        <v>001</v>
      </c>
      <c r="N693" t="str">
        <f t="shared" si="820"/>
        <v>1</v>
      </c>
      <c r="O693" t="str">
        <f t="shared" si="813"/>
        <v>9997</v>
      </c>
      <c r="P693" t="str">
        <f>"C"</f>
        <v>C</v>
      </c>
      <c r="Q693" t="str">
        <f>"EPS008"</f>
        <v>EPS008</v>
      </c>
      <c r="R693" t="str">
        <f t="shared" si="798"/>
        <v>6</v>
      </c>
      <c r="S693" t="str">
        <f>""</f>
        <v/>
      </c>
      <c r="T693" t="str">
        <f t="shared" si="799"/>
        <v xml:space="preserve">                                                                                                    </v>
      </c>
      <c r="U693" t="str">
        <f>"2         "</f>
        <v xml:space="preserve">2         </v>
      </c>
      <c r="V693" t="str">
        <f t="shared" si="818"/>
        <v>2</v>
      </c>
      <c r="W693" t="str">
        <f t="shared" si="816"/>
        <v>2</v>
      </c>
      <c r="X693" t="str">
        <f t="shared" si="797"/>
        <v>2</v>
      </c>
      <c r="Y693" t="str">
        <f t="shared" si="804"/>
        <v>2</v>
      </c>
      <c r="Z693" t="str">
        <f t="shared" si="804"/>
        <v>2</v>
      </c>
      <c r="AA693" t="str">
        <f t="shared" si="770"/>
        <v xml:space="preserve">          </v>
      </c>
      <c r="AB693" t="str">
        <f t="shared" si="756"/>
        <v>2</v>
      </c>
      <c r="AC693" t="str">
        <f t="shared" si="759"/>
        <v>2</v>
      </c>
      <c r="AD693" t="str">
        <f t="shared" si="805"/>
        <v>2</v>
      </c>
      <c r="AE693" t="str">
        <f t="shared" si="805"/>
        <v>2</v>
      </c>
      <c r="AF693" t="str">
        <f t="shared" si="805"/>
        <v>2</v>
      </c>
      <c r="AG693" t="str">
        <f t="shared" si="805"/>
        <v>2</v>
      </c>
      <c r="AH693" t="str">
        <f t="shared" si="819"/>
        <v>1</v>
      </c>
      <c r="AI693" t="str">
        <f t="shared" ref="AI693:AI704" si="824">"1         "</f>
        <v xml:space="preserve">1         </v>
      </c>
      <c r="AJ693" t="str">
        <f t="shared" si="782"/>
        <v>170</v>
      </c>
      <c r="AK693" t="str">
        <f>"11"</f>
        <v>11</v>
      </c>
      <c r="AL693" t="str">
        <f>"001"</f>
        <v>001</v>
      </c>
      <c r="AM693" t="str">
        <f t="shared" si="814"/>
        <v>11</v>
      </c>
      <c r="AN693" t="str">
        <f t="shared" si="815"/>
        <v>11001</v>
      </c>
      <c r="AO693" t="str">
        <f>"16/01/2020 12:00:00 a. m."</f>
        <v>16/01/2020 12:00:00 a. m.</v>
      </c>
      <c r="AP693" t="str">
        <f>"1/12/2019 12:00:00 a. m."</f>
        <v>1/12/2019 12:00:00 a. m.</v>
      </c>
      <c r="AQ693" t="str">
        <f>"3"</f>
        <v>3</v>
      </c>
      <c r="AR693" t="str">
        <f>"1"</f>
        <v>1</v>
      </c>
      <c r="AS693" t="str">
        <f>"16/01/2020 12:00:00 a. m."</f>
        <v>16/01/2020 12:00:00 a. m.</v>
      </c>
      <c r="AT693" t="str">
        <f t="shared" si="806"/>
        <v>1</v>
      </c>
      <c r="AU693" t="str">
        <f>""</f>
        <v/>
      </c>
      <c r="AV693" t="str">
        <f>"0"</f>
        <v>0</v>
      </c>
      <c r="AW693" t="str">
        <f>"31/01/2009 12:00:00 a. m."</f>
        <v>31/01/2009 12:00:00 a. m.</v>
      </c>
      <c r="AX693" t="str">
        <f>""</f>
        <v/>
      </c>
      <c r="AY693" t="str">
        <f t="shared" si="772"/>
        <v>30/04/2021 12:00:00 a. m.</v>
      </c>
      <c r="AZ693" t="str">
        <f>"13/02/2020 12:00:00 a. m."</f>
        <v>13/02/2020 12:00:00 a. m.</v>
      </c>
      <c r="BA693" t="str">
        <f>""</f>
        <v/>
      </c>
      <c r="BB693" t="str">
        <f>""</f>
        <v/>
      </c>
      <c r="BC693" t="str">
        <f>""</f>
        <v/>
      </c>
      <c r="BD693" t="str">
        <f t="shared" si="808"/>
        <v>1</v>
      </c>
      <c r="BE693" t="str">
        <f t="shared" si="808"/>
        <v>1</v>
      </c>
      <c r="BF693" t="str">
        <f t="shared" si="774"/>
        <v xml:space="preserve">3         </v>
      </c>
      <c r="BG693" t="str">
        <f t="shared" si="775"/>
        <v>Confirmado por laboratorio</v>
      </c>
      <c r="BH693" t="str">
        <f>"FUNDACION HOSPITAL DE LA MISERICORDIA"</f>
        <v>FUNDACION HOSPITAL DE LA MISERICORDIA</v>
      </c>
      <c r="BI693" t="str">
        <f t="shared" si="783"/>
        <v>COLOMBIA</v>
      </c>
      <c r="BJ693" t="str">
        <f t="shared" si="776"/>
        <v>CANCER INFANTIL</v>
      </c>
      <c r="BK693" t="str">
        <f t="shared" si="821"/>
        <v>BOGOTA</v>
      </c>
      <c r="BL693" t="str">
        <f t="shared" si="821"/>
        <v>BOGOTA</v>
      </c>
      <c r="BM693" t="str">
        <f t="shared" si="784"/>
        <v>COLOMBIA</v>
      </c>
      <c r="BN693" t="str">
        <f t="shared" si="822"/>
        <v>BOGOTA</v>
      </c>
      <c r="BO693" t="str">
        <f t="shared" si="822"/>
        <v>BOGOTA</v>
      </c>
      <c r="BP693" t="str">
        <f t="shared" si="817"/>
        <v>BOGOTA</v>
      </c>
      <c r="BQ693" t="str">
        <f t="shared" si="817"/>
        <v>BOGOTA</v>
      </c>
    </row>
    <row r="694" spans="1:69" x14ac:dyDescent="0.25">
      <c r="A694" t="str">
        <f>"7285651"</f>
        <v>7285651</v>
      </c>
      <c r="B694" t="str">
        <f t="shared" si="768"/>
        <v>459</v>
      </c>
      <c r="C694" t="str">
        <f>"21/11/2020 12:00:00 a. m."</f>
        <v>21/11/2020 12:00:00 a. m.</v>
      </c>
      <c r="D694" t="str">
        <f>"47"</f>
        <v>47</v>
      </c>
      <c r="E694" t="str">
        <f t="shared" si="769"/>
        <v>2020</v>
      </c>
      <c r="F694" t="str">
        <f>"1100125070"</f>
        <v>1100125070</v>
      </c>
      <c r="G694" t="str">
        <f t="shared" si="823"/>
        <v>01</v>
      </c>
      <c r="H694" t="str">
        <f>"5"</f>
        <v>5</v>
      </c>
      <c r="I694" t="str">
        <f t="shared" si="812"/>
        <v>1</v>
      </c>
      <c r="J694" t="str">
        <f>"F"</f>
        <v>F</v>
      </c>
      <c r="K694" t="str">
        <f t="shared" si="781"/>
        <v>170</v>
      </c>
      <c r="L694" t="str">
        <f>"11"</f>
        <v>11</v>
      </c>
      <c r="M694" t="str">
        <f>"001"</f>
        <v>001</v>
      </c>
      <c r="N694" t="str">
        <f t="shared" si="820"/>
        <v>1</v>
      </c>
      <c r="O694" t="str">
        <f t="shared" si="813"/>
        <v>9997</v>
      </c>
      <c r="P694" t="str">
        <f>"C"</f>
        <v>C</v>
      </c>
      <c r="Q694" t="str">
        <f>"EPS008"</f>
        <v>EPS008</v>
      </c>
      <c r="R694" t="str">
        <f t="shared" si="798"/>
        <v>6</v>
      </c>
      <c r="S694" t="str">
        <f>""</f>
        <v/>
      </c>
      <c r="T694" t="str">
        <f t="shared" si="799"/>
        <v xml:space="preserve">                                                                                                    </v>
      </c>
      <c r="U694" t="str">
        <f>"4         "</f>
        <v xml:space="preserve">4         </v>
      </c>
      <c r="V694" t="str">
        <f t="shared" si="818"/>
        <v>2</v>
      </c>
      <c r="W694" t="str">
        <f t="shared" si="816"/>
        <v>2</v>
      </c>
      <c r="X694" t="str">
        <f t="shared" si="797"/>
        <v>2</v>
      </c>
      <c r="Y694" t="str">
        <f t="shared" si="804"/>
        <v>2</v>
      </c>
      <c r="Z694" t="str">
        <f t="shared" si="804"/>
        <v>2</v>
      </c>
      <c r="AA694" t="str">
        <f t="shared" si="770"/>
        <v xml:space="preserve">          </v>
      </c>
      <c r="AB694" t="str">
        <f t="shared" si="756"/>
        <v>2</v>
      </c>
      <c r="AC694" t="str">
        <f t="shared" si="759"/>
        <v>2</v>
      </c>
      <c r="AD694" t="str">
        <f t="shared" si="805"/>
        <v>2</v>
      </c>
      <c r="AE694" t="str">
        <f t="shared" si="805"/>
        <v>2</v>
      </c>
      <c r="AF694" t="str">
        <f t="shared" si="805"/>
        <v>2</v>
      </c>
      <c r="AG694" t="str">
        <f t="shared" si="805"/>
        <v>2</v>
      </c>
      <c r="AH694" t="str">
        <f t="shared" si="819"/>
        <v>1</v>
      </c>
      <c r="AI694" t="str">
        <f t="shared" si="824"/>
        <v xml:space="preserve">1         </v>
      </c>
      <c r="AJ694" t="str">
        <f t="shared" si="782"/>
        <v>170</v>
      </c>
      <c r="AK694" t="str">
        <f>"11"</f>
        <v>11</v>
      </c>
      <c r="AL694" t="str">
        <f>"001"</f>
        <v>001</v>
      </c>
      <c r="AM694" t="str">
        <f t="shared" si="814"/>
        <v>11</v>
      </c>
      <c r="AN694" t="str">
        <f t="shared" si="815"/>
        <v>11001</v>
      </c>
      <c r="AO694" t="str">
        <f>"20/11/2020 12:00:00 a. m."</f>
        <v>20/11/2020 12:00:00 a. m.</v>
      </c>
      <c r="AP694" t="str">
        <f>"19/11/2020 12:00:00 a. m."</f>
        <v>19/11/2020 12:00:00 a. m.</v>
      </c>
      <c r="AQ694" t="str">
        <f>"2"</f>
        <v>2</v>
      </c>
      <c r="AR694" t="str">
        <f>"2"</f>
        <v>2</v>
      </c>
      <c r="AS694" t="str">
        <f>""</f>
        <v/>
      </c>
      <c r="AT694" t="str">
        <f t="shared" si="806"/>
        <v>1</v>
      </c>
      <c r="AU694" t="str">
        <f>""</f>
        <v/>
      </c>
      <c r="AV694" t="str">
        <f>"3"</f>
        <v>3</v>
      </c>
      <c r="AW694" t="str">
        <f>"3/09/2015 12:00:00 a. m."</f>
        <v>3/09/2015 12:00:00 a. m.</v>
      </c>
      <c r="AX694" t="str">
        <f>""</f>
        <v/>
      </c>
      <c r="AY694" t="str">
        <f t="shared" si="772"/>
        <v>30/04/2021 12:00:00 a. m.</v>
      </c>
      <c r="AZ694" t="str">
        <f>"14/12/2020 12:00:00 a. m."</f>
        <v>14/12/2020 12:00:00 a. m.</v>
      </c>
      <c r="BA694" t="str">
        <f>""</f>
        <v/>
      </c>
      <c r="BB694" t="str">
        <f>""</f>
        <v/>
      </c>
      <c r="BC694" t="str">
        <f>""</f>
        <v/>
      </c>
      <c r="BD694" t="str">
        <f t="shared" si="808"/>
        <v>1</v>
      </c>
      <c r="BE694" t="str">
        <f t="shared" si="808"/>
        <v>1</v>
      </c>
      <c r="BF694" t="str">
        <f t="shared" si="774"/>
        <v xml:space="preserve">3         </v>
      </c>
      <c r="BG694" t="str">
        <f t="shared" si="775"/>
        <v>Confirmado por laboratorio</v>
      </c>
      <c r="BH694" t="str">
        <f>"ADMINISTRADORA CLINICA LA COLINA"</f>
        <v>ADMINISTRADORA CLINICA LA COLINA</v>
      </c>
      <c r="BI694" t="str">
        <f t="shared" si="783"/>
        <v>COLOMBIA</v>
      </c>
      <c r="BJ694" t="str">
        <f t="shared" si="776"/>
        <v>CANCER INFANTIL</v>
      </c>
      <c r="BK694" t="str">
        <f t="shared" si="821"/>
        <v>BOGOTA</v>
      </c>
      <c r="BL694" t="str">
        <f t="shared" si="821"/>
        <v>BOGOTA</v>
      </c>
      <c r="BM694" t="str">
        <f t="shared" si="784"/>
        <v>COLOMBIA</v>
      </c>
      <c r="BN694" t="str">
        <f t="shared" si="822"/>
        <v>BOGOTA</v>
      </c>
      <c r="BO694" t="str">
        <f t="shared" si="822"/>
        <v>BOGOTA</v>
      </c>
      <c r="BP694" t="str">
        <f t="shared" si="817"/>
        <v>BOGOTA</v>
      </c>
      <c r="BQ694" t="str">
        <f t="shared" si="817"/>
        <v>BOGOTA</v>
      </c>
    </row>
    <row r="695" spans="1:69" x14ac:dyDescent="0.25">
      <c r="A695" t="str">
        <f>"7285666"</f>
        <v>7285666</v>
      </c>
      <c r="B695" t="str">
        <f t="shared" si="768"/>
        <v>459</v>
      </c>
      <c r="C695" t="str">
        <f>"21/12/2020 12:00:00 a. m."</f>
        <v>21/12/2020 12:00:00 a. m.</v>
      </c>
      <c r="D695" t="str">
        <f>"14"</f>
        <v>14</v>
      </c>
      <c r="E695" t="str">
        <f t="shared" si="769"/>
        <v>2020</v>
      </c>
      <c r="F695" t="str">
        <f>"0500102175"</f>
        <v>0500102175</v>
      </c>
      <c r="G695" t="str">
        <f t="shared" si="823"/>
        <v>01</v>
      </c>
      <c r="H695" t="str">
        <f>"4"</f>
        <v>4</v>
      </c>
      <c r="I695" t="str">
        <f t="shared" si="812"/>
        <v>1</v>
      </c>
      <c r="J695" t="str">
        <f>"M"</f>
        <v>M</v>
      </c>
      <c r="K695" t="str">
        <f t="shared" si="781"/>
        <v>170</v>
      </c>
      <c r="L695" t="str">
        <f>"05"</f>
        <v>05</v>
      </c>
      <c r="M695" t="str">
        <f>"001"</f>
        <v>001</v>
      </c>
      <c r="N695" t="str">
        <f t="shared" si="820"/>
        <v>1</v>
      </c>
      <c r="O695" t="str">
        <f>"9999"</f>
        <v>9999</v>
      </c>
      <c r="P695" t="str">
        <f>"C"</f>
        <v>C</v>
      </c>
      <c r="Q695" t="str">
        <f>"EPS010"</f>
        <v>EPS010</v>
      </c>
      <c r="R695" t="str">
        <f t="shared" si="798"/>
        <v>6</v>
      </c>
      <c r="S695" t="str">
        <f>""</f>
        <v/>
      </c>
      <c r="T695" t="str">
        <f t="shared" si="799"/>
        <v xml:space="preserve">                                                                                                    </v>
      </c>
      <c r="U695" t="str">
        <f>"2         "</f>
        <v xml:space="preserve">2         </v>
      </c>
      <c r="V695" t="str">
        <f t="shared" si="818"/>
        <v>2</v>
      </c>
      <c r="W695" t="str">
        <f t="shared" si="816"/>
        <v>2</v>
      </c>
      <c r="X695" t="str">
        <f t="shared" si="797"/>
        <v>2</v>
      </c>
      <c r="Y695" t="str">
        <f t="shared" si="804"/>
        <v>2</v>
      </c>
      <c r="Z695" t="str">
        <f t="shared" si="804"/>
        <v>2</v>
      </c>
      <c r="AA695" t="str">
        <f t="shared" si="770"/>
        <v xml:space="preserve">          </v>
      </c>
      <c r="AB695" t="str">
        <f t="shared" si="756"/>
        <v>2</v>
      </c>
      <c r="AC695" t="str">
        <f t="shared" si="759"/>
        <v>2</v>
      </c>
      <c r="AD695" t="str">
        <f t="shared" si="805"/>
        <v>2</v>
      </c>
      <c r="AE695" t="str">
        <f t="shared" si="805"/>
        <v>2</v>
      </c>
      <c r="AF695" t="str">
        <f t="shared" si="805"/>
        <v>2</v>
      </c>
      <c r="AG695" t="str">
        <f t="shared" si="805"/>
        <v>2</v>
      </c>
      <c r="AH695" t="str">
        <f t="shared" si="819"/>
        <v>1</v>
      </c>
      <c r="AI695" t="str">
        <f t="shared" si="824"/>
        <v xml:space="preserve">1         </v>
      </c>
      <c r="AJ695" t="str">
        <f t="shared" si="782"/>
        <v>170</v>
      </c>
      <c r="AK695" t="str">
        <f>"05"</f>
        <v>05</v>
      </c>
      <c r="AL695" t="str">
        <f>"001"</f>
        <v>001</v>
      </c>
      <c r="AM695" t="str">
        <f>"05"</f>
        <v>05</v>
      </c>
      <c r="AN695" t="str">
        <f>"05001"</f>
        <v>05001</v>
      </c>
      <c r="AO695" t="str">
        <f>"31/03/2020 12:00:00 a. m."</f>
        <v>31/03/2020 12:00:00 a. m.</v>
      </c>
      <c r="AP695" t="str">
        <f>"31/12/2019 12:00:00 a. m."</f>
        <v>31/12/2019 12:00:00 a. m.</v>
      </c>
      <c r="AQ695" t="str">
        <f t="shared" ref="AQ695:AQ708" si="825">"3"</f>
        <v>3</v>
      </c>
      <c r="AR695" t="str">
        <f t="shared" ref="AR695:AR704" si="826">"1"</f>
        <v>1</v>
      </c>
      <c r="AS695" t="str">
        <f>"31/03/2020 12:00:00 a. m."</f>
        <v>31/03/2020 12:00:00 a. m.</v>
      </c>
      <c r="AT695" t="str">
        <f t="shared" si="806"/>
        <v>1</v>
      </c>
      <c r="AU695" t="str">
        <f>""</f>
        <v/>
      </c>
      <c r="AV695" t="str">
        <f t="shared" ref="AV695:AV701" si="827">"0"</f>
        <v>0</v>
      </c>
      <c r="AW695" t="str">
        <f>"25/10/2016 12:00:00 a. m."</f>
        <v>25/10/2016 12:00:00 a. m.</v>
      </c>
      <c r="AX695" t="str">
        <f>""</f>
        <v/>
      </c>
      <c r="AY695" t="str">
        <f t="shared" si="772"/>
        <v>30/04/2021 12:00:00 a. m.</v>
      </c>
      <c r="AZ695" t="str">
        <f>"21/12/2020 12:00:00 a. m."</f>
        <v>21/12/2020 12:00:00 a. m.</v>
      </c>
      <c r="BA695" t="str">
        <f>""</f>
        <v/>
      </c>
      <c r="BB695" t="str">
        <f>""</f>
        <v/>
      </c>
      <c r="BC695" t="str">
        <f>""</f>
        <v/>
      </c>
      <c r="BD695" t="str">
        <f t="shared" si="808"/>
        <v>1</v>
      </c>
      <c r="BE695" t="str">
        <f t="shared" si="808"/>
        <v>1</v>
      </c>
      <c r="BF695" t="str">
        <f t="shared" si="774"/>
        <v xml:space="preserve">3         </v>
      </c>
      <c r="BG695" t="str">
        <f t="shared" si="775"/>
        <v>Confirmado por laboratorio</v>
      </c>
      <c r="BH695" t="str">
        <f>"FUNDACION HOSPITALARIA SAN VICENTE DE PAUL"</f>
        <v>FUNDACION HOSPITALARIA SAN VICENTE DE PAUL</v>
      </c>
      <c r="BI695" t="str">
        <f t="shared" si="783"/>
        <v>COLOMBIA</v>
      </c>
      <c r="BJ695" t="str">
        <f t="shared" si="776"/>
        <v>CANCER INFANTIL</v>
      </c>
      <c r="BK695" t="str">
        <f>"ANTIOQUIA"</f>
        <v>ANTIOQUIA</v>
      </c>
      <c r="BL695" t="str">
        <f>"MEDELLIN"</f>
        <v>MEDELLIN</v>
      </c>
      <c r="BM695" t="str">
        <f t="shared" si="784"/>
        <v>COLOMBIA</v>
      </c>
      <c r="BN695" t="str">
        <f>"ANTIOQUIA"</f>
        <v>ANTIOQUIA</v>
      </c>
      <c r="BO695" t="str">
        <f>"MEDELLIN"</f>
        <v>MEDELLIN</v>
      </c>
      <c r="BP695" t="str">
        <f>"ANTIOQUIA"</f>
        <v>ANTIOQUIA</v>
      </c>
      <c r="BQ695" t="str">
        <f>"MEDELLIN"</f>
        <v>MEDELLIN</v>
      </c>
    </row>
    <row r="696" spans="1:69" x14ac:dyDescent="0.25">
      <c r="A696" t="str">
        <f>"7285503"</f>
        <v>7285503</v>
      </c>
      <c r="B696" t="str">
        <f t="shared" si="768"/>
        <v>459</v>
      </c>
      <c r="C696" t="str">
        <f>"3/12/2020 12:00:00 a. m."</f>
        <v>3/12/2020 12:00:00 a. m.</v>
      </c>
      <c r="D696" t="str">
        <f>"49"</f>
        <v>49</v>
      </c>
      <c r="E696" t="str">
        <f t="shared" si="769"/>
        <v>2020</v>
      </c>
      <c r="F696" t="str">
        <f>"1700101096"</f>
        <v>1700101096</v>
      </c>
      <c r="G696" t="str">
        <f t="shared" si="823"/>
        <v>01</v>
      </c>
      <c r="H696" t="str">
        <f>"7"</f>
        <v>7</v>
      </c>
      <c r="I696" t="str">
        <f t="shared" si="812"/>
        <v>1</v>
      </c>
      <c r="J696" t="str">
        <f>"F"</f>
        <v>F</v>
      </c>
      <c r="K696" t="str">
        <f t="shared" si="781"/>
        <v>170</v>
      </c>
      <c r="L696" t="str">
        <f>"63"</f>
        <v>63</v>
      </c>
      <c r="M696" t="str">
        <f>"401"</f>
        <v>401</v>
      </c>
      <c r="N696" t="str">
        <f t="shared" si="820"/>
        <v>1</v>
      </c>
      <c r="O696" t="str">
        <f>"9998"</f>
        <v>9998</v>
      </c>
      <c r="P696" t="str">
        <f>"S"</f>
        <v>S</v>
      </c>
      <c r="Q696" t="str">
        <f>"EPSS45"</f>
        <v>EPSS45</v>
      </c>
      <c r="R696" t="str">
        <f t="shared" si="798"/>
        <v>6</v>
      </c>
      <c r="S696" t="str">
        <f>""</f>
        <v/>
      </c>
      <c r="T696" t="str">
        <f t="shared" si="799"/>
        <v xml:space="preserve">                                                                                                    </v>
      </c>
      <c r="U696" t="str">
        <f>"2         "</f>
        <v xml:space="preserve">2         </v>
      </c>
      <c r="V696" t="str">
        <f t="shared" si="818"/>
        <v>2</v>
      </c>
      <c r="W696" t="str">
        <f t="shared" si="816"/>
        <v>2</v>
      </c>
      <c r="X696" t="str">
        <f t="shared" si="797"/>
        <v>2</v>
      </c>
      <c r="Y696" t="str">
        <f t="shared" si="804"/>
        <v>2</v>
      </c>
      <c r="Z696" t="str">
        <f t="shared" si="804"/>
        <v>2</v>
      </c>
      <c r="AA696" t="str">
        <f t="shared" si="770"/>
        <v xml:space="preserve">          </v>
      </c>
      <c r="AB696" t="str">
        <f t="shared" si="756"/>
        <v>2</v>
      </c>
      <c r="AC696" t="str">
        <f t="shared" si="759"/>
        <v>2</v>
      </c>
      <c r="AD696" t="str">
        <f t="shared" si="805"/>
        <v>2</v>
      </c>
      <c r="AE696" t="str">
        <f t="shared" si="805"/>
        <v>2</v>
      </c>
      <c r="AF696" t="str">
        <f t="shared" si="805"/>
        <v>2</v>
      </c>
      <c r="AG696" t="str">
        <f t="shared" si="805"/>
        <v>2</v>
      </c>
      <c r="AH696" t="str">
        <f t="shared" si="819"/>
        <v>1</v>
      </c>
      <c r="AI696" t="str">
        <f t="shared" si="824"/>
        <v xml:space="preserve">1         </v>
      </c>
      <c r="AJ696" t="str">
        <f t="shared" si="782"/>
        <v>170</v>
      </c>
      <c r="AK696" t="str">
        <f>"63"</f>
        <v>63</v>
      </c>
      <c r="AL696" t="str">
        <f>"401"</f>
        <v>401</v>
      </c>
      <c r="AM696" t="str">
        <f>"17"</f>
        <v>17</v>
      </c>
      <c r="AN696" t="str">
        <f>"17001"</f>
        <v>17001</v>
      </c>
      <c r="AO696" t="str">
        <f>"29/11/2020 12:00:00 a. m."</f>
        <v>29/11/2020 12:00:00 a. m.</v>
      </c>
      <c r="AP696" t="str">
        <f>"29/10/2020 12:00:00 a. m."</f>
        <v>29/10/2020 12:00:00 a. m.</v>
      </c>
      <c r="AQ696" t="str">
        <f t="shared" si="825"/>
        <v>3</v>
      </c>
      <c r="AR696" t="str">
        <f t="shared" si="826"/>
        <v>1</v>
      </c>
      <c r="AS696" t="str">
        <f>"29/11/2020 12:00:00 a. m."</f>
        <v>29/11/2020 12:00:00 a. m.</v>
      </c>
      <c r="AT696" t="str">
        <f t="shared" si="806"/>
        <v>1</v>
      </c>
      <c r="AU696" t="str">
        <f>""</f>
        <v/>
      </c>
      <c r="AV696" t="str">
        <f t="shared" si="827"/>
        <v>0</v>
      </c>
      <c r="AW696" t="str">
        <f>"18/07/2013 12:00:00 a. m."</f>
        <v>18/07/2013 12:00:00 a. m.</v>
      </c>
      <c r="AX696" t="str">
        <f>""</f>
        <v/>
      </c>
      <c r="AY696" t="str">
        <f t="shared" si="772"/>
        <v>30/04/2021 12:00:00 a. m.</v>
      </c>
      <c r="AZ696" t="str">
        <f>"7/12/2020 12:00:00 a. m."</f>
        <v>7/12/2020 12:00:00 a. m.</v>
      </c>
      <c r="BA696" t="str">
        <f>""</f>
        <v/>
      </c>
      <c r="BB696" t="str">
        <f>""</f>
        <v/>
      </c>
      <c r="BC696" t="str">
        <f>""</f>
        <v/>
      </c>
      <c r="BD696" t="str">
        <f t="shared" si="808"/>
        <v>1</v>
      </c>
      <c r="BE696" t="str">
        <f t="shared" si="808"/>
        <v>1</v>
      </c>
      <c r="BF696" t="str">
        <f t="shared" si="774"/>
        <v xml:space="preserve">3         </v>
      </c>
      <c r="BG696" t="str">
        <f t="shared" si="775"/>
        <v>Confirmado por laboratorio</v>
      </c>
      <c r="BH696" t="str">
        <f>"ONCOLOGOS DE OCCIDENTE SA"</f>
        <v>ONCOLOGOS DE OCCIDENTE SA</v>
      </c>
      <c r="BI696" t="str">
        <f t="shared" si="783"/>
        <v>COLOMBIA</v>
      </c>
      <c r="BJ696" t="str">
        <f t="shared" si="776"/>
        <v>CANCER INFANTIL</v>
      </c>
      <c r="BK696" t="str">
        <f>"QUINDIO"</f>
        <v>QUINDIO</v>
      </c>
      <c r="BL696" t="str">
        <f>"LA TEBAIDA"</f>
        <v>LA TEBAIDA</v>
      </c>
      <c r="BM696" t="str">
        <f t="shared" si="784"/>
        <v>COLOMBIA</v>
      </c>
      <c r="BN696" t="str">
        <f>"QUINDIO"</f>
        <v>QUINDIO</v>
      </c>
      <c r="BO696" t="str">
        <f>"LA TEBAIDA"</f>
        <v>LA TEBAIDA</v>
      </c>
      <c r="BP696" t="str">
        <f>"CALDAS"</f>
        <v>CALDAS</v>
      </c>
      <c r="BQ696" t="str">
        <f>"MANIZALES"</f>
        <v>MANIZALES</v>
      </c>
    </row>
    <row r="697" spans="1:69" x14ac:dyDescent="0.25">
      <c r="A697" t="str">
        <f>"7285497"</f>
        <v>7285497</v>
      </c>
      <c r="B697" t="str">
        <f t="shared" si="768"/>
        <v>459</v>
      </c>
      <c r="C697" t="str">
        <f>"27/10/2020 12:00:00 a. m."</f>
        <v>27/10/2020 12:00:00 a. m.</v>
      </c>
      <c r="D697" t="str">
        <f>"40"</f>
        <v>40</v>
      </c>
      <c r="E697" t="str">
        <f t="shared" si="769"/>
        <v>2020</v>
      </c>
      <c r="F697" t="str">
        <f>"1100105681"</f>
        <v>1100105681</v>
      </c>
      <c r="G697" t="str">
        <f t="shared" si="823"/>
        <v>01</v>
      </c>
      <c r="H697" t="str">
        <f>"1"</f>
        <v>1</v>
      </c>
      <c r="I697" t="str">
        <f t="shared" si="812"/>
        <v>1</v>
      </c>
      <c r="J697" t="str">
        <f>"F"</f>
        <v>F</v>
      </c>
      <c r="K697" t="str">
        <f t="shared" si="781"/>
        <v>170</v>
      </c>
      <c r="L697" t="str">
        <f>"54"</f>
        <v>54</v>
      </c>
      <c r="M697" t="str">
        <f>"498"</f>
        <v>498</v>
      </c>
      <c r="N697" t="str">
        <f t="shared" si="820"/>
        <v>1</v>
      </c>
      <c r="O697" t="str">
        <f>"9999"</f>
        <v>9999</v>
      </c>
      <c r="P697" t="str">
        <f>"S"</f>
        <v>S</v>
      </c>
      <c r="Q697" t="str">
        <f>"ESS024"</f>
        <v>ESS024</v>
      </c>
      <c r="R697" t="str">
        <f t="shared" si="798"/>
        <v>6</v>
      </c>
      <c r="S697" t="str">
        <f>""</f>
        <v/>
      </c>
      <c r="T697" t="str">
        <f t="shared" si="799"/>
        <v xml:space="preserve">                                                                                                    </v>
      </c>
      <c r="U697" t="str">
        <f>"2         "</f>
        <v xml:space="preserve">2         </v>
      </c>
      <c r="V697" t="str">
        <f t="shared" si="818"/>
        <v>2</v>
      </c>
      <c r="W697" t="str">
        <f t="shared" si="816"/>
        <v>2</v>
      </c>
      <c r="X697" t="str">
        <f t="shared" si="797"/>
        <v>2</v>
      </c>
      <c r="Y697" t="str">
        <f t="shared" si="804"/>
        <v>2</v>
      </c>
      <c r="Z697" t="str">
        <f t="shared" si="804"/>
        <v>2</v>
      </c>
      <c r="AA697" t="str">
        <f t="shared" si="770"/>
        <v xml:space="preserve">          </v>
      </c>
      <c r="AB697" t="str">
        <f t="shared" si="756"/>
        <v>2</v>
      </c>
      <c r="AC697" t="str">
        <f t="shared" si="759"/>
        <v>2</v>
      </c>
      <c r="AD697" t="str">
        <f t="shared" si="805"/>
        <v>2</v>
      </c>
      <c r="AE697" t="str">
        <f t="shared" si="805"/>
        <v>2</v>
      </c>
      <c r="AF697" t="str">
        <f t="shared" si="805"/>
        <v>2</v>
      </c>
      <c r="AG697" t="str">
        <f t="shared" si="805"/>
        <v>2</v>
      </c>
      <c r="AH697" t="str">
        <f t="shared" si="819"/>
        <v>1</v>
      </c>
      <c r="AI697" t="str">
        <f t="shared" si="824"/>
        <v xml:space="preserve">1         </v>
      </c>
      <c r="AJ697" t="str">
        <f t="shared" si="782"/>
        <v>170</v>
      </c>
      <c r="AK697" t="str">
        <f>"54"</f>
        <v>54</v>
      </c>
      <c r="AL697" t="str">
        <f>"498"</f>
        <v>498</v>
      </c>
      <c r="AM697" t="str">
        <f>"11"</f>
        <v>11</v>
      </c>
      <c r="AN697" t="str">
        <f>"11001"</f>
        <v>11001</v>
      </c>
      <c r="AO697" t="str">
        <f>"30/09/2020 12:00:00 a. m."</f>
        <v>30/09/2020 12:00:00 a. m.</v>
      </c>
      <c r="AP697" t="str">
        <f>"1/05/2020 12:00:00 a. m."</f>
        <v>1/05/2020 12:00:00 a. m.</v>
      </c>
      <c r="AQ697" t="str">
        <f t="shared" si="825"/>
        <v>3</v>
      </c>
      <c r="AR697" t="str">
        <f t="shared" si="826"/>
        <v>1</v>
      </c>
      <c r="AS697" t="str">
        <f>"30/09/2020 12:00:00 a. m."</f>
        <v>30/09/2020 12:00:00 a. m.</v>
      </c>
      <c r="AT697" t="str">
        <f t="shared" si="806"/>
        <v>1</v>
      </c>
      <c r="AU697" t="str">
        <f>""</f>
        <v/>
      </c>
      <c r="AV697" t="str">
        <f t="shared" si="827"/>
        <v>0</v>
      </c>
      <c r="AW697" t="str">
        <f>"7/02/2019 12:00:00 a. m."</f>
        <v>7/02/2019 12:00:00 a. m.</v>
      </c>
      <c r="AX697" t="str">
        <f>""</f>
        <v/>
      </c>
      <c r="AY697" t="str">
        <f t="shared" si="772"/>
        <v>30/04/2021 12:00:00 a. m.</v>
      </c>
      <c r="AZ697" t="str">
        <f>"1/12/2020 12:00:00 a. m."</f>
        <v>1/12/2020 12:00:00 a. m.</v>
      </c>
      <c r="BA697" t="str">
        <f>""</f>
        <v/>
      </c>
      <c r="BB697" t="str">
        <f>""</f>
        <v/>
      </c>
      <c r="BC697" t="str">
        <f>""</f>
        <v/>
      </c>
      <c r="BD697" t="str">
        <f t="shared" si="808"/>
        <v>1</v>
      </c>
      <c r="BE697" t="str">
        <f t="shared" si="808"/>
        <v>1</v>
      </c>
      <c r="BF697" t="str">
        <f t="shared" si="774"/>
        <v xml:space="preserve">3         </v>
      </c>
      <c r="BG697" t="str">
        <f t="shared" si="775"/>
        <v>Confirmado por laboratorio</v>
      </c>
      <c r="BH697" t="str">
        <f>"FUNDACION HOSPITAL DE LA MISERICORDIA"</f>
        <v>FUNDACION HOSPITAL DE LA MISERICORDIA</v>
      </c>
      <c r="BI697" t="str">
        <f t="shared" si="783"/>
        <v>COLOMBIA</v>
      </c>
      <c r="BJ697" t="str">
        <f t="shared" si="776"/>
        <v>CANCER INFANTIL</v>
      </c>
      <c r="BK697" t="str">
        <f>"NORTE SANTANDER"</f>
        <v>NORTE SANTANDER</v>
      </c>
      <c r="BL697" t="str">
        <f>"OCAÑA"</f>
        <v>OCAÑA</v>
      </c>
      <c r="BM697" t="str">
        <f t="shared" si="784"/>
        <v>COLOMBIA</v>
      </c>
      <c r="BN697" t="str">
        <f>"NORTE SANTANDER"</f>
        <v>NORTE SANTANDER</v>
      </c>
      <c r="BO697" t="str">
        <f>"OCAÑA"</f>
        <v>OCAÑA</v>
      </c>
      <c r="BP697" t="str">
        <f t="shared" ref="BP697:BQ699" si="828">"BOGOTA"</f>
        <v>BOGOTA</v>
      </c>
      <c r="BQ697" t="str">
        <f t="shared" si="828"/>
        <v>BOGOTA</v>
      </c>
    </row>
    <row r="698" spans="1:69" x14ac:dyDescent="0.25">
      <c r="A698" t="str">
        <f>"7291522"</f>
        <v>7291522</v>
      </c>
      <c r="B698" t="str">
        <f t="shared" si="768"/>
        <v>459</v>
      </c>
      <c r="C698" t="str">
        <f>"5/02/2020 12:00:00 a. m."</f>
        <v>5/02/2020 12:00:00 a. m.</v>
      </c>
      <c r="D698" t="str">
        <f>"03"</f>
        <v>03</v>
      </c>
      <c r="E698" t="str">
        <f t="shared" si="769"/>
        <v>2020</v>
      </c>
      <c r="F698" t="str">
        <f>"1100105681"</f>
        <v>1100105681</v>
      </c>
      <c r="G698" t="str">
        <f t="shared" si="823"/>
        <v>01</v>
      </c>
      <c r="H698" t="str">
        <f>"15"</f>
        <v>15</v>
      </c>
      <c r="I698" t="str">
        <f t="shared" si="812"/>
        <v>1</v>
      </c>
      <c r="J698" t="str">
        <f>"M"</f>
        <v>M</v>
      </c>
      <c r="K698" t="str">
        <f t="shared" si="781"/>
        <v>170</v>
      </c>
      <c r="L698" t="str">
        <f>"11"</f>
        <v>11</v>
      </c>
      <c r="M698" t="str">
        <f>"001"</f>
        <v>001</v>
      </c>
      <c r="N698" t="str">
        <f t="shared" si="820"/>
        <v>1</v>
      </c>
      <c r="O698" t="str">
        <f>"9999"</f>
        <v>9999</v>
      </c>
      <c r="P698" t="str">
        <f>"C"</f>
        <v>C</v>
      </c>
      <c r="Q698" t="str">
        <f>"EPS008"</f>
        <v>EPS008</v>
      </c>
      <c r="R698" t="str">
        <f t="shared" si="798"/>
        <v>6</v>
      </c>
      <c r="S698" t="str">
        <f>""</f>
        <v/>
      </c>
      <c r="T698" t="str">
        <f t="shared" si="799"/>
        <v xml:space="preserve">                                                                                                    </v>
      </c>
      <c r="U698" t="str">
        <f>"2         "</f>
        <v xml:space="preserve">2         </v>
      </c>
      <c r="V698" t="str">
        <f t="shared" si="818"/>
        <v>2</v>
      </c>
      <c r="W698" t="str">
        <f t="shared" si="816"/>
        <v>2</v>
      </c>
      <c r="X698" t="str">
        <f t="shared" si="797"/>
        <v>2</v>
      </c>
      <c r="Y698" t="str">
        <f t="shared" si="804"/>
        <v>2</v>
      </c>
      <c r="Z698" t="str">
        <f t="shared" si="804"/>
        <v>2</v>
      </c>
      <c r="AA698" t="str">
        <f t="shared" si="770"/>
        <v xml:space="preserve">          </v>
      </c>
      <c r="AB698" t="str">
        <f t="shared" si="756"/>
        <v>2</v>
      </c>
      <c r="AC698" t="str">
        <f t="shared" si="759"/>
        <v>2</v>
      </c>
      <c r="AD698" t="str">
        <f t="shared" si="805"/>
        <v>2</v>
      </c>
      <c r="AE698" t="str">
        <f t="shared" si="805"/>
        <v>2</v>
      </c>
      <c r="AF698" t="str">
        <f t="shared" si="805"/>
        <v>2</v>
      </c>
      <c r="AG698" t="str">
        <f t="shared" si="805"/>
        <v>2</v>
      </c>
      <c r="AH698" t="str">
        <f t="shared" si="819"/>
        <v>1</v>
      </c>
      <c r="AI698" t="str">
        <f t="shared" si="824"/>
        <v xml:space="preserve">1         </v>
      </c>
      <c r="AJ698" t="str">
        <f t="shared" si="782"/>
        <v>170</v>
      </c>
      <c r="AK698" t="str">
        <f>"11"</f>
        <v>11</v>
      </c>
      <c r="AL698" t="str">
        <f>"001"</f>
        <v>001</v>
      </c>
      <c r="AM698" t="str">
        <f>"11"</f>
        <v>11</v>
      </c>
      <c r="AN698" t="str">
        <f>"11001"</f>
        <v>11001</v>
      </c>
      <c r="AO698" t="str">
        <f>"17/01/2020 12:00:00 a. m."</f>
        <v>17/01/2020 12:00:00 a. m.</v>
      </c>
      <c r="AP698" t="str">
        <f>"17/01/2020 12:00:00 a. m."</f>
        <v>17/01/2020 12:00:00 a. m.</v>
      </c>
      <c r="AQ698" t="str">
        <f t="shared" si="825"/>
        <v>3</v>
      </c>
      <c r="AR698" t="str">
        <f t="shared" si="826"/>
        <v>1</v>
      </c>
      <c r="AS698" t="str">
        <f>"17/01/2020 12:00:00 a. m."</f>
        <v>17/01/2020 12:00:00 a. m.</v>
      </c>
      <c r="AT698" t="str">
        <f t="shared" si="806"/>
        <v>1</v>
      </c>
      <c r="AU698" t="str">
        <f>""</f>
        <v/>
      </c>
      <c r="AV698" t="str">
        <f t="shared" si="827"/>
        <v>0</v>
      </c>
      <c r="AW698" t="str">
        <f>"25/04/2004 12:00:00 a. m."</f>
        <v>25/04/2004 12:00:00 a. m.</v>
      </c>
      <c r="AX698" t="str">
        <f>""</f>
        <v/>
      </c>
      <c r="AY698" t="str">
        <f t="shared" si="772"/>
        <v>30/04/2021 12:00:00 a. m.</v>
      </c>
      <c r="AZ698" t="str">
        <f>"12/02/2020 12:00:00 a. m."</f>
        <v>12/02/2020 12:00:00 a. m.</v>
      </c>
      <c r="BA698" t="str">
        <f>""</f>
        <v/>
      </c>
      <c r="BB698" t="str">
        <f>""</f>
        <v/>
      </c>
      <c r="BC698" t="str">
        <f>""</f>
        <v/>
      </c>
      <c r="BD698" t="str">
        <f t="shared" si="808"/>
        <v>1</v>
      </c>
      <c r="BE698" t="str">
        <f t="shared" si="808"/>
        <v>1</v>
      </c>
      <c r="BF698" t="str">
        <f t="shared" si="774"/>
        <v xml:space="preserve">3         </v>
      </c>
      <c r="BG698" t="str">
        <f t="shared" si="775"/>
        <v>Confirmado por laboratorio</v>
      </c>
      <c r="BH698" t="str">
        <f>"FUNDACION HOSPITAL DE LA MISERICORDIA"</f>
        <v>FUNDACION HOSPITAL DE LA MISERICORDIA</v>
      </c>
      <c r="BI698" t="str">
        <f t="shared" si="783"/>
        <v>COLOMBIA</v>
      </c>
      <c r="BJ698" t="str">
        <f t="shared" si="776"/>
        <v>CANCER INFANTIL</v>
      </c>
      <c r="BK698" t="str">
        <f>"BOGOTA"</f>
        <v>BOGOTA</v>
      </c>
      <c r="BL698" t="str">
        <f>"BOGOTA"</f>
        <v>BOGOTA</v>
      </c>
      <c r="BM698" t="str">
        <f t="shared" si="784"/>
        <v>COLOMBIA</v>
      </c>
      <c r="BN698" t="str">
        <f>"BOGOTA"</f>
        <v>BOGOTA</v>
      </c>
      <c r="BO698" t="str">
        <f>"BOGOTA"</f>
        <v>BOGOTA</v>
      </c>
      <c r="BP698" t="str">
        <f t="shared" si="828"/>
        <v>BOGOTA</v>
      </c>
      <c r="BQ698" t="str">
        <f t="shared" si="828"/>
        <v>BOGOTA</v>
      </c>
    </row>
    <row r="699" spans="1:69" x14ac:dyDescent="0.25">
      <c r="A699" t="str">
        <f>"7291524"</f>
        <v>7291524</v>
      </c>
      <c r="B699" t="str">
        <f t="shared" si="768"/>
        <v>459</v>
      </c>
      <c r="C699" t="str">
        <f>"2/02/2020 12:00:00 a. m."</f>
        <v>2/02/2020 12:00:00 a. m.</v>
      </c>
      <c r="D699" t="str">
        <f>"03"</f>
        <v>03</v>
      </c>
      <c r="E699" t="str">
        <f t="shared" si="769"/>
        <v>2020</v>
      </c>
      <c r="F699" t="str">
        <f>"1100105681"</f>
        <v>1100105681</v>
      </c>
      <c r="G699" t="str">
        <f t="shared" si="823"/>
        <v>01</v>
      </c>
      <c r="H699" t="str">
        <f>"14"</f>
        <v>14</v>
      </c>
      <c r="I699" t="str">
        <f t="shared" si="812"/>
        <v>1</v>
      </c>
      <c r="J699" t="str">
        <f>"F"</f>
        <v>F</v>
      </c>
      <c r="K699" t="str">
        <f t="shared" si="781"/>
        <v>170</v>
      </c>
      <c r="L699" t="str">
        <f>"11"</f>
        <v>11</v>
      </c>
      <c r="M699" t="str">
        <f>"001"</f>
        <v>001</v>
      </c>
      <c r="N699" t="str">
        <f t="shared" si="820"/>
        <v>1</v>
      </c>
      <c r="O699" t="str">
        <f>"9997"</f>
        <v>9997</v>
      </c>
      <c r="P699" t="str">
        <f>"C"</f>
        <v>C</v>
      </c>
      <c r="Q699" t="str">
        <f>"EPS005"</f>
        <v>EPS005</v>
      </c>
      <c r="R699" t="str">
        <f t="shared" si="798"/>
        <v>6</v>
      </c>
      <c r="S699" t="str">
        <f>""</f>
        <v/>
      </c>
      <c r="T699" t="str">
        <f t="shared" si="799"/>
        <v xml:space="preserve">                                                                                                    </v>
      </c>
      <c r="U699" t="str">
        <f>"2         "</f>
        <v xml:space="preserve">2         </v>
      </c>
      <c r="V699" t="str">
        <f t="shared" si="818"/>
        <v>2</v>
      </c>
      <c r="W699" t="str">
        <f t="shared" si="816"/>
        <v>2</v>
      </c>
      <c r="X699" t="str">
        <f t="shared" si="797"/>
        <v>2</v>
      </c>
      <c r="Y699" t="str">
        <f t="shared" ref="Y699:Z718" si="829">"2"</f>
        <v>2</v>
      </c>
      <c r="Z699" t="str">
        <f t="shared" si="829"/>
        <v>2</v>
      </c>
      <c r="AA699" t="str">
        <f t="shared" si="770"/>
        <v xml:space="preserve">          </v>
      </c>
      <c r="AB699" t="str">
        <f t="shared" si="756"/>
        <v>2</v>
      </c>
      <c r="AC699" t="str">
        <f t="shared" si="759"/>
        <v>2</v>
      </c>
      <c r="AD699" t="str">
        <f t="shared" si="805"/>
        <v>2</v>
      </c>
      <c r="AE699" t="str">
        <f t="shared" si="805"/>
        <v>2</v>
      </c>
      <c r="AF699" t="str">
        <f t="shared" si="805"/>
        <v>2</v>
      </c>
      <c r="AG699" t="str">
        <f t="shared" si="805"/>
        <v>2</v>
      </c>
      <c r="AH699" t="str">
        <f t="shared" si="819"/>
        <v>1</v>
      </c>
      <c r="AI699" t="str">
        <f t="shared" si="824"/>
        <v xml:space="preserve">1         </v>
      </c>
      <c r="AJ699" t="str">
        <f t="shared" si="782"/>
        <v>170</v>
      </c>
      <c r="AK699" t="str">
        <f>"11"</f>
        <v>11</v>
      </c>
      <c r="AL699" t="str">
        <f>"001"</f>
        <v>001</v>
      </c>
      <c r="AM699" t="str">
        <f>"11"</f>
        <v>11</v>
      </c>
      <c r="AN699" t="str">
        <f>"11001"</f>
        <v>11001</v>
      </c>
      <c r="AO699" t="str">
        <f>"17/01/2020 12:00:00 a. m."</f>
        <v>17/01/2020 12:00:00 a. m.</v>
      </c>
      <c r="AP699" t="str">
        <f>"10/01/2020 12:00:00 a. m."</f>
        <v>10/01/2020 12:00:00 a. m.</v>
      </c>
      <c r="AQ699" t="str">
        <f t="shared" si="825"/>
        <v>3</v>
      </c>
      <c r="AR699" t="str">
        <f t="shared" si="826"/>
        <v>1</v>
      </c>
      <c r="AS699" t="str">
        <f>"17/01/2020 12:00:00 a. m."</f>
        <v>17/01/2020 12:00:00 a. m.</v>
      </c>
      <c r="AT699" t="str">
        <f t="shared" si="806"/>
        <v>1</v>
      </c>
      <c r="AU699" t="str">
        <f>""</f>
        <v/>
      </c>
      <c r="AV699" t="str">
        <f t="shared" si="827"/>
        <v>0</v>
      </c>
      <c r="AW699" t="str">
        <f>"17/11/2005 12:00:00 a. m."</f>
        <v>17/11/2005 12:00:00 a. m.</v>
      </c>
      <c r="AX699" t="str">
        <f>""</f>
        <v/>
      </c>
      <c r="AY699" t="str">
        <f t="shared" si="772"/>
        <v>30/04/2021 12:00:00 a. m.</v>
      </c>
      <c r="AZ699" t="str">
        <f>"14/02/2020 12:00:00 a. m."</f>
        <v>14/02/2020 12:00:00 a. m.</v>
      </c>
      <c r="BA699" t="str">
        <f>""</f>
        <v/>
      </c>
      <c r="BB699" t="str">
        <f>""</f>
        <v/>
      </c>
      <c r="BC699" t="str">
        <f>""</f>
        <v/>
      </c>
      <c r="BD699" t="str">
        <f t="shared" si="808"/>
        <v>1</v>
      </c>
      <c r="BE699" t="str">
        <f t="shared" si="808"/>
        <v>1</v>
      </c>
      <c r="BF699" t="str">
        <f t="shared" si="774"/>
        <v xml:space="preserve">3         </v>
      </c>
      <c r="BG699" t="str">
        <f t="shared" si="775"/>
        <v>Confirmado por laboratorio</v>
      </c>
      <c r="BH699" t="str">
        <f>"FUNDACION HOSPITAL DE LA MISERICORDIA"</f>
        <v>FUNDACION HOSPITAL DE LA MISERICORDIA</v>
      </c>
      <c r="BI699" t="str">
        <f t="shared" si="783"/>
        <v>COLOMBIA</v>
      </c>
      <c r="BJ699" t="str">
        <f t="shared" si="776"/>
        <v>CANCER INFANTIL</v>
      </c>
      <c r="BK699" t="str">
        <f>"BOGOTA"</f>
        <v>BOGOTA</v>
      </c>
      <c r="BL699" t="str">
        <f>"BOGOTA"</f>
        <v>BOGOTA</v>
      </c>
      <c r="BM699" t="str">
        <f t="shared" si="784"/>
        <v>COLOMBIA</v>
      </c>
      <c r="BN699" t="str">
        <f>"BOGOTA"</f>
        <v>BOGOTA</v>
      </c>
      <c r="BO699" t="str">
        <f>"BOGOTA"</f>
        <v>BOGOTA</v>
      </c>
      <c r="BP699" t="str">
        <f t="shared" si="828"/>
        <v>BOGOTA</v>
      </c>
      <c r="BQ699" t="str">
        <f t="shared" si="828"/>
        <v>BOGOTA</v>
      </c>
    </row>
    <row r="700" spans="1:69" x14ac:dyDescent="0.25">
      <c r="A700" t="str">
        <f>"7291427"</f>
        <v>7291427</v>
      </c>
      <c r="B700" t="str">
        <f t="shared" si="768"/>
        <v>459</v>
      </c>
      <c r="C700" t="str">
        <f>"10/11/2020 12:00:00 a. m."</f>
        <v>10/11/2020 12:00:00 a. m.</v>
      </c>
      <c r="D700" t="str">
        <f>"41"</f>
        <v>41</v>
      </c>
      <c r="E700" t="str">
        <f t="shared" si="769"/>
        <v>2020</v>
      </c>
      <c r="F700" t="str">
        <f>"7600101111"</f>
        <v>7600101111</v>
      </c>
      <c r="G700" t="str">
        <f t="shared" si="823"/>
        <v>01</v>
      </c>
      <c r="H700" t="str">
        <f>"9"</f>
        <v>9</v>
      </c>
      <c r="I700" t="str">
        <f t="shared" si="812"/>
        <v>1</v>
      </c>
      <c r="J700" t="str">
        <f>"M"</f>
        <v>M</v>
      </c>
      <c r="K700" t="str">
        <f t="shared" si="781"/>
        <v>170</v>
      </c>
      <c r="L700" t="str">
        <f>"76"</f>
        <v>76</v>
      </c>
      <c r="M700" t="str">
        <f>"001"</f>
        <v>001</v>
      </c>
      <c r="N700" t="str">
        <f t="shared" si="820"/>
        <v>1</v>
      </c>
      <c r="O700" t="str">
        <f>"9997"</f>
        <v>9997</v>
      </c>
      <c r="P700" t="str">
        <f>"C"</f>
        <v>C</v>
      </c>
      <c r="Q700" t="str">
        <f>"EPS016"</f>
        <v>EPS016</v>
      </c>
      <c r="R700" t="str">
        <f t="shared" si="798"/>
        <v>6</v>
      </c>
      <c r="S700" t="str">
        <f>""</f>
        <v/>
      </c>
      <c r="T700" t="str">
        <f t="shared" si="799"/>
        <v xml:space="preserve">                                                                                                    </v>
      </c>
      <c r="U700" t="str">
        <f>"3         "</f>
        <v xml:space="preserve">3         </v>
      </c>
      <c r="V700" t="str">
        <f t="shared" si="818"/>
        <v>2</v>
      </c>
      <c r="W700" t="str">
        <f t="shared" si="816"/>
        <v>2</v>
      </c>
      <c r="X700" t="str">
        <f t="shared" si="797"/>
        <v>2</v>
      </c>
      <c r="Y700" t="str">
        <f t="shared" si="829"/>
        <v>2</v>
      </c>
      <c r="Z700" t="str">
        <f t="shared" si="829"/>
        <v>2</v>
      </c>
      <c r="AA700" t="str">
        <f t="shared" si="770"/>
        <v xml:space="preserve">          </v>
      </c>
      <c r="AB700" t="str">
        <f t="shared" ref="AB700:AB763" si="830">"2"</f>
        <v>2</v>
      </c>
      <c r="AC700" t="str">
        <f t="shared" si="759"/>
        <v>2</v>
      </c>
      <c r="AD700" t="str">
        <f t="shared" ref="AD700:AG719" si="831">"2"</f>
        <v>2</v>
      </c>
      <c r="AE700" t="str">
        <f t="shared" si="831"/>
        <v>2</v>
      </c>
      <c r="AF700" t="str">
        <f t="shared" si="831"/>
        <v>2</v>
      </c>
      <c r="AG700" t="str">
        <f t="shared" si="831"/>
        <v>2</v>
      </c>
      <c r="AH700" t="str">
        <f t="shared" si="819"/>
        <v>1</v>
      </c>
      <c r="AI700" t="str">
        <f t="shared" si="824"/>
        <v xml:space="preserve">1         </v>
      </c>
      <c r="AJ700" t="str">
        <f t="shared" si="782"/>
        <v>170</v>
      </c>
      <c r="AK700" t="str">
        <f>"76"</f>
        <v>76</v>
      </c>
      <c r="AL700" t="str">
        <f>"001"</f>
        <v>001</v>
      </c>
      <c r="AM700" t="str">
        <f>"76"</f>
        <v>76</v>
      </c>
      <c r="AN700" t="str">
        <f>"76001"</f>
        <v>76001</v>
      </c>
      <c r="AO700" t="str">
        <f>"10/10/2020 12:00:00 a. m."</f>
        <v>10/10/2020 12:00:00 a. m.</v>
      </c>
      <c r="AP700" t="str">
        <f>"4/10/2020 12:00:00 a. m."</f>
        <v>4/10/2020 12:00:00 a. m.</v>
      </c>
      <c r="AQ700" t="str">
        <f t="shared" si="825"/>
        <v>3</v>
      </c>
      <c r="AR700" t="str">
        <f t="shared" si="826"/>
        <v>1</v>
      </c>
      <c r="AS700" t="str">
        <f>"10/10/2020 12:00:00 a. m."</f>
        <v>10/10/2020 12:00:00 a. m.</v>
      </c>
      <c r="AT700" t="str">
        <f t="shared" si="806"/>
        <v>1</v>
      </c>
      <c r="AU700" t="str">
        <f>""</f>
        <v/>
      </c>
      <c r="AV700" t="str">
        <f t="shared" si="827"/>
        <v>0</v>
      </c>
      <c r="AW700" t="str">
        <f>"5/01/2011 12:00:00 a. m."</f>
        <v>5/01/2011 12:00:00 a. m.</v>
      </c>
      <c r="AX700" t="str">
        <f>""</f>
        <v/>
      </c>
      <c r="AY700" t="str">
        <f t="shared" si="772"/>
        <v>30/04/2021 12:00:00 a. m.</v>
      </c>
      <c r="AZ700" t="str">
        <f>"10/11/2020 12:00:00 a. m."</f>
        <v>10/11/2020 12:00:00 a. m.</v>
      </c>
      <c r="BA700" t="str">
        <f>""</f>
        <v/>
      </c>
      <c r="BB700" t="str">
        <f>""</f>
        <v/>
      </c>
      <c r="BC700" t="str">
        <f>""</f>
        <v/>
      </c>
      <c r="BD700" t="str">
        <f t="shared" si="808"/>
        <v>1</v>
      </c>
      <c r="BE700" t="str">
        <f t="shared" si="808"/>
        <v>1</v>
      </c>
      <c r="BF700" t="str">
        <f t="shared" si="774"/>
        <v xml:space="preserve">3         </v>
      </c>
      <c r="BG700" t="str">
        <f t="shared" si="775"/>
        <v>Confirmado por laboratorio</v>
      </c>
      <c r="BH700" t="str">
        <f>"CENTRO MEDICO IMBANACO CMI"</f>
        <v>CENTRO MEDICO IMBANACO CMI</v>
      </c>
      <c r="BI700" t="str">
        <f t="shared" si="783"/>
        <v>COLOMBIA</v>
      </c>
      <c r="BJ700" t="str">
        <f t="shared" si="776"/>
        <v>CANCER INFANTIL</v>
      </c>
      <c r="BK700" t="str">
        <f>"VALLE"</f>
        <v>VALLE</v>
      </c>
      <c r="BL700" t="str">
        <f>"CALI"</f>
        <v>CALI</v>
      </c>
      <c r="BM700" t="str">
        <f t="shared" si="784"/>
        <v>COLOMBIA</v>
      </c>
      <c r="BN700" t="str">
        <f>"VALLE"</f>
        <v>VALLE</v>
      </c>
      <c r="BO700" t="str">
        <f>"CALI"</f>
        <v>CALI</v>
      </c>
      <c r="BP700" t="str">
        <f>"VALLE"</f>
        <v>VALLE</v>
      </c>
      <c r="BQ700" t="str">
        <f>"CALI"</f>
        <v>CALI</v>
      </c>
    </row>
    <row r="701" spans="1:69" x14ac:dyDescent="0.25">
      <c r="A701" t="str">
        <f>"7291738"</f>
        <v>7291738</v>
      </c>
      <c r="B701" t="str">
        <f t="shared" si="768"/>
        <v>459</v>
      </c>
      <c r="C701" t="str">
        <f>"30/12/2020 12:00:00 a. m."</f>
        <v>30/12/2020 12:00:00 a. m.</v>
      </c>
      <c r="D701" t="str">
        <f>"53"</f>
        <v>53</v>
      </c>
      <c r="E701" t="str">
        <f t="shared" si="769"/>
        <v>2020</v>
      </c>
      <c r="F701" t="str">
        <f>"1100106065"</f>
        <v>1100106065</v>
      </c>
      <c r="G701" t="str">
        <f t="shared" si="823"/>
        <v>01</v>
      </c>
      <c r="H701" t="str">
        <f>"5"</f>
        <v>5</v>
      </c>
      <c r="I701" t="str">
        <f t="shared" si="812"/>
        <v>1</v>
      </c>
      <c r="J701" t="str">
        <f>"M"</f>
        <v>M</v>
      </c>
      <c r="K701" t="str">
        <f t="shared" si="781"/>
        <v>170</v>
      </c>
      <c r="L701" t="str">
        <f>"91"</f>
        <v>91</v>
      </c>
      <c r="M701" t="str">
        <f>"001"</f>
        <v>001</v>
      </c>
      <c r="N701" t="str">
        <f>"3"</f>
        <v>3</v>
      </c>
      <c r="O701" t="str">
        <f>"9999"</f>
        <v>9999</v>
      </c>
      <c r="P701" t="str">
        <f>"S"</f>
        <v>S</v>
      </c>
      <c r="Q701" t="str">
        <f>"EPSI05"</f>
        <v>EPSI05</v>
      </c>
      <c r="R701" t="str">
        <f>"1"</f>
        <v>1</v>
      </c>
      <c r="S701" t="str">
        <f>""</f>
        <v/>
      </c>
      <c r="T701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701" t="str">
        <f>"1         "</f>
        <v xml:space="preserve">1         </v>
      </c>
      <c r="V701" t="str">
        <f t="shared" si="818"/>
        <v>2</v>
      </c>
      <c r="W701" t="str">
        <f t="shared" si="816"/>
        <v>2</v>
      </c>
      <c r="X701" t="str">
        <f t="shared" si="797"/>
        <v>2</v>
      </c>
      <c r="Y701" t="str">
        <f t="shared" si="829"/>
        <v>2</v>
      </c>
      <c r="Z701" t="str">
        <f t="shared" si="829"/>
        <v>2</v>
      </c>
      <c r="AA701" t="str">
        <f t="shared" si="770"/>
        <v xml:space="preserve">          </v>
      </c>
      <c r="AB701" t="str">
        <f t="shared" si="830"/>
        <v>2</v>
      </c>
      <c r="AC701" t="str">
        <f t="shared" ref="AC701:AC764" si="832">"2"</f>
        <v>2</v>
      </c>
      <c r="AD701" t="str">
        <f t="shared" si="831"/>
        <v>2</v>
      </c>
      <c r="AE701" t="str">
        <f t="shared" si="831"/>
        <v>2</v>
      </c>
      <c r="AF701" t="str">
        <f t="shared" si="831"/>
        <v>2</v>
      </c>
      <c r="AG701" t="str">
        <f t="shared" si="831"/>
        <v>2</v>
      </c>
      <c r="AH701" t="str">
        <f t="shared" si="819"/>
        <v>1</v>
      </c>
      <c r="AI701" t="str">
        <f t="shared" si="824"/>
        <v xml:space="preserve">1         </v>
      </c>
      <c r="AJ701" t="str">
        <f t="shared" si="782"/>
        <v>170</v>
      </c>
      <c r="AK701" t="str">
        <f>"91"</f>
        <v>91</v>
      </c>
      <c r="AL701" t="str">
        <f>"001"</f>
        <v>001</v>
      </c>
      <c r="AM701" t="str">
        <f>"11"</f>
        <v>11</v>
      </c>
      <c r="AN701" t="str">
        <f>"11001"</f>
        <v>11001</v>
      </c>
      <c r="AO701" t="str">
        <f>"30/12/2020 12:00:00 a. m."</f>
        <v>30/12/2020 12:00:00 a. m.</v>
      </c>
      <c r="AP701" t="str">
        <f>"30/10/2020 12:00:00 a. m."</f>
        <v>30/10/2020 12:00:00 a. m.</v>
      </c>
      <c r="AQ701" t="str">
        <f t="shared" si="825"/>
        <v>3</v>
      </c>
      <c r="AR701" t="str">
        <f t="shared" si="826"/>
        <v>1</v>
      </c>
      <c r="AS701" t="str">
        <f>"30/12/2020 12:00:00 a. m."</f>
        <v>30/12/2020 12:00:00 a. m.</v>
      </c>
      <c r="AT701" t="str">
        <f t="shared" si="806"/>
        <v>1</v>
      </c>
      <c r="AU701" t="str">
        <f>""</f>
        <v/>
      </c>
      <c r="AV701" t="str">
        <f t="shared" si="827"/>
        <v>0</v>
      </c>
      <c r="AW701" t="str">
        <f>"27/02/2015 12:00:00 a. m."</f>
        <v>27/02/2015 12:00:00 a. m.</v>
      </c>
      <c r="AX701" t="str">
        <f>""</f>
        <v/>
      </c>
      <c r="AY701" t="str">
        <f t="shared" si="772"/>
        <v>30/04/2021 12:00:00 a. m.</v>
      </c>
      <c r="AZ701" t="str">
        <f>"15/02/2021 12:00:00 a. m."</f>
        <v>15/02/2021 12:00:00 a. m.</v>
      </c>
      <c r="BA701" t="str">
        <f>""</f>
        <v/>
      </c>
      <c r="BB701" t="str">
        <f>""</f>
        <v/>
      </c>
      <c r="BC701" t="str">
        <f>""</f>
        <v/>
      </c>
      <c r="BD701" t="str">
        <f t="shared" si="808"/>
        <v>1</v>
      </c>
      <c r="BE701" t="str">
        <f t="shared" si="808"/>
        <v>1</v>
      </c>
      <c r="BF701" t="str">
        <f t="shared" si="774"/>
        <v xml:space="preserve">3         </v>
      </c>
      <c r="BG701" t="str">
        <f t="shared" si="775"/>
        <v>Confirmado por laboratorio</v>
      </c>
      <c r="BH701" t="str">
        <f>"ESE INSTITUTO NACIONAL DE CANCEROLOGIA"</f>
        <v>ESE INSTITUTO NACIONAL DE CANCEROLOGIA</v>
      </c>
      <c r="BI701" t="str">
        <f t="shared" si="783"/>
        <v>COLOMBIA</v>
      </c>
      <c r="BJ701" t="str">
        <f t="shared" si="776"/>
        <v>CANCER INFANTIL</v>
      </c>
      <c r="BK701" t="str">
        <f>"AMAZONAS"</f>
        <v>AMAZONAS</v>
      </c>
      <c r="BL701" t="str">
        <f>"LETICIA"</f>
        <v>LETICIA</v>
      </c>
      <c r="BM701" t="str">
        <f t="shared" si="784"/>
        <v>COLOMBIA</v>
      </c>
      <c r="BN701" t="str">
        <f>"AMAZONAS"</f>
        <v>AMAZONAS</v>
      </c>
      <c r="BO701" t="str">
        <f>"LETICIA"</f>
        <v>LETICIA</v>
      </c>
      <c r="BP701" t="str">
        <f t="shared" ref="BP701:BQ703" si="833">"BOGOTA"</f>
        <v>BOGOTA</v>
      </c>
      <c r="BQ701" t="str">
        <f t="shared" si="833"/>
        <v>BOGOTA</v>
      </c>
    </row>
    <row r="702" spans="1:69" x14ac:dyDescent="0.25">
      <c r="A702" t="str">
        <f>"7291692"</f>
        <v>7291692</v>
      </c>
      <c r="B702" t="str">
        <f t="shared" si="768"/>
        <v>459</v>
      </c>
      <c r="C702" t="str">
        <f>"13/03/2020 12:00:00 a. m."</f>
        <v>13/03/2020 12:00:00 a. m.</v>
      </c>
      <c r="D702" t="str">
        <f>"08"</f>
        <v>08</v>
      </c>
      <c r="E702" t="str">
        <f t="shared" si="769"/>
        <v>2020</v>
      </c>
      <c r="F702" t="str">
        <f>"1100106065"</f>
        <v>1100106065</v>
      </c>
      <c r="G702" t="str">
        <f t="shared" si="823"/>
        <v>01</v>
      </c>
      <c r="H702" t="str">
        <f>"15"</f>
        <v>15</v>
      </c>
      <c r="I702" t="str">
        <f t="shared" si="812"/>
        <v>1</v>
      </c>
      <c r="J702" t="str">
        <f>"F"</f>
        <v>F</v>
      </c>
      <c r="K702" t="str">
        <f t="shared" si="781"/>
        <v>170</v>
      </c>
      <c r="L702" t="str">
        <f>"50"</f>
        <v>50</v>
      </c>
      <c r="M702" t="str">
        <f>"689"</f>
        <v>689</v>
      </c>
      <c r="N702" t="str">
        <f>"2"</f>
        <v>2</v>
      </c>
      <c r="O702" t="str">
        <f>"9997"</f>
        <v>9997</v>
      </c>
      <c r="P702" t="str">
        <f>"S"</f>
        <v>S</v>
      </c>
      <c r="Q702" t="str">
        <f>"EPSS34"</f>
        <v>EPSS34</v>
      </c>
      <c r="R702" t="str">
        <f t="shared" ref="R702:R733" si="834">"6"</f>
        <v>6</v>
      </c>
      <c r="S702" t="str">
        <f>""</f>
        <v/>
      </c>
      <c r="T702" t="str">
        <f t="shared" ref="T702:T733" si="835">"                                                                                                    "</f>
        <v xml:space="preserve">                                                                                                    </v>
      </c>
      <c r="U702" t="str">
        <f>"2         "</f>
        <v xml:space="preserve">2         </v>
      </c>
      <c r="V702" t="str">
        <f t="shared" si="818"/>
        <v>2</v>
      </c>
      <c r="W702" t="str">
        <f>"1"</f>
        <v>1</v>
      </c>
      <c r="X702" t="str">
        <f t="shared" si="797"/>
        <v>2</v>
      </c>
      <c r="Y702" t="str">
        <f t="shared" si="829"/>
        <v>2</v>
      </c>
      <c r="Z702" t="str">
        <f t="shared" si="829"/>
        <v>2</v>
      </c>
      <c r="AA702" t="str">
        <f t="shared" si="770"/>
        <v xml:space="preserve">          </v>
      </c>
      <c r="AB702" t="str">
        <f t="shared" si="830"/>
        <v>2</v>
      </c>
      <c r="AC702" t="str">
        <f t="shared" si="832"/>
        <v>2</v>
      </c>
      <c r="AD702" t="str">
        <f t="shared" si="831"/>
        <v>2</v>
      </c>
      <c r="AE702" t="str">
        <f t="shared" si="831"/>
        <v>2</v>
      </c>
      <c r="AF702" t="str">
        <f t="shared" si="831"/>
        <v>2</v>
      </c>
      <c r="AG702" t="str">
        <f t="shared" si="831"/>
        <v>2</v>
      </c>
      <c r="AH702" t="str">
        <f>"2"</f>
        <v>2</v>
      </c>
      <c r="AI702" t="str">
        <f t="shared" si="824"/>
        <v xml:space="preserve">1         </v>
      </c>
      <c r="AJ702" t="str">
        <f t="shared" si="782"/>
        <v>170</v>
      </c>
      <c r="AK702" t="str">
        <f>"50"</f>
        <v>50</v>
      </c>
      <c r="AL702" t="str">
        <f>"689"</f>
        <v>689</v>
      </c>
      <c r="AM702" t="str">
        <f>"11"</f>
        <v>11</v>
      </c>
      <c r="AN702" t="str">
        <f>"11001"</f>
        <v>11001</v>
      </c>
      <c r="AO702" t="str">
        <f>"22/02/2020 12:00:00 a. m."</f>
        <v>22/02/2020 12:00:00 a. m.</v>
      </c>
      <c r="AP702" t="str">
        <f>"2/02/2020 12:00:00 a. m."</f>
        <v>2/02/2020 12:00:00 a. m.</v>
      </c>
      <c r="AQ702" t="str">
        <f t="shared" si="825"/>
        <v>3</v>
      </c>
      <c r="AR702" t="str">
        <f t="shared" si="826"/>
        <v>1</v>
      </c>
      <c r="AS702" t="str">
        <f>"22/02/2020 12:00:00 a. m."</f>
        <v>22/02/2020 12:00:00 a. m.</v>
      </c>
      <c r="AT702" t="str">
        <f t="shared" si="806"/>
        <v>1</v>
      </c>
      <c r="AU702" t="str">
        <f>""</f>
        <v/>
      </c>
      <c r="AV702" t="str">
        <f>"7"</f>
        <v>7</v>
      </c>
      <c r="AW702" t="str">
        <f>"11/11/2004 12:00:00 a. m."</f>
        <v>11/11/2004 12:00:00 a. m.</v>
      </c>
      <c r="AX702" t="str">
        <f>""</f>
        <v/>
      </c>
      <c r="AY702" t="str">
        <f t="shared" si="772"/>
        <v>30/04/2021 12:00:00 a. m.</v>
      </c>
      <c r="AZ702" t="str">
        <f>"16/02/2021 12:00:00 a. m."</f>
        <v>16/02/2021 12:00:00 a. m.</v>
      </c>
      <c r="BA702" t="str">
        <f>""</f>
        <v/>
      </c>
      <c r="BB702" t="str">
        <f>""</f>
        <v/>
      </c>
      <c r="BC702" t="str">
        <f>""</f>
        <v/>
      </c>
      <c r="BD702" t="str">
        <f t="shared" ref="BD702:BE721" si="836">"1"</f>
        <v>1</v>
      </c>
      <c r="BE702" t="str">
        <f t="shared" si="836"/>
        <v>1</v>
      </c>
      <c r="BF702" t="str">
        <f t="shared" si="774"/>
        <v xml:space="preserve">3         </v>
      </c>
      <c r="BG702" t="str">
        <f t="shared" si="775"/>
        <v>Confirmado por laboratorio</v>
      </c>
      <c r="BH702" t="str">
        <f>"ESE INSTITUTO NACIONAL DE CANCEROLOGIA"</f>
        <v>ESE INSTITUTO NACIONAL DE CANCEROLOGIA</v>
      </c>
      <c r="BI702" t="str">
        <f t="shared" si="783"/>
        <v>COLOMBIA</v>
      </c>
      <c r="BJ702" t="str">
        <f t="shared" si="776"/>
        <v>CANCER INFANTIL</v>
      </c>
      <c r="BK702" t="str">
        <f>"META"</f>
        <v>META</v>
      </c>
      <c r="BL702" t="str">
        <f>"SAN MARTIN"</f>
        <v>SAN MARTIN</v>
      </c>
      <c r="BM702" t="str">
        <f t="shared" si="784"/>
        <v>COLOMBIA</v>
      </c>
      <c r="BN702" t="str">
        <f>"META"</f>
        <v>META</v>
      </c>
      <c r="BO702" t="str">
        <f>"SAN MARTIN"</f>
        <v>SAN MARTIN</v>
      </c>
      <c r="BP702" t="str">
        <f t="shared" si="833"/>
        <v>BOGOTA</v>
      </c>
      <c r="BQ702" t="str">
        <f t="shared" si="833"/>
        <v>BOGOTA</v>
      </c>
    </row>
    <row r="703" spans="1:69" x14ac:dyDescent="0.25">
      <c r="A703" t="str">
        <f>"7291800"</f>
        <v>7291800</v>
      </c>
      <c r="B703" t="str">
        <f t="shared" si="768"/>
        <v>459</v>
      </c>
      <c r="C703" t="str">
        <f>"25/03/2021 12:00:00 a. m."</f>
        <v>25/03/2021 12:00:00 a. m.</v>
      </c>
      <c r="D703" t="str">
        <f>"51"</f>
        <v>51</v>
      </c>
      <c r="E703" t="str">
        <f t="shared" si="769"/>
        <v>2020</v>
      </c>
      <c r="F703" t="str">
        <f>"1100105681"</f>
        <v>1100105681</v>
      </c>
      <c r="G703" t="str">
        <f t="shared" si="823"/>
        <v>01</v>
      </c>
      <c r="H703" t="str">
        <f>"11"</f>
        <v>11</v>
      </c>
      <c r="I703" t="str">
        <f t="shared" si="812"/>
        <v>1</v>
      </c>
      <c r="J703" t="str">
        <f>"M"</f>
        <v>M</v>
      </c>
      <c r="K703" t="str">
        <f t="shared" si="781"/>
        <v>170</v>
      </c>
      <c r="L703" t="str">
        <f>"11"</f>
        <v>11</v>
      </c>
      <c r="M703" t="str">
        <f>"001"</f>
        <v>001</v>
      </c>
      <c r="N703" t="str">
        <f>"1"</f>
        <v>1</v>
      </c>
      <c r="O703" t="str">
        <f>"9997"</f>
        <v>9997</v>
      </c>
      <c r="P703" t="str">
        <f>"C"</f>
        <v>C</v>
      </c>
      <c r="Q703" t="str">
        <f>"EPS017"</f>
        <v>EPS017</v>
      </c>
      <c r="R703" t="str">
        <f t="shared" si="834"/>
        <v>6</v>
      </c>
      <c r="S703" t="str">
        <f>""</f>
        <v/>
      </c>
      <c r="T703" t="str">
        <f t="shared" si="835"/>
        <v xml:space="preserve">                                                                                                    </v>
      </c>
      <c r="U703" t="str">
        <f>"2         "</f>
        <v xml:space="preserve">2         </v>
      </c>
      <c r="V703" t="str">
        <f t="shared" si="818"/>
        <v>2</v>
      </c>
      <c r="W703" t="str">
        <f t="shared" ref="W703:W734" si="837">"2"</f>
        <v>2</v>
      </c>
      <c r="X703" t="str">
        <f t="shared" si="797"/>
        <v>2</v>
      </c>
      <c r="Y703" t="str">
        <f t="shared" si="829"/>
        <v>2</v>
      </c>
      <c r="Z703" t="str">
        <f t="shared" si="829"/>
        <v>2</v>
      </c>
      <c r="AA703" t="str">
        <f t="shared" si="770"/>
        <v xml:space="preserve">          </v>
      </c>
      <c r="AB703" t="str">
        <f t="shared" si="830"/>
        <v>2</v>
      </c>
      <c r="AC703" t="str">
        <f t="shared" si="832"/>
        <v>2</v>
      </c>
      <c r="AD703" t="str">
        <f t="shared" si="831"/>
        <v>2</v>
      </c>
      <c r="AE703" t="str">
        <f t="shared" si="831"/>
        <v>2</v>
      </c>
      <c r="AF703" t="str">
        <f t="shared" si="831"/>
        <v>2</v>
      </c>
      <c r="AG703" t="str">
        <f t="shared" si="831"/>
        <v>2</v>
      </c>
      <c r="AH703" t="str">
        <f t="shared" ref="AH703:AH734" si="838">"1"</f>
        <v>1</v>
      </c>
      <c r="AI703" t="str">
        <f t="shared" si="824"/>
        <v xml:space="preserve">1         </v>
      </c>
      <c r="AJ703" t="str">
        <f t="shared" si="782"/>
        <v>170</v>
      </c>
      <c r="AK703" t="str">
        <f>"11"</f>
        <v>11</v>
      </c>
      <c r="AL703" t="str">
        <f>"001"</f>
        <v>001</v>
      </c>
      <c r="AM703" t="str">
        <f>"11"</f>
        <v>11</v>
      </c>
      <c r="AN703" t="str">
        <f>"11001"</f>
        <v>11001</v>
      </c>
      <c r="AO703" t="str">
        <f>"19/12/2020 12:00:00 a. m."</f>
        <v>19/12/2020 12:00:00 a. m.</v>
      </c>
      <c r="AP703" t="str">
        <f>"16/12/2020 12:00:00 a. m."</f>
        <v>16/12/2020 12:00:00 a. m.</v>
      </c>
      <c r="AQ703" t="str">
        <f t="shared" si="825"/>
        <v>3</v>
      </c>
      <c r="AR703" t="str">
        <f t="shared" si="826"/>
        <v>1</v>
      </c>
      <c r="AS703" t="str">
        <f>"19/12/2020 12:00:00 a. m."</f>
        <v>19/12/2020 12:00:00 a. m.</v>
      </c>
      <c r="AT703" t="str">
        <f t="shared" si="806"/>
        <v>1</v>
      </c>
      <c r="AU703" t="str">
        <f>""</f>
        <v/>
      </c>
      <c r="AV703" t="str">
        <f>"0"</f>
        <v>0</v>
      </c>
      <c r="AW703" t="str">
        <f>"14/11/2009 12:00:00 a. m."</f>
        <v>14/11/2009 12:00:00 a. m.</v>
      </c>
      <c r="AX703" t="str">
        <f>""</f>
        <v/>
      </c>
      <c r="AY703" t="str">
        <f t="shared" si="772"/>
        <v>30/04/2021 12:00:00 a. m.</v>
      </c>
      <c r="AZ703" t="str">
        <f>"25/03/2021 12:00:00 a. m."</f>
        <v>25/03/2021 12:00:00 a. m.</v>
      </c>
      <c r="BA703" t="str">
        <f>""</f>
        <v/>
      </c>
      <c r="BB703" t="str">
        <f>""</f>
        <v/>
      </c>
      <c r="BC703" t="str">
        <f>""</f>
        <v/>
      </c>
      <c r="BD703" t="str">
        <f t="shared" si="836"/>
        <v>1</v>
      </c>
      <c r="BE703" t="str">
        <f t="shared" si="836"/>
        <v>1</v>
      </c>
      <c r="BF703" t="str">
        <f t="shared" si="774"/>
        <v xml:space="preserve">3         </v>
      </c>
      <c r="BG703" t="str">
        <f t="shared" si="775"/>
        <v>Confirmado por laboratorio</v>
      </c>
      <c r="BH703" t="str">
        <f>"FUNDACION HOSPITAL DE LA MISERICORDIA"</f>
        <v>FUNDACION HOSPITAL DE LA MISERICORDIA</v>
      </c>
      <c r="BI703" t="str">
        <f t="shared" si="783"/>
        <v>COLOMBIA</v>
      </c>
      <c r="BJ703" t="str">
        <f t="shared" si="776"/>
        <v>CANCER INFANTIL</v>
      </c>
      <c r="BK703" t="str">
        <f>"BOGOTA"</f>
        <v>BOGOTA</v>
      </c>
      <c r="BL703" t="str">
        <f>"BOGOTA"</f>
        <v>BOGOTA</v>
      </c>
      <c r="BM703" t="str">
        <f t="shared" si="784"/>
        <v>COLOMBIA</v>
      </c>
      <c r="BN703" t="str">
        <f>"BOGOTA"</f>
        <v>BOGOTA</v>
      </c>
      <c r="BO703" t="str">
        <f>"BOGOTA"</f>
        <v>BOGOTA</v>
      </c>
      <c r="BP703" t="str">
        <f t="shared" si="833"/>
        <v>BOGOTA</v>
      </c>
      <c r="BQ703" t="str">
        <f t="shared" si="833"/>
        <v>BOGOTA</v>
      </c>
    </row>
    <row r="704" spans="1:69" x14ac:dyDescent="0.25">
      <c r="A704" t="str">
        <f>"7291601"</f>
        <v>7291601</v>
      </c>
      <c r="B704" t="str">
        <f t="shared" si="768"/>
        <v>459</v>
      </c>
      <c r="C704" t="str">
        <f>"11/11/2020 12:00:00 a. m."</f>
        <v>11/11/2020 12:00:00 a. m.</v>
      </c>
      <c r="D704" t="str">
        <f>"44"</f>
        <v>44</v>
      </c>
      <c r="E704" t="str">
        <f t="shared" si="769"/>
        <v>2020</v>
      </c>
      <c r="F704" t="str">
        <f>"6854704947"</f>
        <v>6854704947</v>
      </c>
      <c r="G704" t="str">
        <f t="shared" si="823"/>
        <v>01</v>
      </c>
      <c r="H704" t="str">
        <f>"14"</f>
        <v>14</v>
      </c>
      <c r="I704" t="str">
        <f t="shared" si="812"/>
        <v>1</v>
      </c>
      <c r="J704" t="str">
        <f>"M"</f>
        <v>M</v>
      </c>
      <c r="K704" t="str">
        <f t="shared" si="781"/>
        <v>170</v>
      </c>
      <c r="L704" t="str">
        <f>"20"</f>
        <v>20</v>
      </c>
      <c r="M704" t="str">
        <f>"400"</f>
        <v>400</v>
      </c>
      <c r="N704" t="str">
        <f>"1"</f>
        <v>1</v>
      </c>
      <c r="O704" t="str">
        <f>"9997"</f>
        <v>9997</v>
      </c>
      <c r="P704" t="str">
        <f>"S"</f>
        <v>S</v>
      </c>
      <c r="Q704" t="str">
        <f>"ESS062"</f>
        <v>ESS062</v>
      </c>
      <c r="R704" t="str">
        <f t="shared" si="834"/>
        <v>6</v>
      </c>
      <c r="S704" t="str">
        <f>""</f>
        <v/>
      </c>
      <c r="T704" t="str">
        <f t="shared" si="835"/>
        <v xml:space="preserve">                                                                                                    </v>
      </c>
      <c r="U704" t="str">
        <f>"1         "</f>
        <v xml:space="preserve">1         </v>
      </c>
      <c r="V704" t="str">
        <f t="shared" si="818"/>
        <v>2</v>
      </c>
      <c r="W704" t="str">
        <f t="shared" si="837"/>
        <v>2</v>
      </c>
      <c r="X704" t="str">
        <f t="shared" si="797"/>
        <v>2</v>
      </c>
      <c r="Y704" t="str">
        <f t="shared" si="829"/>
        <v>2</v>
      </c>
      <c r="Z704" t="str">
        <f t="shared" si="829"/>
        <v>2</v>
      </c>
      <c r="AA704" t="str">
        <f t="shared" si="770"/>
        <v xml:space="preserve">          </v>
      </c>
      <c r="AB704" t="str">
        <f t="shared" si="830"/>
        <v>2</v>
      </c>
      <c r="AC704" t="str">
        <f t="shared" si="832"/>
        <v>2</v>
      </c>
      <c r="AD704" t="str">
        <f t="shared" si="831"/>
        <v>2</v>
      </c>
      <c r="AE704" t="str">
        <f t="shared" si="831"/>
        <v>2</v>
      </c>
      <c r="AF704" t="str">
        <f t="shared" si="831"/>
        <v>2</v>
      </c>
      <c r="AG704" t="str">
        <f t="shared" si="831"/>
        <v>2</v>
      </c>
      <c r="AH704" t="str">
        <f t="shared" si="838"/>
        <v>1</v>
      </c>
      <c r="AI704" t="str">
        <f t="shared" si="824"/>
        <v xml:space="preserve">1         </v>
      </c>
      <c r="AJ704" t="str">
        <f t="shared" si="782"/>
        <v>170</v>
      </c>
      <c r="AK704" t="str">
        <f>"20"</f>
        <v>20</v>
      </c>
      <c r="AL704" t="str">
        <f>"400"</f>
        <v>400</v>
      </c>
      <c r="AM704" t="str">
        <f>"68"</f>
        <v>68</v>
      </c>
      <c r="AN704" t="str">
        <f>"68547"</f>
        <v>68547</v>
      </c>
      <c r="AO704" t="str">
        <f>"29/10/2020 12:00:00 a. m."</f>
        <v>29/10/2020 12:00:00 a. m.</v>
      </c>
      <c r="AP704" t="str">
        <f>"25/10/2020 12:00:00 a. m."</f>
        <v>25/10/2020 12:00:00 a. m.</v>
      </c>
      <c r="AQ704" t="str">
        <f t="shared" si="825"/>
        <v>3</v>
      </c>
      <c r="AR704" t="str">
        <f t="shared" si="826"/>
        <v>1</v>
      </c>
      <c r="AS704" t="str">
        <f>"29/10/2020 12:00:00 a. m."</f>
        <v>29/10/2020 12:00:00 a. m.</v>
      </c>
      <c r="AT704" t="str">
        <f t="shared" si="806"/>
        <v>1</v>
      </c>
      <c r="AU704" t="str">
        <f>""</f>
        <v/>
      </c>
      <c r="AV704" t="str">
        <f>"0"</f>
        <v>0</v>
      </c>
      <c r="AW704" t="str">
        <f>"26/02/2006 12:00:00 a. m."</f>
        <v>26/02/2006 12:00:00 a. m.</v>
      </c>
      <c r="AX704" t="str">
        <f>""</f>
        <v/>
      </c>
      <c r="AY704" t="str">
        <f t="shared" si="772"/>
        <v>30/04/2021 12:00:00 a. m.</v>
      </c>
      <c r="AZ704" t="str">
        <f>"11/11/2020 12:00:00 a. m."</f>
        <v>11/11/2020 12:00:00 a. m.</v>
      </c>
      <c r="BA704" t="str">
        <f>""</f>
        <v/>
      </c>
      <c r="BB704" t="str">
        <f>""</f>
        <v/>
      </c>
      <c r="BC704" t="str">
        <f>""</f>
        <v/>
      </c>
      <c r="BD704" t="str">
        <f t="shared" si="836"/>
        <v>1</v>
      </c>
      <c r="BE704" t="str">
        <f t="shared" si="836"/>
        <v>1</v>
      </c>
      <c r="BF704" t="str">
        <f t="shared" si="774"/>
        <v xml:space="preserve">3         </v>
      </c>
      <c r="BG704" t="str">
        <f t="shared" si="775"/>
        <v>Confirmado por laboratorio</v>
      </c>
      <c r="BH704" t="str">
        <f>"HOSPITAL INTERNACIONAL DE COLOMBIA"</f>
        <v>HOSPITAL INTERNACIONAL DE COLOMBIA</v>
      </c>
      <c r="BI704" t="str">
        <f t="shared" si="783"/>
        <v>COLOMBIA</v>
      </c>
      <c r="BJ704" t="str">
        <f t="shared" si="776"/>
        <v>CANCER INFANTIL</v>
      </c>
      <c r="BK704" t="str">
        <f>"CESAR"</f>
        <v>CESAR</v>
      </c>
      <c r="BL704" t="str">
        <f>"LA JAGUA DE IBIRICO"</f>
        <v>LA JAGUA DE IBIRICO</v>
      </c>
      <c r="BM704" t="str">
        <f t="shared" si="784"/>
        <v>COLOMBIA</v>
      </c>
      <c r="BN704" t="str">
        <f>"CESAR"</f>
        <v>CESAR</v>
      </c>
      <c r="BO704" t="str">
        <f>"LA JAGUA DE IBIRICO"</f>
        <v>LA JAGUA DE IBIRICO</v>
      </c>
      <c r="BP704" t="str">
        <f>"SANTANDER"</f>
        <v>SANTANDER</v>
      </c>
      <c r="BQ704" t="str">
        <f>"PIEDECUESTA"</f>
        <v>PIEDECUESTA</v>
      </c>
    </row>
    <row r="705" spans="1:69" x14ac:dyDescent="0.25">
      <c r="A705" t="str">
        <f>"7291799"</f>
        <v>7291799</v>
      </c>
      <c r="B705" t="str">
        <f t="shared" si="768"/>
        <v>459</v>
      </c>
      <c r="C705" t="str">
        <f>"25/02/2020 12:00:00 a. m."</f>
        <v>25/02/2020 12:00:00 a. m.</v>
      </c>
      <c r="D705" t="str">
        <f>"06"</f>
        <v>06</v>
      </c>
      <c r="E705" t="str">
        <f t="shared" si="769"/>
        <v>2020</v>
      </c>
      <c r="F705" t="str">
        <f>"1100106065"</f>
        <v>1100106065</v>
      </c>
      <c r="G705" t="str">
        <f t="shared" si="823"/>
        <v>01</v>
      </c>
      <c r="H705" t="str">
        <f>"17"</f>
        <v>17</v>
      </c>
      <c r="I705" t="str">
        <f t="shared" si="812"/>
        <v>1</v>
      </c>
      <c r="J705" t="str">
        <f>"F"</f>
        <v>F</v>
      </c>
      <c r="K705" t="str">
        <f t="shared" si="781"/>
        <v>170</v>
      </c>
      <c r="L705" t="str">
        <f>"25"</f>
        <v>25</v>
      </c>
      <c r="M705" t="str">
        <f>"430"</f>
        <v>430</v>
      </c>
      <c r="N705" t="str">
        <f>"1"</f>
        <v>1</v>
      </c>
      <c r="O705" t="str">
        <f>"9997"</f>
        <v>9997</v>
      </c>
      <c r="P705" t="str">
        <f>"C"</f>
        <v>C</v>
      </c>
      <c r="Q705" t="str">
        <f>"EPS017"</f>
        <v>EPS017</v>
      </c>
      <c r="R705" t="str">
        <f t="shared" si="834"/>
        <v>6</v>
      </c>
      <c r="S705" t="str">
        <f>""</f>
        <v/>
      </c>
      <c r="T705" t="str">
        <f t="shared" si="835"/>
        <v xml:space="preserve">                                                                                                    </v>
      </c>
      <c r="U705" t="str">
        <f>"3         "</f>
        <v xml:space="preserve">3         </v>
      </c>
      <c r="V705" t="str">
        <f t="shared" si="818"/>
        <v>2</v>
      </c>
      <c r="W705" t="str">
        <f t="shared" si="837"/>
        <v>2</v>
      </c>
      <c r="X705" t="str">
        <f t="shared" si="797"/>
        <v>2</v>
      </c>
      <c r="Y705" t="str">
        <f t="shared" si="829"/>
        <v>2</v>
      </c>
      <c r="Z705" t="str">
        <f t="shared" si="829"/>
        <v>2</v>
      </c>
      <c r="AA705" t="str">
        <f t="shared" si="770"/>
        <v xml:space="preserve">          </v>
      </c>
      <c r="AB705" t="str">
        <f t="shared" si="830"/>
        <v>2</v>
      </c>
      <c r="AC705" t="str">
        <f t="shared" si="832"/>
        <v>2</v>
      </c>
      <c r="AD705" t="str">
        <f t="shared" si="831"/>
        <v>2</v>
      </c>
      <c r="AE705" t="str">
        <f t="shared" si="831"/>
        <v>2</v>
      </c>
      <c r="AF705" t="str">
        <f t="shared" si="831"/>
        <v>2</v>
      </c>
      <c r="AG705" t="str">
        <f t="shared" si="831"/>
        <v>2</v>
      </c>
      <c r="AH705" t="str">
        <f t="shared" si="838"/>
        <v>1</v>
      </c>
      <c r="AI705" t="str">
        <f>"2         "</f>
        <v xml:space="preserve">2         </v>
      </c>
      <c r="AJ705" t="str">
        <f t="shared" si="782"/>
        <v>170</v>
      </c>
      <c r="AK705" t="str">
        <f>"25"</f>
        <v>25</v>
      </c>
      <c r="AL705" t="str">
        <f>"430"</f>
        <v>430</v>
      </c>
      <c r="AM705" t="str">
        <f>"11"</f>
        <v>11</v>
      </c>
      <c r="AN705" t="str">
        <f>"11001"</f>
        <v>11001</v>
      </c>
      <c r="AO705" t="str">
        <f>"6/02/2020 12:00:00 a. m."</f>
        <v>6/02/2020 12:00:00 a. m.</v>
      </c>
      <c r="AP705" t="str">
        <f>"1/12/2019 12:00:00 a. m."</f>
        <v>1/12/2019 12:00:00 a. m.</v>
      </c>
      <c r="AQ705" t="str">
        <f t="shared" si="825"/>
        <v>3</v>
      </c>
      <c r="AR705" t="str">
        <f>"2"</f>
        <v>2</v>
      </c>
      <c r="AS705" t="str">
        <f>""</f>
        <v/>
      </c>
      <c r="AT705" t="str">
        <f t="shared" si="806"/>
        <v>1</v>
      </c>
      <c r="AU705" t="str">
        <f>""</f>
        <v/>
      </c>
      <c r="AV705" t="str">
        <f>"7"</f>
        <v>7</v>
      </c>
      <c r="AW705" t="str">
        <f>"17/04/2002 12:00:00 a. m."</f>
        <v>17/04/2002 12:00:00 a. m.</v>
      </c>
      <c r="AX705" t="str">
        <f>""</f>
        <v/>
      </c>
      <c r="AY705" t="str">
        <f t="shared" si="772"/>
        <v>30/04/2021 12:00:00 a. m.</v>
      </c>
      <c r="AZ705" t="str">
        <f>"16/02/2021 12:00:00 a. m."</f>
        <v>16/02/2021 12:00:00 a. m.</v>
      </c>
      <c r="BA705" t="str">
        <f>""</f>
        <v/>
      </c>
      <c r="BB705" t="str">
        <f>""</f>
        <v/>
      </c>
      <c r="BC705" t="str">
        <f>""</f>
        <v/>
      </c>
      <c r="BD705" t="str">
        <f t="shared" si="836"/>
        <v>1</v>
      </c>
      <c r="BE705" t="str">
        <f t="shared" si="836"/>
        <v>1</v>
      </c>
      <c r="BF705" t="str">
        <f t="shared" si="774"/>
        <v xml:space="preserve">3         </v>
      </c>
      <c r="BG705" t="str">
        <f t="shared" si="775"/>
        <v>Confirmado por laboratorio</v>
      </c>
      <c r="BH705" t="str">
        <f>"ESE INSTITUTO NACIONAL DE CANCEROLOGIA"</f>
        <v>ESE INSTITUTO NACIONAL DE CANCEROLOGIA</v>
      </c>
      <c r="BI705" t="str">
        <f t="shared" si="783"/>
        <v>COLOMBIA</v>
      </c>
      <c r="BJ705" t="str">
        <f t="shared" si="776"/>
        <v>CANCER INFANTIL</v>
      </c>
      <c r="BK705" t="str">
        <f>"CUNDINAMARCA"</f>
        <v>CUNDINAMARCA</v>
      </c>
      <c r="BL705" t="str">
        <f>"MADRID"</f>
        <v>MADRID</v>
      </c>
      <c r="BM705" t="str">
        <f t="shared" si="784"/>
        <v>COLOMBIA</v>
      </c>
      <c r="BN705" t="str">
        <f>"CUNDINAMARCA"</f>
        <v>CUNDINAMARCA</v>
      </c>
      <c r="BO705" t="str">
        <f>"MADRID"</f>
        <v>MADRID</v>
      </c>
      <c r="BP705" t="str">
        <f t="shared" ref="BP705:BQ709" si="839">"BOGOTA"</f>
        <v>BOGOTA</v>
      </c>
      <c r="BQ705" t="str">
        <f t="shared" si="839"/>
        <v>BOGOTA</v>
      </c>
    </row>
    <row r="706" spans="1:69" x14ac:dyDescent="0.25">
      <c r="A706" t="str">
        <f>"7291712"</f>
        <v>7291712</v>
      </c>
      <c r="B706" t="str">
        <f t="shared" ref="B706:B769" si="840">"459"</f>
        <v>459</v>
      </c>
      <c r="C706" t="str">
        <f>"30/03/2020 12:00:00 a. m."</f>
        <v>30/03/2020 12:00:00 a. m.</v>
      </c>
      <c r="D706" t="str">
        <f>"13"</f>
        <v>13</v>
      </c>
      <c r="E706" t="str">
        <f t="shared" ref="E706:E769" si="841">"2020"</f>
        <v>2020</v>
      </c>
      <c r="F706" t="str">
        <f>"1100123118"</f>
        <v>1100123118</v>
      </c>
      <c r="G706" t="str">
        <f t="shared" si="823"/>
        <v>01</v>
      </c>
      <c r="H706" t="str">
        <f>"1"</f>
        <v>1</v>
      </c>
      <c r="I706" t="str">
        <f t="shared" si="812"/>
        <v>1</v>
      </c>
      <c r="J706" t="str">
        <f>"M"</f>
        <v>M</v>
      </c>
      <c r="K706" t="str">
        <f t="shared" si="781"/>
        <v>170</v>
      </c>
      <c r="L706" t="str">
        <f>"25"</f>
        <v>25</v>
      </c>
      <c r="M706" t="str">
        <f>"386"</f>
        <v>386</v>
      </c>
      <c r="N706" t="str">
        <f>"2"</f>
        <v>2</v>
      </c>
      <c r="O706" t="str">
        <f>"9999"</f>
        <v>9999</v>
      </c>
      <c r="P706" t="str">
        <f>"P"</f>
        <v>P</v>
      </c>
      <c r="Q706" t="str">
        <f>"RES001"</f>
        <v>RES001</v>
      </c>
      <c r="R706" t="str">
        <f t="shared" si="834"/>
        <v>6</v>
      </c>
      <c r="S706" t="str">
        <f>""</f>
        <v/>
      </c>
      <c r="T706" t="str">
        <f t="shared" si="835"/>
        <v xml:space="preserve">                                                                                                    </v>
      </c>
      <c r="U706" t="str">
        <f>"2         "</f>
        <v xml:space="preserve">2         </v>
      </c>
      <c r="V706" t="str">
        <f t="shared" si="818"/>
        <v>2</v>
      </c>
      <c r="W706" t="str">
        <f t="shared" si="837"/>
        <v>2</v>
      </c>
      <c r="X706" t="str">
        <f t="shared" si="797"/>
        <v>2</v>
      </c>
      <c r="Y706" t="str">
        <f t="shared" si="829"/>
        <v>2</v>
      </c>
      <c r="Z706" t="str">
        <f t="shared" si="829"/>
        <v>2</v>
      </c>
      <c r="AA706" t="str">
        <f t="shared" ref="AA706:AA769" si="842">"          "</f>
        <v xml:space="preserve">          </v>
      </c>
      <c r="AB706" t="str">
        <f t="shared" si="830"/>
        <v>2</v>
      </c>
      <c r="AC706" t="str">
        <f t="shared" si="832"/>
        <v>2</v>
      </c>
      <c r="AD706" t="str">
        <f t="shared" si="831"/>
        <v>2</v>
      </c>
      <c r="AE706" t="str">
        <f t="shared" si="831"/>
        <v>2</v>
      </c>
      <c r="AF706" t="str">
        <f t="shared" si="831"/>
        <v>2</v>
      </c>
      <c r="AG706" t="str">
        <f t="shared" si="831"/>
        <v>2</v>
      </c>
      <c r="AH706" t="str">
        <f t="shared" si="838"/>
        <v>1</v>
      </c>
      <c r="AI706" t="str">
        <f t="shared" ref="AI706:AI715" si="843">"1         "</f>
        <v xml:space="preserve">1         </v>
      </c>
      <c r="AJ706" t="str">
        <f t="shared" si="782"/>
        <v>170</v>
      </c>
      <c r="AK706" t="str">
        <f>"25"</f>
        <v>25</v>
      </c>
      <c r="AL706" t="str">
        <f>"386"</f>
        <v>386</v>
      </c>
      <c r="AM706" t="str">
        <f>"11"</f>
        <v>11</v>
      </c>
      <c r="AN706" t="str">
        <f>"11001"</f>
        <v>11001</v>
      </c>
      <c r="AO706" t="str">
        <f>"26/03/2020 12:00:00 a. m."</f>
        <v>26/03/2020 12:00:00 a. m.</v>
      </c>
      <c r="AP706" t="str">
        <f>"12/03/2020 12:00:00 a. m."</f>
        <v>12/03/2020 12:00:00 a. m.</v>
      </c>
      <c r="AQ706" t="str">
        <f t="shared" si="825"/>
        <v>3</v>
      </c>
      <c r="AR706" t="str">
        <f>"1"</f>
        <v>1</v>
      </c>
      <c r="AS706" t="str">
        <f>"26/03/2020 12:00:00 a. m."</f>
        <v>26/03/2020 12:00:00 a. m.</v>
      </c>
      <c r="AT706" t="str">
        <f>"2"</f>
        <v>2</v>
      </c>
      <c r="AU706" t="str">
        <f>"20/04/2020 12:00:00 a. m."</f>
        <v>20/04/2020 12:00:00 a. m.</v>
      </c>
      <c r="AV706" t="str">
        <f>"3"</f>
        <v>3</v>
      </c>
      <c r="AW706" t="str">
        <f>"10/03/2019 12:00:00 a. m."</f>
        <v>10/03/2019 12:00:00 a. m.</v>
      </c>
      <c r="AX706" t="str">
        <f>"C760"</f>
        <v>C760</v>
      </c>
      <c r="AY706" t="str">
        <f t="shared" ref="AY706:AY769" si="844">"30/04/2021 12:00:00 a. m."</f>
        <v>30/04/2021 12:00:00 a. m.</v>
      </c>
      <c r="AZ706" t="str">
        <f>"16/04/2020 12:00:00 a. m."</f>
        <v>16/04/2020 12:00:00 a. m.</v>
      </c>
      <c r="BA706" t="str">
        <f>""</f>
        <v/>
      </c>
      <c r="BB706" t="str">
        <f>""</f>
        <v/>
      </c>
      <c r="BC706" t="str">
        <f>""</f>
        <v/>
      </c>
      <c r="BD706" t="str">
        <f t="shared" si="836"/>
        <v>1</v>
      </c>
      <c r="BE706" t="str">
        <f t="shared" si="836"/>
        <v>1</v>
      </c>
      <c r="BF706" t="str">
        <f t="shared" ref="BF706:BF769" si="845">"3         "</f>
        <v xml:space="preserve">3         </v>
      </c>
      <c r="BG706" t="str">
        <f t="shared" ref="BG706:BG769" si="846">"Confirmado por laboratorio"</f>
        <v>Confirmado por laboratorio</v>
      </c>
      <c r="BH706" t="str">
        <f>"HOSPITAL CENTRAL POLICIA"</f>
        <v>HOSPITAL CENTRAL POLICIA</v>
      </c>
      <c r="BI706" t="str">
        <f t="shared" si="783"/>
        <v>COLOMBIA</v>
      </c>
      <c r="BJ706" t="str">
        <f t="shared" ref="BJ706:BJ769" si="847">"CANCER INFANTIL"</f>
        <v>CANCER INFANTIL</v>
      </c>
      <c r="BK706" t="str">
        <f>"CUNDINAMARCA"</f>
        <v>CUNDINAMARCA</v>
      </c>
      <c r="BL706" t="str">
        <f>"LA MESA"</f>
        <v>LA MESA</v>
      </c>
      <c r="BM706" t="str">
        <f t="shared" si="784"/>
        <v>COLOMBIA</v>
      </c>
      <c r="BN706" t="str">
        <f>"CUNDINAMARCA"</f>
        <v>CUNDINAMARCA</v>
      </c>
      <c r="BO706" t="str">
        <f>"LA MESA"</f>
        <v>LA MESA</v>
      </c>
      <c r="BP706" t="str">
        <f t="shared" si="839"/>
        <v>BOGOTA</v>
      </c>
      <c r="BQ706" t="str">
        <f t="shared" si="839"/>
        <v>BOGOTA</v>
      </c>
    </row>
    <row r="707" spans="1:69" x14ac:dyDescent="0.25">
      <c r="A707" t="str">
        <f>"7285653"</f>
        <v>7285653</v>
      </c>
      <c r="B707" t="str">
        <f t="shared" si="840"/>
        <v>459</v>
      </c>
      <c r="C707" t="str">
        <f>"28/12/2020 12:00:00 a. m."</f>
        <v>28/12/2020 12:00:00 a. m.</v>
      </c>
      <c r="D707" t="str">
        <f>"50"</f>
        <v>50</v>
      </c>
      <c r="E707" t="str">
        <f t="shared" si="841"/>
        <v>2020</v>
      </c>
      <c r="F707" t="str">
        <f>"1100105681"</f>
        <v>1100105681</v>
      </c>
      <c r="G707" t="str">
        <f t="shared" si="823"/>
        <v>01</v>
      </c>
      <c r="H707" t="str">
        <f>"10"</f>
        <v>10</v>
      </c>
      <c r="I707" t="str">
        <f t="shared" si="812"/>
        <v>1</v>
      </c>
      <c r="J707" t="str">
        <f>"M"</f>
        <v>M</v>
      </c>
      <c r="K707" t="str">
        <f t="shared" si="781"/>
        <v>170</v>
      </c>
      <c r="L707" t="str">
        <f>"11"</f>
        <v>11</v>
      </c>
      <c r="M707" t="str">
        <f>"001"</f>
        <v>001</v>
      </c>
      <c r="N707" t="str">
        <f t="shared" ref="N707:N730" si="848">"1"</f>
        <v>1</v>
      </c>
      <c r="O707" t="str">
        <f>"9997"</f>
        <v>9997</v>
      </c>
      <c r="P707" t="str">
        <f>"C"</f>
        <v>C</v>
      </c>
      <c r="Q707" t="str">
        <f>"EPS005"</f>
        <v>EPS005</v>
      </c>
      <c r="R707" t="str">
        <f t="shared" si="834"/>
        <v>6</v>
      </c>
      <c r="S707" t="str">
        <f>""</f>
        <v/>
      </c>
      <c r="T707" t="str">
        <f t="shared" si="835"/>
        <v xml:space="preserve">                                                                                                    </v>
      </c>
      <c r="U707" t="str">
        <f>"3         "</f>
        <v xml:space="preserve">3         </v>
      </c>
      <c r="V707" t="str">
        <f t="shared" si="818"/>
        <v>2</v>
      </c>
      <c r="W707" t="str">
        <f t="shared" si="837"/>
        <v>2</v>
      </c>
      <c r="X707" t="str">
        <f t="shared" si="797"/>
        <v>2</v>
      </c>
      <c r="Y707" t="str">
        <f t="shared" si="829"/>
        <v>2</v>
      </c>
      <c r="Z707" t="str">
        <f t="shared" si="829"/>
        <v>2</v>
      </c>
      <c r="AA707" t="str">
        <f t="shared" si="842"/>
        <v xml:space="preserve">          </v>
      </c>
      <c r="AB707" t="str">
        <f t="shared" si="830"/>
        <v>2</v>
      </c>
      <c r="AC707" t="str">
        <f t="shared" si="832"/>
        <v>2</v>
      </c>
      <c r="AD707" t="str">
        <f t="shared" si="831"/>
        <v>2</v>
      </c>
      <c r="AE707" t="str">
        <f t="shared" si="831"/>
        <v>2</v>
      </c>
      <c r="AF707" t="str">
        <f t="shared" si="831"/>
        <v>2</v>
      </c>
      <c r="AG707" t="str">
        <f t="shared" si="831"/>
        <v>2</v>
      </c>
      <c r="AH707" t="str">
        <f t="shared" si="838"/>
        <v>1</v>
      </c>
      <c r="AI707" t="str">
        <f t="shared" si="843"/>
        <v xml:space="preserve">1         </v>
      </c>
      <c r="AJ707" t="str">
        <f t="shared" si="782"/>
        <v>170</v>
      </c>
      <c r="AK707" t="str">
        <f>"11"</f>
        <v>11</v>
      </c>
      <c r="AL707" t="str">
        <f>"001"</f>
        <v>001</v>
      </c>
      <c r="AM707" t="str">
        <f>"11"</f>
        <v>11</v>
      </c>
      <c r="AN707" t="str">
        <f>"11001"</f>
        <v>11001</v>
      </c>
      <c r="AO707" t="str">
        <f>"12/12/2020 12:00:00 a. m."</f>
        <v>12/12/2020 12:00:00 a. m.</v>
      </c>
      <c r="AP707" t="str">
        <f>"12/10/2020 12:00:00 a. m."</f>
        <v>12/10/2020 12:00:00 a. m.</v>
      </c>
      <c r="AQ707" t="str">
        <f t="shared" si="825"/>
        <v>3</v>
      </c>
      <c r="AR707" t="str">
        <f>"1"</f>
        <v>1</v>
      </c>
      <c r="AS707" t="str">
        <f>"12/12/2020 12:00:00 a. m."</f>
        <v>12/12/2020 12:00:00 a. m.</v>
      </c>
      <c r="AT707" t="str">
        <f t="shared" ref="AT707:AT733" si="849">"1"</f>
        <v>1</v>
      </c>
      <c r="AU707" t="str">
        <f>""</f>
        <v/>
      </c>
      <c r="AV707" t="str">
        <f>"0"</f>
        <v>0</v>
      </c>
      <c r="AW707" t="str">
        <f>"29/10/2010 12:00:00 a. m."</f>
        <v>29/10/2010 12:00:00 a. m.</v>
      </c>
      <c r="AX707" t="str">
        <f>""</f>
        <v/>
      </c>
      <c r="AY707" t="str">
        <f t="shared" si="844"/>
        <v>30/04/2021 12:00:00 a. m.</v>
      </c>
      <c r="AZ707" t="str">
        <f>"17/03/2021 12:00:00 a. m."</f>
        <v>17/03/2021 12:00:00 a. m.</v>
      </c>
      <c r="BA707" t="str">
        <f>""</f>
        <v/>
      </c>
      <c r="BB707" t="str">
        <f>""</f>
        <v/>
      </c>
      <c r="BC707" t="str">
        <f>""</f>
        <v/>
      </c>
      <c r="BD707" t="str">
        <f t="shared" si="836"/>
        <v>1</v>
      </c>
      <c r="BE707" t="str">
        <f t="shared" si="836"/>
        <v>1</v>
      </c>
      <c r="BF707" t="str">
        <f t="shared" si="845"/>
        <v xml:space="preserve">3         </v>
      </c>
      <c r="BG707" t="str">
        <f t="shared" si="846"/>
        <v>Confirmado por laboratorio</v>
      </c>
      <c r="BH707" t="str">
        <f>"FUNDACION HOSPITAL DE LA MISERICORDIA"</f>
        <v>FUNDACION HOSPITAL DE LA MISERICORDIA</v>
      </c>
      <c r="BI707" t="str">
        <f t="shared" si="783"/>
        <v>COLOMBIA</v>
      </c>
      <c r="BJ707" t="str">
        <f t="shared" si="847"/>
        <v>CANCER INFANTIL</v>
      </c>
      <c r="BK707" t="str">
        <f t="shared" ref="BK707:BL709" si="850">"BOGOTA"</f>
        <v>BOGOTA</v>
      </c>
      <c r="BL707" t="str">
        <f t="shared" si="850"/>
        <v>BOGOTA</v>
      </c>
      <c r="BM707" t="str">
        <f t="shared" si="784"/>
        <v>COLOMBIA</v>
      </c>
      <c r="BN707" t="str">
        <f t="shared" ref="BN707:BO709" si="851">"BOGOTA"</f>
        <v>BOGOTA</v>
      </c>
      <c r="BO707" t="str">
        <f t="shared" si="851"/>
        <v>BOGOTA</v>
      </c>
      <c r="BP707" t="str">
        <f t="shared" si="839"/>
        <v>BOGOTA</v>
      </c>
      <c r="BQ707" t="str">
        <f t="shared" si="839"/>
        <v>BOGOTA</v>
      </c>
    </row>
    <row r="708" spans="1:69" x14ac:dyDescent="0.25">
      <c r="A708" t="str">
        <f>"7285655"</f>
        <v>7285655</v>
      </c>
      <c r="B708" t="str">
        <f t="shared" si="840"/>
        <v>459</v>
      </c>
      <c r="C708" t="str">
        <f>"5/06/2020 12:00:00 a. m."</f>
        <v>5/06/2020 12:00:00 a. m.</v>
      </c>
      <c r="D708" t="str">
        <f>"21"</f>
        <v>21</v>
      </c>
      <c r="E708" t="str">
        <f t="shared" si="841"/>
        <v>2020</v>
      </c>
      <c r="F708" t="str">
        <f>"1100105681"</f>
        <v>1100105681</v>
      </c>
      <c r="G708" t="str">
        <f t="shared" si="823"/>
        <v>01</v>
      </c>
      <c r="H708" t="str">
        <f>"6"</f>
        <v>6</v>
      </c>
      <c r="I708" t="str">
        <f t="shared" si="812"/>
        <v>1</v>
      </c>
      <c r="J708" t="str">
        <f>"M"</f>
        <v>M</v>
      </c>
      <c r="K708" t="str">
        <f t="shared" si="781"/>
        <v>170</v>
      </c>
      <c r="L708" t="str">
        <f>"11"</f>
        <v>11</v>
      </c>
      <c r="M708" t="str">
        <f>"001"</f>
        <v>001</v>
      </c>
      <c r="N708" t="str">
        <f t="shared" si="848"/>
        <v>1</v>
      </c>
      <c r="O708" t="str">
        <f>"9997"</f>
        <v>9997</v>
      </c>
      <c r="P708" t="str">
        <f>"S"</f>
        <v>S</v>
      </c>
      <c r="Q708" t="str">
        <f>"EPSS34"</f>
        <v>EPSS34</v>
      </c>
      <c r="R708" t="str">
        <f t="shared" si="834"/>
        <v>6</v>
      </c>
      <c r="S708" t="str">
        <f>""</f>
        <v/>
      </c>
      <c r="T708" t="str">
        <f t="shared" si="835"/>
        <v xml:space="preserve">                                                                                                    </v>
      </c>
      <c r="U708" t="str">
        <f>"2         "</f>
        <v xml:space="preserve">2         </v>
      </c>
      <c r="V708" t="str">
        <f t="shared" si="818"/>
        <v>2</v>
      </c>
      <c r="W708" t="str">
        <f t="shared" si="837"/>
        <v>2</v>
      </c>
      <c r="X708" t="str">
        <f t="shared" si="797"/>
        <v>2</v>
      </c>
      <c r="Y708" t="str">
        <f t="shared" si="829"/>
        <v>2</v>
      </c>
      <c r="Z708" t="str">
        <f t="shared" si="829"/>
        <v>2</v>
      </c>
      <c r="AA708" t="str">
        <f t="shared" si="842"/>
        <v xml:space="preserve">          </v>
      </c>
      <c r="AB708" t="str">
        <f t="shared" si="830"/>
        <v>2</v>
      </c>
      <c r="AC708" t="str">
        <f t="shared" si="832"/>
        <v>2</v>
      </c>
      <c r="AD708" t="str">
        <f t="shared" si="831"/>
        <v>2</v>
      </c>
      <c r="AE708" t="str">
        <f t="shared" si="831"/>
        <v>2</v>
      </c>
      <c r="AF708" t="str">
        <f t="shared" si="831"/>
        <v>2</v>
      </c>
      <c r="AG708" t="str">
        <f t="shared" si="831"/>
        <v>2</v>
      </c>
      <c r="AH708" t="str">
        <f t="shared" si="838"/>
        <v>1</v>
      </c>
      <c r="AI708" t="str">
        <f t="shared" si="843"/>
        <v xml:space="preserve">1         </v>
      </c>
      <c r="AJ708" t="str">
        <f t="shared" si="782"/>
        <v>170</v>
      </c>
      <c r="AK708" t="str">
        <f>"11"</f>
        <v>11</v>
      </c>
      <c r="AL708" t="str">
        <f>"001"</f>
        <v>001</v>
      </c>
      <c r="AM708" t="str">
        <f>"11"</f>
        <v>11</v>
      </c>
      <c r="AN708" t="str">
        <f>"11001"</f>
        <v>11001</v>
      </c>
      <c r="AO708" t="str">
        <f>"21/05/2020 12:00:00 a. m."</f>
        <v>21/05/2020 12:00:00 a. m.</v>
      </c>
      <c r="AP708" t="str">
        <f>"1/11/2019 12:00:00 a. m."</f>
        <v>1/11/2019 12:00:00 a. m.</v>
      </c>
      <c r="AQ708" t="str">
        <f t="shared" si="825"/>
        <v>3</v>
      </c>
      <c r="AR708" t="str">
        <f>"1"</f>
        <v>1</v>
      </c>
      <c r="AS708" t="str">
        <f>"21/05/2020 12:00:00 a. m."</f>
        <v>21/05/2020 12:00:00 a. m.</v>
      </c>
      <c r="AT708" t="str">
        <f t="shared" si="849"/>
        <v>1</v>
      </c>
      <c r="AU708" t="str">
        <f>""</f>
        <v/>
      </c>
      <c r="AV708" t="str">
        <f>"0"</f>
        <v>0</v>
      </c>
      <c r="AW708" t="str">
        <f>"1/11/2013 12:00:00 a. m."</f>
        <v>1/11/2013 12:00:00 a. m.</v>
      </c>
      <c r="AX708" t="str">
        <f>""</f>
        <v/>
      </c>
      <c r="AY708" t="str">
        <f t="shared" si="844"/>
        <v>30/04/2021 12:00:00 a. m.</v>
      </c>
      <c r="AZ708" t="str">
        <f>"8/07/2020 12:00:00 a. m."</f>
        <v>8/07/2020 12:00:00 a. m.</v>
      </c>
      <c r="BA708" t="str">
        <f>""</f>
        <v/>
      </c>
      <c r="BB708" t="str">
        <f>""</f>
        <v/>
      </c>
      <c r="BC708" t="str">
        <f>""</f>
        <v/>
      </c>
      <c r="BD708" t="str">
        <f t="shared" si="836"/>
        <v>1</v>
      </c>
      <c r="BE708" t="str">
        <f t="shared" si="836"/>
        <v>1</v>
      </c>
      <c r="BF708" t="str">
        <f t="shared" si="845"/>
        <v xml:space="preserve">3         </v>
      </c>
      <c r="BG708" t="str">
        <f t="shared" si="846"/>
        <v>Confirmado por laboratorio</v>
      </c>
      <c r="BH708" t="str">
        <f>"FUNDACION HOSPITAL DE LA MISERICORDIA"</f>
        <v>FUNDACION HOSPITAL DE LA MISERICORDIA</v>
      </c>
      <c r="BI708" t="str">
        <f t="shared" si="783"/>
        <v>COLOMBIA</v>
      </c>
      <c r="BJ708" t="str">
        <f t="shared" si="847"/>
        <v>CANCER INFANTIL</v>
      </c>
      <c r="BK708" t="str">
        <f t="shared" si="850"/>
        <v>BOGOTA</v>
      </c>
      <c r="BL708" t="str">
        <f t="shared" si="850"/>
        <v>BOGOTA</v>
      </c>
      <c r="BM708" t="str">
        <f t="shared" si="784"/>
        <v>COLOMBIA</v>
      </c>
      <c r="BN708" t="str">
        <f t="shared" si="851"/>
        <v>BOGOTA</v>
      </c>
      <c r="BO708" t="str">
        <f t="shared" si="851"/>
        <v>BOGOTA</v>
      </c>
      <c r="BP708" t="str">
        <f t="shared" si="839"/>
        <v>BOGOTA</v>
      </c>
      <c r="BQ708" t="str">
        <f t="shared" si="839"/>
        <v>BOGOTA</v>
      </c>
    </row>
    <row r="709" spans="1:69" x14ac:dyDescent="0.25">
      <c r="A709" t="str">
        <f>"7285656"</f>
        <v>7285656</v>
      </c>
      <c r="B709" t="str">
        <f t="shared" si="840"/>
        <v>459</v>
      </c>
      <c r="C709" t="str">
        <f>"16/12/2020 12:00:00 a. m."</f>
        <v>16/12/2020 12:00:00 a. m.</v>
      </c>
      <c r="D709" t="str">
        <f>"51"</f>
        <v>51</v>
      </c>
      <c r="E709" t="str">
        <f t="shared" si="841"/>
        <v>2020</v>
      </c>
      <c r="F709" t="str">
        <f>"1100130296"</f>
        <v>1100130296</v>
      </c>
      <c r="G709" t="str">
        <f t="shared" si="823"/>
        <v>01</v>
      </c>
      <c r="H709" t="str">
        <f>"6"</f>
        <v>6</v>
      </c>
      <c r="I709" t="str">
        <f t="shared" si="812"/>
        <v>1</v>
      </c>
      <c r="J709" t="str">
        <f>"F"</f>
        <v>F</v>
      </c>
      <c r="K709" t="str">
        <f t="shared" si="781"/>
        <v>170</v>
      </c>
      <c r="L709" t="str">
        <f>"11"</f>
        <v>11</v>
      </c>
      <c r="M709" t="str">
        <f>"001"</f>
        <v>001</v>
      </c>
      <c r="N709" t="str">
        <f t="shared" si="848"/>
        <v>1</v>
      </c>
      <c r="O709" t="str">
        <f>"9998"</f>
        <v>9998</v>
      </c>
      <c r="P709" t="str">
        <f>"C"</f>
        <v>C</v>
      </c>
      <c r="Q709" t="str">
        <f>"EPS005"</f>
        <v>EPS005</v>
      </c>
      <c r="R709" t="str">
        <f t="shared" si="834"/>
        <v>6</v>
      </c>
      <c r="S709" t="str">
        <f>""</f>
        <v/>
      </c>
      <c r="T709" t="str">
        <f t="shared" si="835"/>
        <v xml:space="preserve">                                                                                                    </v>
      </c>
      <c r="U709" t="str">
        <f>"1         "</f>
        <v xml:space="preserve">1         </v>
      </c>
      <c r="V709" t="str">
        <f t="shared" si="818"/>
        <v>2</v>
      </c>
      <c r="W709" t="str">
        <f t="shared" si="837"/>
        <v>2</v>
      </c>
      <c r="X709" t="str">
        <f t="shared" si="797"/>
        <v>2</v>
      </c>
      <c r="Y709" t="str">
        <f t="shared" si="829"/>
        <v>2</v>
      </c>
      <c r="Z709" t="str">
        <f t="shared" si="829"/>
        <v>2</v>
      </c>
      <c r="AA709" t="str">
        <f t="shared" si="842"/>
        <v xml:space="preserve">          </v>
      </c>
      <c r="AB709" t="str">
        <f t="shared" si="830"/>
        <v>2</v>
      </c>
      <c r="AC709" t="str">
        <f t="shared" si="832"/>
        <v>2</v>
      </c>
      <c r="AD709" t="str">
        <f t="shared" si="831"/>
        <v>2</v>
      </c>
      <c r="AE709" t="str">
        <f t="shared" si="831"/>
        <v>2</v>
      </c>
      <c r="AF709" t="str">
        <f t="shared" si="831"/>
        <v>2</v>
      </c>
      <c r="AG709" t="str">
        <f t="shared" si="831"/>
        <v>2</v>
      </c>
      <c r="AH709" t="str">
        <f t="shared" si="838"/>
        <v>1</v>
      </c>
      <c r="AI709" t="str">
        <f t="shared" si="843"/>
        <v xml:space="preserve">1         </v>
      </c>
      <c r="AJ709" t="str">
        <f t="shared" si="782"/>
        <v>170</v>
      </c>
      <c r="AK709" t="str">
        <f>"11"</f>
        <v>11</v>
      </c>
      <c r="AL709" t="str">
        <f>"001"</f>
        <v>001</v>
      </c>
      <c r="AM709" t="str">
        <f>"11"</f>
        <v>11</v>
      </c>
      <c r="AN709" t="str">
        <f>"11001"</f>
        <v>11001</v>
      </c>
      <c r="AO709" t="str">
        <f>"13/12/2020 12:00:00 a. m."</f>
        <v>13/12/2020 12:00:00 a. m.</v>
      </c>
      <c r="AP709" t="str">
        <f>"13/09/2020 12:00:00 a. m."</f>
        <v>13/09/2020 12:00:00 a. m.</v>
      </c>
      <c r="AQ709" t="str">
        <f>"2"</f>
        <v>2</v>
      </c>
      <c r="AR709" t="str">
        <f>"1"</f>
        <v>1</v>
      </c>
      <c r="AS709" t="str">
        <f>"13/12/2020 12:00:00 a. m."</f>
        <v>13/12/2020 12:00:00 a. m.</v>
      </c>
      <c r="AT709" t="str">
        <f t="shared" si="849"/>
        <v>1</v>
      </c>
      <c r="AU709" t="str">
        <f>""</f>
        <v/>
      </c>
      <c r="AV709" t="str">
        <f>"3"</f>
        <v>3</v>
      </c>
      <c r="AW709" t="str">
        <f>"31/01/2014 12:00:00 a. m."</f>
        <v>31/01/2014 12:00:00 a. m.</v>
      </c>
      <c r="AX709" t="str">
        <f>""</f>
        <v/>
      </c>
      <c r="AY709" t="str">
        <f t="shared" si="844"/>
        <v>30/04/2021 12:00:00 a. m.</v>
      </c>
      <c r="AZ709" t="str">
        <f>"25/01/2021 12:00:00 a. m."</f>
        <v>25/01/2021 12:00:00 a. m.</v>
      </c>
      <c r="BA709" t="str">
        <f>""</f>
        <v/>
      </c>
      <c r="BB709" t="str">
        <f>""</f>
        <v/>
      </c>
      <c r="BC709" t="str">
        <f>""</f>
        <v/>
      </c>
      <c r="BD709" t="str">
        <f t="shared" si="836"/>
        <v>1</v>
      </c>
      <c r="BE709" t="str">
        <f t="shared" si="836"/>
        <v>1</v>
      </c>
      <c r="BF709" t="str">
        <f t="shared" si="845"/>
        <v xml:space="preserve">3         </v>
      </c>
      <c r="BG709" t="str">
        <f t="shared" si="846"/>
        <v>Confirmado por laboratorio</v>
      </c>
      <c r="BH709" t="str">
        <f>"UNIDAD DE SERVICIOS DE SALUD OCCIDENTE DE KENNEDY"</f>
        <v>UNIDAD DE SERVICIOS DE SALUD OCCIDENTE DE KENNEDY</v>
      </c>
      <c r="BI709" t="str">
        <f t="shared" si="783"/>
        <v>COLOMBIA</v>
      </c>
      <c r="BJ709" t="str">
        <f t="shared" si="847"/>
        <v>CANCER INFANTIL</v>
      </c>
      <c r="BK709" t="str">
        <f t="shared" si="850"/>
        <v>BOGOTA</v>
      </c>
      <c r="BL709" t="str">
        <f t="shared" si="850"/>
        <v>BOGOTA</v>
      </c>
      <c r="BM709" t="str">
        <f t="shared" si="784"/>
        <v>COLOMBIA</v>
      </c>
      <c r="BN709" t="str">
        <f t="shared" si="851"/>
        <v>BOGOTA</v>
      </c>
      <c r="BO709" t="str">
        <f t="shared" si="851"/>
        <v>BOGOTA</v>
      </c>
      <c r="BP709" t="str">
        <f t="shared" si="839"/>
        <v>BOGOTA</v>
      </c>
      <c r="BQ709" t="str">
        <f t="shared" si="839"/>
        <v>BOGOTA</v>
      </c>
    </row>
    <row r="710" spans="1:69" x14ac:dyDescent="0.25">
      <c r="A710" t="str">
        <f>"7278979"</f>
        <v>7278979</v>
      </c>
      <c r="B710" t="str">
        <f t="shared" si="840"/>
        <v>459</v>
      </c>
      <c r="C710" t="str">
        <f>"24/04/2020 12:00:00 a. m."</f>
        <v>24/04/2020 12:00:00 a. m.</v>
      </c>
      <c r="D710" t="str">
        <f>"13"</f>
        <v>13</v>
      </c>
      <c r="E710" t="str">
        <f t="shared" si="841"/>
        <v>2020</v>
      </c>
      <c r="F710" t="str">
        <f>"0500102144"</f>
        <v>0500102144</v>
      </c>
      <c r="G710" t="str">
        <f t="shared" si="823"/>
        <v>01</v>
      </c>
      <c r="H710" t="str">
        <f>"6"</f>
        <v>6</v>
      </c>
      <c r="I710" t="str">
        <f t="shared" si="812"/>
        <v>1</v>
      </c>
      <c r="J710" t="str">
        <f>"F"</f>
        <v>F</v>
      </c>
      <c r="K710" t="str">
        <f t="shared" si="781"/>
        <v>170</v>
      </c>
      <c r="L710" t="str">
        <f>"27"</f>
        <v>27</v>
      </c>
      <c r="M710" t="str">
        <f>"001"</f>
        <v>001</v>
      </c>
      <c r="N710" t="str">
        <f t="shared" si="848"/>
        <v>1</v>
      </c>
      <c r="O710" t="str">
        <f>"9999"</f>
        <v>9999</v>
      </c>
      <c r="P710" t="str">
        <f>"S"</f>
        <v>S</v>
      </c>
      <c r="Q710" t="str">
        <f>"CCF102"</f>
        <v>CCF102</v>
      </c>
      <c r="R710" t="str">
        <f t="shared" si="834"/>
        <v>6</v>
      </c>
      <c r="S710" t="str">
        <f>""</f>
        <v/>
      </c>
      <c r="T710" t="str">
        <f t="shared" si="835"/>
        <v xml:space="preserve">                                                                                                    </v>
      </c>
      <c r="U710" t="str">
        <f>"          "</f>
        <v xml:space="preserve">          </v>
      </c>
      <c r="V710" t="str">
        <f t="shared" si="818"/>
        <v>2</v>
      </c>
      <c r="W710" t="str">
        <f t="shared" si="837"/>
        <v>2</v>
      </c>
      <c r="X710" t="str">
        <f t="shared" si="797"/>
        <v>2</v>
      </c>
      <c r="Y710" t="str">
        <f t="shared" si="829"/>
        <v>2</v>
      </c>
      <c r="Z710" t="str">
        <f t="shared" si="829"/>
        <v>2</v>
      </c>
      <c r="AA710" t="str">
        <f t="shared" si="842"/>
        <v xml:space="preserve">          </v>
      </c>
      <c r="AB710" t="str">
        <f t="shared" si="830"/>
        <v>2</v>
      </c>
      <c r="AC710" t="str">
        <f t="shared" si="832"/>
        <v>2</v>
      </c>
      <c r="AD710" t="str">
        <f t="shared" si="831"/>
        <v>2</v>
      </c>
      <c r="AE710" t="str">
        <f t="shared" si="831"/>
        <v>2</v>
      </c>
      <c r="AF710" t="str">
        <f t="shared" si="831"/>
        <v>2</v>
      </c>
      <c r="AG710" t="str">
        <f t="shared" si="831"/>
        <v>2</v>
      </c>
      <c r="AH710" t="str">
        <f t="shared" si="838"/>
        <v>1</v>
      </c>
      <c r="AI710" t="str">
        <f t="shared" si="843"/>
        <v xml:space="preserve">1         </v>
      </c>
      <c r="AJ710" t="str">
        <f t="shared" si="782"/>
        <v>170</v>
      </c>
      <c r="AK710" t="str">
        <f>"27"</f>
        <v>27</v>
      </c>
      <c r="AL710" t="str">
        <f>"001"</f>
        <v>001</v>
      </c>
      <c r="AM710" t="str">
        <f>"05"</f>
        <v>05</v>
      </c>
      <c r="AN710" t="str">
        <f>"05001"</f>
        <v>05001</v>
      </c>
      <c r="AO710" t="str">
        <f>"27/03/2020 12:00:00 a. m."</f>
        <v>27/03/2020 12:00:00 a. m.</v>
      </c>
      <c r="AP710" t="str">
        <f>"20/03/2020 12:00:00 a. m."</f>
        <v>20/03/2020 12:00:00 a. m.</v>
      </c>
      <c r="AQ710" t="str">
        <f>"3"</f>
        <v>3</v>
      </c>
      <c r="AR710" t="str">
        <f>"1"</f>
        <v>1</v>
      </c>
      <c r="AS710" t="str">
        <f>"27/03/2020 12:00:00 a. m."</f>
        <v>27/03/2020 12:00:00 a. m.</v>
      </c>
      <c r="AT710" t="str">
        <f t="shared" si="849"/>
        <v>1</v>
      </c>
      <c r="AU710" t="str">
        <f>""</f>
        <v/>
      </c>
      <c r="AV710" t="str">
        <f>"0"</f>
        <v>0</v>
      </c>
      <c r="AW710" t="str">
        <f>"9/04/2014 12:00:00 a. m."</f>
        <v>9/04/2014 12:00:00 a. m.</v>
      </c>
      <c r="AX710" t="str">
        <f>""</f>
        <v/>
      </c>
      <c r="AY710" t="str">
        <f t="shared" si="844"/>
        <v>30/04/2021 12:00:00 a. m.</v>
      </c>
      <c r="AZ710" t="str">
        <f>"24/04/2020 12:00:00 a. m."</f>
        <v>24/04/2020 12:00:00 a. m.</v>
      </c>
      <c r="BA710" t="str">
        <f>""</f>
        <v/>
      </c>
      <c r="BB710" t="str">
        <f>""</f>
        <v/>
      </c>
      <c r="BC710" t="str">
        <f>""</f>
        <v/>
      </c>
      <c r="BD710" t="str">
        <f t="shared" si="836"/>
        <v>1</v>
      </c>
      <c r="BE710" t="str">
        <f t="shared" si="836"/>
        <v>1</v>
      </c>
      <c r="BF710" t="str">
        <f t="shared" si="845"/>
        <v xml:space="preserve">3         </v>
      </c>
      <c r="BG710" t="str">
        <f t="shared" si="846"/>
        <v>Confirmado por laboratorio</v>
      </c>
      <c r="BH710" t="str">
        <f>"HOSPITAL GENERAL DE MEDELLIN - LUZ CASTRO DE GUTIE"</f>
        <v>HOSPITAL GENERAL DE MEDELLIN - LUZ CASTRO DE GUTIE</v>
      </c>
      <c r="BI710" t="str">
        <f t="shared" si="783"/>
        <v>COLOMBIA</v>
      </c>
      <c r="BJ710" t="str">
        <f t="shared" si="847"/>
        <v>CANCER INFANTIL</v>
      </c>
      <c r="BK710" t="str">
        <f>"CHOCO"</f>
        <v>CHOCO</v>
      </c>
      <c r="BL710" t="str">
        <f>"QUIBDO"</f>
        <v>QUIBDO</v>
      </c>
      <c r="BM710" t="str">
        <f t="shared" si="784"/>
        <v>COLOMBIA</v>
      </c>
      <c r="BN710" t="str">
        <f>"CHOCO"</f>
        <v>CHOCO</v>
      </c>
      <c r="BO710" t="str">
        <f>"QUIBDO"</f>
        <v>QUIBDO</v>
      </c>
      <c r="BP710" t="str">
        <f>"ANTIOQUIA"</f>
        <v>ANTIOQUIA</v>
      </c>
      <c r="BQ710" t="str">
        <f>"MEDELLIN"</f>
        <v>MEDELLIN</v>
      </c>
    </row>
    <row r="711" spans="1:69" x14ac:dyDescent="0.25">
      <c r="A711" t="str">
        <f>"7291541"</f>
        <v>7291541</v>
      </c>
      <c r="B711" t="str">
        <f t="shared" si="840"/>
        <v>459</v>
      </c>
      <c r="C711" t="str">
        <f>"14/11/2020 12:00:00 a. m."</f>
        <v>14/11/2020 12:00:00 a. m.</v>
      </c>
      <c r="D711" t="str">
        <f>"46"</f>
        <v>46</v>
      </c>
      <c r="E711" t="str">
        <f t="shared" si="841"/>
        <v>2020</v>
      </c>
      <c r="F711" t="str">
        <f>"1100108679"</f>
        <v>1100108679</v>
      </c>
      <c r="G711" t="str">
        <f t="shared" si="823"/>
        <v>01</v>
      </c>
      <c r="H711" t="str">
        <f>"14"</f>
        <v>14</v>
      </c>
      <c r="I711" t="str">
        <f t="shared" si="812"/>
        <v>1</v>
      </c>
      <c r="J711" t="str">
        <f>"F"</f>
        <v>F</v>
      </c>
      <c r="K711" t="str">
        <f t="shared" si="781"/>
        <v>170</v>
      </c>
      <c r="L711" t="str">
        <f>"11"</f>
        <v>11</v>
      </c>
      <c r="M711" t="str">
        <f>"001"</f>
        <v>001</v>
      </c>
      <c r="N711" t="str">
        <f t="shared" si="848"/>
        <v>1</v>
      </c>
      <c r="O711" t="str">
        <f>"9997"</f>
        <v>9997</v>
      </c>
      <c r="P711" t="str">
        <f>"C"</f>
        <v>C</v>
      </c>
      <c r="Q711" t="str">
        <f>"EPS008"</f>
        <v>EPS008</v>
      </c>
      <c r="R711" t="str">
        <f t="shared" si="834"/>
        <v>6</v>
      </c>
      <c r="S711" t="str">
        <f>""</f>
        <v/>
      </c>
      <c r="T711" t="str">
        <f t="shared" si="835"/>
        <v xml:space="preserve">                                                                                                    </v>
      </c>
      <c r="U711" t="str">
        <f>"2         "</f>
        <v xml:space="preserve">2         </v>
      </c>
      <c r="V711" t="str">
        <f t="shared" si="818"/>
        <v>2</v>
      </c>
      <c r="W711" t="str">
        <f t="shared" si="837"/>
        <v>2</v>
      </c>
      <c r="X711" t="str">
        <f t="shared" si="797"/>
        <v>2</v>
      </c>
      <c r="Y711" t="str">
        <f t="shared" si="829"/>
        <v>2</v>
      </c>
      <c r="Z711" t="str">
        <f t="shared" si="829"/>
        <v>2</v>
      </c>
      <c r="AA711" t="str">
        <f t="shared" si="842"/>
        <v xml:space="preserve">          </v>
      </c>
      <c r="AB711" t="str">
        <f t="shared" si="830"/>
        <v>2</v>
      </c>
      <c r="AC711" t="str">
        <f t="shared" si="832"/>
        <v>2</v>
      </c>
      <c r="AD711" t="str">
        <f t="shared" si="831"/>
        <v>2</v>
      </c>
      <c r="AE711" t="str">
        <f t="shared" si="831"/>
        <v>2</v>
      </c>
      <c r="AF711" t="str">
        <f t="shared" si="831"/>
        <v>2</v>
      </c>
      <c r="AG711" t="str">
        <f t="shared" si="831"/>
        <v>2</v>
      </c>
      <c r="AH711" t="str">
        <f t="shared" si="838"/>
        <v>1</v>
      </c>
      <c r="AI711" t="str">
        <f t="shared" si="843"/>
        <v xml:space="preserve">1         </v>
      </c>
      <c r="AJ711" t="str">
        <f t="shared" si="782"/>
        <v>170</v>
      </c>
      <c r="AK711" t="str">
        <f>"11"</f>
        <v>11</v>
      </c>
      <c r="AL711" t="str">
        <f>"001"</f>
        <v>001</v>
      </c>
      <c r="AM711" t="str">
        <f>"11"</f>
        <v>11</v>
      </c>
      <c r="AN711" t="str">
        <f>"11001"</f>
        <v>11001</v>
      </c>
      <c r="AO711" t="str">
        <f>"13/11/2020 12:00:00 a. m."</f>
        <v>13/11/2020 12:00:00 a. m.</v>
      </c>
      <c r="AP711" t="str">
        <f>"28/08/2020 12:00:00 a. m."</f>
        <v>28/08/2020 12:00:00 a. m.</v>
      </c>
      <c r="AQ711" t="str">
        <f>"3"</f>
        <v>3</v>
      </c>
      <c r="AR711" t="str">
        <f>"2"</f>
        <v>2</v>
      </c>
      <c r="AS711" t="str">
        <f>""</f>
        <v/>
      </c>
      <c r="AT711" t="str">
        <f t="shared" si="849"/>
        <v>1</v>
      </c>
      <c r="AU711" t="str">
        <f>""</f>
        <v/>
      </c>
      <c r="AV711" t="str">
        <f>"0"</f>
        <v>0</v>
      </c>
      <c r="AW711" t="str">
        <f>"15/12/2005 12:00:00 a. m."</f>
        <v>15/12/2005 12:00:00 a. m.</v>
      </c>
      <c r="AX711" t="str">
        <f>""</f>
        <v/>
      </c>
      <c r="AY711" t="str">
        <f t="shared" si="844"/>
        <v>30/04/2021 12:00:00 a. m.</v>
      </c>
      <c r="AZ711" t="str">
        <f>"14/11/2020 12:00:00 a. m."</f>
        <v>14/11/2020 12:00:00 a. m.</v>
      </c>
      <c r="BA711" t="str">
        <f>""</f>
        <v/>
      </c>
      <c r="BB711" t="str">
        <f>""</f>
        <v/>
      </c>
      <c r="BC711" t="str">
        <f>""</f>
        <v/>
      </c>
      <c r="BD711" t="str">
        <f t="shared" si="836"/>
        <v>1</v>
      </c>
      <c r="BE711" t="str">
        <f t="shared" si="836"/>
        <v>1</v>
      </c>
      <c r="BF711" t="str">
        <f t="shared" si="845"/>
        <v xml:space="preserve">3         </v>
      </c>
      <c r="BG711" t="str">
        <f t="shared" si="846"/>
        <v>Confirmado por laboratorio</v>
      </c>
      <c r="BH711" t="str">
        <f>"SOCIEDAD DE CIRUGIA DE BOGOTA HOSPITAL DE SAN JOSE"</f>
        <v>SOCIEDAD DE CIRUGIA DE BOGOTA HOSPITAL DE SAN JOSE</v>
      </c>
      <c r="BI711" t="str">
        <f t="shared" si="783"/>
        <v>COLOMBIA</v>
      </c>
      <c r="BJ711" t="str">
        <f t="shared" si="847"/>
        <v>CANCER INFANTIL</v>
      </c>
      <c r="BK711" t="str">
        <f>"BOGOTA"</f>
        <v>BOGOTA</v>
      </c>
      <c r="BL711" t="str">
        <f>"BOGOTA"</f>
        <v>BOGOTA</v>
      </c>
      <c r="BM711" t="str">
        <f t="shared" si="784"/>
        <v>COLOMBIA</v>
      </c>
      <c r="BN711" t="str">
        <f>"BOGOTA"</f>
        <v>BOGOTA</v>
      </c>
      <c r="BO711" t="str">
        <f>"BOGOTA"</f>
        <v>BOGOTA</v>
      </c>
      <c r="BP711" t="str">
        <f>"BOGOTA"</f>
        <v>BOGOTA</v>
      </c>
      <c r="BQ711" t="str">
        <f>"BOGOTA"</f>
        <v>BOGOTA</v>
      </c>
    </row>
    <row r="712" spans="1:69" x14ac:dyDescent="0.25">
      <c r="A712" t="str">
        <f>"7285754"</f>
        <v>7285754</v>
      </c>
      <c r="B712" t="str">
        <f t="shared" si="840"/>
        <v>459</v>
      </c>
      <c r="C712" t="str">
        <f>"24/01/2020 12:00:00 a. m."</f>
        <v>24/01/2020 12:00:00 a. m.</v>
      </c>
      <c r="D712" t="str">
        <f>"02"</f>
        <v>02</v>
      </c>
      <c r="E712" t="str">
        <f t="shared" si="841"/>
        <v>2020</v>
      </c>
      <c r="F712" t="str">
        <f>"6854704947"</f>
        <v>6854704947</v>
      </c>
      <c r="G712" t="str">
        <f t="shared" si="823"/>
        <v>01</v>
      </c>
      <c r="H712" t="str">
        <f>"13"</f>
        <v>13</v>
      </c>
      <c r="I712" t="str">
        <f t="shared" si="812"/>
        <v>1</v>
      </c>
      <c r="J712" t="str">
        <f>"M"</f>
        <v>M</v>
      </c>
      <c r="K712" t="str">
        <f>"740"</f>
        <v>740</v>
      </c>
      <c r="L712" t="str">
        <f>"01"</f>
        <v>01</v>
      </c>
      <c r="M712" t="str">
        <f>"740"</f>
        <v>740</v>
      </c>
      <c r="N712" t="str">
        <f t="shared" si="848"/>
        <v>1</v>
      </c>
      <c r="O712" t="str">
        <f>"9997"</f>
        <v>9997</v>
      </c>
      <c r="P712" t="str">
        <f>"N"</f>
        <v>N</v>
      </c>
      <c r="Q712" t="str">
        <f>""</f>
        <v/>
      </c>
      <c r="R712" t="str">
        <f t="shared" si="834"/>
        <v>6</v>
      </c>
      <c r="S712" t="str">
        <f>""</f>
        <v/>
      </c>
      <c r="T712" t="str">
        <f t="shared" si="835"/>
        <v xml:space="preserve">                                                                                                    </v>
      </c>
      <c r="U712" t="str">
        <f>"2         "</f>
        <v xml:space="preserve">2         </v>
      </c>
      <c r="V712" t="str">
        <f t="shared" si="818"/>
        <v>2</v>
      </c>
      <c r="W712" t="str">
        <f t="shared" si="837"/>
        <v>2</v>
      </c>
      <c r="X712" t="str">
        <f t="shared" si="797"/>
        <v>2</v>
      </c>
      <c r="Y712" t="str">
        <f t="shared" si="829"/>
        <v>2</v>
      </c>
      <c r="Z712" t="str">
        <f t="shared" si="829"/>
        <v>2</v>
      </c>
      <c r="AA712" t="str">
        <f t="shared" si="842"/>
        <v xml:space="preserve">          </v>
      </c>
      <c r="AB712" t="str">
        <f t="shared" si="830"/>
        <v>2</v>
      </c>
      <c r="AC712" t="str">
        <f t="shared" si="832"/>
        <v>2</v>
      </c>
      <c r="AD712" t="str">
        <f t="shared" si="831"/>
        <v>2</v>
      </c>
      <c r="AE712" t="str">
        <f t="shared" si="831"/>
        <v>2</v>
      </c>
      <c r="AF712" t="str">
        <f t="shared" si="831"/>
        <v>2</v>
      </c>
      <c r="AG712" t="str">
        <f t="shared" si="831"/>
        <v>2</v>
      </c>
      <c r="AH712" t="str">
        <f t="shared" si="838"/>
        <v>1</v>
      </c>
      <c r="AI712" t="str">
        <f t="shared" si="843"/>
        <v xml:space="preserve">1         </v>
      </c>
      <c r="AJ712" t="str">
        <f>"740"</f>
        <v>740</v>
      </c>
      <c r="AK712" t="str">
        <f>"01"</f>
        <v>01</v>
      </c>
      <c r="AL712" t="str">
        <f>"740"</f>
        <v>740</v>
      </c>
      <c r="AM712" t="str">
        <f>"68"</f>
        <v>68</v>
      </c>
      <c r="AN712" t="str">
        <f>"68547"</f>
        <v>68547</v>
      </c>
      <c r="AO712" t="str">
        <f>"7/01/2020 12:00:00 a. m."</f>
        <v>7/01/2020 12:00:00 a. m.</v>
      </c>
      <c r="AP712" t="str">
        <f>"7/08/2019 12:00:00 a. m."</f>
        <v>7/08/2019 12:00:00 a. m.</v>
      </c>
      <c r="AQ712" t="str">
        <f>"3"</f>
        <v>3</v>
      </c>
      <c r="AR712" t="str">
        <f t="shared" ref="AR712:AR723" si="852">"1"</f>
        <v>1</v>
      </c>
      <c r="AS712" t="str">
        <f>"7/01/2020 12:00:00 a. m."</f>
        <v>7/01/2020 12:00:00 a. m.</v>
      </c>
      <c r="AT712" t="str">
        <f t="shared" si="849"/>
        <v>1</v>
      </c>
      <c r="AU712" t="str">
        <f>""</f>
        <v/>
      </c>
      <c r="AV712" t="str">
        <f>"0"</f>
        <v>0</v>
      </c>
      <c r="AW712" t="str">
        <f>"29/01/2006 12:00:00 a. m."</f>
        <v>29/01/2006 12:00:00 a. m.</v>
      </c>
      <c r="AX712" t="str">
        <f>""</f>
        <v/>
      </c>
      <c r="AY712" t="str">
        <f t="shared" si="844"/>
        <v>30/04/2021 12:00:00 a. m.</v>
      </c>
      <c r="AZ712" t="str">
        <f>"24/01/2020 12:00:00 a. m."</f>
        <v>24/01/2020 12:00:00 a. m.</v>
      </c>
      <c r="BA712" t="str">
        <f>""</f>
        <v/>
      </c>
      <c r="BB712" t="str">
        <f>""</f>
        <v/>
      </c>
      <c r="BC712" t="str">
        <f>""</f>
        <v/>
      </c>
      <c r="BD712" t="str">
        <f t="shared" si="836"/>
        <v>1</v>
      </c>
      <c r="BE712" t="str">
        <f t="shared" si="836"/>
        <v>1</v>
      </c>
      <c r="BF712" t="str">
        <f t="shared" si="845"/>
        <v xml:space="preserve">3         </v>
      </c>
      <c r="BG712" t="str">
        <f t="shared" si="846"/>
        <v>Confirmado por laboratorio</v>
      </c>
      <c r="BH712" t="str">
        <f>"HOSPITAL INTERNACIONAL DE COLOMBIA"</f>
        <v>HOSPITAL INTERNACIONAL DE COLOMBIA</v>
      </c>
      <c r="BI712" t="str">
        <f>"SURINAME"</f>
        <v>SURINAME</v>
      </c>
      <c r="BJ712" t="str">
        <f t="shared" si="847"/>
        <v>CANCER INFANTIL</v>
      </c>
      <c r="BK712" t="str">
        <f>"EXTERIOR"</f>
        <v>EXTERIOR</v>
      </c>
      <c r="BL712" t="str">
        <f>"EXTERIOR_SURINAME"</f>
        <v>EXTERIOR_SURINAME</v>
      </c>
      <c r="BM712" t="str">
        <f>"SURINAME"</f>
        <v>SURINAME</v>
      </c>
      <c r="BN712" t="str">
        <f>"EXTERIOR"</f>
        <v>EXTERIOR</v>
      </c>
      <c r="BO712" t="str">
        <f>"EXTERIOR_SURINAME"</f>
        <v>EXTERIOR_SURINAME</v>
      </c>
      <c r="BP712" t="str">
        <f>"SANTANDER"</f>
        <v>SANTANDER</v>
      </c>
      <c r="BQ712" t="str">
        <f>"PIEDECUESTA"</f>
        <v>PIEDECUESTA</v>
      </c>
    </row>
    <row r="713" spans="1:69" x14ac:dyDescent="0.25">
      <c r="A713" t="str">
        <f>"7291335"</f>
        <v>7291335</v>
      </c>
      <c r="B713" t="str">
        <f t="shared" si="840"/>
        <v>459</v>
      </c>
      <c r="C713" t="str">
        <f>"17/02/2020 12:00:00 a. m."</f>
        <v>17/02/2020 12:00:00 a. m.</v>
      </c>
      <c r="D713" t="str">
        <f>"07"</f>
        <v>07</v>
      </c>
      <c r="E713" t="str">
        <f t="shared" si="841"/>
        <v>2020</v>
      </c>
      <c r="F713" t="str">
        <f>"7600102870"</f>
        <v>7600102870</v>
      </c>
      <c r="G713" t="str">
        <f t="shared" si="823"/>
        <v>01</v>
      </c>
      <c r="H713" t="str">
        <f>"5"</f>
        <v>5</v>
      </c>
      <c r="I713" t="str">
        <f>"2"</f>
        <v>2</v>
      </c>
      <c r="J713" t="str">
        <f>"F"</f>
        <v>F</v>
      </c>
      <c r="K713" t="str">
        <f t="shared" ref="K713:K776" si="853">"170"</f>
        <v>170</v>
      </c>
      <c r="L713" t="str">
        <f>"76"</f>
        <v>76</v>
      </c>
      <c r="M713" t="str">
        <f>"001"</f>
        <v>001</v>
      </c>
      <c r="N713" t="str">
        <f t="shared" si="848"/>
        <v>1</v>
      </c>
      <c r="O713" t="str">
        <f>"9999"</f>
        <v>9999</v>
      </c>
      <c r="P713" t="str">
        <f>"C"</f>
        <v>C</v>
      </c>
      <c r="Q713" t="str">
        <f>"EPS018"</f>
        <v>EPS018</v>
      </c>
      <c r="R713" t="str">
        <f t="shared" si="834"/>
        <v>6</v>
      </c>
      <c r="S713" t="str">
        <f>""</f>
        <v/>
      </c>
      <c r="T713" t="str">
        <f t="shared" si="835"/>
        <v xml:space="preserve">                                                                                                    </v>
      </c>
      <c r="U713" t="str">
        <f>"          "</f>
        <v xml:space="preserve">          </v>
      </c>
      <c r="V713" t="str">
        <f t="shared" si="818"/>
        <v>2</v>
      </c>
      <c r="W713" t="str">
        <f t="shared" si="837"/>
        <v>2</v>
      </c>
      <c r="X713" t="str">
        <f t="shared" si="797"/>
        <v>2</v>
      </c>
      <c r="Y713" t="str">
        <f t="shared" si="829"/>
        <v>2</v>
      </c>
      <c r="Z713" t="str">
        <f t="shared" si="829"/>
        <v>2</v>
      </c>
      <c r="AA713" t="str">
        <f t="shared" si="842"/>
        <v xml:space="preserve">          </v>
      </c>
      <c r="AB713" t="str">
        <f t="shared" si="830"/>
        <v>2</v>
      </c>
      <c r="AC713" t="str">
        <f t="shared" si="832"/>
        <v>2</v>
      </c>
      <c r="AD713" t="str">
        <f t="shared" si="831"/>
        <v>2</v>
      </c>
      <c r="AE713" t="str">
        <f t="shared" si="831"/>
        <v>2</v>
      </c>
      <c r="AF713" t="str">
        <f t="shared" si="831"/>
        <v>2</v>
      </c>
      <c r="AG713" t="str">
        <f t="shared" si="831"/>
        <v>2</v>
      </c>
      <c r="AH713" t="str">
        <f t="shared" si="838"/>
        <v>1</v>
      </c>
      <c r="AI713" t="str">
        <f t="shared" si="843"/>
        <v xml:space="preserve">1         </v>
      </c>
      <c r="AJ713" t="str">
        <f t="shared" ref="AJ713:AJ776" si="854">"170"</f>
        <v>170</v>
      </c>
      <c r="AK713" t="str">
        <f>"76"</f>
        <v>76</v>
      </c>
      <c r="AL713" t="str">
        <f>"001"</f>
        <v>001</v>
      </c>
      <c r="AM713" t="str">
        <f>"76"</f>
        <v>76</v>
      </c>
      <c r="AN713" t="str">
        <f>"76001"</f>
        <v>76001</v>
      </c>
      <c r="AO713" t="str">
        <f>"13/02/2020 12:00:00 a. m."</f>
        <v>13/02/2020 12:00:00 a. m.</v>
      </c>
      <c r="AP713" t="str">
        <f>"1/12/2019 12:00:00 a. m."</f>
        <v>1/12/2019 12:00:00 a. m.</v>
      </c>
      <c r="AQ713" t="str">
        <f>"2"</f>
        <v>2</v>
      </c>
      <c r="AR713" t="str">
        <f t="shared" si="852"/>
        <v>1</v>
      </c>
      <c r="AS713" t="str">
        <f>"13/02/2020 12:00:00 a. m."</f>
        <v>13/02/2020 12:00:00 a. m.</v>
      </c>
      <c r="AT713" t="str">
        <f t="shared" si="849"/>
        <v>1</v>
      </c>
      <c r="AU713" t="str">
        <f>""</f>
        <v/>
      </c>
      <c r="AV713" t="str">
        <f>"3"</f>
        <v>3</v>
      </c>
      <c r="AW713" t="str">
        <f>"5/09/2019 12:00:00 a. m."</f>
        <v>5/09/2019 12:00:00 a. m.</v>
      </c>
      <c r="AX713" t="str">
        <f>""</f>
        <v/>
      </c>
      <c r="AY713" t="str">
        <f t="shared" si="844"/>
        <v>30/04/2021 12:00:00 a. m.</v>
      </c>
      <c r="AZ713" t="str">
        <f>"26/02/2020 12:00:00 a. m."</f>
        <v>26/02/2020 12:00:00 a. m.</v>
      </c>
      <c r="BA713" t="str">
        <f>""</f>
        <v/>
      </c>
      <c r="BB713" t="str">
        <f>""</f>
        <v/>
      </c>
      <c r="BC713" t="str">
        <f>""</f>
        <v/>
      </c>
      <c r="BD713" t="str">
        <f t="shared" si="836"/>
        <v>1</v>
      </c>
      <c r="BE713" t="str">
        <f t="shared" si="836"/>
        <v>1</v>
      </c>
      <c r="BF713" t="str">
        <f t="shared" si="845"/>
        <v xml:space="preserve">3         </v>
      </c>
      <c r="BG713" t="str">
        <f t="shared" si="846"/>
        <v>Confirmado por laboratorio</v>
      </c>
      <c r="BH713" t="str">
        <f>"FUNDACION VALLE DEL LILI"</f>
        <v>FUNDACION VALLE DEL LILI</v>
      </c>
      <c r="BI713" t="str">
        <f t="shared" ref="BI713:BI776" si="855">"COLOMBIA"</f>
        <v>COLOMBIA</v>
      </c>
      <c r="BJ713" t="str">
        <f t="shared" si="847"/>
        <v>CANCER INFANTIL</v>
      </c>
      <c r="BK713" t="str">
        <f>"VALLE"</f>
        <v>VALLE</v>
      </c>
      <c r="BL713" t="str">
        <f>"CALI"</f>
        <v>CALI</v>
      </c>
      <c r="BM713" t="str">
        <f t="shared" ref="BM713:BM776" si="856">"COLOMBIA"</f>
        <v>COLOMBIA</v>
      </c>
      <c r="BN713" t="str">
        <f>"VALLE"</f>
        <v>VALLE</v>
      </c>
      <c r="BO713" t="str">
        <f>"CALI"</f>
        <v>CALI</v>
      </c>
      <c r="BP713" t="str">
        <f>"VALLE"</f>
        <v>VALLE</v>
      </c>
      <c r="BQ713" t="str">
        <f>"CALI"</f>
        <v>CALI</v>
      </c>
    </row>
    <row r="714" spans="1:69" x14ac:dyDescent="0.25">
      <c r="A714" t="str">
        <f>"7291401"</f>
        <v>7291401</v>
      </c>
      <c r="B714" t="str">
        <f t="shared" si="840"/>
        <v>459</v>
      </c>
      <c r="C714" t="str">
        <f>"20/11/2020 12:00:00 a. m."</f>
        <v>20/11/2020 12:00:00 a. m.</v>
      </c>
      <c r="D714" t="str">
        <f>"47"</f>
        <v>47</v>
      </c>
      <c r="E714" t="str">
        <f t="shared" si="841"/>
        <v>2020</v>
      </c>
      <c r="F714" t="str">
        <f>"7300102417"</f>
        <v>7300102417</v>
      </c>
      <c r="G714" t="str">
        <f t="shared" si="823"/>
        <v>01</v>
      </c>
      <c r="H714" t="str">
        <f>"1"</f>
        <v>1</v>
      </c>
      <c r="I714" t="str">
        <f>"1"</f>
        <v>1</v>
      </c>
      <c r="J714" t="str">
        <f>"M"</f>
        <v>M</v>
      </c>
      <c r="K714" t="str">
        <f t="shared" si="853"/>
        <v>170</v>
      </c>
      <c r="L714" t="str">
        <f>"73"</f>
        <v>73</v>
      </c>
      <c r="M714" t="str">
        <f>"001"</f>
        <v>001</v>
      </c>
      <c r="N714" t="str">
        <f t="shared" si="848"/>
        <v>1</v>
      </c>
      <c r="O714" t="str">
        <f>"9999"</f>
        <v>9999</v>
      </c>
      <c r="P714" t="str">
        <f>"S"</f>
        <v>S</v>
      </c>
      <c r="Q714" t="str">
        <f>"EPSS02"</f>
        <v>EPSS02</v>
      </c>
      <c r="R714" t="str">
        <f t="shared" si="834"/>
        <v>6</v>
      </c>
      <c r="S714" t="str">
        <f>""</f>
        <v/>
      </c>
      <c r="T714" t="str">
        <f t="shared" si="835"/>
        <v xml:space="preserve">                                                                                                    </v>
      </c>
      <c r="U714" t="str">
        <f>"1         "</f>
        <v xml:space="preserve">1         </v>
      </c>
      <c r="V714" t="str">
        <f t="shared" si="818"/>
        <v>2</v>
      </c>
      <c r="W714" t="str">
        <f t="shared" si="837"/>
        <v>2</v>
      </c>
      <c r="X714" t="str">
        <f t="shared" si="797"/>
        <v>2</v>
      </c>
      <c r="Y714" t="str">
        <f t="shared" si="829"/>
        <v>2</v>
      </c>
      <c r="Z714" t="str">
        <f t="shared" si="829"/>
        <v>2</v>
      </c>
      <c r="AA714" t="str">
        <f t="shared" si="842"/>
        <v xml:space="preserve">          </v>
      </c>
      <c r="AB714" t="str">
        <f t="shared" si="830"/>
        <v>2</v>
      </c>
      <c r="AC714" t="str">
        <f t="shared" si="832"/>
        <v>2</v>
      </c>
      <c r="AD714" t="str">
        <f t="shared" si="831"/>
        <v>2</v>
      </c>
      <c r="AE714" t="str">
        <f t="shared" si="831"/>
        <v>2</v>
      </c>
      <c r="AF714" t="str">
        <f t="shared" si="831"/>
        <v>2</v>
      </c>
      <c r="AG714" t="str">
        <f t="shared" si="831"/>
        <v>2</v>
      </c>
      <c r="AH714" t="str">
        <f t="shared" si="838"/>
        <v>1</v>
      </c>
      <c r="AI714" t="str">
        <f t="shared" si="843"/>
        <v xml:space="preserve">1         </v>
      </c>
      <c r="AJ714" t="str">
        <f t="shared" si="854"/>
        <v>170</v>
      </c>
      <c r="AK714" t="str">
        <f>"73"</f>
        <v>73</v>
      </c>
      <c r="AL714" t="str">
        <f>"001"</f>
        <v>001</v>
      </c>
      <c r="AM714" t="str">
        <f>"73"</f>
        <v>73</v>
      </c>
      <c r="AN714" t="str">
        <f>"73001"</f>
        <v>73001</v>
      </c>
      <c r="AO714" t="str">
        <f>"17/11/2020 12:00:00 a. m."</f>
        <v>17/11/2020 12:00:00 a. m.</v>
      </c>
      <c r="AP714" t="str">
        <f>"3/08/2020 12:00:00 a. m."</f>
        <v>3/08/2020 12:00:00 a. m.</v>
      </c>
      <c r="AQ714" t="str">
        <f t="shared" ref="AQ714:AQ719" si="857">"3"</f>
        <v>3</v>
      </c>
      <c r="AR714" t="str">
        <f t="shared" si="852"/>
        <v>1</v>
      </c>
      <c r="AS714" t="str">
        <f>"17/11/2020 12:00:00 a. m."</f>
        <v>17/11/2020 12:00:00 a. m.</v>
      </c>
      <c r="AT714" t="str">
        <f t="shared" si="849"/>
        <v>1</v>
      </c>
      <c r="AU714" t="str">
        <f>""</f>
        <v/>
      </c>
      <c r="AV714" t="str">
        <f t="shared" ref="AV714:AV719" si="858">"0"</f>
        <v>0</v>
      </c>
      <c r="AW714" t="str">
        <f>"10/06/2019 12:00:00 a. m."</f>
        <v>10/06/2019 12:00:00 a. m.</v>
      </c>
      <c r="AX714" t="str">
        <f>""</f>
        <v/>
      </c>
      <c r="AY714" t="str">
        <f t="shared" si="844"/>
        <v>30/04/2021 12:00:00 a. m.</v>
      </c>
      <c r="AZ714" t="str">
        <f>"23/11/2020 12:00:00 a. m."</f>
        <v>23/11/2020 12:00:00 a. m.</v>
      </c>
      <c r="BA714" t="str">
        <f>""</f>
        <v/>
      </c>
      <c r="BB714" t="str">
        <f>""</f>
        <v/>
      </c>
      <c r="BC714" t="str">
        <f>""</f>
        <v/>
      </c>
      <c r="BD714" t="str">
        <f t="shared" si="836"/>
        <v>1</v>
      </c>
      <c r="BE714" t="str">
        <f t="shared" si="836"/>
        <v>1</v>
      </c>
      <c r="BF714" t="str">
        <f t="shared" si="845"/>
        <v xml:space="preserve">3         </v>
      </c>
      <c r="BG714" t="str">
        <f t="shared" si="846"/>
        <v>Confirmado por laboratorio</v>
      </c>
      <c r="BH714" t="str">
        <f>"CLINICA INTERNACIONAL DE ALTA TECNOLOGIA SAS"</f>
        <v>CLINICA INTERNACIONAL DE ALTA TECNOLOGIA SAS</v>
      </c>
      <c r="BI714" t="str">
        <f t="shared" si="855"/>
        <v>COLOMBIA</v>
      </c>
      <c r="BJ714" t="str">
        <f t="shared" si="847"/>
        <v>CANCER INFANTIL</v>
      </c>
      <c r="BK714" t="str">
        <f>"TOLIMA"</f>
        <v>TOLIMA</v>
      </c>
      <c r="BL714" t="str">
        <f>"IBAGUE"</f>
        <v>IBAGUE</v>
      </c>
      <c r="BM714" t="str">
        <f t="shared" si="856"/>
        <v>COLOMBIA</v>
      </c>
      <c r="BN714" t="str">
        <f>"TOLIMA"</f>
        <v>TOLIMA</v>
      </c>
      <c r="BO714" t="str">
        <f>"IBAGUE"</f>
        <v>IBAGUE</v>
      </c>
      <c r="BP714" t="str">
        <f>"TOLIMA"</f>
        <v>TOLIMA</v>
      </c>
      <c r="BQ714" t="str">
        <f>"IBAGUE"</f>
        <v>IBAGUE</v>
      </c>
    </row>
    <row r="715" spans="1:69" x14ac:dyDescent="0.25">
      <c r="A715" t="str">
        <f>"7291337"</f>
        <v>7291337</v>
      </c>
      <c r="B715" t="str">
        <f t="shared" si="840"/>
        <v>459</v>
      </c>
      <c r="C715" t="str">
        <f>"29/09/2020 12:00:00 a. m."</f>
        <v>29/09/2020 12:00:00 a. m.</v>
      </c>
      <c r="D715" t="str">
        <f>"35"</f>
        <v>35</v>
      </c>
      <c r="E715" t="str">
        <f t="shared" si="841"/>
        <v>2020</v>
      </c>
      <c r="F715" t="str">
        <f>"1100105681"</f>
        <v>1100105681</v>
      </c>
      <c r="G715" t="str">
        <f t="shared" si="823"/>
        <v>01</v>
      </c>
      <c r="H715" t="str">
        <f>"12"</f>
        <v>12</v>
      </c>
      <c r="I715" t="str">
        <f t="shared" ref="I715:I725" si="859">"1"</f>
        <v>1</v>
      </c>
      <c r="J715" t="str">
        <f>"F"</f>
        <v>F</v>
      </c>
      <c r="K715" t="str">
        <f t="shared" si="853"/>
        <v>170</v>
      </c>
      <c r="L715" t="str">
        <f>"73"</f>
        <v>73</v>
      </c>
      <c r="M715" t="str">
        <f>"001"</f>
        <v>001</v>
      </c>
      <c r="N715" t="str">
        <f t="shared" si="848"/>
        <v>1</v>
      </c>
      <c r="O715" t="str">
        <f>"9997"</f>
        <v>9997</v>
      </c>
      <c r="P715" t="str">
        <f>"S"</f>
        <v>S</v>
      </c>
      <c r="Q715" t="str">
        <f>"EPSS02"</f>
        <v>EPSS02</v>
      </c>
      <c r="R715" t="str">
        <f t="shared" si="834"/>
        <v>6</v>
      </c>
      <c r="S715" t="str">
        <f>""</f>
        <v/>
      </c>
      <c r="T715" t="str">
        <f t="shared" si="835"/>
        <v xml:space="preserve">                                                                                                    </v>
      </c>
      <c r="U715" t="str">
        <f>"2         "</f>
        <v xml:space="preserve">2         </v>
      </c>
      <c r="V715" t="str">
        <f t="shared" si="818"/>
        <v>2</v>
      </c>
      <c r="W715" t="str">
        <f t="shared" si="837"/>
        <v>2</v>
      </c>
      <c r="X715" t="str">
        <f t="shared" si="797"/>
        <v>2</v>
      </c>
      <c r="Y715" t="str">
        <f t="shared" si="829"/>
        <v>2</v>
      </c>
      <c r="Z715" t="str">
        <f t="shared" si="829"/>
        <v>2</v>
      </c>
      <c r="AA715" t="str">
        <f t="shared" si="842"/>
        <v xml:space="preserve">          </v>
      </c>
      <c r="AB715" t="str">
        <f t="shared" si="830"/>
        <v>2</v>
      </c>
      <c r="AC715" t="str">
        <f t="shared" si="832"/>
        <v>2</v>
      </c>
      <c r="AD715" t="str">
        <f t="shared" si="831"/>
        <v>2</v>
      </c>
      <c r="AE715" t="str">
        <f t="shared" si="831"/>
        <v>2</v>
      </c>
      <c r="AF715" t="str">
        <f t="shared" si="831"/>
        <v>2</v>
      </c>
      <c r="AG715" t="str">
        <f t="shared" si="831"/>
        <v>2</v>
      </c>
      <c r="AH715" t="str">
        <f t="shared" si="838"/>
        <v>1</v>
      </c>
      <c r="AI715" t="str">
        <f t="shared" si="843"/>
        <v xml:space="preserve">1         </v>
      </c>
      <c r="AJ715" t="str">
        <f t="shared" si="854"/>
        <v>170</v>
      </c>
      <c r="AK715" t="str">
        <f>"73"</f>
        <v>73</v>
      </c>
      <c r="AL715" t="str">
        <f>"001"</f>
        <v>001</v>
      </c>
      <c r="AM715" t="str">
        <f>"11"</f>
        <v>11</v>
      </c>
      <c r="AN715" t="str">
        <f>"11001"</f>
        <v>11001</v>
      </c>
      <c r="AO715" t="str">
        <f>"25/08/2020 12:00:00 a. m."</f>
        <v>25/08/2020 12:00:00 a. m.</v>
      </c>
      <c r="AP715" t="str">
        <f>"25/05/2020 12:00:00 a. m."</f>
        <v>25/05/2020 12:00:00 a. m.</v>
      </c>
      <c r="AQ715" t="str">
        <f t="shared" si="857"/>
        <v>3</v>
      </c>
      <c r="AR715" t="str">
        <f t="shared" si="852"/>
        <v>1</v>
      </c>
      <c r="AS715" t="str">
        <f>"25/08/2020 12:00:00 a. m."</f>
        <v>25/08/2020 12:00:00 a. m.</v>
      </c>
      <c r="AT715" t="str">
        <f t="shared" si="849"/>
        <v>1</v>
      </c>
      <c r="AU715" t="str">
        <f>""</f>
        <v/>
      </c>
      <c r="AV715" t="str">
        <f t="shared" si="858"/>
        <v>0</v>
      </c>
      <c r="AW715" t="str">
        <f>"3/01/2008 12:00:00 a. m."</f>
        <v>3/01/2008 12:00:00 a. m.</v>
      </c>
      <c r="AX715" t="str">
        <f>""</f>
        <v/>
      </c>
      <c r="AY715" t="str">
        <f t="shared" si="844"/>
        <v>30/04/2021 12:00:00 a. m.</v>
      </c>
      <c r="AZ715" t="str">
        <f>"29/09/2020 12:00:00 a. m."</f>
        <v>29/09/2020 12:00:00 a. m.</v>
      </c>
      <c r="BA715" t="str">
        <f>""</f>
        <v/>
      </c>
      <c r="BB715" t="str">
        <f>""</f>
        <v/>
      </c>
      <c r="BC715" t="str">
        <f>""</f>
        <v/>
      </c>
      <c r="BD715" t="str">
        <f t="shared" si="836"/>
        <v>1</v>
      </c>
      <c r="BE715" t="str">
        <f t="shared" si="836"/>
        <v>1</v>
      </c>
      <c r="BF715" t="str">
        <f t="shared" si="845"/>
        <v xml:space="preserve">3         </v>
      </c>
      <c r="BG715" t="str">
        <f t="shared" si="846"/>
        <v>Confirmado por laboratorio</v>
      </c>
      <c r="BH715" t="str">
        <f>"FUNDACION HOSPITAL DE LA MISERICORDIA"</f>
        <v>FUNDACION HOSPITAL DE LA MISERICORDIA</v>
      </c>
      <c r="BI715" t="str">
        <f t="shared" si="855"/>
        <v>COLOMBIA</v>
      </c>
      <c r="BJ715" t="str">
        <f t="shared" si="847"/>
        <v>CANCER INFANTIL</v>
      </c>
      <c r="BK715" t="str">
        <f>"TOLIMA"</f>
        <v>TOLIMA</v>
      </c>
      <c r="BL715" t="str">
        <f>"IBAGUE"</f>
        <v>IBAGUE</v>
      </c>
      <c r="BM715" t="str">
        <f t="shared" si="856"/>
        <v>COLOMBIA</v>
      </c>
      <c r="BN715" t="str">
        <f>"TOLIMA"</f>
        <v>TOLIMA</v>
      </c>
      <c r="BO715" t="str">
        <f>"IBAGUE"</f>
        <v>IBAGUE</v>
      </c>
      <c r="BP715" t="str">
        <f t="shared" ref="BP715:BQ718" si="860">"BOGOTA"</f>
        <v>BOGOTA</v>
      </c>
      <c r="BQ715" t="str">
        <f t="shared" si="860"/>
        <v>BOGOTA</v>
      </c>
    </row>
    <row r="716" spans="1:69" x14ac:dyDescent="0.25">
      <c r="A716" t="str">
        <f>"7291431"</f>
        <v>7291431</v>
      </c>
      <c r="B716" t="str">
        <f t="shared" si="840"/>
        <v>459</v>
      </c>
      <c r="C716" t="str">
        <f>"10/03/2020 12:00:00 a. m."</f>
        <v>10/03/2020 12:00:00 a. m.</v>
      </c>
      <c r="D716" t="str">
        <f>"11"</f>
        <v>11</v>
      </c>
      <c r="E716" t="str">
        <f t="shared" si="841"/>
        <v>2020</v>
      </c>
      <c r="F716" t="str">
        <f>"1100105681"</f>
        <v>1100105681</v>
      </c>
      <c r="G716" t="str">
        <f t="shared" si="823"/>
        <v>01</v>
      </c>
      <c r="H716" t="str">
        <f>"12"</f>
        <v>12</v>
      </c>
      <c r="I716" t="str">
        <f t="shared" si="859"/>
        <v>1</v>
      </c>
      <c r="J716" t="str">
        <f>"F"</f>
        <v>F</v>
      </c>
      <c r="K716" t="str">
        <f t="shared" si="853"/>
        <v>170</v>
      </c>
      <c r="L716" t="str">
        <f>"25"</f>
        <v>25</v>
      </c>
      <c r="M716" t="str">
        <f>"377"</f>
        <v>377</v>
      </c>
      <c r="N716" t="str">
        <f t="shared" si="848"/>
        <v>1</v>
      </c>
      <c r="O716" t="str">
        <f>"9997"</f>
        <v>9997</v>
      </c>
      <c r="P716" t="str">
        <f>"C"</f>
        <v>C</v>
      </c>
      <c r="Q716" t="str">
        <f>"EPS005"</f>
        <v>EPS005</v>
      </c>
      <c r="R716" t="str">
        <f t="shared" si="834"/>
        <v>6</v>
      </c>
      <c r="S716" t="str">
        <f>""</f>
        <v/>
      </c>
      <c r="T716" t="str">
        <f t="shared" si="835"/>
        <v xml:space="preserve">                                                                                                    </v>
      </c>
      <c r="U716" t="str">
        <f>"3         "</f>
        <v xml:space="preserve">3         </v>
      </c>
      <c r="V716" t="str">
        <f t="shared" si="818"/>
        <v>2</v>
      </c>
      <c r="W716" t="str">
        <f t="shared" si="837"/>
        <v>2</v>
      </c>
      <c r="X716" t="str">
        <f t="shared" si="797"/>
        <v>2</v>
      </c>
      <c r="Y716" t="str">
        <f t="shared" si="829"/>
        <v>2</v>
      </c>
      <c r="Z716" t="str">
        <f t="shared" si="829"/>
        <v>2</v>
      </c>
      <c r="AA716" t="str">
        <f t="shared" si="842"/>
        <v xml:space="preserve">          </v>
      </c>
      <c r="AB716" t="str">
        <f t="shared" si="830"/>
        <v>2</v>
      </c>
      <c r="AC716" t="str">
        <f t="shared" si="832"/>
        <v>2</v>
      </c>
      <c r="AD716" t="str">
        <f t="shared" si="831"/>
        <v>2</v>
      </c>
      <c r="AE716" t="str">
        <f t="shared" si="831"/>
        <v>2</v>
      </c>
      <c r="AF716" t="str">
        <f t="shared" si="831"/>
        <v>2</v>
      </c>
      <c r="AG716" t="str">
        <f t="shared" si="831"/>
        <v>2</v>
      </c>
      <c r="AH716" t="str">
        <f t="shared" si="838"/>
        <v>1</v>
      </c>
      <c r="AI716" t="str">
        <f>"2         "</f>
        <v xml:space="preserve">2         </v>
      </c>
      <c r="AJ716" t="str">
        <f t="shared" si="854"/>
        <v>170</v>
      </c>
      <c r="AK716" t="str">
        <f>"25"</f>
        <v>25</v>
      </c>
      <c r="AL716" t="str">
        <f>"377"</f>
        <v>377</v>
      </c>
      <c r="AM716" t="str">
        <f>"11"</f>
        <v>11</v>
      </c>
      <c r="AN716" t="str">
        <f>"11001"</f>
        <v>11001</v>
      </c>
      <c r="AO716" t="str">
        <f>"10/03/2020 12:00:00 a. m."</f>
        <v>10/03/2020 12:00:00 a. m.</v>
      </c>
      <c r="AP716" t="str">
        <f>"20/02/2020 12:00:00 a. m."</f>
        <v>20/02/2020 12:00:00 a. m.</v>
      </c>
      <c r="AQ716" t="str">
        <f t="shared" si="857"/>
        <v>3</v>
      </c>
      <c r="AR716" t="str">
        <f t="shared" si="852"/>
        <v>1</v>
      </c>
      <c r="AS716" t="str">
        <f>"10/03/2020 12:00:00 a. m."</f>
        <v>10/03/2020 12:00:00 a. m.</v>
      </c>
      <c r="AT716" t="str">
        <f t="shared" si="849"/>
        <v>1</v>
      </c>
      <c r="AU716" t="str">
        <f>""</f>
        <v/>
      </c>
      <c r="AV716" t="str">
        <f t="shared" si="858"/>
        <v>0</v>
      </c>
      <c r="AW716" t="str">
        <f>"18/12/2007 12:00:00 a. m."</f>
        <v>18/12/2007 12:00:00 a. m.</v>
      </c>
      <c r="AX716" t="str">
        <f>""</f>
        <v/>
      </c>
      <c r="AY716" t="str">
        <f t="shared" si="844"/>
        <v>30/04/2021 12:00:00 a. m.</v>
      </c>
      <c r="AZ716" t="str">
        <f>"28/04/2020 12:00:00 a. m."</f>
        <v>28/04/2020 12:00:00 a. m.</v>
      </c>
      <c r="BA716" t="str">
        <f>""</f>
        <v/>
      </c>
      <c r="BB716" t="str">
        <f>""</f>
        <v/>
      </c>
      <c r="BC716" t="str">
        <f>""</f>
        <v/>
      </c>
      <c r="BD716" t="str">
        <f t="shared" si="836"/>
        <v>1</v>
      </c>
      <c r="BE716" t="str">
        <f t="shared" si="836"/>
        <v>1</v>
      </c>
      <c r="BF716" t="str">
        <f t="shared" si="845"/>
        <v xml:space="preserve">3         </v>
      </c>
      <c r="BG716" t="str">
        <f t="shared" si="846"/>
        <v>Confirmado por laboratorio</v>
      </c>
      <c r="BH716" t="str">
        <f>"FUNDACION HOSPITAL DE LA MISERICORDIA"</f>
        <v>FUNDACION HOSPITAL DE LA MISERICORDIA</v>
      </c>
      <c r="BI716" t="str">
        <f t="shared" si="855"/>
        <v>COLOMBIA</v>
      </c>
      <c r="BJ716" t="str">
        <f t="shared" si="847"/>
        <v>CANCER INFANTIL</v>
      </c>
      <c r="BK716" t="str">
        <f>"CUNDINAMARCA"</f>
        <v>CUNDINAMARCA</v>
      </c>
      <c r="BL716" t="str">
        <f>"LA CALERA"</f>
        <v>LA CALERA</v>
      </c>
      <c r="BM716" t="str">
        <f t="shared" si="856"/>
        <v>COLOMBIA</v>
      </c>
      <c r="BN716" t="str">
        <f>"CUNDINAMARCA"</f>
        <v>CUNDINAMARCA</v>
      </c>
      <c r="BO716" t="str">
        <f>"LA CALERA"</f>
        <v>LA CALERA</v>
      </c>
      <c r="BP716" t="str">
        <f t="shared" si="860"/>
        <v>BOGOTA</v>
      </c>
      <c r="BQ716" t="str">
        <f t="shared" si="860"/>
        <v>BOGOTA</v>
      </c>
    </row>
    <row r="717" spans="1:69" x14ac:dyDescent="0.25">
      <c r="A717" t="str">
        <f>"7291432"</f>
        <v>7291432</v>
      </c>
      <c r="B717" t="str">
        <f t="shared" si="840"/>
        <v>459</v>
      </c>
      <c r="C717" t="str">
        <f>"16/04/2020 12:00:00 a. m."</f>
        <v>16/04/2020 12:00:00 a. m.</v>
      </c>
      <c r="D717" t="str">
        <f>"13"</f>
        <v>13</v>
      </c>
      <c r="E717" t="str">
        <f t="shared" si="841"/>
        <v>2020</v>
      </c>
      <c r="F717" t="str">
        <f>"1100105681"</f>
        <v>1100105681</v>
      </c>
      <c r="G717" t="str">
        <f t="shared" si="823"/>
        <v>01</v>
      </c>
      <c r="H717" t="str">
        <f>"11"</f>
        <v>11</v>
      </c>
      <c r="I717" t="str">
        <f t="shared" si="859"/>
        <v>1</v>
      </c>
      <c r="J717" t="str">
        <f>"M"</f>
        <v>M</v>
      </c>
      <c r="K717" t="str">
        <f t="shared" si="853"/>
        <v>170</v>
      </c>
      <c r="L717" t="str">
        <f>"11"</f>
        <v>11</v>
      </c>
      <c r="M717" t="str">
        <f>"001"</f>
        <v>001</v>
      </c>
      <c r="N717" t="str">
        <f t="shared" si="848"/>
        <v>1</v>
      </c>
      <c r="O717" t="str">
        <f>"9997"</f>
        <v>9997</v>
      </c>
      <c r="P717" t="str">
        <f>"C"</f>
        <v>C</v>
      </c>
      <c r="Q717" t="str">
        <f>"EPS005"</f>
        <v>EPS005</v>
      </c>
      <c r="R717" t="str">
        <f t="shared" si="834"/>
        <v>6</v>
      </c>
      <c r="S717" t="str">
        <f>""</f>
        <v/>
      </c>
      <c r="T717" t="str">
        <f t="shared" si="835"/>
        <v xml:space="preserve">                                                                                                    </v>
      </c>
      <c r="U717" t="str">
        <f>"2         "</f>
        <v xml:space="preserve">2         </v>
      </c>
      <c r="V717" t="str">
        <f t="shared" si="818"/>
        <v>2</v>
      </c>
      <c r="W717" t="str">
        <f t="shared" si="837"/>
        <v>2</v>
      </c>
      <c r="X717" t="str">
        <f t="shared" si="797"/>
        <v>2</v>
      </c>
      <c r="Y717" t="str">
        <f t="shared" si="829"/>
        <v>2</v>
      </c>
      <c r="Z717" t="str">
        <f t="shared" si="829"/>
        <v>2</v>
      </c>
      <c r="AA717" t="str">
        <f t="shared" si="842"/>
        <v xml:space="preserve">          </v>
      </c>
      <c r="AB717" t="str">
        <f t="shared" si="830"/>
        <v>2</v>
      </c>
      <c r="AC717" t="str">
        <f t="shared" si="832"/>
        <v>2</v>
      </c>
      <c r="AD717" t="str">
        <f t="shared" si="831"/>
        <v>2</v>
      </c>
      <c r="AE717" t="str">
        <f t="shared" si="831"/>
        <v>2</v>
      </c>
      <c r="AF717" t="str">
        <f t="shared" si="831"/>
        <v>2</v>
      </c>
      <c r="AG717" t="str">
        <f t="shared" si="831"/>
        <v>2</v>
      </c>
      <c r="AH717" t="str">
        <f t="shared" si="838"/>
        <v>1</v>
      </c>
      <c r="AI717" t="str">
        <f t="shared" ref="AI717:AI739" si="861">"1         "</f>
        <v xml:space="preserve">1         </v>
      </c>
      <c r="AJ717" t="str">
        <f t="shared" si="854"/>
        <v>170</v>
      </c>
      <c r="AK717" t="str">
        <f>"11"</f>
        <v>11</v>
      </c>
      <c r="AL717" t="str">
        <f>"001"</f>
        <v>001</v>
      </c>
      <c r="AM717" t="str">
        <f>"11"</f>
        <v>11</v>
      </c>
      <c r="AN717" t="str">
        <f>"11001"</f>
        <v>11001</v>
      </c>
      <c r="AO717" t="str">
        <f>"22/03/2020 12:00:00 a. m."</f>
        <v>22/03/2020 12:00:00 a. m.</v>
      </c>
      <c r="AP717" t="str">
        <f>"12/03/2020 12:00:00 a. m."</f>
        <v>12/03/2020 12:00:00 a. m.</v>
      </c>
      <c r="AQ717" t="str">
        <f t="shared" si="857"/>
        <v>3</v>
      </c>
      <c r="AR717" t="str">
        <f t="shared" si="852"/>
        <v>1</v>
      </c>
      <c r="AS717" t="str">
        <f>"22/03/2020 12:00:00 a. m."</f>
        <v>22/03/2020 12:00:00 a. m.</v>
      </c>
      <c r="AT717" t="str">
        <f t="shared" si="849"/>
        <v>1</v>
      </c>
      <c r="AU717" t="str">
        <f>""</f>
        <v/>
      </c>
      <c r="AV717" t="str">
        <f t="shared" si="858"/>
        <v>0</v>
      </c>
      <c r="AW717" t="str">
        <f>"23/06/2008 12:00:00 a. m."</f>
        <v>23/06/2008 12:00:00 a. m.</v>
      </c>
      <c r="AX717" t="str">
        <f>""</f>
        <v/>
      </c>
      <c r="AY717" t="str">
        <f t="shared" si="844"/>
        <v>30/04/2021 12:00:00 a. m.</v>
      </c>
      <c r="AZ717" t="str">
        <f>"21/05/2020 12:00:00 a. m."</f>
        <v>21/05/2020 12:00:00 a. m.</v>
      </c>
      <c r="BA717" t="str">
        <f>""</f>
        <v/>
      </c>
      <c r="BB717" t="str">
        <f>""</f>
        <v/>
      </c>
      <c r="BC717" t="str">
        <f>""</f>
        <v/>
      </c>
      <c r="BD717" t="str">
        <f t="shared" si="836"/>
        <v>1</v>
      </c>
      <c r="BE717" t="str">
        <f t="shared" si="836"/>
        <v>1</v>
      </c>
      <c r="BF717" t="str">
        <f t="shared" si="845"/>
        <v xml:space="preserve">3         </v>
      </c>
      <c r="BG717" t="str">
        <f t="shared" si="846"/>
        <v>Confirmado por laboratorio</v>
      </c>
      <c r="BH717" t="str">
        <f>"FUNDACION HOSPITAL DE LA MISERICORDIA"</f>
        <v>FUNDACION HOSPITAL DE LA MISERICORDIA</v>
      </c>
      <c r="BI717" t="str">
        <f t="shared" si="855"/>
        <v>COLOMBIA</v>
      </c>
      <c r="BJ717" t="str">
        <f t="shared" si="847"/>
        <v>CANCER INFANTIL</v>
      </c>
      <c r="BK717" t="str">
        <f>"BOGOTA"</f>
        <v>BOGOTA</v>
      </c>
      <c r="BL717" t="str">
        <f>"BOGOTA"</f>
        <v>BOGOTA</v>
      </c>
      <c r="BM717" t="str">
        <f t="shared" si="856"/>
        <v>COLOMBIA</v>
      </c>
      <c r="BN717" t="str">
        <f>"BOGOTA"</f>
        <v>BOGOTA</v>
      </c>
      <c r="BO717" t="str">
        <f>"BOGOTA"</f>
        <v>BOGOTA</v>
      </c>
      <c r="BP717" t="str">
        <f t="shared" si="860"/>
        <v>BOGOTA</v>
      </c>
      <c r="BQ717" t="str">
        <f t="shared" si="860"/>
        <v>BOGOTA</v>
      </c>
    </row>
    <row r="718" spans="1:69" x14ac:dyDescent="0.25">
      <c r="A718" t="str">
        <f>"7291433"</f>
        <v>7291433</v>
      </c>
      <c r="B718" t="str">
        <f t="shared" si="840"/>
        <v>459</v>
      </c>
      <c r="C718" t="str">
        <f>"22/01/2020 12:00:00 a. m."</f>
        <v>22/01/2020 12:00:00 a. m.</v>
      </c>
      <c r="D718" t="str">
        <f>"02"</f>
        <v>02</v>
      </c>
      <c r="E718" t="str">
        <f t="shared" si="841"/>
        <v>2020</v>
      </c>
      <c r="F718" t="str">
        <f>"1100105681"</f>
        <v>1100105681</v>
      </c>
      <c r="G718" t="str">
        <f t="shared" si="823"/>
        <v>01</v>
      </c>
      <c r="H718" t="str">
        <f>"11"</f>
        <v>11</v>
      </c>
      <c r="I718" t="str">
        <f t="shared" si="859"/>
        <v>1</v>
      </c>
      <c r="J718" t="str">
        <f>"F"</f>
        <v>F</v>
      </c>
      <c r="K718" t="str">
        <f t="shared" si="853"/>
        <v>170</v>
      </c>
      <c r="L718" t="str">
        <f>"11"</f>
        <v>11</v>
      </c>
      <c r="M718" t="str">
        <f>"001"</f>
        <v>001</v>
      </c>
      <c r="N718" t="str">
        <f t="shared" si="848"/>
        <v>1</v>
      </c>
      <c r="O718" t="str">
        <f>"9997"</f>
        <v>9997</v>
      </c>
      <c r="P718" t="str">
        <f>"C"</f>
        <v>C</v>
      </c>
      <c r="Q718" t="str">
        <f>"EPS044"</f>
        <v>EPS044</v>
      </c>
      <c r="R718" t="str">
        <f t="shared" si="834"/>
        <v>6</v>
      </c>
      <c r="S718" t="str">
        <f>""</f>
        <v/>
      </c>
      <c r="T718" t="str">
        <f t="shared" si="835"/>
        <v xml:space="preserve">                                                                                                    </v>
      </c>
      <c r="U718" t="str">
        <f>"2         "</f>
        <v xml:space="preserve">2         </v>
      </c>
      <c r="V718" t="str">
        <f t="shared" si="818"/>
        <v>2</v>
      </c>
      <c r="W718" t="str">
        <f t="shared" si="837"/>
        <v>2</v>
      </c>
      <c r="X718" t="str">
        <f t="shared" si="797"/>
        <v>2</v>
      </c>
      <c r="Y718" t="str">
        <f t="shared" si="829"/>
        <v>2</v>
      </c>
      <c r="Z718" t="str">
        <f t="shared" si="829"/>
        <v>2</v>
      </c>
      <c r="AA718" t="str">
        <f t="shared" si="842"/>
        <v xml:space="preserve">          </v>
      </c>
      <c r="AB718" t="str">
        <f t="shared" si="830"/>
        <v>2</v>
      </c>
      <c r="AC718" t="str">
        <f t="shared" si="832"/>
        <v>2</v>
      </c>
      <c r="AD718" t="str">
        <f t="shared" si="831"/>
        <v>2</v>
      </c>
      <c r="AE718" t="str">
        <f t="shared" si="831"/>
        <v>2</v>
      </c>
      <c r="AF718" t="str">
        <f t="shared" si="831"/>
        <v>2</v>
      </c>
      <c r="AG718" t="str">
        <f t="shared" si="831"/>
        <v>2</v>
      </c>
      <c r="AH718" t="str">
        <f t="shared" si="838"/>
        <v>1</v>
      </c>
      <c r="AI718" t="str">
        <f t="shared" si="861"/>
        <v xml:space="preserve">1         </v>
      </c>
      <c r="AJ718" t="str">
        <f t="shared" si="854"/>
        <v>170</v>
      </c>
      <c r="AK718" t="str">
        <f>"11"</f>
        <v>11</v>
      </c>
      <c r="AL718" t="str">
        <f>"001"</f>
        <v>001</v>
      </c>
      <c r="AM718" t="str">
        <f>"11"</f>
        <v>11</v>
      </c>
      <c r="AN718" t="str">
        <f>"11001"</f>
        <v>11001</v>
      </c>
      <c r="AO718" t="str">
        <f>"7/01/2020 12:00:00 a. m."</f>
        <v>7/01/2020 12:00:00 a. m.</v>
      </c>
      <c r="AP718" t="str">
        <f>"1/06/2019 12:00:00 a. m."</f>
        <v>1/06/2019 12:00:00 a. m.</v>
      </c>
      <c r="AQ718" t="str">
        <f t="shared" si="857"/>
        <v>3</v>
      </c>
      <c r="AR718" t="str">
        <f t="shared" si="852"/>
        <v>1</v>
      </c>
      <c r="AS718" t="str">
        <f>"7/01/2020 12:00:00 a. m."</f>
        <v>7/01/2020 12:00:00 a. m.</v>
      </c>
      <c r="AT718" t="str">
        <f t="shared" si="849"/>
        <v>1</v>
      </c>
      <c r="AU718" t="str">
        <f>""</f>
        <v/>
      </c>
      <c r="AV718" t="str">
        <f t="shared" si="858"/>
        <v>0</v>
      </c>
      <c r="AW718" t="str">
        <f>"9/06/2008 12:00:00 a. m."</f>
        <v>9/06/2008 12:00:00 a. m.</v>
      </c>
      <c r="AX718" t="str">
        <f>""</f>
        <v/>
      </c>
      <c r="AY718" t="str">
        <f t="shared" si="844"/>
        <v>30/04/2021 12:00:00 a. m.</v>
      </c>
      <c r="AZ718" t="str">
        <f>"11/02/2020 12:00:00 a. m."</f>
        <v>11/02/2020 12:00:00 a. m.</v>
      </c>
      <c r="BA718" t="str">
        <f>""</f>
        <v/>
      </c>
      <c r="BB718" t="str">
        <f>""</f>
        <v/>
      </c>
      <c r="BC718" t="str">
        <f>""</f>
        <v/>
      </c>
      <c r="BD718" t="str">
        <f t="shared" si="836"/>
        <v>1</v>
      </c>
      <c r="BE718" t="str">
        <f t="shared" si="836"/>
        <v>1</v>
      </c>
      <c r="BF718" t="str">
        <f t="shared" si="845"/>
        <v xml:space="preserve">3         </v>
      </c>
      <c r="BG718" t="str">
        <f t="shared" si="846"/>
        <v>Confirmado por laboratorio</v>
      </c>
      <c r="BH718" t="str">
        <f>"FUNDACION HOSPITAL DE LA MISERICORDIA"</f>
        <v>FUNDACION HOSPITAL DE LA MISERICORDIA</v>
      </c>
      <c r="BI718" t="str">
        <f t="shared" si="855"/>
        <v>COLOMBIA</v>
      </c>
      <c r="BJ718" t="str">
        <f t="shared" si="847"/>
        <v>CANCER INFANTIL</v>
      </c>
      <c r="BK718" t="str">
        <f>"BOGOTA"</f>
        <v>BOGOTA</v>
      </c>
      <c r="BL718" t="str">
        <f>"BOGOTA"</f>
        <v>BOGOTA</v>
      </c>
      <c r="BM718" t="str">
        <f t="shared" si="856"/>
        <v>COLOMBIA</v>
      </c>
      <c r="BN718" t="str">
        <f>"BOGOTA"</f>
        <v>BOGOTA</v>
      </c>
      <c r="BO718" t="str">
        <f>"BOGOTA"</f>
        <v>BOGOTA</v>
      </c>
      <c r="BP718" t="str">
        <f t="shared" si="860"/>
        <v>BOGOTA</v>
      </c>
      <c r="BQ718" t="str">
        <f t="shared" si="860"/>
        <v>BOGOTA</v>
      </c>
    </row>
    <row r="719" spans="1:69" x14ac:dyDescent="0.25">
      <c r="A719" t="str">
        <f>"7278848"</f>
        <v>7278848</v>
      </c>
      <c r="B719" t="str">
        <f t="shared" si="840"/>
        <v>459</v>
      </c>
      <c r="C719" t="str">
        <f>"25/08/2020 12:00:00 a. m."</f>
        <v>25/08/2020 12:00:00 a. m.</v>
      </c>
      <c r="D719" t="str">
        <f>"23"</f>
        <v>23</v>
      </c>
      <c r="E719" t="str">
        <f t="shared" si="841"/>
        <v>2020</v>
      </c>
      <c r="F719" t="str">
        <f>"0500102144"</f>
        <v>0500102144</v>
      </c>
      <c r="G719" t="str">
        <f t="shared" si="823"/>
        <v>01</v>
      </c>
      <c r="H719" t="str">
        <f>"6"</f>
        <v>6</v>
      </c>
      <c r="I719" t="str">
        <f t="shared" si="859"/>
        <v>1</v>
      </c>
      <c r="J719" t="str">
        <f>"F"</f>
        <v>F</v>
      </c>
      <c r="K719" t="str">
        <f t="shared" si="853"/>
        <v>170</v>
      </c>
      <c r="L719" t="str">
        <f>"05"</f>
        <v>05</v>
      </c>
      <c r="M719" t="str">
        <f>"380"</f>
        <v>380</v>
      </c>
      <c r="N719" t="str">
        <f t="shared" si="848"/>
        <v>1</v>
      </c>
      <c r="O719" t="str">
        <f>"9999"</f>
        <v>9999</v>
      </c>
      <c r="P719" t="str">
        <f>"S"</f>
        <v>S</v>
      </c>
      <c r="Q719" t="str">
        <f>"EPSS40"</f>
        <v>EPSS40</v>
      </c>
      <c r="R719" t="str">
        <f t="shared" si="834"/>
        <v>6</v>
      </c>
      <c r="S719" t="str">
        <f>""</f>
        <v/>
      </c>
      <c r="T719" t="str">
        <f t="shared" si="835"/>
        <v xml:space="preserve">                                                                                                    </v>
      </c>
      <c r="U719" t="str">
        <f>"          "</f>
        <v xml:space="preserve">          </v>
      </c>
      <c r="V719" t="str">
        <f t="shared" si="818"/>
        <v>2</v>
      </c>
      <c r="W719" t="str">
        <f t="shared" si="837"/>
        <v>2</v>
      </c>
      <c r="X719" t="str">
        <f t="shared" si="797"/>
        <v>2</v>
      </c>
      <c r="Y719" t="str">
        <f t="shared" ref="Y719:Z738" si="862">"2"</f>
        <v>2</v>
      </c>
      <c r="Z719" t="str">
        <f t="shared" si="862"/>
        <v>2</v>
      </c>
      <c r="AA719" t="str">
        <f t="shared" si="842"/>
        <v xml:space="preserve">          </v>
      </c>
      <c r="AB719" t="str">
        <f t="shared" si="830"/>
        <v>2</v>
      </c>
      <c r="AC719" t="str">
        <f t="shared" si="832"/>
        <v>2</v>
      </c>
      <c r="AD719" t="str">
        <f t="shared" si="831"/>
        <v>2</v>
      </c>
      <c r="AE719" t="str">
        <f t="shared" si="831"/>
        <v>2</v>
      </c>
      <c r="AF719" t="str">
        <f t="shared" si="831"/>
        <v>2</v>
      </c>
      <c r="AG719" t="str">
        <f t="shared" si="831"/>
        <v>2</v>
      </c>
      <c r="AH719" t="str">
        <f t="shared" si="838"/>
        <v>1</v>
      </c>
      <c r="AI719" t="str">
        <f t="shared" si="861"/>
        <v xml:space="preserve">1         </v>
      </c>
      <c r="AJ719" t="str">
        <f t="shared" si="854"/>
        <v>170</v>
      </c>
      <c r="AK719" t="str">
        <f>"05"</f>
        <v>05</v>
      </c>
      <c r="AL719" t="str">
        <f>"380"</f>
        <v>380</v>
      </c>
      <c r="AM719" t="str">
        <f>"05"</f>
        <v>05</v>
      </c>
      <c r="AN719" t="str">
        <f>"05001"</f>
        <v>05001</v>
      </c>
      <c r="AO719" t="str">
        <f>"3/06/2020 12:00:00 a. m."</f>
        <v>3/06/2020 12:00:00 a. m.</v>
      </c>
      <c r="AP719" t="str">
        <f>"29/05/2020 12:00:00 a. m."</f>
        <v>29/05/2020 12:00:00 a. m.</v>
      </c>
      <c r="AQ719" t="str">
        <f t="shared" si="857"/>
        <v>3</v>
      </c>
      <c r="AR719" t="str">
        <f t="shared" si="852"/>
        <v>1</v>
      </c>
      <c r="AS719" t="str">
        <f>"3/06/2020 12:00:00 a. m."</f>
        <v>3/06/2020 12:00:00 a. m.</v>
      </c>
      <c r="AT719" t="str">
        <f t="shared" si="849"/>
        <v>1</v>
      </c>
      <c r="AU719" t="str">
        <f>""</f>
        <v/>
      </c>
      <c r="AV719" t="str">
        <f t="shared" si="858"/>
        <v>0</v>
      </c>
      <c r="AW719" t="str">
        <f>"1/06/2014 12:00:00 a. m."</f>
        <v>1/06/2014 12:00:00 a. m.</v>
      </c>
      <c r="AX719" t="str">
        <f>""</f>
        <v/>
      </c>
      <c r="AY719" t="str">
        <f t="shared" si="844"/>
        <v>30/04/2021 12:00:00 a. m.</v>
      </c>
      <c r="AZ719" t="str">
        <f>"25/08/2020 12:00:00 a. m."</f>
        <v>25/08/2020 12:00:00 a. m.</v>
      </c>
      <c r="BA719" t="str">
        <f>""</f>
        <v/>
      </c>
      <c r="BB719" t="str">
        <f>""</f>
        <v/>
      </c>
      <c r="BC719" t="str">
        <f>""</f>
        <v/>
      </c>
      <c r="BD719" t="str">
        <f t="shared" si="836"/>
        <v>1</v>
      </c>
      <c r="BE719" t="str">
        <f t="shared" si="836"/>
        <v>1</v>
      </c>
      <c r="BF719" t="str">
        <f t="shared" si="845"/>
        <v xml:space="preserve">3         </v>
      </c>
      <c r="BG719" t="str">
        <f t="shared" si="846"/>
        <v>Confirmado por laboratorio</v>
      </c>
      <c r="BH719" t="str">
        <f>"HOSPITAL GENERAL DE MEDELLIN - LUZ CASTRO DE GUTIE"</f>
        <v>HOSPITAL GENERAL DE MEDELLIN - LUZ CASTRO DE GUTIE</v>
      </c>
      <c r="BI719" t="str">
        <f t="shared" si="855"/>
        <v>COLOMBIA</v>
      </c>
      <c r="BJ719" t="str">
        <f t="shared" si="847"/>
        <v>CANCER INFANTIL</v>
      </c>
      <c r="BK719" t="str">
        <f>"ANTIOQUIA"</f>
        <v>ANTIOQUIA</v>
      </c>
      <c r="BL719" t="str">
        <f>"LA ESTRELLA"</f>
        <v>LA ESTRELLA</v>
      </c>
      <c r="BM719" t="str">
        <f t="shared" si="856"/>
        <v>COLOMBIA</v>
      </c>
      <c r="BN719" t="str">
        <f>"ANTIOQUIA"</f>
        <v>ANTIOQUIA</v>
      </c>
      <c r="BO719" t="str">
        <f>"LA ESTRELLA"</f>
        <v>LA ESTRELLA</v>
      </c>
      <c r="BP719" t="str">
        <f>"ANTIOQUIA"</f>
        <v>ANTIOQUIA</v>
      </c>
      <c r="BQ719" t="str">
        <f>"MEDELLIN"</f>
        <v>MEDELLIN</v>
      </c>
    </row>
    <row r="720" spans="1:69" x14ac:dyDescent="0.25">
      <c r="A720" t="str">
        <f>"7278803"</f>
        <v>7278803</v>
      </c>
      <c r="B720" t="str">
        <f t="shared" si="840"/>
        <v>459</v>
      </c>
      <c r="C720" t="str">
        <f>"23/04/2020 12:00:00 a. m."</f>
        <v>23/04/2020 12:00:00 a. m.</v>
      </c>
      <c r="D720" t="str">
        <f>"16"</f>
        <v>16</v>
      </c>
      <c r="E720" t="str">
        <f t="shared" si="841"/>
        <v>2020</v>
      </c>
      <c r="F720" t="str">
        <f>"0500102126"</f>
        <v>0500102126</v>
      </c>
      <c r="G720" t="str">
        <f t="shared" si="823"/>
        <v>01</v>
      </c>
      <c r="H720" t="str">
        <f>"1"</f>
        <v>1</v>
      </c>
      <c r="I720" t="str">
        <f t="shared" si="859"/>
        <v>1</v>
      </c>
      <c r="J720" t="str">
        <f>"F"</f>
        <v>F</v>
      </c>
      <c r="K720" t="str">
        <f t="shared" si="853"/>
        <v>170</v>
      </c>
      <c r="L720" t="str">
        <f>"05"</f>
        <v>05</v>
      </c>
      <c r="M720" t="str">
        <f t="shared" ref="M720:M726" si="863">"001"</f>
        <v>001</v>
      </c>
      <c r="N720" t="str">
        <f t="shared" si="848"/>
        <v>1</v>
      </c>
      <c r="O720" t="str">
        <f>"9999"</f>
        <v>9999</v>
      </c>
      <c r="P720" t="str">
        <f>"C"</f>
        <v>C</v>
      </c>
      <c r="Q720" t="str">
        <f>"EPS010"</f>
        <v>EPS010</v>
      </c>
      <c r="R720" t="str">
        <f t="shared" si="834"/>
        <v>6</v>
      </c>
      <c r="S720" t="str">
        <f>""</f>
        <v/>
      </c>
      <c r="T720" t="str">
        <f t="shared" si="835"/>
        <v xml:space="preserve">                                                                                                    </v>
      </c>
      <c r="U720" t="str">
        <f>"3         "</f>
        <v xml:space="preserve">3         </v>
      </c>
      <c r="V720" t="str">
        <f t="shared" si="818"/>
        <v>2</v>
      </c>
      <c r="W720" t="str">
        <f t="shared" si="837"/>
        <v>2</v>
      </c>
      <c r="X720" t="str">
        <f t="shared" si="797"/>
        <v>2</v>
      </c>
      <c r="Y720" t="str">
        <f t="shared" si="862"/>
        <v>2</v>
      </c>
      <c r="Z720" t="str">
        <f t="shared" si="862"/>
        <v>2</v>
      </c>
      <c r="AA720" t="str">
        <f t="shared" si="842"/>
        <v xml:space="preserve">          </v>
      </c>
      <c r="AB720" t="str">
        <f t="shared" si="830"/>
        <v>2</v>
      </c>
      <c r="AC720" t="str">
        <f t="shared" si="832"/>
        <v>2</v>
      </c>
      <c r="AD720" t="str">
        <f t="shared" ref="AD720:AG739" si="864">"2"</f>
        <v>2</v>
      </c>
      <c r="AE720" t="str">
        <f t="shared" si="864"/>
        <v>2</v>
      </c>
      <c r="AF720" t="str">
        <f t="shared" si="864"/>
        <v>2</v>
      </c>
      <c r="AG720" t="str">
        <f t="shared" si="864"/>
        <v>2</v>
      </c>
      <c r="AH720" t="str">
        <f t="shared" si="838"/>
        <v>1</v>
      </c>
      <c r="AI720" t="str">
        <f t="shared" si="861"/>
        <v xml:space="preserve">1         </v>
      </c>
      <c r="AJ720" t="str">
        <f t="shared" si="854"/>
        <v>170</v>
      </c>
      <c r="AK720" t="str">
        <f>"05"</f>
        <v>05</v>
      </c>
      <c r="AL720" t="str">
        <f t="shared" ref="AL720:AL726" si="865">"001"</f>
        <v>001</v>
      </c>
      <c r="AM720" t="str">
        <f>"05"</f>
        <v>05</v>
      </c>
      <c r="AN720" t="str">
        <f>"05001"</f>
        <v>05001</v>
      </c>
      <c r="AO720" t="str">
        <f>"12/04/2020 12:00:00 a. m."</f>
        <v>12/04/2020 12:00:00 a. m.</v>
      </c>
      <c r="AP720" t="str">
        <f>"11/04/2020 12:00:00 a. m."</f>
        <v>11/04/2020 12:00:00 a. m.</v>
      </c>
      <c r="AQ720" t="str">
        <f>"2"</f>
        <v>2</v>
      </c>
      <c r="AR720" t="str">
        <f t="shared" si="852"/>
        <v>1</v>
      </c>
      <c r="AS720" t="str">
        <f>"14/04/2020 12:00:00 a. m."</f>
        <v>14/04/2020 12:00:00 a. m.</v>
      </c>
      <c r="AT720" t="str">
        <f t="shared" si="849"/>
        <v>1</v>
      </c>
      <c r="AU720" t="str">
        <f>""</f>
        <v/>
      </c>
      <c r="AV720" t="str">
        <f>"3"</f>
        <v>3</v>
      </c>
      <c r="AW720" t="str">
        <f>"13/10/2018 12:00:00 a. m."</f>
        <v>13/10/2018 12:00:00 a. m.</v>
      </c>
      <c r="AX720" t="str">
        <f>""</f>
        <v/>
      </c>
      <c r="AY720" t="str">
        <f t="shared" si="844"/>
        <v>30/04/2021 12:00:00 a. m.</v>
      </c>
      <c r="AZ720" t="str">
        <f>"30/04/2020 12:00:00 a. m."</f>
        <v>30/04/2020 12:00:00 a. m.</v>
      </c>
      <c r="BA720" t="str">
        <f>""</f>
        <v/>
      </c>
      <c r="BB720" t="str">
        <f>""</f>
        <v/>
      </c>
      <c r="BC720" t="str">
        <f>""</f>
        <v/>
      </c>
      <c r="BD720" t="str">
        <f t="shared" si="836"/>
        <v>1</v>
      </c>
      <c r="BE720" t="str">
        <f t="shared" si="836"/>
        <v>1</v>
      </c>
      <c r="BF720" t="str">
        <f t="shared" si="845"/>
        <v xml:space="preserve">3         </v>
      </c>
      <c r="BG720" t="str">
        <f t="shared" si="846"/>
        <v>Confirmado por laboratorio</v>
      </c>
      <c r="BH720" t="str">
        <f>"PROMOTORA MEDICA LAS AMERICAS SA"</f>
        <v>PROMOTORA MEDICA LAS AMERICAS SA</v>
      </c>
      <c r="BI720" t="str">
        <f t="shared" si="855"/>
        <v>COLOMBIA</v>
      </c>
      <c r="BJ720" t="str">
        <f t="shared" si="847"/>
        <v>CANCER INFANTIL</v>
      </c>
      <c r="BK720" t="str">
        <f>"ANTIOQUIA"</f>
        <v>ANTIOQUIA</v>
      </c>
      <c r="BL720" t="str">
        <f>"MEDELLIN"</f>
        <v>MEDELLIN</v>
      </c>
      <c r="BM720" t="str">
        <f t="shared" si="856"/>
        <v>COLOMBIA</v>
      </c>
      <c r="BN720" t="str">
        <f>"ANTIOQUIA"</f>
        <v>ANTIOQUIA</v>
      </c>
      <c r="BO720" t="str">
        <f>"MEDELLIN"</f>
        <v>MEDELLIN</v>
      </c>
      <c r="BP720" t="str">
        <f>"ANTIOQUIA"</f>
        <v>ANTIOQUIA</v>
      </c>
      <c r="BQ720" t="str">
        <f>"MEDELLIN"</f>
        <v>MEDELLIN</v>
      </c>
    </row>
    <row r="721" spans="1:69" x14ac:dyDescent="0.25">
      <c r="A721" t="str">
        <f>"7278724"</f>
        <v>7278724</v>
      </c>
      <c r="B721" t="str">
        <f t="shared" si="840"/>
        <v>459</v>
      </c>
      <c r="C721" t="str">
        <f>"19/10/2020 12:00:00 a. m."</f>
        <v>19/10/2020 12:00:00 a. m.</v>
      </c>
      <c r="D721" t="str">
        <f>"36"</f>
        <v>36</v>
      </c>
      <c r="E721" t="str">
        <f t="shared" si="841"/>
        <v>2020</v>
      </c>
      <c r="F721" t="str">
        <f>"0500102126"</f>
        <v>0500102126</v>
      </c>
      <c r="G721" t="str">
        <f t="shared" si="823"/>
        <v>01</v>
      </c>
      <c r="H721" t="str">
        <f>"13"</f>
        <v>13</v>
      </c>
      <c r="I721" t="str">
        <f t="shared" si="859"/>
        <v>1</v>
      </c>
      <c r="J721" t="str">
        <f>"F"</f>
        <v>F</v>
      </c>
      <c r="K721" t="str">
        <f t="shared" si="853"/>
        <v>170</v>
      </c>
      <c r="L721" t="str">
        <f>"05"</f>
        <v>05</v>
      </c>
      <c r="M721" t="str">
        <f t="shared" si="863"/>
        <v>001</v>
      </c>
      <c r="N721" t="str">
        <f t="shared" si="848"/>
        <v>1</v>
      </c>
      <c r="O721" t="str">
        <f>"9997"</f>
        <v>9997</v>
      </c>
      <c r="P721" t="str">
        <f>"P"</f>
        <v>P</v>
      </c>
      <c r="Q721" t="str">
        <f>"RES003"</f>
        <v>RES003</v>
      </c>
      <c r="R721" t="str">
        <f t="shared" si="834"/>
        <v>6</v>
      </c>
      <c r="S721" t="str">
        <f>""</f>
        <v/>
      </c>
      <c r="T721" t="str">
        <f t="shared" si="835"/>
        <v xml:space="preserve">                                                                                                    </v>
      </c>
      <c r="U721" t="str">
        <f>"3         "</f>
        <v xml:space="preserve">3         </v>
      </c>
      <c r="V721" t="str">
        <f t="shared" si="818"/>
        <v>2</v>
      </c>
      <c r="W721" t="str">
        <f t="shared" si="837"/>
        <v>2</v>
      </c>
      <c r="X721" t="str">
        <f t="shared" si="797"/>
        <v>2</v>
      </c>
      <c r="Y721" t="str">
        <f t="shared" si="862"/>
        <v>2</v>
      </c>
      <c r="Z721" t="str">
        <f t="shared" si="862"/>
        <v>2</v>
      </c>
      <c r="AA721" t="str">
        <f t="shared" si="842"/>
        <v xml:space="preserve">          </v>
      </c>
      <c r="AB721" t="str">
        <f t="shared" si="830"/>
        <v>2</v>
      </c>
      <c r="AC721" t="str">
        <f t="shared" si="832"/>
        <v>2</v>
      </c>
      <c r="AD721" t="str">
        <f t="shared" si="864"/>
        <v>2</v>
      </c>
      <c r="AE721" t="str">
        <f t="shared" si="864"/>
        <v>2</v>
      </c>
      <c r="AF721" t="str">
        <f t="shared" si="864"/>
        <v>2</v>
      </c>
      <c r="AG721" t="str">
        <f t="shared" si="864"/>
        <v>2</v>
      </c>
      <c r="AH721" t="str">
        <f t="shared" si="838"/>
        <v>1</v>
      </c>
      <c r="AI721" t="str">
        <f t="shared" si="861"/>
        <v xml:space="preserve">1         </v>
      </c>
      <c r="AJ721" t="str">
        <f t="shared" si="854"/>
        <v>170</v>
      </c>
      <c r="AK721" t="str">
        <f>"05"</f>
        <v>05</v>
      </c>
      <c r="AL721" t="str">
        <f t="shared" si="865"/>
        <v>001</v>
      </c>
      <c r="AM721" t="str">
        <f>"05"</f>
        <v>05</v>
      </c>
      <c r="AN721" t="str">
        <f>"05001"</f>
        <v>05001</v>
      </c>
      <c r="AO721" t="str">
        <f>"30/08/2020 12:00:00 a. m."</f>
        <v>30/08/2020 12:00:00 a. m.</v>
      </c>
      <c r="AP721" t="str">
        <f>"30/08/2020 12:00:00 a. m."</f>
        <v>30/08/2020 12:00:00 a. m.</v>
      </c>
      <c r="AQ721" t="str">
        <f>"2"</f>
        <v>2</v>
      </c>
      <c r="AR721" t="str">
        <f t="shared" si="852"/>
        <v>1</v>
      </c>
      <c r="AS721" t="str">
        <f>"30/08/2020 12:00:00 a. m."</f>
        <v>30/08/2020 12:00:00 a. m.</v>
      </c>
      <c r="AT721" t="str">
        <f t="shared" si="849"/>
        <v>1</v>
      </c>
      <c r="AU721" t="str">
        <f>""</f>
        <v/>
      </c>
      <c r="AV721" t="str">
        <f>"3"</f>
        <v>3</v>
      </c>
      <c r="AW721" t="str">
        <f>"2/12/2006 12:00:00 a. m."</f>
        <v>2/12/2006 12:00:00 a. m.</v>
      </c>
      <c r="AX721" t="str">
        <f>""</f>
        <v/>
      </c>
      <c r="AY721" t="str">
        <f t="shared" si="844"/>
        <v>30/04/2021 12:00:00 a. m.</v>
      </c>
      <c r="AZ721" t="str">
        <f>"27/11/2020 12:00:00 a. m."</f>
        <v>27/11/2020 12:00:00 a. m.</v>
      </c>
      <c r="BA721" t="str">
        <f>""</f>
        <v/>
      </c>
      <c r="BB721" t="str">
        <f>""</f>
        <v/>
      </c>
      <c r="BC721" t="str">
        <f>""</f>
        <v/>
      </c>
      <c r="BD721" t="str">
        <f t="shared" si="836"/>
        <v>1</v>
      </c>
      <c r="BE721" t="str">
        <f t="shared" si="836"/>
        <v>1</v>
      </c>
      <c r="BF721" t="str">
        <f t="shared" si="845"/>
        <v xml:space="preserve">3         </v>
      </c>
      <c r="BG721" t="str">
        <f t="shared" si="846"/>
        <v>Confirmado por laboratorio</v>
      </c>
      <c r="BH721" t="str">
        <f>"PROMOTORA MEDICA LAS AMERICAS SA"</f>
        <v>PROMOTORA MEDICA LAS AMERICAS SA</v>
      </c>
      <c r="BI721" t="str">
        <f t="shared" si="855"/>
        <v>COLOMBIA</v>
      </c>
      <c r="BJ721" t="str">
        <f t="shared" si="847"/>
        <v>CANCER INFANTIL</v>
      </c>
      <c r="BK721" t="str">
        <f>"ANTIOQUIA"</f>
        <v>ANTIOQUIA</v>
      </c>
      <c r="BL721" t="str">
        <f>"MEDELLIN"</f>
        <v>MEDELLIN</v>
      </c>
      <c r="BM721" t="str">
        <f t="shared" si="856"/>
        <v>COLOMBIA</v>
      </c>
      <c r="BN721" t="str">
        <f>"ANTIOQUIA"</f>
        <v>ANTIOQUIA</v>
      </c>
      <c r="BO721" t="str">
        <f>"MEDELLIN"</f>
        <v>MEDELLIN</v>
      </c>
      <c r="BP721" t="str">
        <f>"ANTIOQUIA"</f>
        <v>ANTIOQUIA</v>
      </c>
      <c r="BQ721" t="str">
        <f>"MEDELLIN"</f>
        <v>MEDELLIN</v>
      </c>
    </row>
    <row r="722" spans="1:69" x14ac:dyDescent="0.25">
      <c r="A722" t="str">
        <f>"7285659"</f>
        <v>7285659</v>
      </c>
      <c r="B722" t="str">
        <f t="shared" si="840"/>
        <v>459</v>
      </c>
      <c r="C722" t="str">
        <f>"30/09/2020 12:00:00 a. m."</f>
        <v>30/09/2020 12:00:00 a. m.</v>
      </c>
      <c r="D722" t="str">
        <f>"32"</f>
        <v>32</v>
      </c>
      <c r="E722" t="str">
        <f t="shared" si="841"/>
        <v>2020</v>
      </c>
      <c r="F722" t="str">
        <f>"1100105681"</f>
        <v>1100105681</v>
      </c>
      <c r="G722" t="str">
        <f t="shared" si="823"/>
        <v>01</v>
      </c>
      <c r="H722" t="str">
        <f>"3"</f>
        <v>3</v>
      </c>
      <c r="I722" t="str">
        <f t="shared" si="859"/>
        <v>1</v>
      </c>
      <c r="J722" t="str">
        <f>"M"</f>
        <v>M</v>
      </c>
      <c r="K722" t="str">
        <f t="shared" si="853"/>
        <v>170</v>
      </c>
      <c r="L722" t="str">
        <f>"11"</f>
        <v>11</v>
      </c>
      <c r="M722" t="str">
        <f t="shared" si="863"/>
        <v>001</v>
      </c>
      <c r="N722" t="str">
        <f t="shared" si="848"/>
        <v>1</v>
      </c>
      <c r="O722" t="str">
        <f t="shared" ref="O722:O727" si="866">"9999"</f>
        <v>9999</v>
      </c>
      <c r="P722" t="str">
        <f>"C"</f>
        <v>C</v>
      </c>
      <c r="Q722" t="str">
        <f>"EPS037"</f>
        <v>EPS037</v>
      </c>
      <c r="R722" t="str">
        <f t="shared" si="834"/>
        <v>6</v>
      </c>
      <c r="S722" t="str">
        <f>""</f>
        <v/>
      </c>
      <c r="T722" t="str">
        <f t="shared" si="835"/>
        <v xml:space="preserve">                                                                                                    </v>
      </c>
      <c r="U722" t="str">
        <f>"2         "</f>
        <v xml:space="preserve">2         </v>
      </c>
      <c r="V722" t="str">
        <f t="shared" si="818"/>
        <v>2</v>
      </c>
      <c r="W722" t="str">
        <f t="shared" si="837"/>
        <v>2</v>
      </c>
      <c r="X722" t="str">
        <f t="shared" si="797"/>
        <v>2</v>
      </c>
      <c r="Y722" t="str">
        <f t="shared" si="862"/>
        <v>2</v>
      </c>
      <c r="Z722" t="str">
        <f t="shared" si="862"/>
        <v>2</v>
      </c>
      <c r="AA722" t="str">
        <f t="shared" si="842"/>
        <v xml:space="preserve">          </v>
      </c>
      <c r="AB722" t="str">
        <f t="shared" si="830"/>
        <v>2</v>
      </c>
      <c r="AC722" t="str">
        <f t="shared" si="832"/>
        <v>2</v>
      </c>
      <c r="AD722" t="str">
        <f t="shared" si="864"/>
        <v>2</v>
      </c>
      <c r="AE722" t="str">
        <f t="shared" si="864"/>
        <v>2</v>
      </c>
      <c r="AF722" t="str">
        <f t="shared" si="864"/>
        <v>2</v>
      </c>
      <c r="AG722" t="str">
        <f t="shared" si="864"/>
        <v>2</v>
      </c>
      <c r="AH722" t="str">
        <f t="shared" si="838"/>
        <v>1</v>
      </c>
      <c r="AI722" t="str">
        <f t="shared" si="861"/>
        <v xml:space="preserve">1         </v>
      </c>
      <c r="AJ722" t="str">
        <f t="shared" si="854"/>
        <v>170</v>
      </c>
      <c r="AK722" t="str">
        <f>"11"</f>
        <v>11</v>
      </c>
      <c r="AL722" t="str">
        <f t="shared" si="865"/>
        <v>001</v>
      </c>
      <c r="AM722" t="str">
        <f>"11"</f>
        <v>11</v>
      </c>
      <c r="AN722" t="str">
        <f>"11001"</f>
        <v>11001</v>
      </c>
      <c r="AO722" t="str">
        <f>"7/08/2020 12:00:00 a. m."</f>
        <v>7/08/2020 12:00:00 a. m.</v>
      </c>
      <c r="AP722" t="str">
        <f>"1/01/2020 12:00:00 a. m."</f>
        <v>1/01/2020 12:00:00 a. m.</v>
      </c>
      <c r="AQ722" t="str">
        <f>"3"</f>
        <v>3</v>
      </c>
      <c r="AR722" t="str">
        <f t="shared" si="852"/>
        <v>1</v>
      </c>
      <c r="AS722" t="str">
        <f>"7/08/2020 12:00:00 a. m."</f>
        <v>7/08/2020 12:00:00 a. m.</v>
      </c>
      <c r="AT722" t="str">
        <f t="shared" si="849"/>
        <v>1</v>
      </c>
      <c r="AU722" t="str">
        <f>""</f>
        <v/>
      </c>
      <c r="AV722" t="str">
        <f>"3"</f>
        <v>3</v>
      </c>
      <c r="AW722" t="str">
        <f>"13/07/2017 12:00:00 a. m."</f>
        <v>13/07/2017 12:00:00 a. m.</v>
      </c>
      <c r="AX722" t="str">
        <f>""</f>
        <v/>
      </c>
      <c r="AY722" t="str">
        <f t="shared" si="844"/>
        <v>30/04/2021 12:00:00 a. m.</v>
      </c>
      <c r="AZ722" t="str">
        <f>"14/10/2020 12:00:00 a. m."</f>
        <v>14/10/2020 12:00:00 a. m.</v>
      </c>
      <c r="BA722" t="str">
        <f>""</f>
        <v/>
      </c>
      <c r="BB722" t="str">
        <f>""</f>
        <v/>
      </c>
      <c r="BC722" t="str">
        <f>""</f>
        <v/>
      </c>
      <c r="BD722" t="str">
        <f t="shared" ref="BD722:BE741" si="867">"1"</f>
        <v>1</v>
      </c>
      <c r="BE722" t="str">
        <f t="shared" si="867"/>
        <v>1</v>
      </c>
      <c r="BF722" t="str">
        <f t="shared" si="845"/>
        <v xml:space="preserve">3         </v>
      </c>
      <c r="BG722" t="str">
        <f t="shared" si="846"/>
        <v>Confirmado por laboratorio</v>
      </c>
      <c r="BH722" t="str">
        <f>"FUNDACION HOSPITAL DE LA MISERICORDIA"</f>
        <v>FUNDACION HOSPITAL DE LA MISERICORDIA</v>
      </c>
      <c r="BI722" t="str">
        <f t="shared" si="855"/>
        <v>COLOMBIA</v>
      </c>
      <c r="BJ722" t="str">
        <f t="shared" si="847"/>
        <v>CANCER INFANTIL</v>
      </c>
      <c r="BK722" t="str">
        <f>"BOGOTA"</f>
        <v>BOGOTA</v>
      </c>
      <c r="BL722" t="str">
        <f>"BOGOTA"</f>
        <v>BOGOTA</v>
      </c>
      <c r="BM722" t="str">
        <f t="shared" si="856"/>
        <v>COLOMBIA</v>
      </c>
      <c r="BN722" t="str">
        <f>"BOGOTA"</f>
        <v>BOGOTA</v>
      </c>
      <c r="BO722" t="str">
        <f>"BOGOTA"</f>
        <v>BOGOTA</v>
      </c>
      <c r="BP722" t="str">
        <f>"BOGOTA"</f>
        <v>BOGOTA</v>
      </c>
      <c r="BQ722" t="str">
        <f>"BOGOTA"</f>
        <v>BOGOTA</v>
      </c>
    </row>
    <row r="723" spans="1:69" x14ac:dyDescent="0.25">
      <c r="A723" t="str">
        <f>"7285780"</f>
        <v>7285780</v>
      </c>
      <c r="B723" t="str">
        <f t="shared" si="840"/>
        <v>459</v>
      </c>
      <c r="C723" t="str">
        <f>"20/11/2020 12:00:00 a. m."</f>
        <v>20/11/2020 12:00:00 a. m.</v>
      </c>
      <c r="D723" t="str">
        <f>"47"</f>
        <v>47</v>
      </c>
      <c r="E723" t="str">
        <f t="shared" si="841"/>
        <v>2020</v>
      </c>
      <c r="F723" t="str">
        <f>"7600103799"</f>
        <v>7600103799</v>
      </c>
      <c r="G723" t="str">
        <f t="shared" si="823"/>
        <v>01</v>
      </c>
      <c r="H723" t="str">
        <f>"16"</f>
        <v>16</v>
      </c>
      <c r="I723" t="str">
        <f t="shared" si="859"/>
        <v>1</v>
      </c>
      <c r="J723" t="str">
        <f>"M"</f>
        <v>M</v>
      </c>
      <c r="K723" t="str">
        <f t="shared" si="853"/>
        <v>170</v>
      </c>
      <c r="L723" t="str">
        <f>"76"</f>
        <v>76</v>
      </c>
      <c r="M723" t="str">
        <f t="shared" si="863"/>
        <v>001</v>
      </c>
      <c r="N723" t="str">
        <f t="shared" si="848"/>
        <v>1</v>
      </c>
      <c r="O723" t="str">
        <f t="shared" si="866"/>
        <v>9999</v>
      </c>
      <c r="P723" t="str">
        <f>"N"</f>
        <v>N</v>
      </c>
      <c r="Q723" t="str">
        <f>""</f>
        <v/>
      </c>
      <c r="R723" t="str">
        <f t="shared" si="834"/>
        <v>6</v>
      </c>
      <c r="S723" t="str">
        <f>""</f>
        <v/>
      </c>
      <c r="T723" t="str">
        <f t="shared" si="835"/>
        <v xml:space="preserve">                                                                                                    </v>
      </c>
      <c r="U723" t="str">
        <f>"2         "</f>
        <v xml:space="preserve">2         </v>
      </c>
      <c r="V723" t="str">
        <f t="shared" si="818"/>
        <v>2</v>
      </c>
      <c r="W723" t="str">
        <f t="shared" si="837"/>
        <v>2</v>
      </c>
      <c r="X723" t="str">
        <f t="shared" si="797"/>
        <v>2</v>
      </c>
      <c r="Y723" t="str">
        <f t="shared" si="862"/>
        <v>2</v>
      </c>
      <c r="Z723" t="str">
        <f t="shared" si="862"/>
        <v>2</v>
      </c>
      <c r="AA723" t="str">
        <f t="shared" si="842"/>
        <v xml:space="preserve">          </v>
      </c>
      <c r="AB723" t="str">
        <f t="shared" si="830"/>
        <v>2</v>
      </c>
      <c r="AC723" t="str">
        <f t="shared" si="832"/>
        <v>2</v>
      </c>
      <c r="AD723" t="str">
        <f t="shared" si="864"/>
        <v>2</v>
      </c>
      <c r="AE723" t="str">
        <f t="shared" si="864"/>
        <v>2</v>
      </c>
      <c r="AF723" t="str">
        <f t="shared" si="864"/>
        <v>2</v>
      </c>
      <c r="AG723" t="str">
        <f t="shared" si="864"/>
        <v>2</v>
      </c>
      <c r="AH723" t="str">
        <f t="shared" si="838"/>
        <v>1</v>
      </c>
      <c r="AI723" t="str">
        <f t="shared" si="861"/>
        <v xml:space="preserve">1         </v>
      </c>
      <c r="AJ723" t="str">
        <f t="shared" si="854"/>
        <v>170</v>
      </c>
      <c r="AK723" t="str">
        <f>"76"</f>
        <v>76</v>
      </c>
      <c r="AL723" t="str">
        <f t="shared" si="865"/>
        <v>001</v>
      </c>
      <c r="AM723" t="str">
        <f>"76"</f>
        <v>76</v>
      </c>
      <c r="AN723" t="str">
        <f>"76001"</f>
        <v>76001</v>
      </c>
      <c r="AO723" t="str">
        <f>"15/11/2020 12:00:00 a. m."</f>
        <v>15/11/2020 12:00:00 a. m.</v>
      </c>
      <c r="AP723" t="str">
        <f>"15/11/2020 12:00:00 a. m."</f>
        <v>15/11/2020 12:00:00 a. m.</v>
      </c>
      <c r="AQ723" t="str">
        <f>"2"</f>
        <v>2</v>
      </c>
      <c r="AR723" t="str">
        <f t="shared" si="852"/>
        <v>1</v>
      </c>
      <c r="AS723" t="str">
        <f>"15/11/2020 12:00:00 a. m."</f>
        <v>15/11/2020 12:00:00 a. m.</v>
      </c>
      <c r="AT723" t="str">
        <f t="shared" si="849"/>
        <v>1</v>
      </c>
      <c r="AU723" t="str">
        <f>""</f>
        <v/>
      </c>
      <c r="AV723" t="str">
        <f>"3"</f>
        <v>3</v>
      </c>
      <c r="AW723" t="str">
        <f>"27/12/2003 12:00:00 a. m."</f>
        <v>27/12/2003 12:00:00 a. m.</v>
      </c>
      <c r="AX723" t="str">
        <f>""</f>
        <v/>
      </c>
      <c r="AY723" t="str">
        <f t="shared" si="844"/>
        <v>30/04/2021 12:00:00 a. m.</v>
      </c>
      <c r="AZ723" t="str">
        <f>"15/12/2020 12:00:00 a. m."</f>
        <v>15/12/2020 12:00:00 a. m.</v>
      </c>
      <c r="BA723" t="str">
        <f>""</f>
        <v/>
      </c>
      <c r="BB723" t="str">
        <f>""</f>
        <v/>
      </c>
      <c r="BC723" t="str">
        <f>""</f>
        <v/>
      </c>
      <c r="BD723" t="str">
        <f t="shared" si="867"/>
        <v>1</v>
      </c>
      <c r="BE723" t="str">
        <f t="shared" si="867"/>
        <v>1</v>
      </c>
      <c r="BF723" t="str">
        <f t="shared" si="845"/>
        <v xml:space="preserve">3         </v>
      </c>
      <c r="BG723" t="str">
        <f t="shared" si="846"/>
        <v>Confirmado por laboratorio</v>
      </c>
      <c r="BH723" t="str">
        <f>"HOSPITAL UNIVERSITARIO DEL VALLE EVARISTO GARCIA"</f>
        <v>HOSPITAL UNIVERSITARIO DEL VALLE EVARISTO GARCIA</v>
      </c>
      <c r="BI723" t="str">
        <f t="shared" si="855"/>
        <v>COLOMBIA</v>
      </c>
      <c r="BJ723" t="str">
        <f t="shared" si="847"/>
        <v>CANCER INFANTIL</v>
      </c>
      <c r="BK723" t="str">
        <f>"VALLE"</f>
        <v>VALLE</v>
      </c>
      <c r="BL723" t="str">
        <f>"CALI"</f>
        <v>CALI</v>
      </c>
      <c r="BM723" t="str">
        <f t="shared" si="856"/>
        <v>COLOMBIA</v>
      </c>
      <c r="BN723" t="str">
        <f>"VALLE"</f>
        <v>VALLE</v>
      </c>
      <c r="BO723" t="str">
        <f>"CALI"</f>
        <v>CALI</v>
      </c>
      <c r="BP723" t="str">
        <f>"VALLE"</f>
        <v>VALLE</v>
      </c>
      <c r="BQ723" t="str">
        <f>"CALI"</f>
        <v>CALI</v>
      </c>
    </row>
    <row r="724" spans="1:69" x14ac:dyDescent="0.25">
      <c r="A724" t="str">
        <f>"7285722"</f>
        <v>7285722</v>
      </c>
      <c r="B724" t="str">
        <f t="shared" si="840"/>
        <v>459</v>
      </c>
      <c r="C724" t="str">
        <f>"29/10/2020 12:00:00 a. m."</f>
        <v>29/10/2020 12:00:00 a. m.</v>
      </c>
      <c r="D724" t="str">
        <f>"44"</f>
        <v>44</v>
      </c>
      <c r="E724" t="str">
        <f t="shared" si="841"/>
        <v>2020</v>
      </c>
      <c r="F724" t="str">
        <f>"7600102870"</f>
        <v>7600102870</v>
      </c>
      <c r="G724" t="str">
        <f t="shared" si="823"/>
        <v>01</v>
      </c>
      <c r="H724" t="str">
        <f>"4"</f>
        <v>4</v>
      </c>
      <c r="I724" t="str">
        <f t="shared" si="859"/>
        <v>1</v>
      </c>
      <c r="J724" t="str">
        <f>"F"</f>
        <v>F</v>
      </c>
      <c r="K724" t="str">
        <f t="shared" si="853"/>
        <v>170</v>
      </c>
      <c r="L724" t="str">
        <f>"76"</f>
        <v>76</v>
      </c>
      <c r="M724" t="str">
        <f t="shared" si="863"/>
        <v>001</v>
      </c>
      <c r="N724" t="str">
        <f t="shared" si="848"/>
        <v>1</v>
      </c>
      <c r="O724" t="str">
        <f t="shared" si="866"/>
        <v>9999</v>
      </c>
      <c r="P724" t="str">
        <f>"C"</f>
        <v>C</v>
      </c>
      <c r="Q724" t="str">
        <f>"EMP028"</f>
        <v>EMP028</v>
      </c>
      <c r="R724" t="str">
        <f t="shared" si="834"/>
        <v>6</v>
      </c>
      <c r="S724" t="str">
        <f>""</f>
        <v/>
      </c>
      <c r="T724" t="str">
        <f t="shared" si="835"/>
        <v xml:space="preserve">                                                                                                    </v>
      </c>
      <c r="U724" t="str">
        <f>"          "</f>
        <v xml:space="preserve">          </v>
      </c>
      <c r="V724" t="str">
        <f t="shared" si="818"/>
        <v>2</v>
      </c>
      <c r="W724" t="str">
        <f t="shared" si="837"/>
        <v>2</v>
      </c>
      <c r="X724" t="str">
        <f t="shared" si="797"/>
        <v>2</v>
      </c>
      <c r="Y724" t="str">
        <f t="shared" si="862"/>
        <v>2</v>
      </c>
      <c r="Z724" t="str">
        <f t="shared" si="862"/>
        <v>2</v>
      </c>
      <c r="AA724" t="str">
        <f t="shared" si="842"/>
        <v xml:space="preserve">          </v>
      </c>
      <c r="AB724" t="str">
        <f t="shared" si="830"/>
        <v>2</v>
      </c>
      <c r="AC724" t="str">
        <f t="shared" si="832"/>
        <v>2</v>
      </c>
      <c r="AD724" t="str">
        <f t="shared" si="864"/>
        <v>2</v>
      </c>
      <c r="AE724" t="str">
        <f t="shared" si="864"/>
        <v>2</v>
      </c>
      <c r="AF724" t="str">
        <f t="shared" si="864"/>
        <v>2</v>
      </c>
      <c r="AG724" t="str">
        <f t="shared" si="864"/>
        <v>2</v>
      </c>
      <c r="AH724" t="str">
        <f t="shared" si="838"/>
        <v>1</v>
      </c>
      <c r="AI724" t="str">
        <f t="shared" si="861"/>
        <v xml:space="preserve">1         </v>
      </c>
      <c r="AJ724" t="str">
        <f t="shared" si="854"/>
        <v>170</v>
      </c>
      <c r="AK724" t="str">
        <f>"76"</f>
        <v>76</v>
      </c>
      <c r="AL724" t="str">
        <f t="shared" si="865"/>
        <v>001</v>
      </c>
      <c r="AM724" t="str">
        <f>"76"</f>
        <v>76</v>
      </c>
      <c r="AN724" t="str">
        <f>"76001"</f>
        <v>76001</v>
      </c>
      <c r="AO724" t="str">
        <f>"25/10/2020 12:00:00 a. m."</f>
        <v>25/10/2020 12:00:00 a. m.</v>
      </c>
      <c r="AP724" t="str">
        <f>"7/10/2020 12:00:00 a. m."</f>
        <v>7/10/2020 12:00:00 a. m.</v>
      </c>
      <c r="AQ724" t="str">
        <f>"3"</f>
        <v>3</v>
      </c>
      <c r="AR724" t="str">
        <f>"2"</f>
        <v>2</v>
      </c>
      <c r="AS724" t="str">
        <f>""</f>
        <v/>
      </c>
      <c r="AT724" t="str">
        <f t="shared" si="849"/>
        <v>1</v>
      </c>
      <c r="AU724" t="str">
        <f>""</f>
        <v/>
      </c>
      <c r="AV724" t="str">
        <f>"7"</f>
        <v>7</v>
      </c>
      <c r="AW724" t="str">
        <f>"9/03/2016 12:00:00 a. m."</f>
        <v>9/03/2016 12:00:00 a. m.</v>
      </c>
      <c r="AX724" t="str">
        <f>""</f>
        <v/>
      </c>
      <c r="AY724" t="str">
        <f t="shared" si="844"/>
        <v>30/04/2021 12:00:00 a. m.</v>
      </c>
      <c r="AZ724" t="str">
        <f>"14/12/2020 12:00:00 a. m."</f>
        <v>14/12/2020 12:00:00 a. m.</v>
      </c>
      <c r="BA724" t="str">
        <f>""</f>
        <v/>
      </c>
      <c r="BB724" t="str">
        <f>""</f>
        <v/>
      </c>
      <c r="BC724" t="str">
        <f>""</f>
        <v/>
      </c>
      <c r="BD724" t="str">
        <f t="shared" si="867"/>
        <v>1</v>
      </c>
      <c r="BE724" t="str">
        <f t="shared" si="867"/>
        <v>1</v>
      </c>
      <c r="BF724" t="str">
        <f t="shared" si="845"/>
        <v xml:space="preserve">3         </v>
      </c>
      <c r="BG724" t="str">
        <f t="shared" si="846"/>
        <v>Confirmado por laboratorio</v>
      </c>
      <c r="BH724" t="str">
        <f>"FUNDACION VALLE DEL LILI"</f>
        <v>FUNDACION VALLE DEL LILI</v>
      </c>
      <c r="BI724" t="str">
        <f t="shared" si="855"/>
        <v>COLOMBIA</v>
      </c>
      <c r="BJ724" t="str">
        <f t="shared" si="847"/>
        <v>CANCER INFANTIL</v>
      </c>
      <c r="BK724" t="str">
        <f>"VALLE"</f>
        <v>VALLE</v>
      </c>
      <c r="BL724" t="str">
        <f>"CALI"</f>
        <v>CALI</v>
      </c>
      <c r="BM724" t="str">
        <f t="shared" si="856"/>
        <v>COLOMBIA</v>
      </c>
      <c r="BN724" t="str">
        <f>"VALLE"</f>
        <v>VALLE</v>
      </c>
      <c r="BO724" t="str">
        <f>"CALI"</f>
        <v>CALI</v>
      </c>
      <c r="BP724" t="str">
        <f>"VALLE"</f>
        <v>VALLE</v>
      </c>
      <c r="BQ724" t="str">
        <f>"CALI"</f>
        <v>CALI</v>
      </c>
    </row>
    <row r="725" spans="1:69" x14ac:dyDescent="0.25">
      <c r="A725" t="str">
        <f>"7285723"</f>
        <v>7285723</v>
      </c>
      <c r="B725" t="str">
        <f t="shared" si="840"/>
        <v>459</v>
      </c>
      <c r="C725" t="str">
        <f>"29/06/2020 12:00:00 a. m."</f>
        <v>29/06/2020 12:00:00 a. m.</v>
      </c>
      <c r="D725" t="str">
        <f>"26"</f>
        <v>26</v>
      </c>
      <c r="E725" t="str">
        <f t="shared" si="841"/>
        <v>2020</v>
      </c>
      <c r="F725" t="str">
        <f>"7600102870"</f>
        <v>7600102870</v>
      </c>
      <c r="G725" t="str">
        <f t="shared" si="823"/>
        <v>01</v>
      </c>
      <c r="H725" t="str">
        <f>"4"</f>
        <v>4</v>
      </c>
      <c r="I725" t="str">
        <f t="shared" si="859"/>
        <v>1</v>
      </c>
      <c r="J725" t="str">
        <f>"M"</f>
        <v>M</v>
      </c>
      <c r="K725" t="str">
        <f t="shared" si="853"/>
        <v>170</v>
      </c>
      <c r="L725" t="str">
        <f>"76"</f>
        <v>76</v>
      </c>
      <c r="M725" t="str">
        <f t="shared" si="863"/>
        <v>001</v>
      </c>
      <c r="N725" t="str">
        <f t="shared" si="848"/>
        <v>1</v>
      </c>
      <c r="O725" t="str">
        <f t="shared" si="866"/>
        <v>9999</v>
      </c>
      <c r="P725" t="str">
        <f>"C"</f>
        <v>C</v>
      </c>
      <c r="Q725" t="str">
        <f>"EPS010"</f>
        <v>EPS010</v>
      </c>
      <c r="R725" t="str">
        <f t="shared" si="834"/>
        <v>6</v>
      </c>
      <c r="S725" t="str">
        <f>""</f>
        <v/>
      </c>
      <c r="T725" t="str">
        <f t="shared" si="835"/>
        <v xml:space="preserve">                                                                                                    </v>
      </c>
      <c r="U725" t="str">
        <f>"2         "</f>
        <v xml:space="preserve">2         </v>
      </c>
      <c r="V725" t="str">
        <f t="shared" si="818"/>
        <v>2</v>
      </c>
      <c r="W725" t="str">
        <f t="shared" si="837"/>
        <v>2</v>
      </c>
      <c r="X725" t="str">
        <f t="shared" si="797"/>
        <v>2</v>
      </c>
      <c r="Y725" t="str">
        <f t="shared" si="862"/>
        <v>2</v>
      </c>
      <c r="Z725" t="str">
        <f t="shared" si="862"/>
        <v>2</v>
      </c>
      <c r="AA725" t="str">
        <f t="shared" si="842"/>
        <v xml:space="preserve">          </v>
      </c>
      <c r="AB725" t="str">
        <f t="shared" si="830"/>
        <v>2</v>
      </c>
      <c r="AC725" t="str">
        <f t="shared" si="832"/>
        <v>2</v>
      </c>
      <c r="AD725" t="str">
        <f t="shared" si="864"/>
        <v>2</v>
      </c>
      <c r="AE725" t="str">
        <f t="shared" si="864"/>
        <v>2</v>
      </c>
      <c r="AF725" t="str">
        <f t="shared" si="864"/>
        <v>2</v>
      </c>
      <c r="AG725" t="str">
        <f t="shared" si="864"/>
        <v>2</v>
      </c>
      <c r="AH725" t="str">
        <f t="shared" si="838"/>
        <v>1</v>
      </c>
      <c r="AI725" t="str">
        <f t="shared" si="861"/>
        <v xml:space="preserve">1         </v>
      </c>
      <c r="AJ725" t="str">
        <f t="shared" si="854"/>
        <v>170</v>
      </c>
      <c r="AK725" t="str">
        <f>"76"</f>
        <v>76</v>
      </c>
      <c r="AL725" t="str">
        <f t="shared" si="865"/>
        <v>001</v>
      </c>
      <c r="AM725" t="str">
        <f>"76"</f>
        <v>76</v>
      </c>
      <c r="AN725" t="str">
        <f>"76001"</f>
        <v>76001</v>
      </c>
      <c r="AO725" t="str">
        <f>"22/06/2020 12:00:00 a. m."</f>
        <v>22/06/2020 12:00:00 a. m.</v>
      </c>
      <c r="AP725" t="str">
        <f>"22/04/2020 12:00:00 a. m."</f>
        <v>22/04/2020 12:00:00 a. m.</v>
      </c>
      <c r="AQ725" t="str">
        <f>"2"</f>
        <v>2</v>
      </c>
      <c r="AR725" t="str">
        <f>"1"</f>
        <v>1</v>
      </c>
      <c r="AS725" t="str">
        <f>"22/06/2020 12:00:00 a. m."</f>
        <v>22/06/2020 12:00:00 a. m.</v>
      </c>
      <c r="AT725" t="str">
        <f t="shared" si="849"/>
        <v>1</v>
      </c>
      <c r="AU725" t="str">
        <f>""</f>
        <v/>
      </c>
      <c r="AV725" t="str">
        <f>"3"</f>
        <v>3</v>
      </c>
      <c r="AW725" t="str">
        <f>"31/05/2016 12:00:00 a. m."</f>
        <v>31/05/2016 12:00:00 a. m.</v>
      </c>
      <c r="AX725" t="str">
        <f>""</f>
        <v/>
      </c>
      <c r="AY725" t="str">
        <f t="shared" si="844"/>
        <v>30/04/2021 12:00:00 a. m.</v>
      </c>
      <c r="AZ725" t="str">
        <f>"9/07/2020 12:00:00 a. m."</f>
        <v>9/07/2020 12:00:00 a. m.</v>
      </c>
      <c r="BA725" t="str">
        <f>""</f>
        <v/>
      </c>
      <c r="BB725" t="str">
        <f>""</f>
        <v/>
      </c>
      <c r="BC725" t="str">
        <f>""</f>
        <v/>
      </c>
      <c r="BD725" t="str">
        <f t="shared" si="867"/>
        <v>1</v>
      </c>
      <c r="BE725" t="str">
        <f t="shared" si="867"/>
        <v>1</v>
      </c>
      <c r="BF725" t="str">
        <f t="shared" si="845"/>
        <v xml:space="preserve">3         </v>
      </c>
      <c r="BG725" t="str">
        <f t="shared" si="846"/>
        <v>Confirmado por laboratorio</v>
      </c>
      <c r="BH725" t="str">
        <f>"FUNDACION VALLE DEL LILI"</f>
        <v>FUNDACION VALLE DEL LILI</v>
      </c>
      <c r="BI725" t="str">
        <f t="shared" si="855"/>
        <v>COLOMBIA</v>
      </c>
      <c r="BJ725" t="str">
        <f t="shared" si="847"/>
        <v>CANCER INFANTIL</v>
      </c>
      <c r="BK725" t="str">
        <f>"VALLE"</f>
        <v>VALLE</v>
      </c>
      <c r="BL725" t="str">
        <f>"CALI"</f>
        <v>CALI</v>
      </c>
      <c r="BM725" t="str">
        <f t="shared" si="856"/>
        <v>COLOMBIA</v>
      </c>
      <c r="BN725" t="str">
        <f>"VALLE"</f>
        <v>VALLE</v>
      </c>
      <c r="BO725" t="str">
        <f>"CALI"</f>
        <v>CALI</v>
      </c>
      <c r="BP725" t="str">
        <f>"VALLE"</f>
        <v>VALLE</v>
      </c>
      <c r="BQ725" t="str">
        <f>"CALI"</f>
        <v>CALI</v>
      </c>
    </row>
    <row r="726" spans="1:69" x14ac:dyDescent="0.25">
      <c r="A726" t="str">
        <f>"7285725"</f>
        <v>7285725</v>
      </c>
      <c r="B726" t="str">
        <f t="shared" si="840"/>
        <v>459</v>
      </c>
      <c r="C726" t="str">
        <f>"21/01/2020 12:00:00 a. m."</f>
        <v>21/01/2020 12:00:00 a. m.</v>
      </c>
      <c r="D726" t="str">
        <f>"03"</f>
        <v>03</v>
      </c>
      <c r="E726" t="str">
        <f t="shared" si="841"/>
        <v>2020</v>
      </c>
      <c r="F726" t="str">
        <f>"7600102870"</f>
        <v>7600102870</v>
      </c>
      <c r="G726" t="str">
        <f t="shared" si="823"/>
        <v>01</v>
      </c>
      <c r="H726" t="str">
        <f>"5"</f>
        <v>5</v>
      </c>
      <c r="I726" t="str">
        <f>"2"</f>
        <v>2</v>
      </c>
      <c r="J726" t="str">
        <f>"M"</f>
        <v>M</v>
      </c>
      <c r="K726" t="str">
        <f t="shared" si="853"/>
        <v>170</v>
      </c>
      <c r="L726" t="str">
        <f>"76"</f>
        <v>76</v>
      </c>
      <c r="M726" t="str">
        <f t="shared" si="863"/>
        <v>001</v>
      </c>
      <c r="N726" t="str">
        <f t="shared" si="848"/>
        <v>1</v>
      </c>
      <c r="O726" t="str">
        <f t="shared" si="866"/>
        <v>9999</v>
      </c>
      <c r="P726" t="str">
        <f>"C"</f>
        <v>C</v>
      </c>
      <c r="Q726" t="str">
        <f>"EPS037"</f>
        <v>EPS037</v>
      </c>
      <c r="R726" t="str">
        <f t="shared" si="834"/>
        <v>6</v>
      </c>
      <c r="S726" t="str">
        <f>""</f>
        <v/>
      </c>
      <c r="T726" t="str">
        <f t="shared" si="835"/>
        <v xml:space="preserve">                                                                                                    </v>
      </c>
      <c r="U726" t="str">
        <f>"5         "</f>
        <v xml:space="preserve">5         </v>
      </c>
      <c r="V726" t="str">
        <f t="shared" si="818"/>
        <v>2</v>
      </c>
      <c r="W726" t="str">
        <f t="shared" si="837"/>
        <v>2</v>
      </c>
      <c r="X726" t="str">
        <f t="shared" si="797"/>
        <v>2</v>
      </c>
      <c r="Y726" t="str">
        <f t="shared" si="862"/>
        <v>2</v>
      </c>
      <c r="Z726" t="str">
        <f t="shared" si="862"/>
        <v>2</v>
      </c>
      <c r="AA726" t="str">
        <f t="shared" si="842"/>
        <v xml:space="preserve">          </v>
      </c>
      <c r="AB726" t="str">
        <f t="shared" si="830"/>
        <v>2</v>
      </c>
      <c r="AC726" t="str">
        <f t="shared" si="832"/>
        <v>2</v>
      </c>
      <c r="AD726" t="str">
        <f t="shared" si="864"/>
        <v>2</v>
      </c>
      <c r="AE726" t="str">
        <f t="shared" si="864"/>
        <v>2</v>
      </c>
      <c r="AF726" t="str">
        <f t="shared" si="864"/>
        <v>2</v>
      </c>
      <c r="AG726" t="str">
        <f t="shared" si="864"/>
        <v>2</v>
      </c>
      <c r="AH726" t="str">
        <f t="shared" si="838"/>
        <v>1</v>
      </c>
      <c r="AI726" t="str">
        <f t="shared" si="861"/>
        <v xml:space="preserve">1         </v>
      </c>
      <c r="AJ726" t="str">
        <f t="shared" si="854"/>
        <v>170</v>
      </c>
      <c r="AK726" t="str">
        <f>"76"</f>
        <v>76</v>
      </c>
      <c r="AL726" t="str">
        <f t="shared" si="865"/>
        <v>001</v>
      </c>
      <c r="AM726" t="str">
        <f>"76"</f>
        <v>76</v>
      </c>
      <c r="AN726" t="str">
        <f>"76001"</f>
        <v>76001</v>
      </c>
      <c r="AO726" t="str">
        <f>"16/01/2020 12:00:00 a. m."</f>
        <v>16/01/2020 12:00:00 a. m.</v>
      </c>
      <c r="AP726" t="str">
        <f>"16/10/2019 12:00:00 a. m."</f>
        <v>16/10/2019 12:00:00 a. m.</v>
      </c>
      <c r="AQ726" t="str">
        <f>"2"</f>
        <v>2</v>
      </c>
      <c r="AR726" t="str">
        <f>"1"</f>
        <v>1</v>
      </c>
      <c r="AS726" t="str">
        <f>"16/01/2020 12:00:00 a. m."</f>
        <v>16/01/2020 12:00:00 a. m.</v>
      </c>
      <c r="AT726" t="str">
        <f t="shared" si="849"/>
        <v>1</v>
      </c>
      <c r="AU726" t="str">
        <f>""</f>
        <v/>
      </c>
      <c r="AV726" t="str">
        <f>"3"</f>
        <v>3</v>
      </c>
      <c r="AW726" t="str">
        <f>"22/07/2019 12:00:00 a. m."</f>
        <v>22/07/2019 12:00:00 a. m.</v>
      </c>
      <c r="AX726" t="str">
        <f>""</f>
        <v/>
      </c>
      <c r="AY726" t="str">
        <f t="shared" si="844"/>
        <v>30/04/2021 12:00:00 a. m.</v>
      </c>
      <c r="AZ726" t="str">
        <f>"27/01/2020 12:00:00 a. m."</f>
        <v>27/01/2020 12:00:00 a. m.</v>
      </c>
      <c r="BA726" t="str">
        <f>""</f>
        <v/>
      </c>
      <c r="BB726" t="str">
        <f>""</f>
        <v/>
      </c>
      <c r="BC726" t="str">
        <f>""</f>
        <v/>
      </c>
      <c r="BD726" t="str">
        <f t="shared" si="867"/>
        <v>1</v>
      </c>
      <c r="BE726" t="str">
        <f t="shared" si="867"/>
        <v>1</v>
      </c>
      <c r="BF726" t="str">
        <f t="shared" si="845"/>
        <v xml:space="preserve">3         </v>
      </c>
      <c r="BG726" t="str">
        <f t="shared" si="846"/>
        <v>Confirmado por laboratorio</v>
      </c>
      <c r="BH726" t="str">
        <f>"FUNDACION VALLE DEL LILI"</f>
        <v>FUNDACION VALLE DEL LILI</v>
      </c>
      <c r="BI726" t="str">
        <f t="shared" si="855"/>
        <v>COLOMBIA</v>
      </c>
      <c r="BJ726" t="str">
        <f t="shared" si="847"/>
        <v>CANCER INFANTIL</v>
      </c>
      <c r="BK726" t="str">
        <f>"VALLE"</f>
        <v>VALLE</v>
      </c>
      <c r="BL726" t="str">
        <f>"CALI"</f>
        <v>CALI</v>
      </c>
      <c r="BM726" t="str">
        <f t="shared" si="856"/>
        <v>COLOMBIA</v>
      </c>
      <c r="BN726" t="str">
        <f>"VALLE"</f>
        <v>VALLE</v>
      </c>
      <c r="BO726" t="str">
        <f>"CALI"</f>
        <v>CALI</v>
      </c>
      <c r="BP726" t="str">
        <f>"VALLE"</f>
        <v>VALLE</v>
      </c>
      <c r="BQ726" t="str">
        <f>"CALI"</f>
        <v>CALI</v>
      </c>
    </row>
    <row r="727" spans="1:69" x14ac:dyDescent="0.25">
      <c r="A727" t="str">
        <f>"7285742"</f>
        <v>7285742</v>
      </c>
      <c r="B727" t="str">
        <f t="shared" si="840"/>
        <v>459</v>
      </c>
      <c r="C727" t="str">
        <f>"29/03/2021 12:00:00 a. m."</f>
        <v>29/03/2021 12:00:00 a. m.</v>
      </c>
      <c r="D727" t="str">
        <f>"49"</f>
        <v>49</v>
      </c>
      <c r="E727" t="str">
        <f t="shared" si="841"/>
        <v>2020</v>
      </c>
      <c r="F727" t="str">
        <f>"6827601666"</f>
        <v>6827601666</v>
      </c>
      <c r="G727" t="str">
        <f t="shared" si="823"/>
        <v>01</v>
      </c>
      <c r="H727" t="str">
        <f>"6"</f>
        <v>6</v>
      </c>
      <c r="I727" t="str">
        <f>"2"</f>
        <v>2</v>
      </c>
      <c r="J727" t="str">
        <f>"M"</f>
        <v>M</v>
      </c>
      <c r="K727" t="str">
        <f t="shared" si="853"/>
        <v>170</v>
      </c>
      <c r="L727" t="str">
        <f>"68"</f>
        <v>68</v>
      </c>
      <c r="M727" t="str">
        <f>"872"</f>
        <v>872</v>
      </c>
      <c r="N727" t="str">
        <f t="shared" si="848"/>
        <v>1</v>
      </c>
      <c r="O727" t="str">
        <f t="shared" si="866"/>
        <v>9999</v>
      </c>
      <c r="P727" t="str">
        <f>"C"</f>
        <v>C</v>
      </c>
      <c r="Q727" t="str">
        <f>"EPS037"</f>
        <v>EPS037</v>
      </c>
      <c r="R727" t="str">
        <f t="shared" si="834"/>
        <v>6</v>
      </c>
      <c r="S727" t="str">
        <f>""</f>
        <v/>
      </c>
      <c r="T727" t="str">
        <f t="shared" si="835"/>
        <v xml:space="preserve">                                                                                                    </v>
      </c>
      <c r="U727" t="str">
        <f>"2         "</f>
        <v xml:space="preserve">2         </v>
      </c>
      <c r="V727" t="str">
        <f t="shared" si="818"/>
        <v>2</v>
      </c>
      <c r="W727" t="str">
        <f t="shared" si="837"/>
        <v>2</v>
      </c>
      <c r="X727" t="str">
        <f t="shared" si="797"/>
        <v>2</v>
      </c>
      <c r="Y727" t="str">
        <f t="shared" si="862"/>
        <v>2</v>
      </c>
      <c r="Z727" t="str">
        <f t="shared" si="862"/>
        <v>2</v>
      </c>
      <c r="AA727" t="str">
        <f t="shared" si="842"/>
        <v xml:space="preserve">          </v>
      </c>
      <c r="AB727" t="str">
        <f t="shared" si="830"/>
        <v>2</v>
      </c>
      <c r="AC727" t="str">
        <f t="shared" si="832"/>
        <v>2</v>
      </c>
      <c r="AD727" t="str">
        <f t="shared" si="864"/>
        <v>2</v>
      </c>
      <c r="AE727" t="str">
        <f t="shared" si="864"/>
        <v>2</v>
      </c>
      <c r="AF727" t="str">
        <f t="shared" si="864"/>
        <v>2</v>
      </c>
      <c r="AG727" t="str">
        <f t="shared" si="864"/>
        <v>2</v>
      </c>
      <c r="AH727" t="str">
        <f t="shared" si="838"/>
        <v>1</v>
      </c>
      <c r="AI727" t="str">
        <f t="shared" si="861"/>
        <v xml:space="preserve">1         </v>
      </c>
      <c r="AJ727" t="str">
        <f t="shared" si="854"/>
        <v>170</v>
      </c>
      <c r="AK727" t="str">
        <f>"68"</f>
        <v>68</v>
      </c>
      <c r="AL727" t="str">
        <f>"872"</f>
        <v>872</v>
      </c>
      <c r="AM727" t="str">
        <f>"68"</f>
        <v>68</v>
      </c>
      <c r="AN727" t="str">
        <f>"68276"</f>
        <v>68276</v>
      </c>
      <c r="AO727" t="str">
        <f>"1/12/2020 12:00:00 a. m."</f>
        <v>1/12/2020 12:00:00 a. m.</v>
      </c>
      <c r="AP727" t="str">
        <f>"1/11/2020 12:00:00 a. m."</f>
        <v>1/11/2020 12:00:00 a. m.</v>
      </c>
      <c r="AQ727" t="str">
        <f>"2"</f>
        <v>2</v>
      </c>
      <c r="AR727" t="str">
        <f>"1"</f>
        <v>1</v>
      </c>
      <c r="AS727" t="str">
        <f>"1/12/2020 12:00:00 a. m."</f>
        <v>1/12/2020 12:00:00 a. m.</v>
      </c>
      <c r="AT727" t="str">
        <f t="shared" si="849"/>
        <v>1</v>
      </c>
      <c r="AU727" t="str">
        <f>""</f>
        <v/>
      </c>
      <c r="AV727" t="str">
        <f>"3"</f>
        <v>3</v>
      </c>
      <c r="AW727" t="str">
        <f>"24/09/2020 12:00:00 a. m."</f>
        <v>24/09/2020 12:00:00 a. m.</v>
      </c>
      <c r="AX727" t="str">
        <f>""</f>
        <v/>
      </c>
      <c r="AY727" t="str">
        <f t="shared" si="844"/>
        <v>30/04/2021 12:00:00 a. m.</v>
      </c>
      <c r="AZ727" t="str">
        <f>"7/04/2021 12:00:00 a. m."</f>
        <v>7/04/2021 12:00:00 a. m.</v>
      </c>
      <c r="BA727" t="str">
        <f>""</f>
        <v/>
      </c>
      <c r="BB727" t="str">
        <f>""</f>
        <v/>
      </c>
      <c r="BC727" t="str">
        <f>""</f>
        <v/>
      </c>
      <c r="BD727" t="str">
        <f t="shared" si="867"/>
        <v>1</v>
      </c>
      <c r="BE727" t="str">
        <f t="shared" si="867"/>
        <v>1</v>
      </c>
      <c r="BF727" t="str">
        <f t="shared" si="845"/>
        <v xml:space="preserve">3         </v>
      </c>
      <c r="BG727" t="str">
        <f t="shared" si="846"/>
        <v>Confirmado por laboratorio</v>
      </c>
      <c r="BH727" t="str">
        <f>"FUNDACION OFTALMOLOGICA DE SDER FOSCAL"</f>
        <v>FUNDACION OFTALMOLOGICA DE SDER FOSCAL</v>
      </c>
      <c r="BI727" t="str">
        <f t="shared" si="855"/>
        <v>COLOMBIA</v>
      </c>
      <c r="BJ727" t="str">
        <f t="shared" si="847"/>
        <v>CANCER INFANTIL</v>
      </c>
      <c r="BK727" t="str">
        <f>"SANTANDER"</f>
        <v>SANTANDER</v>
      </c>
      <c r="BL727" t="str">
        <f>"VILLANUEVA"</f>
        <v>VILLANUEVA</v>
      </c>
      <c r="BM727" t="str">
        <f t="shared" si="856"/>
        <v>COLOMBIA</v>
      </c>
      <c r="BN727" t="str">
        <f>"SANTANDER"</f>
        <v>SANTANDER</v>
      </c>
      <c r="BO727" t="str">
        <f>"VILLANUEVA"</f>
        <v>VILLANUEVA</v>
      </c>
      <c r="BP727" t="str">
        <f>"SANTANDER"</f>
        <v>SANTANDER</v>
      </c>
      <c r="BQ727" t="str">
        <f>"FLORIDABLANCA"</f>
        <v>FLORIDABLANCA</v>
      </c>
    </row>
    <row r="728" spans="1:69" x14ac:dyDescent="0.25">
      <c r="A728" t="str">
        <f>"7291770"</f>
        <v>7291770</v>
      </c>
      <c r="B728" t="str">
        <f t="shared" si="840"/>
        <v>459</v>
      </c>
      <c r="C728" t="str">
        <f>"8/08/2020 12:00:00 a. m."</f>
        <v>8/08/2020 12:00:00 a. m.</v>
      </c>
      <c r="D728" t="str">
        <f>"32"</f>
        <v>32</v>
      </c>
      <c r="E728" t="str">
        <f t="shared" si="841"/>
        <v>2020</v>
      </c>
      <c r="F728" t="str">
        <f>"0500108165"</f>
        <v>0500108165</v>
      </c>
      <c r="G728" t="str">
        <f t="shared" si="823"/>
        <v>01</v>
      </c>
      <c r="H728" t="str">
        <f>"16"</f>
        <v>16</v>
      </c>
      <c r="I728" t="str">
        <f t="shared" ref="I728:I759" si="868">"1"</f>
        <v>1</v>
      </c>
      <c r="J728" t="str">
        <f>"M"</f>
        <v>M</v>
      </c>
      <c r="K728" t="str">
        <f t="shared" si="853"/>
        <v>170</v>
      </c>
      <c r="L728" t="str">
        <f>"05"</f>
        <v>05</v>
      </c>
      <c r="M728" t="str">
        <f>"001"</f>
        <v>001</v>
      </c>
      <c r="N728" t="str">
        <f t="shared" si="848"/>
        <v>1</v>
      </c>
      <c r="O728" t="str">
        <f>"9997"</f>
        <v>9997</v>
      </c>
      <c r="P728" t="str">
        <f>"P"</f>
        <v>P</v>
      </c>
      <c r="Q728" t="str">
        <f>"RES003"</f>
        <v>RES003</v>
      </c>
      <c r="R728" t="str">
        <f t="shared" si="834"/>
        <v>6</v>
      </c>
      <c r="S728" t="str">
        <f>""</f>
        <v/>
      </c>
      <c r="T728" t="str">
        <f t="shared" si="835"/>
        <v xml:space="preserve">                                                                                                    </v>
      </c>
      <c r="U728" t="str">
        <f>"3         "</f>
        <v xml:space="preserve">3         </v>
      </c>
      <c r="V728" t="str">
        <f t="shared" si="818"/>
        <v>2</v>
      </c>
      <c r="W728" t="str">
        <f t="shared" si="837"/>
        <v>2</v>
      </c>
      <c r="X728" t="str">
        <f t="shared" si="797"/>
        <v>2</v>
      </c>
      <c r="Y728" t="str">
        <f t="shared" si="862"/>
        <v>2</v>
      </c>
      <c r="Z728" t="str">
        <f t="shared" si="862"/>
        <v>2</v>
      </c>
      <c r="AA728" t="str">
        <f t="shared" si="842"/>
        <v xml:space="preserve">          </v>
      </c>
      <c r="AB728" t="str">
        <f t="shared" si="830"/>
        <v>2</v>
      </c>
      <c r="AC728" t="str">
        <f t="shared" si="832"/>
        <v>2</v>
      </c>
      <c r="AD728" t="str">
        <f t="shared" si="864"/>
        <v>2</v>
      </c>
      <c r="AE728" t="str">
        <f t="shared" si="864"/>
        <v>2</v>
      </c>
      <c r="AF728" t="str">
        <f t="shared" si="864"/>
        <v>2</v>
      </c>
      <c r="AG728" t="str">
        <f t="shared" si="864"/>
        <v>2</v>
      </c>
      <c r="AH728" t="str">
        <f t="shared" si="838"/>
        <v>1</v>
      </c>
      <c r="AI728" t="str">
        <f t="shared" si="861"/>
        <v xml:space="preserve">1         </v>
      </c>
      <c r="AJ728" t="str">
        <f t="shared" si="854"/>
        <v>170</v>
      </c>
      <c r="AK728" t="str">
        <f>"05"</f>
        <v>05</v>
      </c>
      <c r="AL728" t="str">
        <f>"001"</f>
        <v>001</v>
      </c>
      <c r="AM728" t="str">
        <f>"05"</f>
        <v>05</v>
      </c>
      <c r="AN728" t="str">
        <f>"05001"</f>
        <v>05001</v>
      </c>
      <c r="AO728" t="str">
        <f>"5/08/2020 12:00:00 a. m."</f>
        <v>5/08/2020 12:00:00 a. m.</v>
      </c>
      <c r="AP728" t="str">
        <f>"26/07/2020 12:00:00 a. m."</f>
        <v>26/07/2020 12:00:00 a. m.</v>
      </c>
      <c r="AQ728" t="str">
        <f>"3"</f>
        <v>3</v>
      </c>
      <c r="AR728" t="str">
        <f>"2"</f>
        <v>2</v>
      </c>
      <c r="AS728" t="str">
        <f>""</f>
        <v/>
      </c>
      <c r="AT728" t="str">
        <f t="shared" si="849"/>
        <v>1</v>
      </c>
      <c r="AU728" t="str">
        <f>""</f>
        <v/>
      </c>
      <c r="AV728" t="str">
        <f>"0"</f>
        <v>0</v>
      </c>
      <c r="AW728" t="str">
        <f>"17/01/2004 12:00:00 a. m."</f>
        <v>17/01/2004 12:00:00 a. m.</v>
      </c>
      <c r="AX728" t="str">
        <f>""</f>
        <v/>
      </c>
      <c r="AY728" t="str">
        <f t="shared" si="844"/>
        <v>30/04/2021 12:00:00 a. m.</v>
      </c>
      <c r="AZ728" t="str">
        <f>"10/08/2020 12:00:00 a. m."</f>
        <v>10/08/2020 12:00:00 a. m.</v>
      </c>
      <c r="BA728" t="str">
        <f>""</f>
        <v/>
      </c>
      <c r="BB728" t="str">
        <f>""</f>
        <v/>
      </c>
      <c r="BC728" t="str">
        <f>""</f>
        <v/>
      </c>
      <c r="BD728" t="str">
        <f t="shared" si="867"/>
        <v>1</v>
      </c>
      <c r="BE728" t="str">
        <f t="shared" si="867"/>
        <v>1</v>
      </c>
      <c r="BF728" t="str">
        <f t="shared" si="845"/>
        <v xml:space="preserve">3         </v>
      </c>
      <c r="BG728" t="str">
        <f t="shared" si="846"/>
        <v>Confirmado por laboratorio</v>
      </c>
      <c r="BH728" t="str">
        <f>"GRUPO ONCOLOGICO INTERNACIONAL SA YO CLINICA DE"</f>
        <v>GRUPO ONCOLOGICO INTERNACIONAL SA YO CLINICA DE</v>
      </c>
      <c r="BI728" t="str">
        <f t="shared" si="855"/>
        <v>COLOMBIA</v>
      </c>
      <c r="BJ728" t="str">
        <f t="shared" si="847"/>
        <v>CANCER INFANTIL</v>
      </c>
      <c r="BK728" t="str">
        <f>"ANTIOQUIA"</f>
        <v>ANTIOQUIA</v>
      </c>
      <c r="BL728" t="str">
        <f>"MEDELLIN"</f>
        <v>MEDELLIN</v>
      </c>
      <c r="BM728" t="str">
        <f t="shared" si="856"/>
        <v>COLOMBIA</v>
      </c>
      <c r="BN728" t="str">
        <f>"ANTIOQUIA"</f>
        <v>ANTIOQUIA</v>
      </c>
      <c r="BO728" t="str">
        <f>"MEDELLIN"</f>
        <v>MEDELLIN</v>
      </c>
      <c r="BP728" t="str">
        <f>"ANTIOQUIA"</f>
        <v>ANTIOQUIA</v>
      </c>
      <c r="BQ728" t="str">
        <f>"MEDELLIN"</f>
        <v>MEDELLIN</v>
      </c>
    </row>
    <row r="729" spans="1:69" x14ac:dyDescent="0.25">
      <c r="A729" t="str">
        <f>"7291802"</f>
        <v>7291802</v>
      </c>
      <c r="B729" t="str">
        <f t="shared" si="840"/>
        <v>459</v>
      </c>
      <c r="C729" t="str">
        <f>"27/11/2020 12:00:00 a. m."</f>
        <v>27/11/2020 12:00:00 a. m.</v>
      </c>
      <c r="D729" t="str">
        <f>"47"</f>
        <v>47</v>
      </c>
      <c r="E729" t="str">
        <f t="shared" si="841"/>
        <v>2020</v>
      </c>
      <c r="F729" t="str">
        <f>"1100105618"</f>
        <v>1100105618</v>
      </c>
      <c r="G729" t="str">
        <f t="shared" si="823"/>
        <v>01</v>
      </c>
      <c r="H729" t="str">
        <f>"17"</f>
        <v>17</v>
      </c>
      <c r="I729" t="str">
        <f t="shared" si="868"/>
        <v>1</v>
      </c>
      <c r="J729" t="str">
        <f>"F"</f>
        <v>F</v>
      </c>
      <c r="K729" t="str">
        <f t="shared" si="853"/>
        <v>170</v>
      </c>
      <c r="L729" t="str">
        <f>"50"</f>
        <v>50</v>
      </c>
      <c r="M729" t="str">
        <f>"001"</f>
        <v>001</v>
      </c>
      <c r="N729" t="str">
        <f t="shared" si="848"/>
        <v>1</v>
      </c>
      <c r="O729" t="str">
        <f>"9997"</f>
        <v>9997</v>
      </c>
      <c r="P729" t="str">
        <f>"C"</f>
        <v>C</v>
      </c>
      <c r="Q729" t="str">
        <f>"EPS005"</f>
        <v>EPS005</v>
      </c>
      <c r="R729" t="str">
        <f t="shared" si="834"/>
        <v>6</v>
      </c>
      <c r="S729" t="str">
        <f>""</f>
        <v/>
      </c>
      <c r="T729" t="str">
        <f t="shared" si="835"/>
        <v xml:space="preserve">                                                                                                    </v>
      </c>
      <c r="U729" t="str">
        <f>"4         "</f>
        <v xml:space="preserve">4         </v>
      </c>
      <c r="V729" t="str">
        <f t="shared" si="818"/>
        <v>2</v>
      </c>
      <c r="W729" t="str">
        <f t="shared" si="837"/>
        <v>2</v>
      </c>
      <c r="X729" t="str">
        <f t="shared" si="797"/>
        <v>2</v>
      </c>
      <c r="Y729" t="str">
        <f t="shared" si="862"/>
        <v>2</v>
      </c>
      <c r="Z729" t="str">
        <f t="shared" si="862"/>
        <v>2</v>
      </c>
      <c r="AA729" t="str">
        <f t="shared" si="842"/>
        <v xml:space="preserve">          </v>
      </c>
      <c r="AB729" t="str">
        <f t="shared" si="830"/>
        <v>2</v>
      </c>
      <c r="AC729" t="str">
        <f t="shared" si="832"/>
        <v>2</v>
      </c>
      <c r="AD729" t="str">
        <f t="shared" si="864"/>
        <v>2</v>
      </c>
      <c r="AE729" t="str">
        <f t="shared" si="864"/>
        <v>2</v>
      </c>
      <c r="AF729" t="str">
        <f t="shared" si="864"/>
        <v>2</v>
      </c>
      <c r="AG729" t="str">
        <f t="shared" si="864"/>
        <v>2</v>
      </c>
      <c r="AH729" t="str">
        <f t="shared" si="838"/>
        <v>1</v>
      </c>
      <c r="AI729" t="str">
        <f t="shared" si="861"/>
        <v xml:space="preserve">1         </v>
      </c>
      <c r="AJ729" t="str">
        <f t="shared" si="854"/>
        <v>170</v>
      </c>
      <c r="AK729" t="str">
        <f>"50"</f>
        <v>50</v>
      </c>
      <c r="AL729" t="str">
        <f>"001"</f>
        <v>001</v>
      </c>
      <c r="AM729" t="str">
        <f>"11"</f>
        <v>11</v>
      </c>
      <c r="AN729" t="str">
        <f>"11001"</f>
        <v>11001</v>
      </c>
      <c r="AO729" t="str">
        <f>"18/11/2020 12:00:00 a. m."</f>
        <v>18/11/2020 12:00:00 a. m.</v>
      </c>
      <c r="AP729" t="str">
        <f>"18/11/2020 12:00:00 a. m."</f>
        <v>18/11/2020 12:00:00 a. m.</v>
      </c>
      <c r="AQ729" t="str">
        <f>"2"</f>
        <v>2</v>
      </c>
      <c r="AR729" t="str">
        <f t="shared" ref="AR729:AR736" si="869">"1"</f>
        <v>1</v>
      </c>
      <c r="AS729" t="str">
        <f>"18/11/2020 12:00:00 a. m."</f>
        <v>18/11/2020 12:00:00 a. m.</v>
      </c>
      <c r="AT729" t="str">
        <f t="shared" si="849"/>
        <v>1</v>
      </c>
      <c r="AU729" t="str">
        <f>""</f>
        <v/>
      </c>
      <c r="AV729" t="str">
        <f>"3"</f>
        <v>3</v>
      </c>
      <c r="AW729" t="str">
        <f>"10/09/2003 12:00:00 a. m."</f>
        <v>10/09/2003 12:00:00 a. m.</v>
      </c>
      <c r="AX729" t="str">
        <f>""</f>
        <v/>
      </c>
      <c r="AY729" t="str">
        <f t="shared" si="844"/>
        <v>30/04/2021 12:00:00 a. m.</v>
      </c>
      <c r="AZ729" t="str">
        <f>"18/12/2020 12:00:00 a. m."</f>
        <v>18/12/2020 12:00:00 a. m.</v>
      </c>
      <c r="BA729" t="str">
        <f>""</f>
        <v/>
      </c>
      <c r="BB729" t="str">
        <f>""</f>
        <v/>
      </c>
      <c r="BC729" t="str">
        <f>""</f>
        <v/>
      </c>
      <c r="BD729" t="str">
        <f t="shared" si="867"/>
        <v>1</v>
      </c>
      <c r="BE729" t="str">
        <f t="shared" si="867"/>
        <v>1</v>
      </c>
      <c r="BF729" t="str">
        <f t="shared" si="845"/>
        <v xml:space="preserve">3         </v>
      </c>
      <c r="BG729" t="str">
        <f t="shared" si="846"/>
        <v>Confirmado por laboratorio</v>
      </c>
      <c r="BH729" t="str">
        <f>"HOSPITAL UNIVERSITARIO FUNDACION SANTA FE - USAQU"</f>
        <v>HOSPITAL UNIVERSITARIO FUNDACION SANTA FE - USAQU</v>
      </c>
      <c r="BI729" t="str">
        <f t="shared" si="855"/>
        <v>COLOMBIA</v>
      </c>
      <c r="BJ729" t="str">
        <f t="shared" si="847"/>
        <v>CANCER INFANTIL</v>
      </c>
      <c r="BK729" t="str">
        <f>"META"</f>
        <v>META</v>
      </c>
      <c r="BL729" t="str">
        <f>"VILLAVICENCIO"</f>
        <v>VILLAVICENCIO</v>
      </c>
      <c r="BM729" t="str">
        <f t="shared" si="856"/>
        <v>COLOMBIA</v>
      </c>
      <c r="BN729" t="str">
        <f>"META"</f>
        <v>META</v>
      </c>
      <c r="BO729" t="str">
        <f>"VILLAVICENCIO"</f>
        <v>VILLAVICENCIO</v>
      </c>
      <c r="BP729" t="str">
        <f>"BOGOTA"</f>
        <v>BOGOTA</v>
      </c>
      <c r="BQ729" t="str">
        <f>"BOGOTA"</f>
        <v>BOGOTA</v>
      </c>
    </row>
    <row r="730" spans="1:69" x14ac:dyDescent="0.25">
      <c r="A730" t="str">
        <f>"7291754"</f>
        <v>7291754</v>
      </c>
      <c r="B730" t="str">
        <f t="shared" si="840"/>
        <v>459</v>
      </c>
      <c r="C730" t="str">
        <f>"31/01/2020 12:00:00 a. m."</f>
        <v>31/01/2020 12:00:00 a. m.</v>
      </c>
      <c r="D730" t="str">
        <f>"02"</f>
        <v>02</v>
      </c>
      <c r="E730" t="str">
        <f t="shared" si="841"/>
        <v>2020</v>
      </c>
      <c r="F730" t="str">
        <f>"1100106065"</f>
        <v>1100106065</v>
      </c>
      <c r="G730" t="str">
        <f t="shared" si="823"/>
        <v>01</v>
      </c>
      <c r="H730" t="str">
        <f>"14"</f>
        <v>14</v>
      </c>
      <c r="I730" t="str">
        <f t="shared" si="868"/>
        <v>1</v>
      </c>
      <c r="J730" t="str">
        <f>"M"</f>
        <v>M</v>
      </c>
      <c r="K730" t="str">
        <f t="shared" si="853"/>
        <v>170</v>
      </c>
      <c r="L730" t="str">
        <f>"50"</f>
        <v>50</v>
      </c>
      <c r="M730" t="str">
        <f>"001"</f>
        <v>001</v>
      </c>
      <c r="N730" t="str">
        <f t="shared" si="848"/>
        <v>1</v>
      </c>
      <c r="O730" t="str">
        <f>"9997"</f>
        <v>9997</v>
      </c>
      <c r="P730" t="str">
        <f>"C"</f>
        <v>C</v>
      </c>
      <c r="Q730" t="str">
        <f>"EMP014"</f>
        <v>EMP014</v>
      </c>
      <c r="R730" t="str">
        <f t="shared" si="834"/>
        <v>6</v>
      </c>
      <c r="S730" t="str">
        <f>""</f>
        <v/>
      </c>
      <c r="T730" t="str">
        <f t="shared" si="835"/>
        <v xml:space="preserve">                                                                                                    </v>
      </c>
      <c r="U730" t="str">
        <f>"2         "</f>
        <v xml:space="preserve">2         </v>
      </c>
      <c r="V730" t="str">
        <f t="shared" si="818"/>
        <v>2</v>
      </c>
      <c r="W730" t="str">
        <f t="shared" si="837"/>
        <v>2</v>
      </c>
      <c r="X730" t="str">
        <f t="shared" ref="X730:X793" si="870">"2"</f>
        <v>2</v>
      </c>
      <c r="Y730" t="str">
        <f t="shared" si="862"/>
        <v>2</v>
      </c>
      <c r="Z730" t="str">
        <f t="shared" si="862"/>
        <v>2</v>
      </c>
      <c r="AA730" t="str">
        <f t="shared" si="842"/>
        <v xml:space="preserve">          </v>
      </c>
      <c r="AB730" t="str">
        <f t="shared" si="830"/>
        <v>2</v>
      </c>
      <c r="AC730" t="str">
        <f t="shared" si="832"/>
        <v>2</v>
      </c>
      <c r="AD730" t="str">
        <f t="shared" si="864"/>
        <v>2</v>
      </c>
      <c r="AE730" t="str">
        <f t="shared" si="864"/>
        <v>2</v>
      </c>
      <c r="AF730" t="str">
        <f t="shared" si="864"/>
        <v>2</v>
      </c>
      <c r="AG730" t="str">
        <f t="shared" si="864"/>
        <v>2</v>
      </c>
      <c r="AH730" t="str">
        <f t="shared" si="838"/>
        <v>1</v>
      </c>
      <c r="AI730" t="str">
        <f t="shared" si="861"/>
        <v xml:space="preserve">1         </v>
      </c>
      <c r="AJ730" t="str">
        <f t="shared" si="854"/>
        <v>170</v>
      </c>
      <c r="AK730" t="str">
        <f>"50"</f>
        <v>50</v>
      </c>
      <c r="AL730" t="str">
        <f>"001"</f>
        <v>001</v>
      </c>
      <c r="AM730" t="str">
        <f>"11"</f>
        <v>11</v>
      </c>
      <c r="AN730" t="str">
        <f>"11001"</f>
        <v>11001</v>
      </c>
      <c r="AO730" t="str">
        <f>"7/01/2020 12:00:00 a. m."</f>
        <v>7/01/2020 12:00:00 a. m.</v>
      </c>
      <c r="AP730" t="str">
        <f>"3/12/2019 12:00:00 a. m."</f>
        <v>3/12/2019 12:00:00 a. m.</v>
      </c>
      <c r="AQ730" t="str">
        <f>"3"</f>
        <v>3</v>
      </c>
      <c r="AR730" t="str">
        <f t="shared" si="869"/>
        <v>1</v>
      </c>
      <c r="AS730" t="str">
        <f>"27/01/2020 12:00:00 a. m."</f>
        <v>27/01/2020 12:00:00 a. m.</v>
      </c>
      <c r="AT730" t="str">
        <f t="shared" si="849"/>
        <v>1</v>
      </c>
      <c r="AU730" t="str">
        <f>""</f>
        <v/>
      </c>
      <c r="AV730" t="str">
        <f>"7"</f>
        <v>7</v>
      </c>
      <c r="AW730" t="str">
        <f>"9/03/2005 12:00:00 a. m."</f>
        <v>9/03/2005 12:00:00 a. m.</v>
      </c>
      <c r="AX730" t="str">
        <f>""</f>
        <v/>
      </c>
      <c r="AY730" t="str">
        <f t="shared" si="844"/>
        <v>30/04/2021 12:00:00 a. m.</v>
      </c>
      <c r="AZ730" t="str">
        <f>"16/02/2021 12:00:00 a. m."</f>
        <v>16/02/2021 12:00:00 a. m.</v>
      </c>
      <c r="BA730" t="str">
        <f>""</f>
        <v/>
      </c>
      <c r="BB730" t="str">
        <f>""</f>
        <v/>
      </c>
      <c r="BC730" t="str">
        <f>""</f>
        <v/>
      </c>
      <c r="BD730" t="str">
        <f t="shared" si="867"/>
        <v>1</v>
      </c>
      <c r="BE730" t="str">
        <f t="shared" si="867"/>
        <v>1</v>
      </c>
      <c r="BF730" t="str">
        <f t="shared" si="845"/>
        <v xml:space="preserve">3         </v>
      </c>
      <c r="BG730" t="str">
        <f t="shared" si="846"/>
        <v>Confirmado por laboratorio</v>
      </c>
      <c r="BH730" t="str">
        <f>"ESE INSTITUTO NACIONAL DE CANCEROLOGIA"</f>
        <v>ESE INSTITUTO NACIONAL DE CANCEROLOGIA</v>
      </c>
      <c r="BI730" t="str">
        <f t="shared" si="855"/>
        <v>COLOMBIA</v>
      </c>
      <c r="BJ730" t="str">
        <f t="shared" si="847"/>
        <v>CANCER INFANTIL</v>
      </c>
      <c r="BK730" t="str">
        <f>"META"</f>
        <v>META</v>
      </c>
      <c r="BL730" t="str">
        <f>"VILLAVICENCIO"</f>
        <v>VILLAVICENCIO</v>
      </c>
      <c r="BM730" t="str">
        <f t="shared" si="856"/>
        <v>COLOMBIA</v>
      </c>
      <c r="BN730" t="str">
        <f>"META"</f>
        <v>META</v>
      </c>
      <c r="BO730" t="str">
        <f>"VILLAVICENCIO"</f>
        <v>VILLAVICENCIO</v>
      </c>
      <c r="BP730" t="str">
        <f>"BOGOTA"</f>
        <v>BOGOTA</v>
      </c>
      <c r="BQ730" t="str">
        <f>"BOGOTA"</f>
        <v>BOGOTA</v>
      </c>
    </row>
    <row r="731" spans="1:69" x14ac:dyDescent="0.25">
      <c r="A731" t="str">
        <f>"7279156"</f>
        <v>7279156</v>
      </c>
      <c r="B731" t="str">
        <f t="shared" si="840"/>
        <v>459</v>
      </c>
      <c r="C731" t="str">
        <f>"27/02/2020 12:00:00 a. m."</f>
        <v>27/02/2020 12:00:00 a. m.</v>
      </c>
      <c r="D731" t="str">
        <f>"06"</f>
        <v>06</v>
      </c>
      <c r="E731" t="str">
        <f t="shared" si="841"/>
        <v>2020</v>
      </c>
      <c r="F731" t="str">
        <f>"6854704947"</f>
        <v>6854704947</v>
      </c>
      <c r="G731" t="str">
        <f t="shared" si="823"/>
        <v>01</v>
      </c>
      <c r="H731" t="str">
        <f>"2"</f>
        <v>2</v>
      </c>
      <c r="I731" t="str">
        <f t="shared" si="868"/>
        <v>1</v>
      </c>
      <c r="J731" t="str">
        <f>"M"</f>
        <v>M</v>
      </c>
      <c r="K731" t="str">
        <f t="shared" si="853"/>
        <v>170</v>
      </c>
      <c r="L731" t="str">
        <f>"73"</f>
        <v>73</v>
      </c>
      <c r="M731" t="str">
        <f>"168"</f>
        <v>168</v>
      </c>
      <c r="N731" t="str">
        <f>"3"</f>
        <v>3</v>
      </c>
      <c r="O731" t="str">
        <f>"9999"</f>
        <v>9999</v>
      </c>
      <c r="P731" t="str">
        <f>"S"</f>
        <v>S</v>
      </c>
      <c r="Q731" t="str">
        <f>"EPSS41"</f>
        <v>EPSS41</v>
      </c>
      <c r="R731" t="str">
        <f t="shared" si="834"/>
        <v>6</v>
      </c>
      <c r="S731" t="str">
        <f>""</f>
        <v/>
      </c>
      <c r="T731" t="str">
        <f t="shared" si="835"/>
        <v xml:space="preserve">                                                                                                    </v>
      </c>
      <c r="U731" t="str">
        <f>"1         "</f>
        <v xml:space="preserve">1         </v>
      </c>
      <c r="V731" t="str">
        <f t="shared" si="818"/>
        <v>2</v>
      </c>
      <c r="W731" t="str">
        <f t="shared" si="837"/>
        <v>2</v>
      </c>
      <c r="X731" t="str">
        <f t="shared" si="870"/>
        <v>2</v>
      </c>
      <c r="Y731" t="str">
        <f t="shared" si="862"/>
        <v>2</v>
      </c>
      <c r="Z731" t="str">
        <f t="shared" si="862"/>
        <v>2</v>
      </c>
      <c r="AA731" t="str">
        <f t="shared" si="842"/>
        <v xml:space="preserve">          </v>
      </c>
      <c r="AB731" t="str">
        <f t="shared" si="830"/>
        <v>2</v>
      </c>
      <c r="AC731" t="str">
        <f t="shared" si="832"/>
        <v>2</v>
      </c>
      <c r="AD731" t="str">
        <f t="shared" si="864"/>
        <v>2</v>
      </c>
      <c r="AE731" t="str">
        <f t="shared" si="864"/>
        <v>2</v>
      </c>
      <c r="AF731" t="str">
        <f t="shared" si="864"/>
        <v>2</v>
      </c>
      <c r="AG731" t="str">
        <f t="shared" si="864"/>
        <v>2</v>
      </c>
      <c r="AH731" t="str">
        <f t="shared" si="838"/>
        <v>1</v>
      </c>
      <c r="AI731" t="str">
        <f t="shared" si="861"/>
        <v xml:space="preserve">1         </v>
      </c>
      <c r="AJ731" t="str">
        <f t="shared" si="854"/>
        <v>170</v>
      </c>
      <c r="AK731" t="str">
        <f>"73"</f>
        <v>73</v>
      </c>
      <c r="AL731" t="str">
        <f>"168"</f>
        <v>168</v>
      </c>
      <c r="AM731" t="str">
        <f>"68"</f>
        <v>68</v>
      </c>
      <c r="AN731" t="str">
        <f>"68547"</f>
        <v>68547</v>
      </c>
      <c r="AO731" t="str">
        <f>"2/02/2020 12:00:00 a. m."</f>
        <v>2/02/2020 12:00:00 a. m.</v>
      </c>
      <c r="AP731" t="str">
        <f>"20/01/2020 12:00:00 a. m."</f>
        <v>20/01/2020 12:00:00 a. m.</v>
      </c>
      <c r="AQ731" t="str">
        <f>"3"</f>
        <v>3</v>
      </c>
      <c r="AR731" t="str">
        <f t="shared" si="869"/>
        <v>1</v>
      </c>
      <c r="AS731" t="str">
        <f>"2/02/2020 12:00:00 a. m."</f>
        <v>2/02/2020 12:00:00 a. m.</v>
      </c>
      <c r="AT731" t="str">
        <f t="shared" si="849"/>
        <v>1</v>
      </c>
      <c r="AU731" t="str">
        <f>""</f>
        <v/>
      </c>
      <c r="AV731" t="str">
        <f>"0"</f>
        <v>0</v>
      </c>
      <c r="AW731" t="str">
        <f>"23/08/2017 12:00:00 a. m."</f>
        <v>23/08/2017 12:00:00 a. m.</v>
      </c>
      <c r="AX731" t="str">
        <f>""</f>
        <v/>
      </c>
      <c r="AY731" t="str">
        <f t="shared" si="844"/>
        <v>30/04/2021 12:00:00 a. m.</v>
      </c>
      <c r="AZ731" t="str">
        <f>"27/02/2020 12:00:00 a. m."</f>
        <v>27/02/2020 12:00:00 a. m.</v>
      </c>
      <c r="BA731" t="str">
        <f>""</f>
        <v/>
      </c>
      <c r="BB731" t="str">
        <f>""</f>
        <v/>
      </c>
      <c r="BC731" t="str">
        <f>""</f>
        <v/>
      </c>
      <c r="BD731" t="str">
        <f t="shared" si="867"/>
        <v>1</v>
      </c>
      <c r="BE731" t="str">
        <f t="shared" si="867"/>
        <v>1</v>
      </c>
      <c r="BF731" t="str">
        <f t="shared" si="845"/>
        <v xml:space="preserve">3         </v>
      </c>
      <c r="BG731" t="str">
        <f t="shared" si="846"/>
        <v>Confirmado por laboratorio</v>
      </c>
      <c r="BH731" t="str">
        <f>"HOSPITAL INTERNACIONAL DE COLOMBIA"</f>
        <v>HOSPITAL INTERNACIONAL DE COLOMBIA</v>
      </c>
      <c r="BI731" t="str">
        <f t="shared" si="855"/>
        <v>COLOMBIA</v>
      </c>
      <c r="BJ731" t="str">
        <f t="shared" si="847"/>
        <v>CANCER INFANTIL</v>
      </c>
      <c r="BK731" t="str">
        <f>"TOLIMA"</f>
        <v>TOLIMA</v>
      </c>
      <c r="BL731" t="str">
        <f>"CHAPARRAL"</f>
        <v>CHAPARRAL</v>
      </c>
      <c r="BM731" t="str">
        <f t="shared" si="856"/>
        <v>COLOMBIA</v>
      </c>
      <c r="BN731" t="str">
        <f>"TOLIMA"</f>
        <v>TOLIMA</v>
      </c>
      <c r="BO731" t="str">
        <f>"CHAPARRAL"</f>
        <v>CHAPARRAL</v>
      </c>
      <c r="BP731" t="str">
        <f>"SANTANDER"</f>
        <v>SANTANDER</v>
      </c>
      <c r="BQ731" t="str">
        <f>"PIEDECUESTA"</f>
        <v>PIEDECUESTA</v>
      </c>
    </row>
    <row r="732" spans="1:69" x14ac:dyDescent="0.25">
      <c r="A732" t="str">
        <f>"7279062"</f>
        <v>7279062</v>
      </c>
      <c r="B732" t="str">
        <f t="shared" si="840"/>
        <v>459</v>
      </c>
      <c r="C732" t="str">
        <f>"22/01/2021 12:00:00 a. m."</f>
        <v>22/01/2021 12:00:00 a. m.</v>
      </c>
      <c r="D732" t="str">
        <f>"53"</f>
        <v>53</v>
      </c>
      <c r="E732" t="str">
        <f t="shared" si="841"/>
        <v>2020</v>
      </c>
      <c r="F732" t="str">
        <f>"7600102870"</f>
        <v>7600102870</v>
      </c>
      <c r="G732" t="str">
        <f t="shared" si="823"/>
        <v>01</v>
      </c>
      <c r="H732" t="str">
        <f>"6"</f>
        <v>6</v>
      </c>
      <c r="I732" t="str">
        <f t="shared" si="868"/>
        <v>1</v>
      </c>
      <c r="J732" t="str">
        <f>"M"</f>
        <v>M</v>
      </c>
      <c r="K732" t="str">
        <f t="shared" si="853"/>
        <v>170</v>
      </c>
      <c r="L732" t="str">
        <f>"19"</f>
        <v>19</v>
      </c>
      <c r="M732" t="str">
        <f>"845"</f>
        <v>845</v>
      </c>
      <c r="N732" t="str">
        <f t="shared" ref="N732:N738" si="871">"1"</f>
        <v>1</v>
      </c>
      <c r="O732" t="str">
        <f>"9999"</f>
        <v>9999</v>
      </c>
      <c r="P732" t="str">
        <f>"C"</f>
        <v>C</v>
      </c>
      <c r="Q732" t="str">
        <f>"EPS018"</f>
        <v>EPS018</v>
      </c>
      <c r="R732" t="str">
        <f t="shared" si="834"/>
        <v>6</v>
      </c>
      <c r="S732" t="str">
        <f>""</f>
        <v/>
      </c>
      <c r="T732" t="str">
        <f t="shared" si="835"/>
        <v xml:space="preserve">                                                                                                    </v>
      </c>
      <c r="U732" t="str">
        <f>"          "</f>
        <v xml:space="preserve">          </v>
      </c>
      <c r="V732" t="str">
        <f t="shared" si="818"/>
        <v>2</v>
      </c>
      <c r="W732" t="str">
        <f t="shared" si="837"/>
        <v>2</v>
      </c>
      <c r="X732" t="str">
        <f t="shared" si="870"/>
        <v>2</v>
      </c>
      <c r="Y732" t="str">
        <f t="shared" si="862"/>
        <v>2</v>
      </c>
      <c r="Z732" t="str">
        <f t="shared" si="862"/>
        <v>2</v>
      </c>
      <c r="AA732" t="str">
        <f t="shared" si="842"/>
        <v xml:space="preserve">          </v>
      </c>
      <c r="AB732" t="str">
        <f t="shared" si="830"/>
        <v>2</v>
      </c>
      <c r="AC732" t="str">
        <f t="shared" si="832"/>
        <v>2</v>
      </c>
      <c r="AD732" t="str">
        <f t="shared" si="864"/>
        <v>2</v>
      </c>
      <c r="AE732" t="str">
        <f t="shared" si="864"/>
        <v>2</v>
      </c>
      <c r="AF732" t="str">
        <f t="shared" si="864"/>
        <v>2</v>
      </c>
      <c r="AG732" t="str">
        <f t="shared" si="864"/>
        <v>2</v>
      </c>
      <c r="AH732" t="str">
        <f t="shared" si="838"/>
        <v>1</v>
      </c>
      <c r="AI732" t="str">
        <f t="shared" si="861"/>
        <v xml:space="preserve">1         </v>
      </c>
      <c r="AJ732" t="str">
        <f t="shared" si="854"/>
        <v>170</v>
      </c>
      <c r="AK732" t="str">
        <f>"19"</f>
        <v>19</v>
      </c>
      <c r="AL732" t="str">
        <f>"845"</f>
        <v>845</v>
      </c>
      <c r="AM732" t="str">
        <f>"76"</f>
        <v>76</v>
      </c>
      <c r="AN732" t="str">
        <f>"76001"</f>
        <v>76001</v>
      </c>
      <c r="AO732" t="str">
        <f>"28/12/2020 12:00:00 a. m."</f>
        <v>28/12/2020 12:00:00 a. m.</v>
      </c>
      <c r="AP732" t="str">
        <f>"28/12/2020 12:00:00 a. m."</f>
        <v>28/12/2020 12:00:00 a. m.</v>
      </c>
      <c r="AQ732" t="str">
        <f>"3"</f>
        <v>3</v>
      </c>
      <c r="AR732" t="str">
        <f t="shared" si="869"/>
        <v>1</v>
      </c>
      <c r="AS732" t="str">
        <f>"28/12/2020 12:00:00 a. m."</f>
        <v>28/12/2020 12:00:00 a. m.</v>
      </c>
      <c r="AT732" t="str">
        <f t="shared" si="849"/>
        <v>1</v>
      </c>
      <c r="AU732" t="str">
        <f>""</f>
        <v/>
      </c>
      <c r="AV732" t="str">
        <f>"0"</f>
        <v>0</v>
      </c>
      <c r="AW732" t="str">
        <f>"24/09/2014 12:00:00 a. m."</f>
        <v>24/09/2014 12:00:00 a. m.</v>
      </c>
      <c r="AX732" t="str">
        <f>""</f>
        <v/>
      </c>
      <c r="AY732" t="str">
        <f t="shared" si="844"/>
        <v>30/04/2021 12:00:00 a. m.</v>
      </c>
      <c r="AZ732" t="str">
        <f>"22/01/2021 12:00:00 a. m."</f>
        <v>22/01/2021 12:00:00 a. m.</v>
      </c>
      <c r="BA732" t="str">
        <f>""</f>
        <v/>
      </c>
      <c r="BB732" t="str">
        <f>""</f>
        <v/>
      </c>
      <c r="BC732" t="str">
        <f>""</f>
        <v/>
      </c>
      <c r="BD732" t="str">
        <f t="shared" si="867"/>
        <v>1</v>
      </c>
      <c r="BE732" t="str">
        <f t="shared" si="867"/>
        <v>1</v>
      </c>
      <c r="BF732" t="str">
        <f t="shared" si="845"/>
        <v xml:space="preserve">3         </v>
      </c>
      <c r="BG732" t="str">
        <f t="shared" si="846"/>
        <v>Confirmado por laboratorio</v>
      </c>
      <c r="BH732" t="str">
        <f>"FUNDACION VALLE DEL LILI"</f>
        <v>FUNDACION VALLE DEL LILI</v>
      </c>
      <c r="BI732" t="str">
        <f t="shared" si="855"/>
        <v>COLOMBIA</v>
      </c>
      <c r="BJ732" t="str">
        <f t="shared" si="847"/>
        <v>CANCER INFANTIL</v>
      </c>
      <c r="BK732" t="str">
        <f>"CAUCA"</f>
        <v>CAUCA</v>
      </c>
      <c r="BL732" t="str">
        <f>"VILLARICA"</f>
        <v>VILLARICA</v>
      </c>
      <c r="BM732" t="str">
        <f t="shared" si="856"/>
        <v>COLOMBIA</v>
      </c>
      <c r="BN732" t="str">
        <f>"CAUCA"</f>
        <v>CAUCA</v>
      </c>
      <c r="BO732" t="str">
        <f>"VILLARICA"</f>
        <v>VILLARICA</v>
      </c>
      <c r="BP732" t="str">
        <f>"VALLE"</f>
        <v>VALLE</v>
      </c>
      <c r="BQ732" t="str">
        <f>"CALI"</f>
        <v>CALI</v>
      </c>
    </row>
    <row r="733" spans="1:69" x14ac:dyDescent="0.25">
      <c r="A733" t="str">
        <f>"7279065"</f>
        <v>7279065</v>
      </c>
      <c r="B733" t="str">
        <f t="shared" si="840"/>
        <v>459</v>
      </c>
      <c r="C733" t="str">
        <f>"16/04/2020 12:00:00 a. m."</f>
        <v>16/04/2020 12:00:00 a. m.</v>
      </c>
      <c r="D733" t="str">
        <f>"07"</f>
        <v>07</v>
      </c>
      <c r="E733" t="str">
        <f t="shared" si="841"/>
        <v>2020</v>
      </c>
      <c r="F733" t="str">
        <f>"1100105681"</f>
        <v>1100105681</v>
      </c>
      <c r="G733" t="str">
        <f t="shared" si="823"/>
        <v>01</v>
      </c>
      <c r="H733" t="str">
        <f>"10"</f>
        <v>10</v>
      </c>
      <c r="I733" t="str">
        <f t="shared" si="868"/>
        <v>1</v>
      </c>
      <c r="J733" t="str">
        <f>"M"</f>
        <v>M</v>
      </c>
      <c r="K733" t="str">
        <f t="shared" si="853"/>
        <v>170</v>
      </c>
      <c r="L733" t="str">
        <f>"18"</f>
        <v>18</v>
      </c>
      <c r="M733" t="str">
        <f>"479"</f>
        <v>479</v>
      </c>
      <c r="N733" t="str">
        <f t="shared" si="871"/>
        <v>1</v>
      </c>
      <c r="O733" t="str">
        <f t="shared" ref="O733:O738" si="872">"9997"</f>
        <v>9997</v>
      </c>
      <c r="P733" t="str">
        <f>"C"</f>
        <v>C</v>
      </c>
      <c r="Q733" t="str">
        <f>"EPS005"</f>
        <v>EPS005</v>
      </c>
      <c r="R733" t="str">
        <f t="shared" si="834"/>
        <v>6</v>
      </c>
      <c r="S733" t="str">
        <f>""</f>
        <v/>
      </c>
      <c r="T733" t="str">
        <f t="shared" si="835"/>
        <v xml:space="preserve">                                                                                                    </v>
      </c>
      <c r="U733" t="str">
        <f>"2         "</f>
        <v xml:space="preserve">2         </v>
      </c>
      <c r="V733" t="str">
        <f t="shared" si="818"/>
        <v>2</v>
      </c>
      <c r="W733" t="str">
        <f t="shared" si="837"/>
        <v>2</v>
      </c>
      <c r="X733" t="str">
        <f t="shared" si="870"/>
        <v>2</v>
      </c>
      <c r="Y733" t="str">
        <f t="shared" si="862"/>
        <v>2</v>
      </c>
      <c r="Z733" t="str">
        <f t="shared" si="862"/>
        <v>2</v>
      </c>
      <c r="AA733" t="str">
        <f t="shared" si="842"/>
        <v xml:space="preserve">          </v>
      </c>
      <c r="AB733" t="str">
        <f t="shared" si="830"/>
        <v>2</v>
      </c>
      <c r="AC733" t="str">
        <f t="shared" si="832"/>
        <v>2</v>
      </c>
      <c r="AD733" t="str">
        <f t="shared" si="864"/>
        <v>2</v>
      </c>
      <c r="AE733" t="str">
        <f t="shared" si="864"/>
        <v>2</v>
      </c>
      <c r="AF733" t="str">
        <f t="shared" si="864"/>
        <v>2</v>
      </c>
      <c r="AG733" t="str">
        <f t="shared" si="864"/>
        <v>2</v>
      </c>
      <c r="AH733" t="str">
        <f t="shared" si="838"/>
        <v>1</v>
      </c>
      <c r="AI733" t="str">
        <f t="shared" si="861"/>
        <v xml:space="preserve">1         </v>
      </c>
      <c r="AJ733" t="str">
        <f t="shared" si="854"/>
        <v>170</v>
      </c>
      <c r="AK733" t="str">
        <f>"18"</f>
        <v>18</v>
      </c>
      <c r="AL733" t="str">
        <f>"479"</f>
        <v>479</v>
      </c>
      <c r="AM733" t="str">
        <f>"11"</f>
        <v>11</v>
      </c>
      <c r="AN733" t="str">
        <f>"11001"</f>
        <v>11001</v>
      </c>
      <c r="AO733" t="str">
        <f>"11/02/2020 12:00:00 a. m."</f>
        <v>11/02/2020 12:00:00 a. m.</v>
      </c>
      <c r="AP733" t="str">
        <f>"20/01/2020 12:00:00 a. m."</f>
        <v>20/01/2020 12:00:00 a. m.</v>
      </c>
      <c r="AQ733" t="str">
        <f>"3"</f>
        <v>3</v>
      </c>
      <c r="AR733" t="str">
        <f t="shared" si="869"/>
        <v>1</v>
      </c>
      <c r="AS733" t="str">
        <f>"11/02/2020 12:00:00 a. m."</f>
        <v>11/02/2020 12:00:00 a. m.</v>
      </c>
      <c r="AT733" t="str">
        <f t="shared" si="849"/>
        <v>1</v>
      </c>
      <c r="AU733" t="str">
        <f>""</f>
        <v/>
      </c>
      <c r="AV733" t="str">
        <f>"7"</f>
        <v>7</v>
      </c>
      <c r="AW733" t="str">
        <f>"21/06/2009 12:00:00 a. m."</f>
        <v>21/06/2009 12:00:00 a. m.</v>
      </c>
      <c r="AX733" t="str">
        <f>""</f>
        <v/>
      </c>
      <c r="AY733" t="str">
        <f t="shared" si="844"/>
        <v>30/04/2021 12:00:00 a. m.</v>
      </c>
      <c r="AZ733" t="str">
        <f>"18/08/2020 12:00:00 a. m."</f>
        <v>18/08/2020 12:00:00 a. m.</v>
      </c>
      <c r="BA733" t="str">
        <f>""</f>
        <v/>
      </c>
      <c r="BB733" t="str">
        <f>""</f>
        <v/>
      </c>
      <c r="BC733" t="str">
        <f>""</f>
        <v/>
      </c>
      <c r="BD733" t="str">
        <f t="shared" si="867"/>
        <v>1</v>
      </c>
      <c r="BE733" t="str">
        <f t="shared" si="867"/>
        <v>1</v>
      </c>
      <c r="BF733" t="str">
        <f t="shared" si="845"/>
        <v xml:space="preserve">3         </v>
      </c>
      <c r="BG733" t="str">
        <f t="shared" si="846"/>
        <v>Confirmado por laboratorio</v>
      </c>
      <c r="BH733" t="str">
        <f>"FUNDACION HOSPITAL DE LA MISERICORDIA"</f>
        <v>FUNDACION HOSPITAL DE LA MISERICORDIA</v>
      </c>
      <c r="BI733" t="str">
        <f t="shared" si="855"/>
        <v>COLOMBIA</v>
      </c>
      <c r="BJ733" t="str">
        <f t="shared" si="847"/>
        <v>CANCER INFANTIL</v>
      </c>
      <c r="BK733" t="str">
        <f>"CAQUETA"</f>
        <v>CAQUETA</v>
      </c>
      <c r="BL733" t="str">
        <f>"MORELIA"</f>
        <v>MORELIA</v>
      </c>
      <c r="BM733" t="str">
        <f t="shared" si="856"/>
        <v>COLOMBIA</v>
      </c>
      <c r="BN733" t="str">
        <f>"CAQUETA"</f>
        <v>CAQUETA</v>
      </c>
      <c r="BO733" t="str">
        <f>"MORELIA"</f>
        <v>MORELIA</v>
      </c>
      <c r="BP733" t="str">
        <f>"BOGOTA"</f>
        <v>BOGOTA</v>
      </c>
      <c r="BQ733" t="str">
        <f>"BOGOTA"</f>
        <v>BOGOTA</v>
      </c>
    </row>
    <row r="734" spans="1:69" x14ac:dyDescent="0.25">
      <c r="A734" t="str">
        <f>"7278758"</f>
        <v>7278758</v>
      </c>
      <c r="B734" t="str">
        <f t="shared" si="840"/>
        <v>459</v>
      </c>
      <c r="C734" t="str">
        <f>"25/04/2020 12:00:00 a. m."</f>
        <v>25/04/2020 12:00:00 a. m.</v>
      </c>
      <c r="D734" t="str">
        <f>"14"</f>
        <v>14</v>
      </c>
      <c r="E734" t="str">
        <f t="shared" si="841"/>
        <v>2020</v>
      </c>
      <c r="F734" t="str">
        <f>"1100105681"</f>
        <v>1100105681</v>
      </c>
      <c r="G734" t="str">
        <f t="shared" si="823"/>
        <v>01</v>
      </c>
      <c r="H734" t="str">
        <f>"7"</f>
        <v>7</v>
      </c>
      <c r="I734" t="str">
        <f t="shared" si="868"/>
        <v>1</v>
      </c>
      <c r="J734" t="str">
        <f>"M"</f>
        <v>M</v>
      </c>
      <c r="K734" t="str">
        <f t="shared" si="853"/>
        <v>170</v>
      </c>
      <c r="L734" t="str">
        <f>"25"</f>
        <v>25</v>
      </c>
      <c r="M734" t="str">
        <f>"754"</f>
        <v>754</v>
      </c>
      <c r="N734" t="str">
        <f t="shared" si="871"/>
        <v>1</v>
      </c>
      <c r="O734" t="str">
        <f t="shared" si="872"/>
        <v>9997</v>
      </c>
      <c r="P734" t="str">
        <f>"S"</f>
        <v>S</v>
      </c>
      <c r="Q734" t="str">
        <f>"ESS133"</f>
        <v>ESS133</v>
      </c>
      <c r="R734" t="str">
        <f t="shared" ref="R734:R765" si="873">"6"</f>
        <v>6</v>
      </c>
      <c r="S734" t="str">
        <f>""</f>
        <v/>
      </c>
      <c r="T734" t="str">
        <f t="shared" ref="T734:T765" si="874">"                                                                                                    "</f>
        <v xml:space="preserve">                                                                                                    </v>
      </c>
      <c r="U734" t="str">
        <f>"2         "</f>
        <v xml:space="preserve">2         </v>
      </c>
      <c r="V734" t="str">
        <f t="shared" si="818"/>
        <v>2</v>
      </c>
      <c r="W734" t="str">
        <f t="shared" si="837"/>
        <v>2</v>
      </c>
      <c r="X734" t="str">
        <f t="shared" si="870"/>
        <v>2</v>
      </c>
      <c r="Y734" t="str">
        <f t="shared" si="862"/>
        <v>2</v>
      </c>
      <c r="Z734" t="str">
        <f t="shared" si="862"/>
        <v>2</v>
      </c>
      <c r="AA734" t="str">
        <f t="shared" si="842"/>
        <v xml:space="preserve">          </v>
      </c>
      <c r="AB734" t="str">
        <f t="shared" si="830"/>
        <v>2</v>
      </c>
      <c r="AC734" t="str">
        <f t="shared" si="832"/>
        <v>2</v>
      </c>
      <c r="AD734" t="str">
        <f t="shared" si="864"/>
        <v>2</v>
      </c>
      <c r="AE734" t="str">
        <f t="shared" si="864"/>
        <v>2</v>
      </c>
      <c r="AF734" t="str">
        <f t="shared" si="864"/>
        <v>2</v>
      </c>
      <c r="AG734" t="str">
        <f t="shared" si="864"/>
        <v>2</v>
      </c>
      <c r="AH734" t="str">
        <f t="shared" si="838"/>
        <v>1</v>
      </c>
      <c r="AI734" t="str">
        <f t="shared" si="861"/>
        <v xml:space="preserve">1         </v>
      </c>
      <c r="AJ734" t="str">
        <f t="shared" si="854"/>
        <v>170</v>
      </c>
      <c r="AK734" t="str">
        <f>"25"</f>
        <v>25</v>
      </c>
      <c r="AL734" t="str">
        <f>"754"</f>
        <v>754</v>
      </c>
      <c r="AM734" t="str">
        <f>"11"</f>
        <v>11</v>
      </c>
      <c r="AN734" t="str">
        <f>"11001"</f>
        <v>11001</v>
      </c>
      <c r="AO734" t="str">
        <f>"3/04/2020 12:00:00 a. m."</f>
        <v>3/04/2020 12:00:00 a. m.</v>
      </c>
      <c r="AP734" t="str">
        <f>"1/11/2019 12:00:00 a. m."</f>
        <v>1/11/2019 12:00:00 a. m.</v>
      </c>
      <c r="AQ734" t="str">
        <f>"3"</f>
        <v>3</v>
      </c>
      <c r="AR734" t="str">
        <f t="shared" si="869"/>
        <v>1</v>
      </c>
      <c r="AS734" t="str">
        <f>"3/04/2020 12:00:00 a. m."</f>
        <v>3/04/2020 12:00:00 a. m.</v>
      </c>
      <c r="AT734" t="str">
        <f>"2"</f>
        <v>2</v>
      </c>
      <c r="AU734" t="str">
        <f>"13/08/2020 12:00:00 a. m."</f>
        <v>13/08/2020 12:00:00 a. m.</v>
      </c>
      <c r="AV734" t="str">
        <f>"7"</f>
        <v>7</v>
      </c>
      <c r="AW734" t="str">
        <f>"26/01/2013 12:00:00 a. m."</f>
        <v>26/01/2013 12:00:00 a. m.</v>
      </c>
      <c r="AX734" t="str">
        <f>"C710"</f>
        <v>C710</v>
      </c>
      <c r="AY734" t="str">
        <f t="shared" si="844"/>
        <v>30/04/2021 12:00:00 a. m.</v>
      </c>
      <c r="AZ734" t="str">
        <f>"2/02/2021 12:00:00 a. m."</f>
        <v>2/02/2021 12:00:00 a. m.</v>
      </c>
      <c r="BA734" t="str">
        <f>""</f>
        <v/>
      </c>
      <c r="BB734" t="str">
        <f>""</f>
        <v/>
      </c>
      <c r="BC734" t="str">
        <f>""</f>
        <v/>
      </c>
      <c r="BD734" t="str">
        <f t="shared" si="867"/>
        <v>1</v>
      </c>
      <c r="BE734" t="str">
        <f t="shared" si="867"/>
        <v>1</v>
      </c>
      <c r="BF734" t="str">
        <f t="shared" si="845"/>
        <v xml:space="preserve">3         </v>
      </c>
      <c r="BG734" t="str">
        <f t="shared" si="846"/>
        <v>Confirmado por laboratorio</v>
      </c>
      <c r="BH734" t="str">
        <f>"FUNDACION HOSPITAL DE LA MISERICORDIA"</f>
        <v>FUNDACION HOSPITAL DE LA MISERICORDIA</v>
      </c>
      <c r="BI734" t="str">
        <f t="shared" si="855"/>
        <v>COLOMBIA</v>
      </c>
      <c r="BJ734" t="str">
        <f t="shared" si="847"/>
        <v>CANCER INFANTIL</v>
      </c>
      <c r="BK734" t="str">
        <f>"CUNDINAMARCA"</f>
        <v>CUNDINAMARCA</v>
      </c>
      <c r="BL734" t="str">
        <f>"SOACHA"</f>
        <v>SOACHA</v>
      </c>
      <c r="BM734" t="str">
        <f t="shared" si="856"/>
        <v>COLOMBIA</v>
      </c>
      <c r="BN734" t="str">
        <f>"CUNDINAMARCA"</f>
        <v>CUNDINAMARCA</v>
      </c>
      <c r="BO734" t="str">
        <f>"SOACHA"</f>
        <v>SOACHA</v>
      </c>
      <c r="BP734" t="str">
        <f>"BOGOTA"</f>
        <v>BOGOTA</v>
      </c>
      <c r="BQ734" t="str">
        <f>"BOGOTA"</f>
        <v>BOGOTA</v>
      </c>
    </row>
    <row r="735" spans="1:69" x14ac:dyDescent="0.25">
      <c r="A735" t="str">
        <f>"7278723"</f>
        <v>7278723</v>
      </c>
      <c r="B735" t="str">
        <f t="shared" si="840"/>
        <v>459</v>
      </c>
      <c r="C735" t="str">
        <f>"29/01/2020 12:00:00 a. m."</f>
        <v>29/01/2020 12:00:00 a. m.</v>
      </c>
      <c r="D735" t="str">
        <f>"05"</f>
        <v>05</v>
      </c>
      <c r="E735" t="str">
        <f t="shared" si="841"/>
        <v>2020</v>
      </c>
      <c r="F735" t="str">
        <f>"0561501376"</f>
        <v>0561501376</v>
      </c>
      <c r="G735" t="str">
        <f t="shared" si="823"/>
        <v>01</v>
      </c>
      <c r="H735" t="str">
        <f>"12"</f>
        <v>12</v>
      </c>
      <c r="I735" t="str">
        <f t="shared" si="868"/>
        <v>1</v>
      </c>
      <c r="J735" t="str">
        <f>"F"</f>
        <v>F</v>
      </c>
      <c r="K735" t="str">
        <f t="shared" si="853"/>
        <v>170</v>
      </c>
      <c r="L735" t="str">
        <f>"05"</f>
        <v>05</v>
      </c>
      <c r="M735" t="str">
        <f>"667"</f>
        <v>667</v>
      </c>
      <c r="N735" t="str">
        <f t="shared" si="871"/>
        <v>1</v>
      </c>
      <c r="O735" t="str">
        <f t="shared" si="872"/>
        <v>9997</v>
      </c>
      <c r="P735" t="str">
        <f>"C"</f>
        <v>C</v>
      </c>
      <c r="Q735" t="str">
        <f>"EPS041"</f>
        <v>EPS041</v>
      </c>
      <c r="R735" t="str">
        <f t="shared" si="873"/>
        <v>6</v>
      </c>
      <c r="S735" t="str">
        <f>""</f>
        <v/>
      </c>
      <c r="T735" t="str">
        <f t="shared" si="874"/>
        <v xml:space="preserve">                                                                                                    </v>
      </c>
      <c r="U735" t="str">
        <f>"          "</f>
        <v xml:space="preserve">          </v>
      </c>
      <c r="V735" t="str">
        <f t="shared" si="818"/>
        <v>2</v>
      </c>
      <c r="W735" t="str">
        <f t="shared" ref="W735:W766" si="875">"2"</f>
        <v>2</v>
      </c>
      <c r="X735" t="str">
        <f t="shared" si="870"/>
        <v>2</v>
      </c>
      <c r="Y735" t="str">
        <f t="shared" si="862"/>
        <v>2</v>
      </c>
      <c r="Z735" t="str">
        <f t="shared" si="862"/>
        <v>2</v>
      </c>
      <c r="AA735" t="str">
        <f t="shared" si="842"/>
        <v xml:space="preserve">          </v>
      </c>
      <c r="AB735" t="str">
        <f t="shared" si="830"/>
        <v>2</v>
      </c>
      <c r="AC735" t="str">
        <f t="shared" si="832"/>
        <v>2</v>
      </c>
      <c r="AD735" t="str">
        <f t="shared" si="864"/>
        <v>2</v>
      </c>
      <c r="AE735" t="str">
        <f t="shared" si="864"/>
        <v>2</v>
      </c>
      <c r="AF735" t="str">
        <f t="shared" si="864"/>
        <v>2</v>
      </c>
      <c r="AG735" t="str">
        <f t="shared" si="864"/>
        <v>2</v>
      </c>
      <c r="AH735" t="str">
        <f t="shared" ref="AH735:AH766" si="876">"1"</f>
        <v>1</v>
      </c>
      <c r="AI735" t="str">
        <f t="shared" si="861"/>
        <v xml:space="preserve">1         </v>
      </c>
      <c r="AJ735" t="str">
        <f t="shared" si="854"/>
        <v>170</v>
      </c>
      <c r="AK735" t="str">
        <f>"05"</f>
        <v>05</v>
      </c>
      <c r="AL735" t="str">
        <f>"667"</f>
        <v>667</v>
      </c>
      <c r="AM735" t="str">
        <f>"05"</f>
        <v>05</v>
      </c>
      <c r="AN735" t="str">
        <f>"05615"</f>
        <v>05615</v>
      </c>
      <c r="AO735" t="str">
        <f>"26/01/2020 12:00:00 a. m."</f>
        <v>26/01/2020 12:00:00 a. m.</v>
      </c>
      <c r="AP735" t="str">
        <f>"15/01/2020 12:00:00 a. m."</f>
        <v>15/01/2020 12:00:00 a. m.</v>
      </c>
      <c r="AQ735" t="str">
        <f>"2"</f>
        <v>2</v>
      </c>
      <c r="AR735" t="str">
        <f t="shared" si="869"/>
        <v>1</v>
      </c>
      <c r="AS735" t="str">
        <f>"26/01/2020 12:00:00 a. m."</f>
        <v>26/01/2020 12:00:00 a. m.</v>
      </c>
      <c r="AT735" t="str">
        <f>"1"</f>
        <v>1</v>
      </c>
      <c r="AU735" t="str">
        <f>""</f>
        <v/>
      </c>
      <c r="AV735" t="str">
        <f>"3"</f>
        <v>3</v>
      </c>
      <c r="AW735" t="str">
        <f>"14/09/2007 12:00:00 a. m."</f>
        <v>14/09/2007 12:00:00 a. m.</v>
      </c>
      <c r="AX735" t="str">
        <f>""</f>
        <v/>
      </c>
      <c r="AY735" t="str">
        <f t="shared" si="844"/>
        <v>30/04/2021 12:00:00 a. m.</v>
      </c>
      <c r="AZ735" t="str">
        <f>"22/04/2020 12:00:00 a. m."</f>
        <v>22/04/2020 12:00:00 a. m.</v>
      </c>
      <c r="BA735" t="str">
        <f>""</f>
        <v/>
      </c>
      <c r="BB735" t="str">
        <f>""</f>
        <v/>
      </c>
      <c r="BC735" t="str">
        <f>""</f>
        <v/>
      </c>
      <c r="BD735" t="str">
        <f t="shared" si="867"/>
        <v>1</v>
      </c>
      <c r="BE735" t="str">
        <f t="shared" si="867"/>
        <v>1</v>
      </c>
      <c r="BF735" t="str">
        <f t="shared" si="845"/>
        <v xml:space="preserve">3         </v>
      </c>
      <c r="BG735" t="str">
        <f t="shared" si="846"/>
        <v>Confirmado por laboratorio</v>
      </c>
      <c r="BH735" t="str">
        <f>"ESE HOSPITAL SAN JUAN DE DIOS DE RIONEGRO"</f>
        <v>ESE HOSPITAL SAN JUAN DE DIOS DE RIONEGRO</v>
      </c>
      <c r="BI735" t="str">
        <f t="shared" si="855"/>
        <v>COLOMBIA</v>
      </c>
      <c r="BJ735" t="str">
        <f t="shared" si="847"/>
        <v>CANCER INFANTIL</v>
      </c>
      <c r="BK735" t="str">
        <f>"ANTIOQUIA"</f>
        <v>ANTIOQUIA</v>
      </c>
      <c r="BL735" t="str">
        <f>"SAN RAFAEL"</f>
        <v>SAN RAFAEL</v>
      </c>
      <c r="BM735" t="str">
        <f t="shared" si="856"/>
        <v>COLOMBIA</v>
      </c>
      <c r="BN735" t="str">
        <f>"ANTIOQUIA"</f>
        <v>ANTIOQUIA</v>
      </c>
      <c r="BO735" t="str">
        <f>"SAN RAFAEL"</f>
        <v>SAN RAFAEL</v>
      </c>
      <c r="BP735" t="str">
        <f>"ANTIOQUIA"</f>
        <v>ANTIOQUIA</v>
      </c>
      <c r="BQ735" t="str">
        <f>"RIONEGRO"</f>
        <v>RIONEGRO</v>
      </c>
    </row>
    <row r="736" spans="1:69" x14ac:dyDescent="0.25">
      <c r="A736" t="str">
        <f>"7278704"</f>
        <v>7278704</v>
      </c>
      <c r="B736" t="str">
        <f t="shared" si="840"/>
        <v>459</v>
      </c>
      <c r="C736" t="str">
        <f>"23/01/2020 12:00:00 a. m."</f>
        <v>23/01/2020 12:00:00 a. m.</v>
      </c>
      <c r="D736" t="str">
        <f>"04"</f>
        <v>04</v>
      </c>
      <c r="E736" t="str">
        <f t="shared" si="841"/>
        <v>2020</v>
      </c>
      <c r="F736" t="str">
        <f>"1100130289"</f>
        <v>1100130289</v>
      </c>
      <c r="G736" t="str">
        <f t="shared" si="823"/>
        <v>01</v>
      </c>
      <c r="H736" t="str">
        <f>"10"</f>
        <v>10</v>
      </c>
      <c r="I736" t="str">
        <f t="shared" si="868"/>
        <v>1</v>
      </c>
      <c r="J736" t="str">
        <f>"M"</f>
        <v>M</v>
      </c>
      <c r="K736" t="str">
        <f t="shared" si="853"/>
        <v>170</v>
      </c>
      <c r="L736" t="str">
        <f>"25"</f>
        <v>25</v>
      </c>
      <c r="M736" t="str">
        <f>"754"</f>
        <v>754</v>
      </c>
      <c r="N736" t="str">
        <f t="shared" si="871"/>
        <v>1</v>
      </c>
      <c r="O736" t="str">
        <f t="shared" si="872"/>
        <v>9997</v>
      </c>
      <c r="P736" t="str">
        <f>"S"</f>
        <v>S</v>
      </c>
      <c r="Q736" t="str">
        <f>"ESSC91"</f>
        <v>ESSC91</v>
      </c>
      <c r="R736" t="str">
        <f t="shared" si="873"/>
        <v>6</v>
      </c>
      <c r="S736" t="str">
        <f>""</f>
        <v/>
      </c>
      <c r="T736" t="str">
        <f t="shared" si="874"/>
        <v xml:space="preserve">                                                                                                    </v>
      </c>
      <c r="U736" t="str">
        <f>"2         "</f>
        <v xml:space="preserve">2         </v>
      </c>
      <c r="V736" t="str">
        <f t="shared" si="818"/>
        <v>2</v>
      </c>
      <c r="W736" t="str">
        <f t="shared" si="875"/>
        <v>2</v>
      </c>
      <c r="X736" t="str">
        <f t="shared" si="870"/>
        <v>2</v>
      </c>
      <c r="Y736" t="str">
        <f t="shared" si="862"/>
        <v>2</v>
      </c>
      <c r="Z736" t="str">
        <f t="shared" si="862"/>
        <v>2</v>
      </c>
      <c r="AA736" t="str">
        <f t="shared" si="842"/>
        <v xml:space="preserve">          </v>
      </c>
      <c r="AB736" t="str">
        <f t="shared" si="830"/>
        <v>2</v>
      </c>
      <c r="AC736" t="str">
        <f t="shared" si="832"/>
        <v>2</v>
      </c>
      <c r="AD736" t="str">
        <f t="shared" si="864"/>
        <v>2</v>
      </c>
      <c r="AE736" t="str">
        <f t="shared" si="864"/>
        <v>2</v>
      </c>
      <c r="AF736" t="str">
        <f t="shared" si="864"/>
        <v>2</v>
      </c>
      <c r="AG736" t="str">
        <f t="shared" si="864"/>
        <v>2</v>
      </c>
      <c r="AH736" t="str">
        <f t="shared" si="876"/>
        <v>1</v>
      </c>
      <c r="AI736" t="str">
        <f t="shared" si="861"/>
        <v xml:space="preserve">1         </v>
      </c>
      <c r="AJ736" t="str">
        <f t="shared" si="854"/>
        <v>170</v>
      </c>
      <c r="AK736" t="str">
        <f>"25"</f>
        <v>25</v>
      </c>
      <c r="AL736" t="str">
        <f>"754"</f>
        <v>754</v>
      </c>
      <c r="AM736" t="str">
        <f>"11"</f>
        <v>11</v>
      </c>
      <c r="AN736" t="str">
        <f>"11001"</f>
        <v>11001</v>
      </c>
      <c r="AO736" t="str">
        <f>"20/01/2020 12:00:00 a. m."</f>
        <v>20/01/2020 12:00:00 a. m.</v>
      </c>
      <c r="AP736" t="str">
        <f>"6/01/2020 12:00:00 a. m."</f>
        <v>6/01/2020 12:00:00 a. m.</v>
      </c>
      <c r="AQ736" t="str">
        <f>"2"</f>
        <v>2</v>
      </c>
      <c r="AR736" t="str">
        <f t="shared" si="869"/>
        <v>1</v>
      </c>
      <c r="AS736" t="str">
        <f>"20/01/2020 12:00:00 a. m."</f>
        <v>20/01/2020 12:00:00 a. m.</v>
      </c>
      <c r="AT736" t="str">
        <f>"1"</f>
        <v>1</v>
      </c>
      <c r="AU736" t="str">
        <f>""</f>
        <v/>
      </c>
      <c r="AV736" t="str">
        <f>"3"</f>
        <v>3</v>
      </c>
      <c r="AW736" t="str">
        <f>"14/07/2009 12:00:00 a. m."</f>
        <v>14/07/2009 12:00:00 a. m.</v>
      </c>
      <c r="AX736" t="str">
        <f>""</f>
        <v/>
      </c>
      <c r="AY736" t="str">
        <f t="shared" si="844"/>
        <v>30/04/2021 12:00:00 a. m.</v>
      </c>
      <c r="AZ736" t="str">
        <f>"21/02/2020 12:00:00 a. m."</f>
        <v>21/02/2020 12:00:00 a. m.</v>
      </c>
      <c r="BA736" t="str">
        <f>""</f>
        <v/>
      </c>
      <c r="BB736" t="str">
        <f>""</f>
        <v/>
      </c>
      <c r="BC736" t="str">
        <f>""</f>
        <v/>
      </c>
      <c r="BD736" t="str">
        <f t="shared" si="867"/>
        <v>1</v>
      </c>
      <c r="BE736" t="str">
        <f t="shared" si="867"/>
        <v>1</v>
      </c>
      <c r="BF736" t="str">
        <f t="shared" si="845"/>
        <v xml:space="preserve">3         </v>
      </c>
      <c r="BG736" t="str">
        <f t="shared" si="846"/>
        <v>Confirmado por laboratorio</v>
      </c>
      <c r="BH736" t="str">
        <f>"UPSS SANTA CLARA SUBRED INTEGRADA CENTRO ORIENTE"</f>
        <v>UPSS SANTA CLARA SUBRED INTEGRADA CENTRO ORIENTE</v>
      </c>
      <c r="BI736" t="str">
        <f t="shared" si="855"/>
        <v>COLOMBIA</v>
      </c>
      <c r="BJ736" t="str">
        <f t="shared" si="847"/>
        <v>CANCER INFANTIL</v>
      </c>
      <c r="BK736" t="str">
        <f>"CUNDINAMARCA"</f>
        <v>CUNDINAMARCA</v>
      </c>
      <c r="BL736" t="str">
        <f>"SOACHA"</f>
        <v>SOACHA</v>
      </c>
      <c r="BM736" t="str">
        <f t="shared" si="856"/>
        <v>COLOMBIA</v>
      </c>
      <c r="BN736" t="str">
        <f>"CUNDINAMARCA"</f>
        <v>CUNDINAMARCA</v>
      </c>
      <c r="BO736" t="str">
        <f>"SOACHA"</f>
        <v>SOACHA</v>
      </c>
      <c r="BP736" t="str">
        <f>"BOGOTA"</f>
        <v>BOGOTA</v>
      </c>
      <c r="BQ736" t="str">
        <f>"BOGOTA"</f>
        <v>BOGOTA</v>
      </c>
    </row>
    <row r="737" spans="1:69" x14ac:dyDescent="0.25">
      <c r="A737" t="str">
        <f>"7279094"</f>
        <v>7279094</v>
      </c>
      <c r="B737" t="str">
        <f t="shared" si="840"/>
        <v>459</v>
      </c>
      <c r="C737" t="str">
        <f>"10/12/2020 12:00:00 a. m."</f>
        <v>10/12/2020 12:00:00 a. m.</v>
      </c>
      <c r="D737" t="str">
        <f>"50"</f>
        <v>50</v>
      </c>
      <c r="E737" t="str">
        <f t="shared" si="841"/>
        <v>2020</v>
      </c>
      <c r="F737" t="str">
        <f>"1100108171"</f>
        <v>1100108171</v>
      </c>
      <c r="G737" t="str">
        <f>"02"</f>
        <v>02</v>
      </c>
      <c r="H737" t="str">
        <f>"11"</f>
        <v>11</v>
      </c>
      <c r="I737" t="str">
        <f t="shared" si="868"/>
        <v>1</v>
      </c>
      <c r="J737" t="str">
        <f>"M"</f>
        <v>M</v>
      </c>
      <c r="K737" t="str">
        <f t="shared" si="853"/>
        <v>170</v>
      </c>
      <c r="L737" t="str">
        <f>"25"</f>
        <v>25</v>
      </c>
      <c r="M737" t="str">
        <f>"473"</f>
        <v>473</v>
      </c>
      <c r="N737" t="str">
        <f t="shared" si="871"/>
        <v>1</v>
      </c>
      <c r="O737" t="str">
        <f t="shared" si="872"/>
        <v>9997</v>
      </c>
      <c r="P737" t="str">
        <f>"C"</f>
        <v>C</v>
      </c>
      <c r="Q737" t="str">
        <f>"EPS010"</f>
        <v>EPS010</v>
      </c>
      <c r="R737" t="str">
        <f t="shared" si="873"/>
        <v>6</v>
      </c>
      <c r="S737" t="str">
        <f>""</f>
        <v/>
      </c>
      <c r="T737" t="str">
        <f t="shared" si="874"/>
        <v xml:space="preserve">                                                                                                    </v>
      </c>
      <c r="U737" t="str">
        <f>"1         "</f>
        <v xml:space="preserve">1         </v>
      </c>
      <c r="V737" t="str">
        <f t="shared" si="818"/>
        <v>2</v>
      </c>
      <c r="W737" t="str">
        <f t="shared" si="875"/>
        <v>2</v>
      </c>
      <c r="X737" t="str">
        <f t="shared" si="870"/>
        <v>2</v>
      </c>
      <c r="Y737" t="str">
        <f t="shared" si="862"/>
        <v>2</v>
      </c>
      <c r="Z737" t="str">
        <f t="shared" si="862"/>
        <v>2</v>
      </c>
      <c r="AA737" t="str">
        <f t="shared" si="842"/>
        <v xml:space="preserve">          </v>
      </c>
      <c r="AB737" t="str">
        <f t="shared" si="830"/>
        <v>2</v>
      </c>
      <c r="AC737" t="str">
        <f t="shared" si="832"/>
        <v>2</v>
      </c>
      <c r="AD737" t="str">
        <f t="shared" si="864"/>
        <v>2</v>
      </c>
      <c r="AE737" t="str">
        <f t="shared" si="864"/>
        <v>2</v>
      </c>
      <c r="AF737" t="str">
        <f t="shared" si="864"/>
        <v>2</v>
      </c>
      <c r="AG737" t="str">
        <f t="shared" si="864"/>
        <v>2</v>
      </c>
      <c r="AH737" t="str">
        <f t="shared" si="876"/>
        <v>1</v>
      </c>
      <c r="AI737" t="str">
        <f t="shared" si="861"/>
        <v xml:space="preserve">1         </v>
      </c>
      <c r="AJ737" t="str">
        <f t="shared" si="854"/>
        <v>170</v>
      </c>
      <c r="AK737" t="str">
        <f>"25"</f>
        <v>25</v>
      </c>
      <c r="AL737" t="str">
        <f>"473"</f>
        <v>473</v>
      </c>
      <c r="AM737" t="str">
        <f>"11"</f>
        <v>11</v>
      </c>
      <c r="AN737" t="str">
        <f>"11001"</f>
        <v>11001</v>
      </c>
      <c r="AO737" t="str">
        <f>"10/12/2020 12:00:00 a. m."</f>
        <v>10/12/2020 12:00:00 a. m.</v>
      </c>
      <c r="AP737" t="str">
        <f>"12/11/2020 12:00:00 a. m."</f>
        <v>12/11/2020 12:00:00 a. m.</v>
      </c>
      <c r="AQ737" t="str">
        <f>"2"</f>
        <v>2</v>
      </c>
      <c r="AR737" t="str">
        <f>"2"</f>
        <v>2</v>
      </c>
      <c r="AS737" t="str">
        <f>""</f>
        <v/>
      </c>
      <c r="AT737" t="str">
        <f>"1"</f>
        <v>1</v>
      </c>
      <c r="AU737" t="str">
        <f>""</f>
        <v/>
      </c>
      <c r="AV737" t="str">
        <f>"3"</f>
        <v>3</v>
      </c>
      <c r="AW737" t="str">
        <f>"14/09/2009 12:00:00 a. m."</f>
        <v>14/09/2009 12:00:00 a. m.</v>
      </c>
      <c r="AX737" t="str">
        <f>""</f>
        <v/>
      </c>
      <c r="AY737" t="str">
        <f t="shared" si="844"/>
        <v>30/04/2021 12:00:00 a. m.</v>
      </c>
      <c r="AZ737" t="str">
        <f>"26/12/2020 12:00:00 a. m."</f>
        <v>26/12/2020 12:00:00 a. m.</v>
      </c>
      <c r="BA737" t="str">
        <f>""</f>
        <v/>
      </c>
      <c r="BB737" t="str">
        <f>""</f>
        <v/>
      </c>
      <c r="BC737" t="str">
        <f>""</f>
        <v/>
      </c>
      <c r="BD737" t="str">
        <f t="shared" si="867"/>
        <v>1</v>
      </c>
      <c r="BE737" t="str">
        <f t="shared" si="867"/>
        <v>1</v>
      </c>
      <c r="BF737" t="str">
        <f t="shared" si="845"/>
        <v xml:space="preserve">3         </v>
      </c>
      <c r="BG737" t="str">
        <f t="shared" si="846"/>
        <v>Confirmado por laboratorio</v>
      </c>
      <c r="BH737" t="str">
        <f>"CLINICA INFANTIL COLSUBSIDIO"</f>
        <v>CLINICA INFANTIL COLSUBSIDIO</v>
      </c>
      <c r="BI737" t="str">
        <f t="shared" si="855"/>
        <v>COLOMBIA</v>
      </c>
      <c r="BJ737" t="str">
        <f t="shared" si="847"/>
        <v>CANCER INFANTIL</v>
      </c>
      <c r="BK737" t="str">
        <f>"CUNDINAMARCA"</f>
        <v>CUNDINAMARCA</v>
      </c>
      <c r="BL737" t="str">
        <f>"MOSQUERA"</f>
        <v>MOSQUERA</v>
      </c>
      <c r="BM737" t="str">
        <f t="shared" si="856"/>
        <v>COLOMBIA</v>
      </c>
      <c r="BN737" t="str">
        <f>"CUNDINAMARCA"</f>
        <v>CUNDINAMARCA</v>
      </c>
      <c r="BO737" t="str">
        <f>"MOSQUERA"</f>
        <v>MOSQUERA</v>
      </c>
      <c r="BP737" t="str">
        <f>"BOGOTA"</f>
        <v>BOGOTA</v>
      </c>
      <c r="BQ737" t="str">
        <f>"BOGOTA"</f>
        <v>BOGOTA</v>
      </c>
    </row>
    <row r="738" spans="1:69" x14ac:dyDescent="0.25">
      <c r="A738" t="str">
        <f>"7279152"</f>
        <v>7279152</v>
      </c>
      <c r="B738" t="str">
        <f t="shared" si="840"/>
        <v>459</v>
      </c>
      <c r="C738" t="str">
        <f>"21/10/2020 12:00:00 a. m."</f>
        <v>21/10/2020 12:00:00 a. m.</v>
      </c>
      <c r="D738" t="str">
        <f>"32"</f>
        <v>32</v>
      </c>
      <c r="E738" t="str">
        <f t="shared" si="841"/>
        <v>2020</v>
      </c>
      <c r="F738" t="str">
        <f>"0500102175"</f>
        <v>0500102175</v>
      </c>
      <c r="G738" t="str">
        <f>"01"</f>
        <v>01</v>
      </c>
      <c r="H738" t="str">
        <f>"9"</f>
        <v>9</v>
      </c>
      <c r="I738" t="str">
        <f t="shared" si="868"/>
        <v>1</v>
      </c>
      <c r="J738" t="str">
        <f>"M"</f>
        <v>M</v>
      </c>
      <c r="K738" t="str">
        <f t="shared" si="853"/>
        <v>170</v>
      </c>
      <c r="L738" t="str">
        <f>"23"</f>
        <v>23</v>
      </c>
      <c r="M738" t="str">
        <f>"660"</f>
        <v>660</v>
      </c>
      <c r="N738" t="str">
        <f t="shared" si="871"/>
        <v>1</v>
      </c>
      <c r="O738" t="str">
        <f t="shared" si="872"/>
        <v>9997</v>
      </c>
      <c r="P738" t="str">
        <f>"C"</f>
        <v>C</v>
      </c>
      <c r="Q738" t="str">
        <f>"EPS037"</f>
        <v>EPS037</v>
      </c>
      <c r="R738" t="str">
        <f t="shared" si="873"/>
        <v>6</v>
      </c>
      <c r="S738" t="str">
        <f>""</f>
        <v/>
      </c>
      <c r="T738" t="str">
        <f t="shared" si="874"/>
        <v xml:space="preserve">                                                                                                    </v>
      </c>
      <c r="U738" t="str">
        <f>"2         "</f>
        <v xml:space="preserve">2         </v>
      </c>
      <c r="V738" t="str">
        <f t="shared" si="818"/>
        <v>2</v>
      </c>
      <c r="W738" t="str">
        <f t="shared" si="875"/>
        <v>2</v>
      </c>
      <c r="X738" t="str">
        <f t="shared" si="870"/>
        <v>2</v>
      </c>
      <c r="Y738" t="str">
        <f t="shared" si="862"/>
        <v>2</v>
      </c>
      <c r="Z738" t="str">
        <f t="shared" si="862"/>
        <v>2</v>
      </c>
      <c r="AA738" t="str">
        <f t="shared" si="842"/>
        <v xml:space="preserve">          </v>
      </c>
      <c r="AB738" t="str">
        <f t="shared" si="830"/>
        <v>2</v>
      </c>
      <c r="AC738" t="str">
        <f t="shared" si="832"/>
        <v>2</v>
      </c>
      <c r="AD738" t="str">
        <f t="shared" si="864"/>
        <v>2</v>
      </c>
      <c r="AE738" t="str">
        <f t="shared" si="864"/>
        <v>2</v>
      </c>
      <c r="AF738" t="str">
        <f t="shared" si="864"/>
        <v>2</v>
      </c>
      <c r="AG738" t="str">
        <f t="shared" si="864"/>
        <v>2</v>
      </c>
      <c r="AH738" t="str">
        <f t="shared" si="876"/>
        <v>1</v>
      </c>
      <c r="AI738" t="str">
        <f t="shared" si="861"/>
        <v xml:space="preserve">1         </v>
      </c>
      <c r="AJ738" t="str">
        <f t="shared" si="854"/>
        <v>170</v>
      </c>
      <c r="AK738" t="str">
        <f>"23"</f>
        <v>23</v>
      </c>
      <c r="AL738" t="str">
        <f>"660"</f>
        <v>660</v>
      </c>
      <c r="AM738" t="str">
        <f>"05"</f>
        <v>05</v>
      </c>
      <c r="AN738" t="str">
        <f>"05001"</f>
        <v>05001</v>
      </c>
      <c r="AO738" t="str">
        <f>"7/08/2020 12:00:00 a. m."</f>
        <v>7/08/2020 12:00:00 a. m.</v>
      </c>
      <c r="AP738" t="str">
        <f>"15/07/2020 12:00:00 a. m."</f>
        <v>15/07/2020 12:00:00 a. m.</v>
      </c>
      <c r="AQ738" t="str">
        <f>"3"</f>
        <v>3</v>
      </c>
      <c r="AR738" t="str">
        <f>"1"</f>
        <v>1</v>
      </c>
      <c r="AS738" t="str">
        <f>"7/08/2020 12:00:00 a. m."</f>
        <v>7/08/2020 12:00:00 a. m.</v>
      </c>
      <c r="AT738" t="str">
        <f>"1"</f>
        <v>1</v>
      </c>
      <c r="AU738" t="str">
        <f>""</f>
        <v/>
      </c>
      <c r="AV738" t="str">
        <f>"0"</f>
        <v>0</v>
      </c>
      <c r="AW738" t="str">
        <f>"14/08/2011 12:00:00 a. m."</f>
        <v>14/08/2011 12:00:00 a. m.</v>
      </c>
      <c r="AX738" t="str">
        <f>""</f>
        <v/>
      </c>
      <c r="AY738" t="str">
        <f t="shared" si="844"/>
        <v>30/04/2021 12:00:00 a. m.</v>
      </c>
      <c r="AZ738" t="str">
        <f>"21/10/2020 12:00:00 a. m."</f>
        <v>21/10/2020 12:00:00 a. m.</v>
      </c>
      <c r="BA738" t="str">
        <f>""</f>
        <v/>
      </c>
      <c r="BB738" t="str">
        <f>""</f>
        <v/>
      </c>
      <c r="BC738" t="str">
        <f>""</f>
        <v/>
      </c>
      <c r="BD738" t="str">
        <f t="shared" si="867"/>
        <v>1</v>
      </c>
      <c r="BE738" t="str">
        <f t="shared" si="867"/>
        <v>1</v>
      </c>
      <c r="BF738" t="str">
        <f t="shared" si="845"/>
        <v xml:space="preserve">3         </v>
      </c>
      <c r="BG738" t="str">
        <f t="shared" si="846"/>
        <v>Confirmado por laboratorio</v>
      </c>
      <c r="BH738" t="str">
        <f>"FUNDACION HOSPITALARIA SAN VICENTE DE PAUL"</f>
        <v>FUNDACION HOSPITALARIA SAN VICENTE DE PAUL</v>
      </c>
      <c r="BI738" t="str">
        <f t="shared" si="855"/>
        <v>COLOMBIA</v>
      </c>
      <c r="BJ738" t="str">
        <f t="shared" si="847"/>
        <v>CANCER INFANTIL</v>
      </c>
      <c r="BK738" t="str">
        <f>"CORDOBA"</f>
        <v>CORDOBA</v>
      </c>
      <c r="BL738" t="str">
        <f>"SAHAGUN"</f>
        <v>SAHAGUN</v>
      </c>
      <c r="BM738" t="str">
        <f t="shared" si="856"/>
        <v>COLOMBIA</v>
      </c>
      <c r="BN738" t="str">
        <f>"CORDOBA"</f>
        <v>CORDOBA</v>
      </c>
      <c r="BO738" t="str">
        <f>"SAHAGUN"</f>
        <v>SAHAGUN</v>
      </c>
      <c r="BP738" t="str">
        <f>"ANTIOQUIA"</f>
        <v>ANTIOQUIA</v>
      </c>
      <c r="BQ738" t="str">
        <f>"MEDELLIN"</f>
        <v>MEDELLIN</v>
      </c>
    </row>
    <row r="739" spans="1:69" x14ac:dyDescent="0.25">
      <c r="A739" t="str">
        <f>"7279014"</f>
        <v>7279014</v>
      </c>
      <c r="B739" t="str">
        <f t="shared" si="840"/>
        <v>459</v>
      </c>
      <c r="C739" t="str">
        <f>"29/12/2020 12:00:00 a. m."</f>
        <v>29/12/2020 12:00:00 a. m.</v>
      </c>
      <c r="D739" t="str">
        <f>"47"</f>
        <v>47</v>
      </c>
      <c r="E739" t="str">
        <f t="shared" si="841"/>
        <v>2020</v>
      </c>
      <c r="F739" t="str">
        <f>"5200100283"</f>
        <v>5200100283</v>
      </c>
      <c r="G739" t="str">
        <f>"01"</f>
        <v>01</v>
      </c>
      <c r="H739" t="str">
        <f>"1"</f>
        <v>1</v>
      </c>
      <c r="I739" t="str">
        <f t="shared" si="868"/>
        <v>1</v>
      </c>
      <c r="J739" t="str">
        <f>"F"</f>
        <v>F</v>
      </c>
      <c r="K739" t="str">
        <f t="shared" si="853"/>
        <v>170</v>
      </c>
      <c r="L739" t="str">
        <f>"52"</f>
        <v>52</v>
      </c>
      <c r="M739" t="str">
        <f>"110"</f>
        <v>110</v>
      </c>
      <c r="N739" t="str">
        <f>"3"</f>
        <v>3</v>
      </c>
      <c r="O739" t="str">
        <f>"9999"</f>
        <v>9999</v>
      </c>
      <c r="P739" t="str">
        <f>"S"</f>
        <v>S</v>
      </c>
      <c r="Q739" t="str">
        <f>"ESS118"</f>
        <v>ESS118</v>
      </c>
      <c r="R739" t="str">
        <f t="shared" si="873"/>
        <v>6</v>
      </c>
      <c r="S739" t="str">
        <f>""</f>
        <v/>
      </c>
      <c r="T739" t="str">
        <f t="shared" si="874"/>
        <v xml:space="preserve">                                                                                                    </v>
      </c>
      <c r="U739" t="str">
        <f>"1         "</f>
        <v xml:space="preserve">1         </v>
      </c>
      <c r="V739" t="str">
        <f t="shared" si="818"/>
        <v>2</v>
      </c>
      <c r="W739" t="str">
        <f t="shared" si="875"/>
        <v>2</v>
      </c>
      <c r="X739" t="str">
        <f t="shared" si="870"/>
        <v>2</v>
      </c>
      <c r="Y739" t="str">
        <f t="shared" ref="Y739:Z758" si="877">"2"</f>
        <v>2</v>
      </c>
      <c r="Z739" t="str">
        <f t="shared" si="877"/>
        <v>2</v>
      </c>
      <c r="AA739" t="str">
        <f t="shared" si="842"/>
        <v xml:space="preserve">          </v>
      </c>
      <c r="AB739" t="str">
        <f t="shared" si="830"/>
        <v>2</v>
      </c>
      <c r="AC739" t="str">
        <f t="shared" si="832"/>
        <v>2</v>
      </c>
      <c r="AD739" t="str">
        <f t="shared" si="864"/>
        <v>2</v>
      </c>
      <c r="AE739" t="str">
        <f t="shared" si="864"/>
        <v>2</v>
      </c>
      <c r="AF739" t="str">
        <f t="shared" si="864"/>
        <v>2</v>
      </c>
      <c r="AG739" t="str">
        <f t="shared" si="864"/>
        <v>2</v>
      </c>
      <c r="AH739" t="str">
        <f t="shared" si="876"/>
        <v>1</v>
      </c>
      <c r="AI739" t="str">
        <f t="shared" si="861"/>
        <v xml:space="preserve">1         </v>
      </c>
      <c r="AJ739" t="str">
        <f t="shared" si="854"/>
        <v>170</v>
      </c>
      <c r="AK739" t="str">
        <f>"52"</f>
        <v>52</v>
      </c>
      <c r="AL739" t="str">
        <f>"110"</f>
        <v>110</v>
      </c>
      <c r="AM739" t="str">
        <f>"52"</f>
        <v>52</v>
      </c>
      <c r="AN739" t="str">
        <f>"52001"</f>
        <v>52001</v>
      </c>
      <c r="AO739" t="str">
        <f>"17/11/2020 12:00:00 a. m."</f>
        <v>17/11/2020 12:00:00 a. m.</v>
      </c>
      <c r="AP739" t="str">
        <f>"17/08/2020 12:00:00 a. m."</f>
        <v>17/08/2020 12:00:00 a. m.</v>
      </c>
      <c r="AQ739" t="str">
        <f>"2"</f>
        <v>2</v>
      </c>
      <c r="AR739" t="str">
        <f>"1"</f>
        <v>1</v>
      </c>
      <c r="AS739" t="str">
        <f>"17/11/2020 12:00:00 a. m."</f>
        <v>17/11/2020 12:00:00 a. m.</v>
      </c>
      <c r="AT739" t="str">
        <f>"2"</f>
        <v>2</v>
      </c>
      <c r="AU739" t="str">
        <f>"11/12/2020 12:00:00 a. m."</f>
        <v>11/12/2020 12:00:00 a. m.</v>
      </c>
      <c r="AV739" t="str">
        <f>"3"</f>
        <v>3</v>
      </c>
      <c r="AW739" t="str">
        <f>"2/12/2019 12:00:00 a. m."</f>
        <v>2/12/2019 12:00:00 a. m.</v>
      </c>
      <c r="AX739" t="str">
        <f>"9999"</f>
        <v>9999</v>
      </c>
      <c r="AY739" t="str">
        <f t="shared" si="844"/>
        <v>30/04/2021 12:00:00 a. m.</v>
      </c>
      <c r="AZ739" t="str">
        <f>"16/02/2021 12:00:00 a. m."</f>
        <v>16/02/2021 12:00:00 a. m.</v>
      </c>
      <c r="BA739" t="str">
        <f>""</f>
        <v/>
      </c>
      <c r="BB739" t="str">
        <f>""</f>
        <v/>
      </c>
      <c r="BC739" t="str">
        <f>""</f>
        <v/>
      </c>
      <c r="BD739" t="str">
        <f t="shared" si="867"/>
        <v>1</v>
      </c>
      <c r="BE739" t="str">
        <f t="shared" si="867"/>
        <v>1</v>
      </c>
      <c r="BF739" t="str">
        <f t="shared" si="845"/>
        <v xml:space="preserve">3         </v>
      </c>
      <c r="BG739" t="str">
        <f t="shared" si="846"/>
        <v>Confirmado por laboratorio</v>
      </c>
      <c r="BH739" t="str">
        <f>"HOSPITAL INFANTIL LOS ANGELES"</f>
        <v>HOSPITAL INFANTIL LOS ANGELES</v>
      </c>
      <c r="BI739" t="str">
        <f t="shared" si="855"/>
        <v>COLOMBIA</v>
      </c>
      <c r="BJ739" t="str">
        <f t="shared" si="847"/>
        <v>CANCER INFANTIL</v>
      </c>
      <c r="BK739" t="str">
        <f>"NARIÑO"</f>
        <v>NARIÑO</v>
      </c>
      <c r="BL739" t="str">
        <f>"BUESACO"</f>
        <v>BUESACO</v>
      </c>
      <c r="BM739" t="str">
        <f t="shared" si="856"/>
        <v>COLOMBIA</v>
      </c>
      <c r="BN739" t="str">
        <f>"NARIÑO"</f>
        <v>NARIÑO</v>
      </c>
      <c r="BO739" t="str">
        <f>"BUESACO"</f>
        <v>BUESACO</v>
      </c>
      <c r="BP739" t="str">
        <f>"NARIÑO"</f>
        <v>NARIÑO</v>
      </c>
      <c r="BQ739" t="str">
        <f>"PASTO"</f>
        <v>PASTO</v>
      </c>
    </row>
    <row r="740" spans="1:69" x14ac:dyDescent="0.25">
      <c r="A740" t="str">
        <f>"7285660"</f>
        <v>7285660</v>
      </c>
      <c r="B740" t="str">
        <f t="shared" si="840"/>
        <v>459</v>
      </c>
      <c r="C740" t="str">
        <f>"9/09/2020 12:00:00 a. m."</f>
        <v>9/09/2020 12:00:00 a. m.</v>
      </c>
      <c r="D740" t="str">
        <f>"31"</f>
        <v>31</v>
      </c>
      <c r="E740" t="str">
        <f t="shared" si="841"/>
        <v>2020</v>
      </c>
      <c r="F740" t="str">
        <f>"1100108258"</f>
        <v>1100108258</v>
      </c>
      <c r="G740" t="str">
        <f>"01"</f>
        <v>01</v>
      </c>
      <c r="H740" t="str">
        <f>"2"</f>
        <v>2</v>
      </c>
      <c r="I740" t="str">
        <f t="shared" si="868"/>
        <v>1</v>
      </c>
      <c r="J740" t="str">
        <f>"M"</f>
        <v>M</v>
      </c>
      <c r="K740" t="str">
        <f t="shared" si="853"/>
        <v>170</v>
      </c>
      <c r="L740" t="str">
        <f>"11"</f>
        <v>11</v>
      </c>
      <c r="M740" t="str">
        <f>"001"</f>
        <v>001</v>
      </c>
      <c r="N740" t="str">
        <f>"1"</f>
        <v>1</v>
      </c>
      <c r="O740" t="str">
        <f>"9999"</f>
        <v>9999</v>
      </c>
      <c r="P740" t="str">
        <f>"C"</f>
        <v>C</v>
      </c>
      <c r="Q740" t="str">
        <f>"EPS010"</f>
        <v>EPS010</v>
      </c>
      <c r="R740" t="str">
        <f t="shared" si="873"/>
        <v>6</v>
      </c>
      <c r="S740" t="str">
        <f>""</f>
        <v/>
      </c>
      <c r="T740" t="str">
        <f t="shared" si="874"/>
        <v xml:space="preserve">                                                                                                    </v>
      </c>
      <c r="U740" t="str">
        <f>"2         "</f>
        <v xml:space="preserve">2         </v>
      </c>
      <c r="V740" t="str">
        <f t="shared" si="818"/>
        <v>2</v>
      </c>
      <c r="W740" t="str">
        <f t="shared" si="875"/>
        <v>2</v>
      </c>
      <c r="X740" t="str">
        <f t="shared" si="870"/>
        <v>2</v>
      </c>
      <c r="Y740" t="str">
        <f t="shared" si="877"/>
        <v>2</v>
      </c>
      <c r="Z740" t="str">
        <f t="shared" si="877"/>
        <v>2</v>
      </c>
      <c r="AA740" t="str">
        <f t="shared" si="842"/>
        <v xml:space="preserve">          </v>
      </c>
      <c r="AB740" t="str">
        <f t="shared" si="830"/>
        <v>2</v>
      </c>
      <c r="AC740" t="str">
        <f t="shared" si="832"/>
        <v>2</v>
      </c>
      <c r="AD740" t="str">
        <f t="shared" ref="AD740:AG759" si="878">"2"</f>
        <v>2</v>
      </c>
      <c r="AE740" t="str">
        <f t="shared" si="878"/>
        <v>2</v>
      </c>
      <c r="AF740" t="str">
        <f t="shared" si="878"/>
        <v>2</v>
      </c>
      <c r="AG740" t="str">
        <f t="shared" si="878"/>
        <v>2</v>
      </c>
      <c r="AH740" t="str">
        <f t="shared" si="876"/>
        <v>1</v>
      </c>
      <c r="AI740" t="str">
        <f>"2         "</f>
        <v xml:space="preserve">2         </v>
      </c>
      <c r="AJ740" t="str">
        <f t="shared" si="854"/>
        <v>170</v>
      </c>
      <c r="AK740" t="str">
        <f>"11"</f>
        <v>11</v>
      </c>
      <c r="AL740" t="str">
        <f>"001"</f>
        <v>001</v>
      </c>
      <c r="AM740" t="str">
        <f>"11"</f>
        <v>11</v>
      </c>
      <c r="AN740" t="str">
        <f>"11001"</f>
        <v>11001</v>
      </c>
      <c r="AO740" t="str">
        <f>"30/07/2020 12:00:00 a. m."</f>
        <v>30/07/2020 12:00:00 a. m.</v>
      </c>
      <c r="AP740" t="str">
        <f>"30/07/2020 12:00:00 a. m."</f>
        <v>30/07/2020 12:00:00 a. m.</v>
      </c>
      <c r="AQ740" t="str">
        <f>"3"</f>
        <v>3</v>
      </c>
      <c r="AR740" t="str">
        <f>"2"</f>
        <v>2</v>
      </c>
      <c r="AS740" t="str">
        <f>""</f>
        <v/>
      </c>
      <c r="AT740" t="str">
        <f t="shared" ref="AT740:AT753" si="879">"1"</f>
        <v>1</v>
      </c>
      <c r="AU740" t="str">
        <f>""</f>
        <v/>
      </c>
      <c r="AV740" t="str">
        <f>"0"</f>
        <v>0</v>
      </c>
      <c r="AW740" t="str">
        <f>"8/02/2018 12:00:00 a. m."</f>
        <v>8/02/2018 12:00:00 a. m.</v>
      </c>
      <c r="AX740" t="str">
        <f>""</f>
        <v/>
      </c>
      <c r="AY740" t="str">
        <f t="shared" si="844"/>
        <v>30/04/2021 12:00:00 a. m.</v>
      </c>
      <c r="AZ740" t="str">
        <f>"9/09/2020 12:00:00 a. m."</f>
        <v>9/09/2020 12:00:00 a. m.</v>
      </c>
      <c r="BA740" t="str">
        <f>""</f>
        <v/>
      </c>
      <c r="BB740" t="str">
        <f>""</f>
        <v/>
      </c>
      <c r="BC740" t="str">
        <f>""</f>
        <v/>
      </c>
      <c r="BD740" t="str">
        <f t="shared" si="867"/>
        <v>1</v>
      </c>
      <c r="BE740" t="str">
        <f t="shared" si="867"/>
        <v>1</v>
      </c>
      <c r="BF740" t="str">
        <f t="shared" si="845"/>
        <v xml:space="preserve">3         </v>
      </c>
      <c r="BG740" t="str">
        <f t="shared" si="846"/>
        <v>Confirmado por laboratorio</v>
      </c>
      <c r="BH740" t="str">
        <f>"INSTITUTO DE ORTOPEDIA INFANTIL ROOSEVELT"</f>
        <v>INSTITUTO DE ORTOPEDIA INFANTIL ROOSEVELT</v>
      </c>
      <c r="BI740" t="str">
        <f t="shared" si="855"/>
        <v>COLOMBIA</v>
      </c>
      <c r="BJ740" t="str">
        <f t="shared" si="847"/>
        <v>CANCER INFANTIL</v>
      </c>
      <c r="BK740" t="str">
        <f t="shared" ref="BK740:BL742" si="880">"BOGOTA"</f>
        <v>BOGOTA</v>
      </c>
      <c r="BL740" t="str">
        <f t="shared" si="880"/>
        <v>BOGOTA</v>
      </c>
      <c r="BM740" t="str">
        <f t="shared" si="856"/>
        <v>COLOMBIA</v>
      </c>
      <c r="BN740" t="str">
        <f t="shared" ref="BN740:BQ742" si="881">"BOGOTA"</f>
        <v>BOGOTA</v>
      </c>
      <c r="BO740" t="str">
        <f t="shared" si="881"/>
        <v>BOGOTA</v>
      </c>
      <c r="BP740" t="str">
        <f t="shared" si="881"/>
        <v>BOGOTA</v>
      </c>
      <c r="BQ740" t="str">
        <f t="shared" si="881"/>
        <v>BOGOTA</v>
      </c>
    </row>
    <row r="741" spans="1:69" x14ac:dyDescent="0.25">
      <c r="A741" t="str">
        <f>"7285667"</f>
        <v>7285667</v>
      </c>
      <c r="B741" t="str">
        <f t="shared" si="840"/>
        <v>459</v>
      </c>
      <c r="C741" t="str">
        <f>"10/09/2020 12:00:00 a. m."</f>
        <v>10/09/2020 12:00:00 a. m.</v>
      </c>
      <c r="D741" t="str">
        <f>"36"</f>
        <v>36</v>
      </c>
      <c r="E741" t="str">
        <f t="shared" si="841"/>
        <v>2020</v>
      </c>
      <c r="F741" t="str">
        <f>"1100108171"</f>
        <v>1100108171</v>
      </c>
      <c r="G741" t="str">
        <f>"02"</f>
        <v>02</v>
      </c>
      <c r="H741" t="str">
        <f>"15"</f>
        <v>15</v>
      </c>
      <c r="I741" t="str">
        <f t="shared" si="868"/>
        <v>1</v>
      </c>
      <c r="J741" t="str">
        <f>"F"</f>
        <v>F</v>
      </c>
      <c r="K741" t="str">
        <f t="shared" si="853"/>
        <v>170</v>
      </c>
      <c r="L741" t="str">
        <f>"11"</f>
        <v>11</v>
      </c>
      <c r="M741" t="str">
        <f>"001"</f>
        <v>001</v>
      </c>
      <c r="N741" t="str">
        <f>"1"</f>
        <v>1</v>
      </c>
      <c r="O741" t="str">
        <f>"9997"</f>
        <v>9997</v>
      </c>
      <c r="P741" t="str">
        <f>"C"</f>
        <v>C</v>
      </c>
      <c r="Q741" t="str">
        <f>"EPS017"</f>
        <v>EPS017</v>
      </c>
      <c r="R741" t="str">
        <f t="shared" si="873"/>
        <v>6</v>
      </c>
      <c r="S741" t="str">
        <f>""</f>
        <v/>
      </c>
      <c r="T741" t="str">
        <f t="shared" si="874"/>
        <v xml:space="preserve">                                                                                                    </v>
      </c>
      <c r="U741" t="str">
        <f>"2         "</f>
        <v xml:space="preserve">2         </v>
      </c>
      <c r="V741" t="str">
        <f t="shared" si="818"/>
        <v>2</v>
      </c>
      <c r="W741" t="str">
        <f t="shared" si="875"/>
        <v>2</v>
      </c>
      <c r="X741" t="str">
        <f t="shared" si="870"/>
        <v>2</v>
      </c>
      <c r="Y741" t="str">
        <f t="shared" si="877"/>
        <v>2</v>
      </c>
      <c r="Z741" t="str">
        <f t="shared" si="877"/>
        <v>2</v>
      </c>
      <c r="AA741" t="str">
        <f t="shared" si="842"/>
        <v xml:space="preserve">          </v>
      </c>
      <c r="AB741" t="str">
        <f t="shared" si="830"/>
        <v>2</v>
      </c>
      <c r="AC741" t="str">
        <f t="shared" si="832"/>
        <v>2</v>
      </c>
      <c r="AD741" t="str">
        <f t="shared" si="878"/>
        <v>2</v>
      </c>
      <c r="AE741" t="str">
        <f t="shared" si="878"/>
        <v>2</v>
      </c>
      <c r="AF741" t="str">
        <f t="shared" si="878"/>
        <v>2</v>
      </c>
      <c r="AG741" t="str">
        <f t="shared" si="878"/>
        <v>2</v>
      </c>
      <c r="AH741" t="str">
        <f t="shared" si="876"/>
        <v>1</v>
      </c>
      <c r="AI741" t="str">
        <f>"1         "</f>
        <v xml:space="preserve">1         </v>
      </c>
      <c r="AJ741" t="str">
        <f t="shared" si="854"/>
        <v>170</v>
      </c>
      <c r="AK741" t="str">
        <f>"11"</f>
        <v>11</v>
      </c>
      <c r="AL741" t="str">
        <f>"001"</f>
        <v>001</v>
      </c>
      <c r="AM741" t="str">
        <f>"11"</f>
        <v>11</v>
      </c>
      <c r="AN741" t="str">
        <f>"11001"</f>
        <v>11001</v>
      </c>
      <c r="AO741" t="str">
        <f>"2/09/2020 12:00:00 a. m."</f>
        <v>2/09/2020 12:00:00 a. m.</v>
      </c>
      <c r="AP741" t="str">
        <f>"1/09/2020 12:00:00 a. m."</f>
        <v>1/09/2020 12:00:00 a. m.</v>
      </c>
      <c r="AQ741" t="str">
        <f>"2"</f>
        <v>2</v>
      </c>
      <c r="AR741" t="str">
        <f>"2"</f>
        <v>2</v>
      </c>
      <c r="AS741" t="str">
        <f>""</f>
        <v/>
      </c>
      <c r="AT741" t="str">
        <f t="shared" si="879"/>
        <v>1</v>
      </c>
      <c r="AU741" t="str">
        <f>""</f>
        <v/>
      </c>
      <c r="AV741" t="str">
        <f>"3"</f>
        <v>3</v>
      </c>
      <c r="AW741" t="str">
        <f>"20/07/2005 12:00:00 a. m."</f>
        <v>20/07/2005 12:00:00 a. m.</v>
      </c>
      <c r="AX741" t="str">
        <f>""</f>
        <v/>
      </c>
      <c r="AY741" t="str">
        <f t="shared" si="844"/>
        <v>30/04/2021 12:00:00 a. m.</v>
      </c>
      <c r="AZ741" t="str">
        <f>"6/10/2020 12:00:00 a. m."</f>
        <v>6/10/2020 12:00:00 a. m.</v>
      </c>
      <c r="BA741" t="str">
        <f>""</f>
        <v/>
      </c>
      <c r="BB741" t="str">
        <f>""</f>
        <v/>
      </c>
      <c r="BC741" t="str">
        <f>""</f>
        <v/>
      </c>
      <c r="BD741" t="str">
        <f t="shared" si="867"/>
        <v>1</v>
      </c>
      <c r="BE741" t="str">
        <f t="shared" si="867"/>
        <v>1</v>
      </c>
      <c r="BF741" t="str">
        <f t="shared" si="845"/>
        <v xml:space="preserve">3         </v>
      </c>
      <c r="BG741" t="str">
        <f t="shared" si="846"/>
        <v>Confirmado por laboratorio</v>
      </c>
      <c r="BH741" t="str">
        <f>"CLINICA INFANTIL COLSUBSIDIO"</f>
        <v>CLINICA INFANTIL COLSUBSIDIO</v>
      </c>
      <c r="BI741" t="str">
        <f t="shared" si="855"/>
        <v>COLOMBIA</v>
      </c>
      <c r="BJ741" t="str">
        <f t="shared" si="847"/>
        <v>CANCER INFANTIL</v>
      </c>
      <c r="BK741" t="str">
        <f t="shared" si="880"/>
        <v>BOGOTA</v>
      </c>
      <c r="BL741" t="str">
        <f t="shared" si="880"/>
        <v>BOGOTA</v>
      </c>
      <c r="BM741" t="str">
        <f t="shared" si="856"/>
        <v>COLOMBIA</v>
      </c>
      <c r="BN741" t="str">
        <f t="shared" si="881"/>
        <v>BOGOTA</v>
      </c>
      <c r="BO741" t="str">
        <f t="shared" si="881"/>
        <v>BOGOTA</v>
      </c>
      <c r="BP741" t="str">
        <f t="shared" si="881"/>
        <v>BOGOTA</v>
      </c>
      <c r="BQ741" t="str">
        <f t="shared" si="881"/>
        <v>BOGOTA</v>
      </c>
    </row>
    <row r="742" spans="1:69" x14ac:dyDescent="0.25">
      <c r="A742" t="str">
        <f>"7285654"</f>
        <v>7285654</v>
      </c>
      <c r="B742" t="str">
        <f t="shared" si="840"/>
        <v>459</v>
      </c>
      <c r="C742" t="str">
        <f>"10/06/2020 12:00:00 a. m."</f>
        <v>10/06/2020 12:00:00 a. m.</v>
      </c>
      <c r="D742" t="str">
        <f>"20"</f>
        <v>20</v>
      </c>
      <c r="E742" t="str">
        <f t="shared" si="841"/>
        <v>2020</v>
      </c>
      <c r="F742" t="str">
        <f>"1100116133"</f>
        <v>1100116133</v>
      </c>
      <c r="G742" t="str">
        <f>"01"</f>
        <v>01</v>
      </c>
      <c r="H742" t="str">
        <f>"9"</f>
        <v>9</v>
      </c>
      <c r="I742" t="str">
        <f t="shared" si="868"/>
        <v>1</v>
      </c>
      <c r="J742" t="str">
        <f>"F"</f>
        <v>F</v>
      </c>
      <c r="K742" t="str">
        <f t="shared" si="853"/>
        <v>170</v>
      </c>
      <c r="L742" t="str">
        <f>"11"</f>
        <v>11</v>
      </c>
      <c r="M742" t="str">
        <f>"001"</f>
        <v>001</v>
      </c>
      <c r="N742" t="str">
        <f>"1"</f>
        <v>1</v>
      </c>
      <c r="O742" t="str">
        <f>"9997"</f>
        <v>9997</v>
      </c>
      <c r="P742" t="str">
        <f>"C"</f>
        <v>C</v>
      </c>
      <c r="Q742" t="str">
        <f>"EPS002"</f>
        <v>EPS002</v>
      </c>
      <c r="R742" t="str">
        <f t="shared" si="873"/>
        <v>6</v>
      </c>
      <c r="S742" t="str">
        <f>""</f>
        <v/>
      </c>
      <c r="T742" t="str">
        <f t="shared" si="874"/>
        <v xml:space="preserve">                                                                                                    </v>
      </c>
      <c r="U742" t="str">
        <f>"1         "</f>
        <v xml:space="preserve">1         </v>
      </c>
      <c r="V742" t="str">
        <f t="shared" si="818"/>
        <v>2</v>
      </c>
      <c r="W742" t="str">
        <f t="shared" si="875"/>
        <v>2</v>
      </c>
      <c r="X742" t="str">
        <f t="shared" si="870"/>
        <v>2</v>
      </c>
      <c r="Y742" t="str">
        <f t="shared" si="877"/>
        <v>2</v>
      </c>
      <c r="Z742" t="str">
        <f t="shared" si="877"/>
        <v>2</v>
      </c>
      <c r="AA742" t="str">
        <f t="shared" si="842"/>
        <v xml:space="preserve">          </v>
      </c>
      <c r="AB742" t="str">
        <f t="shared" si="830"/>
        <v>2</v>
      </c>
      <c r="AC742" t="str">
        <f t="shared" si="832"/>
        <v>2</v>
      </c>
      <c r="AD742" t="str">
        <f t="shared" si="878"/>
        <v>2</v>
      </c>
      <c r="AE742" t="str">
        <f t="shared" si="878"/>
        <v>2</v>
      </c>
      <c r="AF742" t="str">
        <f t="shared" si="878"/>
        <v>2</v>
      </c>
      <c r="AG742" t="str">
        <f t="shared" si="878"/>
        <v>2</v>
      </c>
      <c r="AH742" t="str">
        <f t="shared" si="876"/>
        <v>1</v>
      </c>
      <c r="AI742" t="str">
        <f>"2         "</f>
        <v xml:space="preserve">2         </v>
      </c>
      <c r="AJ742" t="str">
        <f t="shared" si="854"/>
        <v>170</v>
      </c>
      <c r="AK742" t="str">
        <f>"11"</f>
        <v>11</v>
      </c>
      <c r="AL742" t="str">
        <f>"001"</f>
        <v>001</v>
      </c>
      <c r="AM742" t="str">
        <f>"11"</f>
        <v>11</v>
      </c>
      <c r="AN742" t="str">
        <f>"11001"</f>
        <v>11001</v>
      </c>
      <c r="AO742" t="str">
        <f>"12/05/2020 12:00:00 a. m."</f>
        <v>12/05/2020 12:00:00 a. m.</v>
      </c>
      <c r="AP742" t="str">
        <f>"11/05/2020 12:00:00 a. m."</f>
        <v>11/05/2020 12:00:00 a. m.</v>
      </c>
      <c r="AQ742" t="str">
        <f>"3"</f>
        <v>3</v>
      </c>
      <c r="AR742" t="str">
        <f t="shared" ref="AR742:AR763" si="882">"1"</f>
        <v>1</v>
      </c>
      <c r="AS742" t="str">
        <f>"12/05/2020 12:00:00 a. m."</f>
        <v>12/05/2020 12:00:00 a. m.</v>
      </c>
      <c r="AT742" t="str">
        <f t="shared" si="879"/>
        <v>1</v>
      </c>
      <c r="AU742" t="str">
        <f>""</f>
        <v/>
      </c>
      <c r="AV742" t="str">
        <f>"0"</f>
        <v>0</v>
      </c>
      <c r="AW742" t="str">
        <f>"13/05/2011 12:00:00 a. m."</f>
        <v>13/05/2011 12:00:00 a. m.</v>
      </c>
      <c r="AX742" t="str">
        <f>""</f>
        <v/>
      </c>
      <c r="AY742" t="str">
        <f t="shared" si="844"/>
        <v>30/04/2021 12:00:00 a. m.</v>
      </c>
      <c r="AZ742" t="str">
        <f>"11/06/2020 12:00:00 a. m."</f>
        <v>11/06/2020 12:00:00 a. m.</v>
      </c>
      <c r="BA742" t="str">
        <f>""</f>
        <v/>
      </c>
      <c r="BB742" t="str">
        <f>""</f>
        <v/>
      </c>
      <c r="BC742" t="str">
        <f>""</f>
        <v/>
      </c>
      <c r="BD742" t="str">
        <f t="shared" ref="BD742:BE761" si="883">"1"</f>
        <v>1</v>
      </c>
      <c r="BE742" t="str">
        <f t="shared" si="883"/>
        <v>1</v>
      </c>
      <c r="BF742" t="str">
        <f t="shared" si="845"/>
        <v xml:space="preserve">3         </v>
      </c>
      <c r="BG742" t="str">
        <f t="shared" si="846"/>
        <v>Confirmado por laboratorio</v>
      </c>
      <c r="BH742" t="str">
        <f>"FUNDACION HOSPITAL INFANTIL UNIVERSITARIO DE SAN"</f>
        <v>FUNDACION HOSPITAL INFANTIL UNIVERSITARIO DE SAN</v>
      </c>
      <c r="BI742" t="str">
        <f t="shared" si="855"/>
        <v>COLOMBIA</v>
      </c>
      <c r="BJ742" t="str">
        <f t="shared" si="847"/>
        <v>CANCER INFANTIL</v>
      </c>
      <c r="BK742" t="str">
        <f t="shared" si="880"/>
        <v>BOGOTA</v>
      </c>
      <c r="BL742" t="str">
        <f t="shared" si="880"/>
        <v>BOGOTA</v>
      </c>
      <c r="BM742" t="str">
        <f t="shared" si="856"/>
        <v>COLOMBIA</v>
      </c>
      <c r="BN742" t="str">
        <f t="shared" si="881"/>
        <v>BOGOTA</v>
      </c>
      <c r="BO742" t="str">
        <f t="shared" si="881"/>
        <v>BOGOTA</v>
      </c>
      <c r="BP742" t="str">
        <f t="shared" si="881"/>
        <v>BOGOTA</v>
      </c>
      <c r="BQ742" t="str">
        <f t="shared" si="881"/>
        <v>BOGOTA</v>
      </c>
    </row>
    <row r="743" spans="1:69" x14ac:dyDescent="0.25">
      <c r="A743" t="str">
        <f>"7279235"</f>
        <v>7279235</v>
      </c>
      <c r="B743" t="str">
        <f t="shared" si="840"/>
        <v>459</v>
      </c>
      <c r="C743" t="str">
        <f>"27/06/2020 12:00:00 a. m."</f>
        <v>27/06/2020 12:00:00 a. m.</v>
      </c>
      <c r="D743" t="str">
        <f>"26"</f>
        <v>26</v>
      </c>
      <c r="E743" t="str">
        <f t="shared" si="841"/>
        <v>2020</v>
      </c>
      <c r="F743" t="str">
        <f>"1100116338"</f>
        <v>1100116338</v>
      </c>
      <c r="G743" t="str">
        <f>"83"</f>
        <v>83</v>
      </c>
      <c r="H743" t="str">
        <f>"6"</f>
        <v>6</v>
      </c>
      <c r="I743" t="str">
        <f t="shared" si="868"/>
        <v>1</v>
      </c>
      <c r="J743" t="str">
        <f>"F"</f>
        <v>F</v>
      </c>
      <c r="K743" t="str">
        <f t="shared" si="853"/>
        <v>170</v>
      </c>
      <c r="L743" t="str">
        <f>"73"</f>
        <v>73</v>
      </c>
      <c r="M743" t="str">
        <f>"001"</f>
        <v>001</v>
      </c>
      <c r="N743" t="str">
        <f>"1"</f>
        <v>1</v>
      </c>
      <c r="O743" t="str">
        <f>"9997"</f>
        <v>9997</v>
      </c>
      <c r="P743" t="str">
        <f>"P"</f>
        <v>P</v>
      </c>
      <c r="Q743" t="str">
        <f>"RES003"</f>
        <v>RES003</v>
      </c>
      <c r="R743" t="str">
        <f t="shared" si="873"/>
        <v>6</v>
      </c>
      <c r="S743" t="str">
        <f>""</f>
        <v/>
      </c>
      <c r="T743" t="str">
        <f t="shared" si="874"/>
        <v xml:space="preserve">                                                                                                    </v>
      </c>
      <c r="U743" t="str">
        <f>"3         "</f>
        <v xml:space="preserve">3         </v>
      </c>
      <c r="V743" t="str">
        <f t="shared" si="818"/>
        <v>2</v>
      </c>
      <c r="W743" t="str">
        <f t="shared" si="875"/>
        <v>2</v>
      </c>
      <c r="X743" t="str">
        <f t="shared" si="870"/>
        <v>2</v>
      </c>
      <c r="Y743" t="str">
        <f t="shared" si="877"/>
        <v>2</v>
      </c>
      <c r="Z743" t="str">
        <f t="shared" si="877"/>
        <v>2</v>
      </c>
      <c r="AA743" t="str">
        <f t="shared" si="842"/>
        <v xml:space="preserve">          </v>
      </c>
      <c r="AB743" t="str">
        <f t="shared" si="830"/>
        <v>2</v>
      </c>
      <c r="AC743" t="str">
        <f t="shared" si="832"/>
        <v>2</v>
      </c>
      <c r="AD743" t="str">
        <f t="shared" si="878"/>
        <v>2</v>
      </c>
      <c r="AE743" t="str">
        <f t="shared" si="878"/>
        <v>2</v>
      </c>
      <c r="AF743" t="str">
        <f t="shared" si="878"/>
        <v>2</v>
      </c>
      <c r="AG743" t="str">
        <f t="shared" si="878"/>
        <v>2</v>
      </c>
      <c r="AH743" t="str">
        <f t="shared" si="876"/>
        <v>1</v>
      </c>
      <c r="AI743" t="str">
        <f t="shared" ref="AI743:AI758" si="884">"1         "</f>
        <v xml:space="preserve">1         </v>
      </c>
      <c r="AJ743" t="str">
        <f t="shared" si="854"/>
        <v>170</v>
      </c>
      <c r="AK743" t="str">
        <f>"73"</f>
        <v>73</v>
      </c>
      <c r="AL743" t="str">
        <f>"001"</f>
        <v>001</v>
      </c>
      <c r="AM743" t="str">
        <f>"11"</f>
        <v>11</v>
      </c>
      <c r="AN743" t="str">
        <f>"11001"</f>
        <v>11001</v>
      </c>
      <c r="AO743" t="str">
        <f>"26/06/2020 12:00:00 a. m."</f>
        <v>26/06/2020 12:00:00 a. m.</v>
      </c>
      <c r="AP743" t="str">
        <f>"18/05/2020 12:00:00 a. m."</f>
        <v>18/05/2020 12:00:00 a. m.</v>
      </c>
      <c r="AQ743" t="str">
        <f>"2"</f>
        <v>2</v>
      </c>
      <c r="AR743" t="str">
        <f t="shared" si="882"/>
        <v>1</v>
      </c>
      <c r="AS743" t="str">
        <f>"26/06/2020 12:00:00 a. m."</f>
        <v>26/06/2020 12:00:00 a. m.</v>
      </c>
      <c r="AT743" t="str">
        <f t="shared" si="879"/>
        <v>1</v>
      </c>
      <c r="AU743" t="str">
        <f>""</f>
        <v/>
      </c>
      <c r="AV743" t="str">
        <f>"3"</f>
        <v>3</v>
      </c>
      <c r="AW743" t="str">
        <f>"13/02/2014 12:00:00 a. m."</f>
        <v>13/02/2014 12:00:00 a. m.</v>
      </c>
      <c r="AX743" t="str">
        <f>""</f>
        <v/>
      </c>
      <c r="AY743" t="str">
        <f t="shared" si="844"/>
        <v>30/04/2021 12:00:00 a. m.</v>
      </c>
      <c r="AZ743" t="str">
        <f>"11/07/2020 12:00:00 a. m."</f>
        <v>11/07/2020 12:00:00 a. m.</v>
      </c>
      <c r="BA743" t="str">
        <f>""</f>
        <v/>
      </c>
      <c r="BB743" t="str">
        <f>""</f>
        <v/>
      </c>
      <c r="BC743" t="str">
        <f>""</f>
        <v/>
      </c>
      <c r="BD743" t="str">
        <f t="shared" si="883"/>
        <v>1</v>
      </c>
      <c r="BE743" t="str">
        <f t="shared" si="883"/>
        <v>1</v>
      </c>
      <c r="BF743" t="str">
        <f t="shared" si="845"/>
        <v xml:space="preserve">3         </v>
      </c>
      <c r="BG743" t="str">
        <f t="shared" si="846"/>
        <v>Confirmado por laboratorio</v>
      </c>
      <c r="BH743" t="str">
        <f>"HOSPITAL MILITAR CENTRAL CHAPINERO"</f>
        <v>HOSPITAL MILITAR CENTRAL CHAPINERO</v>
      </c>
      <c r="BI743" t="str">
        <f t="shared" si="855"/>
        <v>COLOMBIA</v>
      </c>
      <c r="BJ743" t="str">
        <f t="shared" si="847"/>
        <v>CANCER INFANTIL</v>
      </c>
      <c r="BK743" t="str">
        <f>"TOLIMA"</f>
        <v>TOLIMA</v>
      </c>
      <c r="BL743" t="str">
        <f>"IBAGUE"</f>
        <v>IBAGUE</v>
      </c>
      <c r="BM743" t="str">
        <f t="shared" si="856"/>
        <v>COLOMBIA</v>
      </c>
      <c r="BN743" t="str">
        <f>"TOLIMA"</f>
        <v>TOLIMA</v>
      </c>
      <c r="BO743" t="str">
        <f>"IBAGUE"</f>
        <v>IBAGUE</v>
      </c>
      <c r="BP743" t="str">
        <f>"BOGOTA"</f>
        <v>BOGOTA</v>
      </c>
      <c r="BQ743" t="str">
        <f>"BOGOTA"</f>
        <v>BOGOTA</v>
      </c>
    </row>
    <row r="744" spans="1:69" x14ac:dyDescent="0.25">
      <c r="A744" t="str">
        <f>"7279264"</f>
        <v>7279264</v>
      </c>
      <c r="B744" t="str">
        <f t="shared" si="840"/>
        <v>459</v>
      </c>
      <c r="C744" t="str">
        <f>"31/07/2020 12:00:00 a. m."</f>
        <v>31/07/2020 12:00:00 a. m.</v>
      </c>
      <c r="D744" t="str">
        <f>"31"</f>
        <v>31</v>
      </c>
      <c r="E744" t="str">
        <f t="shared" si="841"/>
        <v>2020</v>
      </c>
      <c r="F744" t="str">
        <f>"1100109456"</f>
        <v>1100109456</v>
      </c>
      <c r="G744" t="str">
        <f t="shared" ref="G744:G768" si="885">"01"</f>
        <v>01</v>
      </c>
      <c r="H744" t="str">
        <f>"16"</f>
        <v>16</v>
      </c>
      <c r="I744" t="str">
        <f t="shared" si="868"/>
        <v>1</v>
      </c>
      <c r="J744" t="str">
        <f>"F"</f>
        <v>F</v>
      </c>
      <c r="K744" t="str">
        <f t="shared" si="853"/>
        <v>170</v>
      </c>
      <c r="L744" t="str">
        <f>"73"</f>
        <v>73</v>
      </c>
      <c r="M744" t="str">
        <f>"001"</f>
        <v>001</v>
      </c>
      <c r="N744" t="str">
        <f>"1"</f>
        <v>1</v>
      </c>
      <c r="O744" t="str">
        <f>"9997"</f>
        <v>9997</v>
      </c>
      <c r="P744" t="str">
        <f>"C"</f>
        <v>C</v>
      </c>
      <c r="Q744" t="str">
        <f>"EPS001"</f>
        <v>EPS001</v>
      </c>
      <c r="R744" t="str">
        <f t="shared" si="873"/>
        <v>6</v>
      </c>
      <c r="S744" t="str">
        <f>""</f>
        <v/>
      </c>
      <c r="T744" t="str">
        <f t="shared" si="874"/>
        <v xml:space="preserve">                                                                                                    </v>
      </c>
      <c r="U744" t="str">
        <f>"2         "</f>
        <v xml:space="preserve">2         </v>
      </c>
      <c r="V744" t="str">
        <f t="shared" si="818"/>
        <v>2</v>
      </c>
      <c r="W744" t="str">
        <f t="shared" si="875"/>
        <v>2</v>
      </c>
      <c r="X744" t="str">
        <f t="shared" si="870"/>
        <v>2</v>
      </c>
      <c r="Y744" t="str">
        <f t="shared" si="877"/>
        <v>2</v>
      </c>
      <c r="Z744" t="str">
        <f t="shared" si="877"/>
        <v>2</v>
      </c>
      <c r="AA744" t="str">
        <f t="shared" si="842"/>
        <v xml:space="preserve">          </v>
      </c>
      <c r="AB744" t="str">
        <f t="shared" si="830"/>
        <v>2</v>
      </c>
      <c r="AC744" t="str">
        <f t="shared" si="832"/>
        <v>2</v>
      </c>
      <c r="AD744" t="str">
        <f t="shared" si="878"/>
        <v>2</v>
      </c>
      <c r="AE744" t="str">
        <f t="shared" si="878"/>
        <v>2</v>
      </c>
      <c r="AF744" t="str">
        <f t="shared" si="878"/>
        <v>2</v>
      </c>
      <c r="AG744" t="str">
        <f t="shared" si="878"/>
        <v>2</v>
      </c>
      <c r="AH744" t="str">
        <f t="shared" si="876"/>
        <v>1</v>
      </c>
      <c r="AI744" t="str">
        <f t="shared" si="884"/>
        <v xml:space="preserve">1         </v>
      </c>
      <c r="AJ744" t="str">
        <f t="shared" si="854"/>
        <v>170</v>
      </c>
      <c r="AK744" t="str">
        <f>"73"</f>
        <v>73</v>
      </c>
      <c r="AL744" t="str">
        <f>"001"</f>
        <v>001</v>
      </c>
      <c r="AM744" t="str">
        <f>"11"</f>
        <v>11</v>
      </c>
      <c r="AN744" t="str">
        <f>"11001"</f>
        <v>11001</v>
      </c>
      <c r="AO744" t="str">
        <f>"29/07/2020 12:00:00 a. m."</f>
        <v>29/07/2020 12:00:00 a. m.</v>
      </c>
      <c r="AP744" t="str">
        <f>"4/05/2020 12:00:00 a. m."</f>
        <v>4/05/2020 12:00:00 a. m.</v>
      </c>
      <c r="AQ744" t="str">
        <f>"3"</f>
        <v>3</v>
      </c>
      <c r="AR744" t="str">
        <f t="shared" si="882"/>
        <v>1</v>
      </c>
      <c r="AS744" t="str">
        <f>"29/07/2020 12:00:00 a. m."</f>
        <v>29/07/2020 12:00:00 a. m.</v>
      </c>
      <c r="AT744" t="str">
        <f t="shared" si="879"/>
        <v>1</v>
      </c>
      <c r="AU744" t="str">
        <f>""</f>
        <v/>
      </c>
      <c r="AV744" t="str">
        <f>"0"</f>
        <v>0</v>
      </c>
      <c r="AW744" t="str">
        <f>"5/11/2003 12:00:00 a. m."</f>
        <v>5/11/2003 12:00:00 a. m.</v>
      </c>
      <c r="AX744" t="str">
        <f>""</f>
        <v/>
      </c>
      <c r="AY744" t="str">
        <f t="shared" si="844"/>
        <v>30/04/2021 12:00:00 a. m.</v>
      </c>
      <c r="AZ744" t="str">
        <f>"31/07/2020 12:00:00 a. m."</f>
        <v>31/07/2020 12:00:00 a. m.</v>
      </c>
      <c r="BA744" t="str">
        <f>""</f>
        <v/>
      </c>
      <c r="BB744" t="str">
        <f>""</f>
        <v/>
      </c>
      <c r="BC744" t="str">
        <f>""</f>
        <v/>
      </c>
      <c r="BD744" t="str">
        <f t="shared" si="883"/>
        <v>1</v>
      </c>
      <c r="BE744" t="str">
        <f t="shared" si="883"/>
        <v>1</v>
      </c>
      <c r="BF744" t="str">
        <f t="shared" si="845"/>
        <v xml:space="preserve">3         </v>
      </c>
      <c r="BG744" t="str">
        <f t="shared" si="846"/>
        <v>Confirmado por laboratorio</v>
      </c>
      <c r="BH744" t="str">
        <f>"HOSPITAL UNIVERSITARIO SAN IGNACIO"</f>
        <v>HOSPITAL UNIVERSITARIO SAN IGNACIO</v>
      </c>
      <c r="BI744" t="str">
        <f t="shared" si="855"/>
        <v>COLOMBIA</v>
      </c>
      <c r="BJ744" t="str">
        <f t="shared" si="847"/>
        <v>CANCER INFANTIL</v>
      </c>
      <c r="BK744" t="str">
        <f>"TOLIMA"</f>
        <v>TOLIMA</v>
      </c>
      <c r="BL744" t="str">
        <f>"IBAGUE"</f>
        <v>IBAGUE</v>
      </c>
      <c r="BM744" t="str">
        <f t="shared" si="856"/>
        <v>COLOMBIA</v>
      </c>
      <c r="BN744" t="str">
        <f>"TOLIMA"</f>
        <v>TOLIMA</v>
      </c>
      <c r="BO744" t="str">
        <f>"IBAGUE"</f>
        <v>IBAGUE</v>
      </c>
      <c r="BP744" t="str">
        <f>"BOGOTA"</f>
        <v>BOGOTA</v>
      </c>
      <c r="BQ744" t="str">
        <f>"BOGOTA"</f>
        <v>BOGOTA</v>
      </c>
    </row>
    <row r="745" spans="1:69" x14ac:dyDescent="0.25">
      <c r="A745" t="str">
        <f>"7279168"</f>
        <v>7279168</v>
      </c>
      <c r="B745" t="str">
        <f t="shared" si="840"/>
        <v>459</v>
      </c>
      <c r="C745" t="str">
        <f>"25/04/2020 12:00:00 a. m."</f>
        <v>25/04/2020 12:00:00 a. m.</v>
      </c>
      <c r="D745" t="str">
        <f>"14"</f>
        <v>14</v>
      </c>
      <c r="E745" t="str">
        <f t="shared" si="841"/>
        <v>2020</v>
      </c>
      <c r="F745" t="str">
        <f>"7300101047"</f>
        <v>7300101047</v>
      </c>
      <c r="G745" t="str">
        <f t="shared" si="885"/>
        <v>01</v>
      </c>
      <c r="H745" t="str">
        <f>"17"</f>
        <v>17</v>
      </c>
      <c r="I745" t="str">
        <f t="shared" si="868"/>
        <v>1</v>
      </c>
      <c r="J745" t="str">
        <f>"M"</f>
        <v>M</v>
      </c>
      <c r="K745" t="str">
        <f t="shared" si="853"/>
        <v>170</v>
      </c>
      <c r="L745" t="str">
        <f>"73"</f>
        <v>73</v>
      </c>
      <c r="M745" t="str">
        <f>"226"</f>
        <v>226</v>
      </c>
      <c r="N745" t="str">
        <f>"3"</f>
        <v>3</v>
      </c>
      <c r="O745" t="str">
        <f>"9997"</f>
        <v>9997</v>
      </c>
      <c r="P745" t="str">
        <f>"S"</f>
        <v>S</v>
      </c>
      <c r="Q745" t="str">
        <f>"ESS062"</f>
        <v>ESS062</v>
      </c>
      <c r="R745" t="str">
        <f t="shared" si="873"/>
        <v>6</v>
      </c>
      <c r="S745" t="str">
        <f>""</f>
        <v/>
      </c>
      <c r="T745" t="str">
        <f t="shared" si="874"/>
        <v xml:space="preserve">                                                                                                    </v>
      </c>
      <c r="U745" t="str">
        <f>"1         "</f>
        <v xml:space="preserve">1         </v>
      </c>
      <c r="V745" t="str">
        <f t="shared" si="818"/>
        <v>2</v>
      </c>
      <c r="W745" t="str">
        <f t="shared" si="875"/>
        <v>2</v>
      </c>
      <c r="X745" t="str">
        <f t="shared" si="870"/>
        <v>2</v>
      </c>
      <c r="Y745" t="str">
        <f t="shared" si="877"/>
        <v>2</v>
      </c>
      <c r="Z745" t="str">
        <f t="shared" si="877"/>
        <v>2</v>
      </c>
      <c r="AA745" t="str">
        <f t="shared" si="842"/>
        <v xml:space="preserve">          </v>
      </c>
      <c r="AB745" t="str">
        <f t="shared" si="830"/>
        <v>2</v>
      </c>
      <c r="AC745" t="str">
        <f t="shared" si="832"/>
        <v>2</v>
      </c>
      <c r="AD745" t="str">
        <f t="shared" si="878"/>
        <v>2</v>
      </c>
      <c r="AE745" t="str">
        <f t="shared" si="878"/>
        <v>2</v>
      </c>
      <c r="AF745" t="str">
        <f t="shared" si="878"/>
        <v>2</v>
      </c>
      <c r="AG745" t="str">
        <f t="shared" si="878"/>
        <v>2</v>
      </c>
      <c r="AH745" t="str">
        <f t="shared" si="876"/>
        <v>1</v>
      </c>
      <c r="AI745" t="str">
        <f t="shared" si="884"/>
        <v xml:space="preserve">1         </v>
      </c>
      <c r="AJ745" t="str">
        <f t="shared" si="854"/>
        <v>170</v>
      </c>
      <c r="AK745" t="str">
        <f>"73"</f>
        <v>73</v>
      </c>
      <c r="AL745" t="str">
        <f>"226"</f>
        <v>226</v>
      </c>
      <c r="AM745" t="str">
        <f>"73"</f>
        <v>73</v>
      </c>
      <c r="AN745" t="str">
        <f>"73001"</f>
        <v>73001</v>
      </c>
      <c r="AO745" t="str">
        <f>"4/04/2020 12:00:00 a. m."</f>
        <v>4/04/2020 12:00:00 a. m.</v>
      </c>
      <c r="AP745" t="str">
        <f>"1/12/2019 12:00:00 a. m."</f>
        <v>1/12/2019 12:00:00 a. m.</v>
      </c>
      <c r="AQ745" t="str">
        <f>"3"</f>
        <v>3</v>
      </c>
      <c r="AR745" t="str">
        <f t="shared" si="882"/>
        <v>1</v>
      </c>
      <c r="AS745" t="str">
        <f>"4/04/2020 12:00:00 a. m."</f>
        <v>4/04/2020 12:00:00 a. m.</v>
      </c>
      <c r="AT745" t="str">
        <f t="shared" si="879"/>
        <v>1</v>
      </c>
      <c r="AU745" t="str">
        <f>""</f>
        <v/>
      </c>
      <c r="AV745" t="str">
        <f>"0"</f>
        <v>0</v>
      </c>
      <c r="AW745" t="str">
        <f>"5/06/2002 12:00:00 a. m."</f>
        <v>5/06/2002 12:00:00 a. m.</v>
      </c>
      <c r="AX745" t="str">
        <f>""</f>
        <v/>
      </c>
      <c r="AY745" t="str">
        <f t="shared" si="844"/>
        <v>30/04/2021 12:00:00 a. m.</v>
      </c>
      <c r="AZ745" t="str">
        <f>"25/04/2020 12:00:00 a. m."</f>
        <v>25/04/2020 12:00:00 a. m.</v>
      </c>
      <c r="BA745" t="str">
        <f>""</f>
        <v/>
      </c>
      <c r="BB745" t="str">
        <f>""</f>
        <v/>
      </c>
      <c r="BC745" t="str">
        <f>""</f>
        <v/>
      </c>
      <c r="BD745" t="str">
        <f t="shared" si="883"/>
        <v>1</v>
      </c>
      <c r="BE745" t="str">
        <f t="shared" si="883"/>
        <v>1</v>
      </c>
      <c r="BF745" t="str">
        <f t="shared" si="845"/>
        <v xml:space="preserve">3         </v>
      </c>
      <c r="BG745" t="str">
        <f t="shared" si="846"/>
        <v>Confirmado por laboratorio</v>
      </c>
      <c r="BH745" t="str">
        <f>"HOSPITAL FEDERICO LLERAS ACOSTA ESE SEDE LA FRANC"</f>
        <v>HOSPITAL FEDERICO LLERAS ACOSTA ESE SEDE LA FRANC</v>
      </c>
      <c r="BI745" t="str">
        <f t="shared" si="855"/>
        <v>COLOMBIA</v>
      </c>
      <c r="BJ745" t="str">
        <f t="shared" si="847"/>
        <v>CANCER INFANTIL</v>
      </c>
      <c r="BK745" t="str">
        <f>"TOLIMA"</f>
        <v>TOLIMA</v>
      </c>
      <c r="BL745" t="str">
        <f>"CUNDAY"</f>
        <v>CUNDAY</v>
      </c>
      <c r="BM745" t="str">
        <f t="shared" si="856"/>
        <v>COLOMBIA</v>
      </c>
      <c r="BN745" t="str">
        <f>"TOLIMA"</f>
        <v>TOLIMA</v>
      </c>
      <c r="BO745" t="str">
        <f>"CUNDAY"</f>
        <v>CUNDAY</v>
      </c>
      <c r="BP745" t="str">
        <f>"TOLIMA"</f>
        <v>TOLIMA</v>
      </c>
      <c r="BQ745" t="str">
        <f>"IBAGUE"</f>
        <v>IBAGUE</v>
      </c>
    </row>
    <row r="746" spans="1:69" x14ac:dyDescent="0.25">
      <c r="A746" t="str">
        <f>"7285702"</f>
        <v>7285702</v>
      </c>
      <c r="B746" t="str">
        <f t="shared" si="840"/>
        <v>459</v>
      </c>
      <c r="C746" t="str">
        <f>"5/11/2020 12:00:00 a. m."</f>
        <v>5/11/2020 12:00:00 a. m.</v>
      </c>
      <c r="D746" t="str">
        <f>"45"</f>
        <v>45</v>
      </c>
      <c r="E746" t="str">
        <f t="shared" si="841"/>
        <v>2020</v>
      </c>
      <c r="F746" t="str">
        <f>"1100109456"</f>
        <v>1100109456</v>
      </c>
      <c r="G746" t="str">
        <f t="shared" si="885"/>
        <v>01</v>
      </c>
      <c r="H746" t="str">
        <f>"4"</f>
        <v>4</v>
      </c>
      <c r="I746" t="str">
        <f t="shared" si="868"/>
        <v>1</v>
      </c>
      <c r="J746" t="str">
        <f>"F"</f>
        <v>F</v>
      </c>
      <c r="K746" t="str">
        <f t="shared" si="853"/>
        <v>170</v>
      </c>
      <c r="L746" t="str">
        <f>"73"</f>
        <v>73</v>
      </c>
      <c r="M746" t="str">
        <f>"585"</f>
        <v>585</v>
      </c>
      <c r="N746" t="str">
        <f>"3"</f>
        <v>3</v>
      </c>
      <c r="O746" t="str">
        <f>"9999"</f>
        <v>9999</v>
      </c>
      <c r="P746" t="str">
        <f>"S"</f>
        <v>S</v>
      </c>
      <c r="Q746" t="str">
        <f>"EPSS41"</f>
        <v>EPSS41</v>
      </c>
      <c r="R746" t="str">
        <f t="shared" si="873"/>
        <v>6</v>
      </c>
      <c r="S746" t="str">
        <f>""</f>
        <v/>
      </c>
      <c r="T746" t="str">
        <f t="shared" si="874"/>
        <v xml:space="preserve">                                                                                                    </v>
      </c>
      <c r="U746" t="str">
        <f>"1         "</f>
        <v xml:space="preserve">1         </v>
      </c>
      <c r="V746" t="str">
        <f t="shared" si="818"/>
        <v>2</v>
      </c>
      <c r="W746" t="str">
        <f t="shared" si="875"/>
        <v>2</v>
      </c>
      <c r="X746" t="str">
        <f t="shared" si="870"/>
        <v>2</v>
      </c>
      <c r="Y746" t="str">
        <f t="shared" si="877"/>
        <v>2</v>
      </c>
      <c r="Z746" t="str">
        <f t="shared" si="877"/>
        <v>2</v>
      </c>
      <c r="AA746" t="str">
        <f t="shared" si="842"/>
        <v xml:space="preserve">          </v>
      </c>
      <c r="AB746" t="str">
        <f t="shared" si="830"/>
        <v>2</v>
      </c>
      <c r="AC746" t="str">
        <f t="shared" si="832"/>
        <v>2</v>
      </c>
      <c r="AD746" t="str">
        <f t="shared" si="878"/>
        <v>2</v>
      </c>
      <c r="AE746" t="str">
        <f t="shared" si="878"/>
        <v>2</v>
      </c>
      <c r="AF746" t="str">
        <f t="shared" si="878"/>
        <v>2</v>
      </c>
      <c r="AG746" t="str">
        <f t="shared" si="878"/>
        <v>2</v>
      </c>
      <c r="AH746" t="str">
        <f t="shared" si="876"/>
        <v>1</v>
      </c>
      <c r="AI746" t="str">
        <f t="shared" si="884"/>
        <v xml:space="preserve">1         </v>
      </c>
      <c r="AJ746" t="str">
        <f t="shared" si="854"/>
        <v>170</v>
      </c>
      <c r="AK746" t="str">
        <f>"73"</f>
        <v>73</v>
      </c>
      <c r="AL746" t="str">
        <f>"585"</f>
        <v>585</v>
      </c>
      <c r="AM746" t="str">
        <f t="shared" ref="AM746:AM754" si="886">"11"</f>
        <v>11</v>
      </c>
      <c r="AN746" t="str">
        <f t="shared" ref="AN746:AN754" si="887">"11001"</f>
        <v>11001</v>
      </c>
      <c r="AO746" t="str">
        <f>"4/11/2020 12:00:00 a. m."</f>
        <v>4/11/2020 12:00:00 a. m.</v>
      </c>
      <c r="AP746" t="str">
        <f>"4/10/2020 12:00:00 a. m."</f>
        <v>4/10/2020 12:00:00 a. m.</v>
      </c>
      <c r="AQ746" t="str">
        <f>"2"</f>
        <v>2</v>
      </c>
      <c r="AR746" t="str">
        <f t="shared" si="882"/>
        <v>1</v>
      </c>
      <c r="AS746" t="str">
        <f>"4/11/2020 12:00:00 a. m."</f>
        <v>4/11/2020 12:00:00 a. m.</v>
      </c>
      <c r="AT746" t="str">
        <f t="shared" si="879"/>
        <v>1</v>
      </c>
      <c r="AU746" t="str">
        <f>""</f>
        <v/>
      </c>
      <c r="AV746" t="str">
        <f>"3"</f>
        <v>3</v>
      </c>
      <c r="AW746" t="str">
        <f>"15/04/2016 12:00:00 a. m."</f>
        <v>15/04/2016 12:00:00 a. m.</v>
      </c>
      <c r="AX746" t="str">
        <f>""</f>
        <v/>
      </c>
      <c r="AY746" t="str">
        <f t="shared" si="844"/>
        <v>30/04/2021 12:00:00 a. m.</v>
      </c>
      <c r="AZ746" t="str">
        <f>"20/11/2020 12:00:00 a. m."</f>
        <v>20/11/2020 12:00:00 a. m.</v>
      </c>
      <c r="BA746" t="str">
        <f>""</f>
        <v/>
      </c>
      <c r="BB746" t="str">
        <f>""</f>
        <v/>
      </c>
      <c r="BC746" t="str">
        <f>""</f>
        <v/>
      </c>
      <c r="BD746" t="str">
        <f t="shared" si="883"/>
        <v>1</v>
      </c>
      <c r="BE746" t="str">
        <f t="shared" si="883"/>
        <v>1</v>
      </c>
      <c r="BF746" t="str">
        <f t="shared" si="845"/>
        <v xml:space="preserve">3         </v>
      </c>
      <c r="BG746" t="str">
        <f t="shared" si="846"/>
        <v>Confirmado por laboratorio</v>
      </c>
      <c r="BH746" t="str">
        <f>"HOSPITAL UNIVERSITARIO SAN IGNACIO"</f>
        <v>HOSPITAL UNIVERSITARIO SAN IGNACIO</v>
      </c>
      <c r="BI746" t="str">
        <f t="shared" si="855"/>
        <v>COLOMBIA</v>
      </c>
      <c r="BJ746" t="str">
        <f t="shared" si="847"/>
        <v>CANCER INFANTIL</v>
      </c>
      <c r="BK746" t="str">
        <f>"TOLIMA"</f>
        <v>TOLIMA</v>
      </c>
      <c r="BL746" t="str">
        <f>"PURIFICACION"</f>
        <v>PURIFICACION</v>
      </c>
      <c r="BM746" t="str">
        <f t="shared" si="856"/>
        <v>COLOMBIA</v>
      </c>
      <c r="BN746" t="str">
        <f>"TOLIMA"</f>
        <v>TOLIMA</v>
      </c>
      <c r="BO746" t="str">
        <f>"PURIFICACION"</f>
        <v>PURIFICACION</v>
      </c>
      <c r="BP746" t="str">
        <f t="shared" ref="BP746:BQ754" si="888">"BOGOTA"</f>
        <v>BOGOTA</v>
      </c>
      <c r="BQ746" t="str">
        <f t="shared" si="888"/>
        <v>BOGOTA</v>
      </c>
    </row>
    <row r="747" spans="1:69" x14ac:dyDescent="0.25">
      <c r="A747" t="str">
        <f>"7285639"</f>
        <v>7285639</v>
      </c>
      <c r="B747" t="str">
        <f t="shared" si="840"/>
        <v>459</v>
      </c>
      <c r="C747" t="str">
        <f>"28/10/2020 12:00:00 a. m."</f>
        <v>28/10/2020 12:00:00 a. m.</v>
      </c>
      <c r="D747" t="str">
        <f>"44"</f>
        <v>44</v>
      </c>
      <c r="E747" t="str">
        <f t="shared" si="841"/>
        <v>2020</v>
      </c>
      <c r="F747" t="str">
        <f>"1100109456"</f>
        <v>1100109456</v>
      </c>
      <c r="G747" t="str">
        <f t="shared" si="885"/>
        <v>01</v>
      </c>
      <c r="H747" t="str">
        <f>"17"</f>
        <v>17</v>
      </c>
      <c r="I747" t="str">
        <f t="shared" si="868"/>
        <v>1</v>
      </c>
      <c r="J747" t="str">
        <f>"M"</f>
        <v>M</v>
      </c>
      <c r="K747" t="str">
        <f t="shared" si="853"/>
        <v>170</v>
      </c>
      <c r="L747" t="str">
        <f t="shared" ref="L747:L754" si="889">"11"</f>
        <v>11</v>
      </c>
      <c r="M747" t="str">
        <f t="shared" ref="M747:M754" si="890">"001"</f>
        <v>001</v>
      </c>
      <c r="N747" t="str">
        <f t="shared" ref="N747:N763" si="891">"1"</f>
        <v>1</v>
      </c>
      <c r="O747" t="str">
        <f>"9997"</f>
        <v>9997</v>
      </c>
      <c r="P747" t="str">
        <f>"C"</f>
        <v>C</v>
      </c>
      <c r="Q747" t="str">
        <f>"EPS008"</f>
        <v>EPS008</v>
      </c>
      <c r="R747" t="str">
        <f t="shared" si="873"/>
        <v>6</v>
      </c>
      <c r="S747" t="str">
        <f>""</f>
        <v/>
      </c>
      <c r="T747" t="str">
        <f t="shared" si="874"/>
        <v xml:space="preserve">                                                                                                    </v>
      </c>
      <c r="U747" t="str">
        <f>"2         "</f>
        <v xml:space="preserve">2         </v>
      </c>
      <c r="V747" t="str">
        <f t="shared" si="818"/>
        <v>2</v>
      </c>
      <c r="W747" t="str">
        <f t="shared" si="875"/>
        <v>2</v>
      </c>
      <c r="X747" t="str">
        <f t="shared" si="870"/>
        <v>2</v>
      </c>
      <c r="Y747" t="str">
        <f t="shared" si="877"/>
        <v>2</v>
      </c>
      <c r="Z747" t="str">
        <f t="shared" si="877"/>
        <v>2</v>
      </c>
      <c r="AA747" t="str">
        <f t="shared" si="842"/>
        <v xml:space="preserve">          </v>
      </c>
      <c r="AB747" t="str">
        <f t="shared" si="830"/>
        <v>2</v>
      </c>
      <c r="AC747" t="str">
        <f t="shared" si="832"/>
        <v>2</v>
      </c>
      <c r="AD747" t="str">
        <f t="shared" si="878"/>
        <v>2</v>
      </c>
      <c r="AE747" t="str">
        <f t="shared" si="878"/>
        <v>2</v>
      </c>
      <c r="AF747" t="str">
        <f t="shared" si="878"/>
        <v>2</v>
      </c>
      <c r="AG747" t="str">
        <f t="shared" si="878"/>
        <v>2</v>
      </c>
      <c r="AH747" t="str">
        <f t="shared" si="876"/>
        <v>1</v>
      </c>
      <c r="AI747" t="str">
        <f t="shared" si="884"/>
        <v xml:space="preserve">1         </v>
      </c>
      <c r="AJ747" t="str">
        <f t="shared" si="854"/>
        <v>170</v>
      </c>
      <c r="AK747" t="str">
        <f t="shared" ref="AK747:AK754" si="892">"11"</f>
        <v>11</v>
      </c>
      <c r="AL747" t="str">
        <f t="shared" ref="AL747:AL754" si="893">"001"</f>
        <v>001</v>
      </c>
      <c r="AM747" t="str">
        <f t="shared" si="886"/>
        <v>11</v>
      </c>
      <c r="AN747" t="str">
        <f t="shared" si="887"/>
        <v>11001</v>
      </c>
      <c r="AO747" t="str">
        <f>"27/10/2020 12:00:00 a. m."</f>
        <v>27/10/2020 12:00:00 a. m.</v>
      </c>
      <c r="AP747" t="str">
        <f>"6/10/2020 12:00:00 a. m."</f>
        <v>6/10/2020 12:00:00 a. m.</v>
      </c>
      <c r="AQ747" t="str">
        <f>"2"</f>
        <v>2</v>
      </c>
      <c r="AR747" t="str">
        <f t="shared" si="882"/>
        <v>1</v>
      </c>
      <c r="AS747" t="str">
        <f>"27/10/2020 12:00:00 a. m."</f>
        <v>27/10/2020 12:00:00 a. m.</v>
      </c>
      <c r="AT747" t="str">
        <f t="shared" si="879"/>
        <v>1</v>
      </c>
      <c r="AU747" t="str">
        <f>""</f>
        <v/>
      </c>
      <c r="AV747" t="str">
        <f>"3"</f>
        <v>3</v>
      </c>
      <c r="AW747" t="str">
        <f>"24/10/2003 12:00:00 a. m."</f>
        <v>24/10/2003 12:00:00 a. m.</v>
      </c>
      <c r="AX747" t="str">
        <f>""</f>
        <v/>
      </c>
      <c r="AY747" t="str">
        <f t="shared" si="844"/>
        <v>30/04/2021 12:00:00 a. m.</v>
      </c>
      <c r="AZ747" t="str">
        <f>"20/12/2020 12:00:00 a. m."</f>
        <v>20/12/2020 12:00:00 a. m.</v>
      </c>
      <c r="BA747" t="str">
        <f>""</f>
        <v/>
      </c>
      <c r="BB747" t="str">
        <f>""</f>
        <v/>
      </c>
      <c r="BC747" t="str">
        <f>""</f>
        <v/>
      </c>
      <c r="BD747" t="str">
        <f t="shared" si="883"/>
        <v>1</v>
      </c>
      <c r="BE747" t="str">
        <f t="shared" si="883"/>
        <v>1</v>
      </c>
      <c r="BF747" t="str">
        <f t="shared" si="845"/>
        <v xml:space="preserve">3         </v>
      </c>
      <c r="BG747" t="str">
        <f t="shared" si="846"/>
        <v>Confirmado por laboratorio</v>
      </c>
      <c r="BH747" t="str">
        <f>"HOSPITAL UNIVERSITARIO SAN IGNACIO"</f>
        <v>HOSPITAL UNIVERSITARIO SAN IGNACIO</v>
      </c>
      <c r="BI747" t="str">
        <f t="shared" si="855"/>
        <v>COLOMBIA</v>
      </c>
      <c r="BJ747" t="str">
        <f t="shared" si="847"/>
        <v>CANCER INFANTIL</v>
      </c>
      <c r="BK747" t="str">
        <f t="shared" ref="BK747:BL754" si="894">"BOGOTA"</f>
        <v>BOGOTA</v>
      </c>
      <c r="BL747" t="str">
        <f t="shared" si="894"/>
        <v>BOGOTA</v>
      </c>
      <c r="BM747" t="str">
        <f t="shared" si="856"/>
        <v>COLOMBIA</v>
      </c>
      <c r="BN747" t="str">
        <f t="shared" ref="BN747:BO754" si="895">"BOGOTA"</f>
        <v>BOGOTA</v>
      </c>
      <c r="BO747" t="str">
        <f t="shared" si="895"/>
        <v>BOGOTA</v>
      </c>
      <c r="BP747" t="str">
        <f t="shared" si="888"/>
        <v>BOGOTA</v>
      </c>
      <c r="BQ747" t="str">
        <f t="shared" si="888"/>
        <v>BOGOTA</v>
      </c>
    </row>
    <row r="748" spans="1:69" x14ac:dyDescent="0.25">
      <c r="A748" t="str">
        <f>"7285670"</f>
        <v>7285670</v>
      </c>
      <c r="B748" t="str">
        <f t="shared" si="840"/>
        <v>459</v>
      </c>
      <c r="C748" t="str">
        <f>"21/09/2020 12:00:00 a. m."</f>
        <v>21/09/2020 12:00:00 a. m.</v>
      </c>
      <c r="D748" t="str">
        <f>"37"</f>
        <v>37</v>
      </c>
      <c r="E748" t="str">
        <f t="shared" si="841"/>
        <v>2020</v>
      </c>
      <c r="F748" t="str">
        <f>"1100105681"</f>
        <v>1100105681</v>
      </c>
      <c r="G748" t="str">
        <f t="shared" si="885"/>
        <v>01</v>
      </c>
      <c r="H748" t="str">
        <f>"13"</f>
        <v>13</v>
      </c>
      <c r="I748" t="str">
        <f t="shared" si="868"/>
        <v>1</v>
      </c>
      <c r="J748" t="str">
        <f>"F"</f>
        <v>F</v>
      </c>
      <c r="K748" t="str">
        <f t="shared" si="853"/>
        <v>170</v>
      </c>
      <c r="L748" t="str">
        <f t="shared" si="889"/>
        <v>11</v>
      </c>
      <c r="M748" t="str">
        <f t="shared" si="890"/>
        <v>001</v>
      </c>
      <c r="N748" t="str">
        <f t="shared" si="891"/>
        <v>1</v>
      </c>
      <c r="O748" t="str">
        <f>"9997"</f>
        <v>9997</v>
      </c>
      <c r="P748" t="str">
        <f>"S"</f>
        <v>S</v>
      </c>
      <c r="Q748" t="str">
        <f>"EPSS34"</f>
        <v>EPSS34</v>
      </c>
      <c r="R748" t="str">
        <f t="shared" si="873"/>
        <v>6</v>
      </c>
      <c r="S748" t="str">
        <f>""</f>
        <v/>
      </c>
      <c r="T748" t="str">
        <f t="shared" si="874"/>
        <v xml:space="preserve">                                                                                                    </v>
      </c>
      <c r="U748" t="str">
        <f>"2         "</f>
        <v xml:space="preserve">2         </v>
      </c>
      <c r="V748" t="str">
        <f t="shared" si="818"/>
        <v>2</v>
      </c>
      <c r="W748" t="str">
        <f t="shared" si="875"/>
        <v>2</v>
      </c>
      <c r="X748" t="str">
        <f t="shared" si="870"/>
        <v>2</v>
      </c>
      <c r="Y748" t="str">
        <f t="shared" si="877"/>
        <v>2</v>
      </c>
      <c r="Z748" t="str">
        <f t="shared" si="877"/>
        <v>2</v>
      </c>
      <c r="AA748" t="str">
        <f t="shared" si="842"/>
        <v xml:space="preserve">          </v>
      </c>
      <c r="AB748" t="str">
        <f t="shared" si="830"/>
        <v>2</v>
      </c>
      <c r="AC748" t="str">
        <f t="shared" si="832"/>
        <v>2</v>
      </c>
      <c r="AD748" t="str">
        <f t="shared" si="878"/>
        <v>2</v>
      </c>
      <c r="AE748" t="str">
        <f t="shared" si="878"/>
        <v>2</v>
      </c>
      <c r="AF748" t="str">
        <f t="shared" si="878"/>
        <v>2</v>
      </c>
      <c r="AG748" t="str">
        <f t="shared" si="878"/>
        <v>2</v>
      </c>
      <c r="AH748" t="str">
        <f t="shared" si="876"/>
        <v>1</v>
      </c>
      <c r="AI748" t="str">
        <f t="shared" si="884"/>
        <v xml:space="preserve">1         </v>
      </c>
      <c r="AJ748" t="str">
        <f t="shared" si="854"/>
        <v>170</v>
      </c>
      <c r="AK748" t="str">
        <f t="shared" si="892"/>
        <v>11</v>
      </c>
      <c r="AL748" t="str">
        <f t="shared" si="893"/>
        <v>001</v>
      </c>
      <c r="AM748" t="str">
        <f t="shared" si="886"/>
        <v>11</v>
      </c>
      <c r="AN748" t="str">
        <f t="shared" si="887"/>
        <v>11001</v>
      </c>
      <c r="AO748" t="str">
        <f>"10/09/2020 12:00:00 a. m."</f>
        <v>10/09/2020 12:00:00 a. m.</v>
      </c>
      <c r="AP748" t="str">
        <f>"10/03/2020 12:00:00 a. m."</f>
        <v>10/03/2020 12:00:00 a. m.</v>
      </c>
      <c r="AQ748" t="str">
        <f>"3"</f>
        <v>3</v>
      </c>
      <c r="AR748" t="str">
        <f t="shared" si="882"/>
        <v>1</v>
      </c>
      <c r="AS748" t="str">
        <f>"10/09/2020 12:00:00 a. m."</f>
        <v>10/09/2020 12:00:00 a. m.</v>
      </c>
      <c r="AT748" t="str">
        <f t="shared" si="879"/>
        <v>1</v>
      </c>
      <c r="AU748" t="str">
        <f>""</f>
        <v/>
      </c>
      <c r="AV748" t="str">
        <f>"0"</f>
        <v>0</v>
      </c>
      <c r="AW748" t="str">
        <f>"17/12/2006 12:00:00 a. m."</f>
        <v>17/12/2006 12:00:00 a. m.</v>
      </c>
      <c r="AX748" t="str">
        <f>""</f>
        <v/>
      </c>
      <c r="AY748" t="str">
        <f t="shared" si="844"/>
        <v>30/04/2021 12:00:00 a. m.</v>
      </c>
      <c r="AZ748" t="str">
        <f>"29/09/2020 12:00:00 a. m."</f>
        <v>29/09/2020 12:00:00 a. m.</v>
      </c>
      <c r="BA748" t="str">
        <f>""</f>
        <v/>
      </c>
      <c r="BB748" t="str">
        <f>""</f>
        <v/>
      </c>
      <c r="BC748" t="str">
        <f>""</f>
        <v/>
      </c>
      <c r="BD748" t="str">
        <f t="shared" si="883"/>
        <v>1</v>
      </c>
      <c r="BE748" t="str">
        <f t="shared" si="883"/>
        <v>1</v>
      </c>
      <c r="BF748" t="str">
        <f t="shared" si="845"/>
        <v xml:space="preserve">3         </v>
      </c>
      <c r="BG748" t="str">
        <f t="shared" si="846"/>
        <v>Confirmado por laboratorio</v>
      </c>
      <c r="BH748" t="str">
        <f>"FUNDACION HOSPITAL DE LA MISERICORDIA"</f>
        <v>FUNDACION HOSPITAL DE LA MISERICORDIA</v>
      </c>
      <c r="BI748" t="str">
        <f t="shared" si="855"/>
        <v>COLOMBIA</v>
      </c>
      <c r="BJ748" t="str">
        <f t="shared" si="847"/>
        <v>CANCER INFANTIL</v>
      </c>
      <c r="BK748" t="str">
        <f t="shared" si="894"/>
        <v>BOGOTA</v>
      </c>
      <c r="BL748" t="str">
        <f t="shared" si="894"/>
        <v>BOGOTA</v>
      </c>
      <c r="BM748" t="str">
        <f t="shared" si="856"/>
        <v>COLOMBIA</v>
      </c>
      <c r="BN748" t="str">
        <f t="shared" si="895"/>
        <v>BOGOTA</v>
      </c>
      <c r="BO748" t="str">
        <f t="shared" si="895"/>
        <v>BOGOTA</v>
      </c>
      <c r="BP748" t="str">
        <f t="shared" si="888"/>
        <v>BOGOTA</v>
      </c>
      <c r="BQ748" t="str">
        <f t="shared" si="888"/>
        <v>BOGOTA</v>
      </c>
    </row>
    <row r="749" spans="1:69" x14ac:dyDescent="0.25">
      <c r="A749" t="str">
        <f>"7291482"</f>
        <v>7291482</v>
      </c>
      <c r="B749" t="str">
        <f t="shared" si="840"/>
        <v>459</v>
      </c>
      <c r="C749" t="str">
        <f>"18/08/2020 12:00:00 a. m."</f>
        <v>18/08/2020 12:00:00 a. m.</v>
      </c>
      <c r="D749" t="str">
        <f>"31"</f>
        <v>31</v>
      </c>
      <c r="E749" t="str">
        <f t="shared" si="841"/>
        <v>2020</v>
      </c>
      <c r="F749" t="str">
        <f>"1100109599"</f>
        <v>1100109599</v>
      </c>
      <c r="G749" t="str">
        <f t="shared" si="885"/>
        <v>01</v>
      </c>
      <c r="H749" t="str">
        <f>"1"</f>
        <v>1</v>
      </c>
      <c r="I749" t="str">
        <f t="shared" si="868"/>
        <v>1</v>
      </c>
      <c r="J749" t="str">
        <f>"M"</f>
        <v>M</v>
      </c>
      <c r="K749" t="str">
        <f t="shared" si="853"/>
        <v>170</v>
      </c>
      <c r="L749" t="str">
        <f t="shared" si="889"/>
        <v>11</v>
      </c>
      <c r="M749" t="str">
        <f t="shared" si="890"/>
        <v>001</v>
      </c>
      <c r="N749" t="str">
        <f t="shared" si="891"/>
        <v>1</v>
      </c>
      <c r="O749" t="str">
        <f>"9999"</f>
        <v>9999</v>
      </c>
      <c r="P749" t="str">
        <f t="shared" ref="P749:P754" si="896">"C"</f>
        <v>C</v>
      </c>
      <c r="Q749" t="str">
        <f>"EPS008"</f>
        <v>EPS008</v>
      </c>
      <c r="R749" t="str">
        <f t="shared" si="873"/>
        <v>6</v>
      </c>
      <c r="S749" t="str">
        <f>""</f>
        <v/>
      </c>
      <c r="T749" t="str">
        <f t="shared" si="874"/>
        <v xml:space="preserve">                                                                                                    </v>
      </c>
      <c r="U749" t="str">
        <f>"3         "</f>
        <v xml:space="preserve">3         </v>
      </c>
      <c r="V749" t="str">
        <f t="shared" si="818"/>
        <v>2</v>
      </c>
      <c r="W749" t="str">
        <f t="shared" si="875"/>
        <v>2</v>
      </c>
      <c r="X749" t="str">
        <f t="shared" si="870"/>
        <v>2</v>
      </c>
      <c r="Y749" t="str">
        <f t="shared" si="877"/>
        <v>2</v>
      </c>
      <c r="Z749" t="str">
        <f t="shared" si="877"/>
        <v>2</v>
      </c>
      <c r="AA749" t="str">
        <f t="shared" si="842"/>
        <v xml:space="preserve">          </v>
      </c>
      <c r="AB749" t="str">
        <f t="shared" si="830"/>
        <v>2</v>
      </c>
      <c r="AC749" t="str">
        <f t="shared" si="832"/>
        <v>2</v>
      </c>
      <c r="AD749" t="str">
        <f t="shared" si="878"/>
        <v>2</v>
      </c>
      <c r="AE749" t="str">
        <f t="shared" si="878"/>
        <v>2</v>
      </c>
      <c r="AF749" t="str">
        <f t="shared" si="878"/>
        <v>2</v>
      </c>
      <c r="AG749" t="str">
        <f t="shared" si="878"/>
        <v>2</v>
      </c>
      <c r="AH749" t="str">
        <f t="shared" si="876"/>
        <v>1</v>
      </c>
      <c r="AI749" t="str">
        <f t="shared" si="884"/>
        <v xml:space="preserve">1         </v>
      </c>
      <c r="AJ749" t="str">
        <f t="shared" si="854"/>
        <v>170</v>
      </c>
      <c r="AK749" t="str">
        <f t="shared" si="892"/>
        <v>11</v>
      </c>
      <c r="AL749" t="str">
        <f t="shared" si="893"/>
        <v>001</v>
      </c>
      <c r="AM749" t="str">
        <f t="shared" si="886"/>
        <v>11</v>
      </c>
      <c r="AN749" t="str">
        <f t="shared" si="887"/>
        <v>11001</v>
      </c>
      <c r="AO749" t="str">
        <f>"29/07/2020 12:00:00 a. m."</f>
        <v>29/07/2020 12:00:00 a. m.</v>
      </c>
      <c r="AP749" t="str">
        <f>"17/07/2020 12:00:00 a. m."</f>
        <v>17/07/2020 12:00:00 a. m.</v>
      </c>
      <c r="AQ749" t="str">
        <f>"3"</f>
        <v>3</v>
      </c>
      <c r="AR749" t="str">
        <f t="shared" si="882"/>
        <v>1</v>
      </c>
      <c r="AS749" t="str">
        <f>"29/07/2020 12:00:00 a. m."</f>
        <v>29/07/2020 12:00:00 a. m.</v>
      </c>
      <c r="AT749" t="str">
        <f t="shared" si="879"/>
        <v>1</v>
      </c>
      <c r="AU749" t="str">
        <f>""</f>
        <v/>
      </c>
      <c r="AV749" t="str">
        <f>"0"</f>
        <v>0</v>
      </c>
      <c r="AW749" t="str">
        <f>"5/12/2018 12:00:00 a. m."</f>
        <v>5/12/2018 12:00:00 a. m.</v>
      </c>
      <c r="AX749" t="str">
        <f>""</f>
        <v/>
      </c>
      <c r="AY749" t="str">
        <f t="shared" si="844"/>
        <v>30/04/2021 12:00:00 a. m.</v>
      </c>
      <c r="AZ749" t="str">
        <f>"20/08/2020 12:00:00 a. m."</f>
        <v>20/08/2020 12:00:00 a. m.</v>
      </c>
      <c r="BA749" t="str">
        <f>""</f>
        <v/>
      </c>
      <c r="BB749" t="str">
        <f>""</f>
        <v/>
      </c>
      <c r="BC749" t="str">
        <f>""</f>
        <v/>
      </c>
      <c r="BD749" t="str">
        <f t="shared" si="883"/>
        <v>1</v>
      </c>
      <c r="BE749" t="str">
        <f t="shared" si="883"/>
        <v>1</v>
      </c>
      <c r="BF749" t="str">
        <f t="shared" si="845"/>
        <v xml:space="preserve">3         </v>
      </c>
      <c r="BG749" t="str">
        <f t="shared" si="846"/>
        <v>Confirmado por laboratorio</v>
      </c>
      <c r="BH749" t="str">
        <f>"ADMINISTRADORA COUNTRY SA"</f>
        <v>ADMINISTRADORA COUNTRY SA</v>
      </c>
      <c r="BI749" t="str">
        <f t="shared" si="855"/>
        <v>COLOMBIA</v>
      </c>
      <c r="BJ749" t="str">
        <f t="shared" si="847"/>
        <v>CANCER INFANTIL</v>
      </c>
      <c r="BK749" t="str">
        <f t="shared" si="894"/>
        <v>BOGOTA</v>
      </c>
      <c r="BL749" t="str">
        <f t="shared" si="894"/>
        <v>BOGOTA</v>
      </c>
      <c r="BM749" t="str">
        <f t="shared" si="856"/>
        <v>COLOMBIA</v>
      </c>
      <c r="BN749" t="str">
        <f t="shared" si="895"/>
        <v>BOGOTA</v>
      </c>
      <c r="BO749" t="str">
        <f t="shared" si="895"/>
        <v>BOGOTA</v>
      </c>
      <c r="BP749" t="str">
        <f t="shared" si="888"/>
        <v>BOGOTA</v>
      </c>
      <c r="BQ749" t="str">
        <f t="shared" si="888"/>
        <v>BOGOTA</v>
      </c>
    </row>
    <row r="750" spans="1:69" x14ac:dyDescent="0.25">
      <c r="A750" t="str">
        <f>"7291496"</f>
        <v>7291496</v>
      </c>
      <c r="B750" t="str">
        <f t="shared" si="840"/>
        <v>459</v>
      </c>
      <c r="C750" t="str">
        <f>"23/11/2020 12:00:00 a. m."</f>
        <v>23/11/2020 12:00:00 a. m.</v>
      </c>
      <c r="D750" t="str">
        <f>"47"</f>
        <v>47</v>
      </c>
      <c r="E750" t="str">
        <f t="shared" si="841"/>
        <v>2020</v>
      </c>
      <c r="F750" t="str">
        <f>"1100109456"</f>
        <v>1100109456</v>
      </c>
      <c r="G750" t="str">
        <f t="shared" si="885"/>
        <v>01</v>
      </c>
      <c r="H750" t="str">
        <f>"11"</f>
        <v>11</v>
      </c>
      <c r="I750" t="str">
        <f t="shared" si="868"/>
        <v>1</v>
      </c>
      <c r="J750" t="str">
        <f>"F"</f>
        <v>F</v>
      </c>
      <c r="K750" t="str">
        <f t="shared" si="853"/>
        <v>170</v>
      </c>
      <c r="L750" t="str">
        <f t="shared" si="889"/>
        <v>11</v>
      </c>
      <c r="M750" t="str">
        <f t="shared" si="890"/>
        <v>001</v>
      </c>
      <c r="N750" t="str">
        <f t="shared" si="891"/>
        <v>1</v>
      </c>
      <c r="O750" t="str">
        <f t="shared" ref="O750:O756" si="897">"9997"</f>
        <v>9997</v>
      </c>
      <c r="P750" t="str">
        <f t="shared" si="896"/>
        <v>C</v>
      </c>
      <c r="Q750" t="str">
        <f>"EPS008"</f>
        <v>EPS008</v>
      </c>
      <c r="R750" t="str">
        <f t="shared" si="873"/>
        <v>6</v>
      </c>
      <c r="S750" t="str">
        <f>""</f>
        <v/>
      </c>
      <c r="T750" t="str">
        <f t="shared" si="874"/>
        <v xml:space="preserve">                                                                                                    </v>
      </c>
      <c r="U750" t="str">
        <f>"4         "</f>
        <v xml:space="preserve">4         </v>
      </c>
      <c r="V750" t="str">
        <f t="shared" si="818"/>
        <v>2</v>
      </c>
      <c r="W750" t="str">
        <f t="shared" si="875"/>
        <v>2</v>
      </c>
      <c r="X750" t="str">
        <f t="shared" si="870"/>
        <v>2</v>
      </c>
      <c r="Y750" t="str">
        <f t="shared" si="877"/>
        <v>2</v>
      </c>
      <c r="Z750" t="str">
        <f t="shared" si="877"/>
        <v>2</v>
      </c>
      <c r="AA750" t="str">
        <f t="shared" si="842"/>
        <v xml:space="preserve">          </v>
      </c>
      <c r="AB750" t="str">
        <f t="shared" si="830"/>
        <v>2</v>
      </c>
      <c r="AC750" t="str">
        <f t="shared" si="832"/>
        <v>2</v>
      </c>
      <c r="AD750" t="str">
        <f t="shared" si="878"/>
        <v>2</v>
      </c>
      <c r="AE750" t="str">
        <f t="shared" si="878"/>
        <v>2</v>
      </c>
      <c r="AF750" t="str">
        <f t="shared" si="878"/>
        <v>2</v>
      </c>
      <c r="AG750" t="str">
        <f t="shared" si="878"/>
        <v>2</v>
      </c>
      <c r="AH750" t="str">
        <f t="shared" si="876"/>
        <v>1</v>
      </c>
      <c r="AI750" t="str">
        <f t="shared" si="884"/>
        <v xml:space="preserve">1         </v>
      </c>
      <c r="AJ750" t="str">
        <f t="shared" si="854"/>
        <v>170</v>
      </c>
      <c r="AK750" t="str">
        <f t="shared" si="892"/>
        <v>11</v>
      </c>
      <c r="AL750" t="str">
        <f t="shared" si="893"/>
        <v>001</v>
      </c>
      <c r="AM750" t="str">
        <f t="shared" si="886"/>
        <v>11</v>
      </c>
      <c r="AN750" t="str">
        <f t="shared" si="887"/>
        <v>11001</v>
      </c>
      <c r="AO750" t="str">
        <f>"18/11/2020 12:00:00 a. m."</f>
        <v>18/11/2020 12:00:00 a. m.</v>
      </c>
      <c r="AP750" t="str">
        <f>"18/11/2020 12:00:00 a. m."</f>
        <v>18/11/2020 12:00:00 a. m.</v>
      </c>
      <c r="AQ750" t="str">
        <f>"2"</f>
        <v>2</v>
      </c>
      <c r="AR750" t="str">
        <f t="shared" si="882"/>
        <v>1</v>
      </c>
      <c r="AS750" t="str">
        <f>"18/11/2020 12:00:00 a. m."</f>
        <v>18/11/2020 12:00:00 a. m.</v>
      </c>
      <c r="AT750" t="str">
        <f t="shared" si="879"/>
        <v>1</v>
      </c>
      <c r="AU750" t="str">
        <f>""</f>
        <v/>
      </c>
      <c r="AV750" t="str">
        <f>"3"</f>
        <v>3</v>
      </c>
      <c r="AW750" t="str">
        <f>"17/06/2009 12:00:00 a. m."</f>
        <v>17/06/2009 12:00:00 a. m.</v>
      </c>
      <c r="AX750" t="str">
        <f>""</f>
        <v/>
      </c>
      <c r="AY750" t="str">
        <f t="shared" si="844"/>
        <v>30/04/2021 12:00:00 a. m.</v>
      </c>
      <c r="AZ750" t="str">
        <f>"20/12/2020 12:00:00 a. m."</f>
        <v>20/12/2020 12:00:00 a. m.</v>
      </c>
      <c r="BA750" t="str">
        <f>""</f>
        <v/>
      </c>
      <c r="BB750" t="str">
        <f>""</f>
        <v/>
      </c>
      <c r="BC750" t="str">
        <f>""</f>
        <v/>
      </c>
      <c r="BD750" t="str">
        <f t="shared" si="883"/>
        <v>1</v>
      </c>
      <c r="BE750" t="str">
        <f t="shared" si="883"/>
        <v>1</v>
      </c>
      <c r="BF750" t="str">
        <f t="shared" si="845"/>
        <v xml:space="preserve">3         </v>
      </c>
      <c r="BG750" t="str">
        <f t="shared" si="846"/>
        <v>Confirmado por laboratorio</v>
      </c>
      <c r="BH750" t="str">
        <f>"HOSPITAL UNIVERSITARIO SAN IGNACIO"</f>
        <v>HOSPITAL UNIVERSITARIO SAN IGNACIO</v>
      </c>
      <c r="BI750" t="str">
        <f t="shared" si="855"/>
        <v>COLOMBIA</v>
      </c>
      <c r="BJ750" t="str">
        <f t="shared" si="847"/>
        <v>CANCER INFANTIL</v>
      </c>
      <c r="BK750" t="str">
        <f t="shared" si="894"/>
        <v>BOGOTA</v>
      </c>
      <c r="BL750" t="str">
        <f t="shared" si="894"/>
        <v>BOGOTA</v>
      </c>
      <c r="BM750" t="str">
        <f t="shared" si="856"/>
        <v>COLOMBIA</v>
      </c>
      <c r="BN750" t="str">
        <f t="shared" si="895"/>
        <v>BOGOTA</v>
      </c>
      <c r="BO750" t="str">
        <f t="shared" si="895"/>
        <v>BOGOTA</v>
      </c>
      <c r="BP750" t="str">
        <f t="shared" si="888"/>
        <v>BOGOTA</v>
      </c>
      <c r="BQ750" t="str">
        <f t="shared" si="888"/>
        <v>BOGOTA</v>
      </c>
    </row>
    <row r="751" spans="1:69" x14ac:dyDescent="0.25">
      <c r="A751" t="str">
        <f>"7291506"</f>
        <v>7291506</v>
      </c>
      <c r="B751" t="str">
        <f t="shared" si="840"/>
        <v>459</v>
      </c>
      <c r="C751" t="str">
        <f>"23/12/2020 12:00:00 a. m."</f>
        <v>23/12/2020 12:00:00 a. m.</v>
      </c>
      <c r="D751" t="str">
        <f>"52"</f>
        <v>52</v>
      </c>
      <c r="E751" t="str">
        <f t="shared" si="841"/>
        <v>2020</v>
      </c>
      <c r="F751" t="str">
        <f>"1100109456"</f>
        <v>1100109456</v>
      </c>
      <c r="G751" t="str">
        <f t="shared" si="885"/>
        <v>01</v>
      </c>
      <c r="H751" t="str">
        <f>"6"</f>
        <v>6</v>
      </c>
      <c r="I751" t="str">
        <f t="shared" si="868"/>
        <v>1</v>
      </c>
      <c r="J751" t="str">
        <f>"F"</f>
        <v>F</v>
      </c>
      <c r="K751" t="str">
        <f t="shared" si="853"/>
        <v>170</v>
      </c>
      <c r="L751" t="str">
        <f t="shared" si="889"/>
        <v>11</v>
      </c>
      <c r="M751" t="str">
        <f t="shared" si="890"/>
        <v>001</v>
      </c>
      <c r="N751" t="str">
        <f t="shared" si="891"/>
        <v>1</v>
      </c>
      <c r="O751" t="str">
        <f t="shared" si="897"/>
        <v>9997</v>
      </c>
      <c r="P751" t="str">
        <f t="shared" si="896"/>
        <v>C</v>
      </c>
      <c r="Q751" t="str">
        <f>"EPS008"</f>
        <v>EPS008</v>
      </c>
      <c r="R751" t="str">
        <f t="shared" si="873"/>
        <v>6</v>
      </c>
      <c r="S751" t="str">
        <f>""</f>
        <v/>
      </c>
      <c r="T751" t="str">
        <f t="shared" si="874"/>
        <v xml:space="preserve">                                                                                                    </v>
      </c>
      <c r="U751" t="str">
        <f>"4         "</f>
        <v xml:space="preserve">4         </v>
      </c>
      <c r="V751" t="str">
        <f t="shared" si="818"/>
        <v>2</v>
      </c>
      <c r="W751" t="str">
        <f t="shared" si="875"/>
        <v>2</v>
      </c>
      <c r="X751" t="str">
        <f t="shared" si="870"/>
        <v>2</v>
      </c>
      <c r="Y751" t="str">
        <f t="shared" si="877"/>
        <v>2</v>
      </c>
      <c r="Z751" t="str">
        <f t="shared" si="877"/>
        <v>2</v>
      </c>
      <c r="AA751" t="str">
        <f t="shared" si="842"/>
        <v xml:space="preserve">          </v>
      </c>
      <c r="AB751" t="str">
        <f t="shared" si="830"/>
        <v>2</v>
      </c>
      <c r="AC751" t="str">
        <f t="shared" si="832"/>
        <v>2</v>
      </c>
      <c r="AD751" t="str">
        <f t="shared" si="878"/>
        <v>2</v>
      </c>
      <c r="AE751" t="str">
        <f t="shared" si="878"/>
        <v>2</v>
      </c>
      <c r="AF751" t="str">
        <f t="shared" si="878"/>
        <v>2</v>
      </c>
      <c r="AG751" t="str">
        <f t="shared" si="878"/>
        <v>2</v>
      </c>
      <c r="AH751" t="str">
        <f t="shared" si="876"/>
        <v>1</v>
      </c>
      <c r="AI751" t="str">
        <f t="shared" si="884"/>
        <v xml:space="preserve">1         </v>
      </c>
      <c r="AJ751" t="str">
        <f t="shared" si="854"/>
        <v>170</v>
      </c>
      <c r="AK751" t="str">
        <f t="shared" si="892"/>
        <v>11</v>
      </c>
      <c r="AL751" t="str">
        <f t="shared" si="893"/>
        <v>001</v>
      </c>
      <c r="AM751" t="str">
        <f t="shared" si="886"/>
        <v>11</v>
      </c>
      <c r="AN751" t="str">
        <f t="shared" si="887"/>
        <v>11001</v>
      </c>
      <c r="AO751" t="str">
        <f>"22/12/2020 12:00:00 a. m."</f>
        <v>22/12/2020 12:00:00 a. m.</v>
      </c>
      <c r="AP751" t="str">
        <f>"1/11/2020 12:00:00 a. m."</f>
        <v>1/11/2020 12:00:00 a. m.</v>
      </c>
      <c r="AQ751" t="str">
        <f>"2"</f>
        <v>2</v>
      </c>
      <c r="AR751" t="str">
        <f t="shared" si="882"/>
        <v>1</v>
      </c>
      <c r="AS751" t="str">
        <f>"22/12/2020 12:00:00 a. m."</f>
        <v>22/12/2020 12:00:00 a. m.</v>
      </c>
      <c r="AT751" t="str">
        <f t="shared" si="879"/>
        <v>1</v>
      </c>
      <c r="AU751" t="str">
        <f>""</f>
        <v/>
      </c>
      <c r="AV751" t="str">
        <f>"3"</f>
        <v>3</v>
      </c>
      <c r="AW751" t="str">
        <f>"22/01/2014 12:00:00 a. m."</f>
        <v>22/01/2014 12:00:00 a. m.</v>
      </c>
      <c r="AX751" t="str">
        <f>""</f>
        <v/>
      </c>
      <c r="AY751" t="str">
        <f t="shared" si="844"/>
        <v>30/04/2021 12:00:00 a. m.</v>
      </c>
      <c r="AZ751" t="str">
        <f>"22/01/2021 12:00:00 a. m."</f>
        <v>22/01/2021 12:00:00 a. m.</v>
      </c>
      <c r="BA751" t="str">
        <f>""</f>
        <v/>
      </c>
      <c r="BB751" t="str">
        <f>""</f>
        <v/>
      </c>
      <c r="BC751" t="str">
        <f>""</f>
        <v/>
      </c>
      <c r="BD751" t="str">
        <f t="shared" si="883"/>
        <v>1</v>
      </c>
      <c r="BE751" t="str">
        <f t="shared" si="883"/>
        <v>1</v>
      </c>
      <c r="BF751" t="str">
        <f t="shared" si="845"/>
        <v xml:space="preserve">3         </v>
      </c>
      <c r="BG751" t="str">
        <f t="shared" si="846"/>
        <v>Confirmado por laboratorio</v>
      </c>
      <c r="BH751" t="str">
        <f>"HOSPITAL UNIVERSITARIO SAN IGNACIO"</f>
        <v>HOSPITAL UNIVERSITARIO SAN IGNACIO</v>
      </c>
      <c r="BI751" t="str">
        <f t="shared" si="855"/>
        <v>COLOMBIA</v>
      </c>
      <c r="BJ751" t="str">
        <f t="shared" si="847"/>
        <v>CANCER INFANTIL</v>
      </c>
      <c r="BK751" t="str">
        <f t="shared" si="894"/>
        <v>BOGOTA</v>
      </c>
      <c r="BL751" t="str">
        <f t="shared" si="894"/>
        <v>BOGOTA</v>
      </c>
      <c r="BM751" t="str">
        <f t="shared" si="856"/>
        <v>COLOMBIA</v>
      </c>
      <c r="BN751" t="str">
        <f t="shared" si="895"/>
        <v>BOGOTA</v>
      </c>
      <c r="BO751" t="str">
        <f t="shared" si="895"/>
        <v>BOGOTA</v>
      </c>
      <c r="BP751" t="str">
        <f t="shared" si="888"/>
        <v>BOGOTA</v>
      </c>
      <c r="BQ751" t="str">
        <f t="shared" si="888"/>
        <v>BOGOTA</v>
      </c>
    </row>
    <row r="752" spans="1:69" x14ac:dyDescent="0.25">
      <c r="A752" t="str">
        <f>"7285681"</f>
        <v>7285681</v>
      </c>
      <c r="B752" t="str">
        <f t="shared" si="840"/>
        <v>459</v>
      </c>
      <c r="C752" t="str">
        <f>"24/04/2020 12:00:00 a. m."</f>
        <v>24/04/2020 12:00:00 a. m.</v>
      </c>
      <c r="D752" t="str">
        <f>"15"</f>
        <v>15</v>
      </c>
      <c r="E752" t="str">
        <f t="shared" si="841"/>
        <v>2020</v>
      </c>
      <c r="F752" t="str">
        <f>"1100105681"</f>
        <v>1100105681</v>
      </c>
      <c r="G752" t="str">
        <f t="shared" si="885"/>
        <v>01</v>
      </c>
      <c r="H752" t="str">
        <f>"7"</f>
        <v>7</v>
      </c>
      <c r="I752" t="str">
        <f t="shared" si="868"/>
        <v>1</v>
      </c>
      <c r="J752" t="str">
        <f>"F"</f>
        <v>F</v>
      </c>
      <c r="K752" t="str">
        <f t="shared" si="853"/>
        <v>170</v>
      </c>
      <c r="L752" t="str">
        <f t="shared" si="889"/>
        <v>11</v>
      </c>
      <c r="M752" t="str">
        <f t="shared" si="890"/>
        <v>001</v>
      </c>
      <c r="N752" t="str">
        <f t="shared" si="891"/>
        <v>1</v>
      </c>
      <c r="O752" t="str">
        <f t="shared" si="897"/>
        <v>9997</v>
      </c>
      <c r="P752" t="str">
        <f t="shared" si="896"/>
        <v>C</v>
      </c>
      <c r="Q752" t="str">
        <f>"EPS008"</f>
        <v>EPS008</v>
      </c>
      <c r="R752" t="str">
        <f t="shared" si="873"/>
        <v>6</v>
      </c>
      <c r="S752" t="str">
        <f>""</f>
        <v/>
      </c>
      <c r="T752" t="str">
        <f t="shared" si="874"/>
        <v xml:space="preserve">                                                                                                    </v>
      </c>
      <c r="U752" t="str">
        <f>"2         "</f>
        <v xml:space="preserve">2         </v>
      </c>
      <c r="V752" t="str">
        <f t="shared" si="818"/>
        <v>2</v>
      </c>
      <c r="W752" t="str">
        <f t="shared" si="875"/>
        <v>2</v>
      </c>
      <c r="X752" t="str">
        <f t="shared" si="870"/>
        <v>2</v>
      </c>
      <c r="Y752" t="str">
        <f t="shared" si="877"/>
        <v>2</v>
      </c>
      <c r="Z752" t="str">
        <f t="shared" si="877"/>
        <v>2</v>
      </c>
      <c r="AA752" t="str">
        <f t="shared" si="842"/>
        <v xml:space="preserve">          </v>
      </c>
      <c r="AB752" t="str">
        <f t="shared" si="830"/>
        <v>2</v>
      </c>
      <c r="AC752" t="str">
        <f t="shared" si="832"/>
        <v>2</v>
      </c>
      <c r="AD752" t="str">
        <f t="shared" si="878"/>
        <v>2</v>
      </c>
      <c r="AE752" t="str">
        <f t="shared" si="878"/>
        <v>2</v>
      </c>
      <c r="AF752" t="str">
        <f t="shared" si="878"/>
        <v>2</v>
      </c>
      <c r="AG752" t="str">
        <f t="shared" si="878"/>
        <v>2</v>
      </c>
      <c r="AH752" t="str">
        <f t="shared" si="876"/>
        <v>1</v>
      </c>
      <c r="AI752" t="str">
        <f t="shared" si="884"/>
        <v xml:space="preserve">1         </v>
      </c>
      <c r="AJ752" t="str">
        <f t="shared" si="854"/>
        <v>170</v>
      </c>
      <c r="AK752" t="str">
        <f t="shared" si="892"/>
        <v>11</v>
      </c>
      <c r="AL752" t="str">
        <f t="shared" si="893"/>
        <v>001</v>
      </c>
      <c r="AM752" t="str">
        <f t="shared" si="886"/>
        <v>11</v>
      </c>
      <c r="AN752" t="str">
        <f t="shared" si="887"/>
        <v>11001</v>
      </c>
      <c r="AO752" t="str">
        <f>"6/04/2020 12:00:00 a. m."</f>
        <v>6/04/2020 12:00:00 a. m.</v>
      </c>
      <c r="AP752" t="str">
        <f>"6/04/2020 12:00:00 a. m."</f>
        <v>6/04/2020 12:00:00 a. m.</v>
      </c>
      <c r="AQ752" t="str">
        <f t="shared" ref="AQ752:AQ761" si="898">"3"</f>
        <v>3</v>
      </c>
      <c r="AR752" t="str">
        <f t="shared" si="882"/>
        <v>1</v>
      </c>
      <c r="AS752" t="str">
        <f>"6/04/2020 12:00:00 a. m."</f>
        <v>6/04/2020 12:00:00 a. m.</v>
      </c>
      <c r="AT752" t="str">
        <f t="shared" si="879"/>
        <v>1</v>
      </c>
      <c r="AU752" t="str">
        <f>""</f>
        <v/>
      </c>
      <c r="AV752" t="str">
        <f>"0"</f>
        <v>0</v>
      </c>
      <c r="AW752" t="str">
        <f>"10/11/2012 12:00:00 a. m."</f>
        <v>10/11/2012 12:00:00 a. m.</v>
      </c>
      <c r="AX752" t="str">
        <f>""</f>
        <v/>
      </c>
      <c r="AY752" t="str">
        <f t="shared" si="844"/>
        <v>30/04/2021 12:00:00 a. m.</v>
      </c>
      <c r="AZ752" t="str">
        <f>"16/06/2020 12:00:00 a. m."</f>
        <v>16/06/2020 12:00:00 a. m.</v>
      </c>
      <c r="BA752" t="str">
        <f>""</f>
        <v/>
      </c>
      <c r="BB752" t="str">
        <f>""</f>
        <v/>
      </c>
      <c r="BC752" t="str">
        <f>""</f>
        <v/>
      </c>
      <c r="BD752" t="str">
        <f t="shared" si="883"/>
        <v>1</v>
      </c>
      <c r="BE752" t="str">
        <f t="shared" si="883"/>
        <v>1</v>
      </c>
      <c r="BF752" t="str">
        <f t="shared" si="845"/>
        <v xml:space="preserve">3         </v>
      </c>
      <c r="BG752" t="str">
        <f t="shared" si="846"/>
        <v>Confirmado por laboratorio</v>
      </c>
      <c r="BH752" t="str">
        <f>"FUNDACION HOSPITAL DE LA MISERICORDIA"</f>
        <v>FUNDACION HOSPITAL DE LA MISERICORDIA</v>
      </c>
      <c r="BI752" t="str">
        <f t="shared" si="855"/>
        <v>COLOMBIA</v>
      </c>
      <c r="BJ752" t="str">
        <f t="shared" si="847"/>
        <v>CANCER INFANTIL</v>
      </c>
      <c r="BK752" t="str">
        <f t="shared" si="894"/>
        <v>BOGOTA</v>
      </c>
      <c r="BL752" t="str">
        <f t="shared" si="894"/>
        <v>BOGOTA</v>
      </c>
      <c r="BM752" t="str">
        <f t="shared" si="856"/>
        <v>COLOMBIA</v>
      </c>
      <c r="BN752" t="str">
        <f t="shared" si="895"/>
        <v>BOGOTA</v>
      </c>
      <c r="BO752" t="str">
        <f t="shared" si="895"/>
        <v>BOGOTA</v>
      </c>
      <c r="BP752" t="str">
        <f t="shared" si="888"/>
        <v>BOGOTA</v>
      </c>
      <c r="BQ752" t="str">
        <f t="shared" si="888"/>
        <v>BOGOTA</v>
      </c>
    </row>
    <row r="753" spans="1:69" x14ac:dyDescent="0.25">
      <c r="A753" t="str">
        <f>"7285683"</f>
        <v>7285683</v>
      </c>
      <c r="B753" t="str">
        <f t="shared" si="840"/>
        <v>459</v>
      </c>
      <c r="C753" t="str">
        <f>"23/09/2020 12:00:00 a. m."</f>
        <v>23/09/2020 12:00:00 a. m.</v>
      </c>
      <c r="D753" t="str">
        <f>"33"</f>
        <v>33</v>
      </c>
      <c r="E753" t="str">
        <f t="shared" si="841"/>
        <v>2020</v>
      </c>
      <c r="F753" t="str">
        <f>"1100105681"</f>
        <v>1100105681</v>
      </c>
      <c r="G753" t="str">
        <f t="shared" si="885"/>
        <v>01</v>
      </c>
      <c r="H753" t="str">
        <f>"16"</f>
        <v>16</v>
      </c>
      <c r="I753" t="str">
        <f t="shared" si="868"/>
        <v>1</v>
      </c>
      <c r="J753" t="str">
        <f>"M"</f>
        <v>M</v>
      </c>
      <c r="K753" t="str">
        <f t="shared" si="853"/>
        <v>170</v>
      </c>
      <c r="L753" t="str">
        <f t="shared" si="889"/>
        <v>11</v>
      </c>
      <c r="M753" t="str">
        <f t="shared" si="890"/>
        <v>001</v>
      </c>
      <c r="N753" t="str">
        <f t="shared" si="891"/>
        <v>1</v>
      </c>
      <c r="O753" t="str">
        <f t="shared" si="897"/>
        <v>9997</v>
      </c>
      <c r="P753" t="str">
        <f t="shared" si="896"/>
        <v>C</v>
      </c>
      <c r="Q753" t="str">
        <f>"EPS008"</f>
        <v>EPS008</v>
      </c>
      <c r="R753" t="str">
        <f t="shared" si="873"/>
        <v>6</v>
      </c>
      <c r="S753" t="str">
        <f>""</f>
        <v/>
      </c>
      <c r="T753" t="str">
        <f t="shared" si="874"/>
        <v xml:space="preserve">                                                                                                    </v>
      </c>
      <c r="U753" t="str">
        <f>"2         "</f>
        <v xml:space="preserve">2         </v>
      </c>
      <c r="V753" t="str">
        <f t="shared" si="818"/>
        <v>2</v>
      </c>
      <c r="W753" t="str">
        <f t="shared" si="875"/>
        <v>2</v>
      </c>
      <c r="X753" t="str">
        <f t="shared" si="870"/>
        <v>2</v>
      </c>
      <c r="Y753" t="str">
        <f t="shared" si="877"/>
        <v>2</v>
      </c>
      <c r="Z753" t="str">
        <f t="shared" si="877"/>
        <v>2</v>
      </c>
      <c r="AA753" t="str">
        <f t="shared" si="842"/>
        <v xml:space="preserve">          </v>
      </c>
      <c r="AB753" t="str">
        <f t="shared" si="830"/>
        <v>2</v>
      </c>
      <c r="AC753" t="str">
        <f t="shared" si="832"/>
        <v>2</v>
      </c>
      <c r="AD753" t="str">
        <f t="shared" si="878"/>
        <v>2</v>
      </c>
      <c r="AE753" t="str">
        <f t="shared" si="878"/>
        <v>2</v>
      </c>
      <c r="AF753" t="str">
        <f t="shared" si="878"/>
        <v>2</v>
      </c>
      <c r="AG753" t="str">
        <f t="shared" si="878"/>
        <v>2</v>
      </c>
      <c r="AH753" t="str">
        <f t="shared" si="876"/>
        <v>1</v>
      </c>
      <c r="AI753" t="str">
        <f t="shared" si="884"/>
        <v xml:space="preserve">1         </v>
      </c>
      <c r="AJ753" t="str">
        <f t="shared" si="854"/>
        <v>170</v>
      </c>
      <c r="AK753" t="str">
        <f t="shared" si="892"/>
        <v>11</v>
      </c>
      <c r="AL753" t="str">
        <f t="shared" si="893"/>
        <v>001</v>
      </c>
      <c r="AM753" t="str">
        <f t="shared" si="886"/>
        <v>11</v>
      </c>
      <c r="AN753" t="str">
        <f t="shared" si="887"/>
        <v>11001</v>
      </c>
      <c r="AO753" t="str">
        <f>"14/08/2020 12:00:00 a. m."</f>
        <v>14/08/2020 12:00:00 a. m.</v>
      </c>
      <c r="AP753" t="str">
        <f>"14/06/2020 12:00:00 a. m."</f>
        <v>14/06/2020 12:00:00 a. m.</v>
      </c>
      <c r="AQ753" t="str">
        <f t="shared" si="898"/>
        <v>3</v>
      </c>
      <c r="AR753" t="str">
        <f t="shared" si="882"/>
        <v>1</v>
      </c>
      <c r="AS753" t="str">
        <f>"14/08/2020 12:00:00 a. m."</f>
        <v>14/08/2020 12:00:00 a. m.</v>
      </c>
      <c r="AT753" t="str">
        <f t="shared" si="879"/>
        <v>1</v>
      </c>
      <c r="AU753" t="str">
        <f>""</f>
        <v/>
      </c>
      <c r="AV753" t="str">
        <f>"0"</f>
        <v>0</v>
      </c>
      <c r="AW753" t="str">
        <f>"15/05/2004 12:00:00 a. m."</f>
        <v>15/05/2004 12:00:00 a. m.</v>
      </c>
      <c r="AX753" t="str">
        <f>""</f>
        <v/>
      </c>
      <c r="AY753" t="str">
        <f t="shared" si="844"/>
        <v>30/04/2021 12:00:00 a. m.</v>
      </c>
      <c r="AZ753" t="str">
        <f>"13/10/2020 12:00:00 a. m."</f>
        <v>13/10/2020 12:00:00 a. m.</v>
      </c>
      <c r="BA753" t="str">
        <f>""</f>
        <v/>
      </c>
      <c r="BB753" t="str">
        <f>""</f>
        <v/>
      </c>
      <c r="BC753" t="str">
        <f>""</f>
        <v/>
      </c>
      <c r="BD753" t="str">
        <f t="shared" si="883"/>
        <v>1</v>
      </c>
      <c r="BE753" t="str">
        <f t="shared" si="883"/>
        <v>1</v>
      </c>
      <c r="BF753" t="str">
        <f t="shared" si="845"/>
        <v xml:space="preserve">3         </v>
      </c>
      <c r="BG753" t="str">
        <f t="shared" si="846"/>
        <v>Confirmado por laboratorio</v>
      </c>
      <c r="BH753" t="str">
        <f>"FUNDACION HOSPITAL DE LA MISERICORDIA"</f>
        <v>FUNDACION HOSPITAL DE LA MISERICORDIA</v>
      </c>
      <c r="BI753" t="str">
        <f t="shared" si="855"/>
        <v>COLOMBIA</v>
      </c>
      <c r="BJ753" t="str">
        <f t="shared" si="847"/>
        <v>CANCER INFANTIL</v>
      </c>
      <c r="BK753" t="str">
        <f t="shared" si="894"/>
        <v>BOGOTA</v>
      </c>
      <c r="BL753" t="str">
        <f t="shared" si="894"/>
        <v>BOGOTA</v>
      </c>
      <c r="BM753" t="str">
        <f t="shared" si="856"/>
        <v>COLOMBIA</v>
      </c>
      <c r="BN753" t="str">
        <f t="shared" si="895"/>
        <v>BOGOTA</v>
      </c>
      <c r="BO753" t="str">
        <f t="shared" si="895"/>
        <v>BOGOTA</v>
      </c>
      <c r="BP753" t="str">
        <f t="shared" si="888"/>
        <v>BOGOTA</v>
      </c>
      <c r="BQ753" t="str">
        <f t="shared" si="888"/>
        <v>BOGOTA</v>
      </c>
    </row>
    <row r="754" spans="1:69" x14ac:dyDescent="0.25">
      <c r="A754" t="str">
        <f>"7285684"</f>
        <v>7285684</v>
      </c>
      <c r="B754" t="str">
        <f t="shared" si="840"/>
        <v>459</v>
      </c>
      <c r="C754" t="str">
        <f>"10/09/2020 12:00:00 a. m."</f>
        <v>10/09/2020 12:00:00 a. m.</v>
      </c>
      <c r="D754" t="str">
        <f>"34"</f>
        <v>34</v>
      </c>
      <c r="E754" t="str">
        <f t="shared" si="841"/>
        <v>2020</v>
      </c>
      <c r="F754" t="str">
        <f>"1100105681"</f>
        <v>1100105681</v>
      </c>
      <c r="G754" t="str">
        <f t="shared" si="885"/>
        <v>01</v>
      </c>
      <c r="H754" t="str">
        <f>"14"</f>
        <v>14</v>
      </c>
      <c r="I754" t="str">
        <f t="shared" si="868"/>
        <v>1</v>
      </c>
      <c r="J754" t="str">
        <f>"M"</f>
        <v>M</v>
      </c>
      <c r="K754" t="str">
        <f t="shared" si="853"/>
        <v>170</v>
      </c>
      <c r="L754" t="str">
        <f t="shared" si="889"/>
        <v>11</v>
      </c>
      <c r="M754" t="str">
        <f t="shared" si="890"/>
        <v>001</v>
      </c>
      <c r="N754" t="str">
        <f t="shared" si="891"/>
        <v>1</v>
      </c>
      <c r="O754" t="str">
        <f t="shared" si="897"/>
        <v>9997</v>
      </c>
      <c r="P754" t="str">
        <f t="shared" si="896"/>
        <v>C</v>
      </c>
      <c r="Q754" t="str">
        <f>"EPS017"</f>
        <v>EPS017</v>
      </c>
      <c r="R754" t="str">
        <f t="shared" si="873"/>
        <v>6</v>
      </c>
      <c r="S754" t="str">
        <f>""</f>
        <v/>
      </c>
      <c r="T754" t="str">
        <f t="shared" si="874"/>
        <v xml:space="preserve">                                                                                                    </v>
      </c>
      <c r="U754" t="str">
        <f>"3         "</f>
        <v xml:space="preserve">3         </v>
      </c>
      <c r="V754" t="str">
        <f t="shared" si="818"/>
        <v>2</v>
      </c>
      <c r="W754" t="str">
        <f t="shared" si="875"/>
        <v>2</v>
      </c>
      <c r="X754" t="str">
        <f t="shared" si="870"/>
        <v>2</v>
      </c>
      <c r="Y754" t="str">
        <f t="shared" si="877"/>
        <v>2</v>
      </c>
      <c r="Z754" t="str">
        <f t="shared" si="877"/>
        <v>2</v>
      </c>
      <c r="AA754" t="str">
        <f t="shared" si="842"/>
        <v xml:space="preserve">          </v>
      </c>
      <c r="AB754" t="str">
        <f t="shared" si="830"/>
        <v>2</v>
      </c>
      <c r="AC754" t="str">
        <f t="shared" si="832"/>
        <v>2</v>
      </c>
      <c r="AD754" t="str">
        <f t="shared" si="878"/>
        <v>2</v>
      </c>
      <c r="AE754" t="str">
        <f t="shared" si="878"/>
        <v>2</v>
      </c>
      <c r="AF754" t="str">
        <f t="shared" si="878"/>
        <v>2</v>
      </c>
      <c r="AG754" t="str">
        <f t="shared" si="878"/>
        <v>2</v>
      </c>
      <c r="AH754" t="str">
        <f t="shared" si="876"/>
        <v>1</v>
      </c>
      <c r="AI754" t="str">
        <f t="shared" si="884"/>
        <v xml:space="preserve">1         </v>
      </c>
      <c r="AJ754" t="str">
        <f t="shared" si="854"/>
        <v>170</v>
      </c>
      <c r="AK754" t="str">
        <f t="shared" si="892"/>
        <v>11</v>
      </c>
      <c r="AL754" t="str">
        <f t="shared" si="893"/>
        <v>001</v>
      </c>
      <c r="AM754" t="str">
        <f t="shared" si="886"/>
        <v>11</v>
      </c>
      <c r="AN754" t="str">
        <f t="shared" si="887"/>
        <v>11001</v>
      </c>
      <c r="AO754" t="str">
        <f>"20/08/2020 12:00:00 a. m."</f>
        <v>20/08/2020 12:00:00 a. m.</v>
      </c>
      <c r="AP754" t="str">
        <f>"5/08/2020 12:00:00 a. m."</f>
        <v>5/08/2020 12:00:00 a. m.</v>
      </c>
      <c r="AQ754" t="str">
        <f t="shared" si="898"/>
        <v>3</v>
      </c>
      <c r="AR754" t="str">
        <f t="shared" si="882"/>
        <v>1</v>
      </c>
      <c r="AS754" t="str">
        <f>"20/08/2020 12:00:00 a. m."</f>
        <v>20/08/2020 12:00:00 a. m.</v>
      </c>
      <c r="AT754" t="str">
        <f>"2"</f>
        <v>2</v>
      </c>
      <c r="AU754" t="str">
        <f>"17/01/2021 12:00:00 a. m."</f>
        <v>17/01/2021 12:00:00 a. m.</v>
      </c>
      <c r="AV754" t="str">
        <f>"7"</f>
        <v>7</v>
      </c>
      <c r="AW754" t="str">
        <f>"13/03/2006 12:00:00 a. m."</f>
        <v>13/03/2006 12:00:00 a. m.</v>
      </c>
      <c r="AX754" t="str">
        <f>"A419"</f>
        <v>A419</v>
      </c>
      <c r="AY754" t="str">
        <f t="shared" si="844"/>
        <v>30/04/2021 12:00:00 a. m.</v>
      </c>
      <c r="AZ754" t="str">
        <f>"2/02/2021 12:00:00 a. m."</f>
        <v>2/02/2021 12:00:00 a. m.</v>
      </c>
      <c r="BA754" t="str">
        <f>""</f>
        <v/>
      </c>
      <c r="BB754" t="str">
        <f>""</f>
        <v/>
      </c>
      <c r="BC754" t="str">
        <f>""</f>
        <v/>
      </c>
      <c r="BD754" t="str">
        <f t="shared" si="883"/>
        <v>1</v>
      </c>
      <c r="BE754" t="str">
        <f t="shared" si="883"/>
        <v>1</v>
      </c>
      <c r="BF754" t="str">
        <f t="shared" si="845"/>
        <v xml:space="preserve">3         </v>
      </c>
      <c r="BG754" t="str">
        <f t="shared" si="846"/>
        <v>Confirmado por laboratorio</v>
      </c>
      <c r="BH754" t="str">
        <f>"FUNDACION HOSPITAL DE LA MISERICORDIA"</f>
        <v>FUNDACION HOSPITAL DE LA MISERICORDIA</v>
      </c>
      <c r="BI754" t="str">
        <f t="shared" si="855"/>
        <v>COLOMBIA</v>
      </c>
      <c r="BJ754" t="str">
        <f t="shared" si="847"/>
        <v>CANCER INFANTIL</v>
      </c>
      <c r="BK754" t="str">
        <f t="shared" si="894"/>
        <v>BOGOTA</v>
      </c>
      <c r="BL754" t="str">
        <f t="shared" si="894"/>
        <v>BOGOTA</v>
      </c>
      <c r="BM754" t="str">
        <f t="shared" si="856"/>
        <v>COLOMBIA</v>
      </c>
      <c r="BN754" t="str">
        <f t="shared" si="895"/>
        <v>BOGOTA</v>
      </c>
      <c r="BO754" t="str">
        <f t="shared" si="895"/>
        <v>BOGOTA</v>
      </c>
      <c r="BP754" t="str">
        <f t="shared" si="888"/>
        <v>BOGOTA</v>
      </c>
      <c r="BQ754" t="str">
        <f t="shared" si="888"/>
        <v>BOGOTA</v>
      </c>
    </row>
    <row r="755" spans="1:69" x14ac:dyDescent="0.25">
      <c r="A755" t="str">
        <f>"7279184"</f>
        <v>7279184</v>
      </c>
      <c r="B755" t="str">
        <f t="shared" si="840"/>
        <v>459</v>
      </c>
      <c r="C755" t="str">
        <f>"25/08/2020 12:00:00 a. m."</f>
        <v>25/08/2020 12:00:00 a. m.</v>
      </c>
      <c r="D755" t="str">
        <f>"34"</f>
        <v>34</v>
      </c>
      <c r="E755" t="str">
        <f t="shared" si="841"/>
        <v>2020</v>
      </c>
      <c r="F755" t="str">
        <f>"7300101047"</f>
        <v>7300101047</v>
      </c>
      <c r="G755" t="str">
        <f t="shared" si="885"/>
        <v>01</v>
      </c>
      <c r="H755" t="str">
        <f>"11"</f>
        <v>11</v>
      </c>
      <c r="I755" t="str">
        <f t="shared" si="868"/>
        <v>1</v>
      </c>
      <c r="J755" t="str">
        <f>"F"</f>
        <v>F</v>
      </c>
      <c r="K755" t="str">
        <f t="shared" si="853"/>
        <v>170</v>
      </c>
      <c r="L755" t="str">
        <f>"73"</f>
        <v>73</v>
      </c>
      <c r="M755" t="str">
        <f>"461"</f>
        <v>461</v>
      </c>
      <c r="N755" t="str">
        <f t="shared" si="891"/>
        <v>1</v>
      </c>
      <c r="O755" t="str">
        <f t="shared" si="897"/>
        <v>9997</v>
      </c>
      <c r="P755" t="str">
        <f>"S"</f>
        <v>S</v>
      </c>
      <c r="Q755" t="str">
        <f>"ESS091"</f>
        <v>ESS091</v>
      </c>
      <c r="R755" t="str">
        <f t="shared" si="873"/>
        <v>6</v>
      </c>
      <c r="S755" t="str">
        <f>""</f>
        <v/>
      </c>
      <c r="T755" t="str">
        <f t="shared" si="874"/>
        <v xml:space="preserve">                                                                                                    </v>
      </c>
      <c r="U755" t="str">
        <f>"1         "</f>
        <v xml:space="preserve">1         </v>
      </c>
      <c r="V755" t="str">
        <f t="shared" ref="V755:V818" si="899">"2"</f>
        <v>2</v>
      </c>
      <c r="W755" t="str">
        <f t="shared" si="875"/>
        <v>2</v>
      </c>
      <c r="X755" t="str">
        <f t="shared" si="870"/>
        <v>2</v>
      </c>
      <c r="Y755" t="str">
        <f t="shared" si="877"/>
        <v>2</v>
      </c>
      <c r="Z755" t="str">
        <f t="shared" si="877"/>
        <v>2</v>
      </c>
      <c r="AA755" t="str">
        <f t="shared" si="842"/>
        <v xml:space="preserve">          </v>
      </c>
      <c r="AB755" t="str">
        <f t="shared" si="830"/>
        <v>2</v>
      </c>
      <c r="AC755" t="str">
        <f t="shared" si="832"/>
        <v>2</v>
      </c>
      <c r="AD755" t="str">
        <f t="shared" si="878"/>
        <v>2</v>
      </c>
      <c r="AE755" t="str">
        <f t="shared" si="878"/>
        <v>2</v>
      </c>
      <c r="AF755" t="str">
        <f t="shared" si="878"/>
        <v>2</v>
      </c>
      <c r="AG755" t="str">
        <f t="shared" si="878"/>
        <v>2</v>
      </c>
      <c r="AH755" t="str">
        <f t="shared" si="876"/>
        <v>1</v>
      </c>
      <c r="AI755" t="str">
        <f t="shared" si="884"/>
        <v xml:space="preserve">1         </v>
      </c>
      <c r="AJ755" t="str">
        <f t="shared" si="854"/>
        <v>170</v>
      </c>
      <c r="AK755" t="str">
        <f>"73"</f>
        <v>73</v>
      </c>
      <c r="AL755" t="str">
        <f>"461"</f>
        <v>461</v>
      </c>
      <c r="AM755" t="str">
        <f>"73"</f>
        <v>73</v>
      </c>
      <c r="AN755" t="str">
        <f>"73001"</f>
        <v>73001</v>
      </c>
      <c r="AO755" t="str">
        <f>"16/08/2020 12:00:00 a. m."</f>
        <v>16/08/2020 12:00:00 a. m.</v>
      </c>
      <c r="AP755" t="str">
        <f>"8/08/2020 12:00:00 a. m."</f>
        <v>8/08/2020 12:00:00 a. m.</v>
      </c>
      <c r="AQ755" t="str">
        <f t="shared" si="898"/>
        <v>3</v>
      </c>
      <c r="AR755" t="str">
        <f t="shared" si="882"/>
        <v>1</v>
      </c>
      <c r="AS755" t="str">
        <f>"16/08/2020 12:00:00 a. m."</f>
        <v>16/08/2020 12:00:00 a. m.</v>
      </c>
      <c r="AT755" t="str">
        <f t="shared" ref="AT755:AT762" si="900">"1"</f>
        <v>1</v>
      </c>
      <c r="AU755" t="str">
        <f>""</f>
        <v/>
      </c>
      <c r="AV755" t="str">
        <f>"7"</f>
        <v>7</v>
      </c>
      <c r="AW755" t="str">
        <f>"4/06/2009 12:00:00 a. m."</f>
        <v>4/06/2009 12:00:00 a. m.</v>
      </c>
      <c r="AX755" t="str">
        <f>""</f>
        <v/>
      </c>
      <c r="AY755" t="str">
        <f t="shared" si="844"/>
        <v>30/04/2021 12:00:00 a. m.</v>
      </c>
      <c r="AZ755" t="str">
        <f>"7/04/2021 12:00:00 a. m."</f>
        <v>7/04/2021 12:00:00 a. m.</v>
      </c>
      <c r="BA755" t="str">
        <f>""</f>
        <v/>
      </c>
      <c r="BB755" t="str">
        <f>""</f>
        <v/>
      </c>
      <c r="BC755" t="str">
        <f>""</f>
        <v/>
      </c>
      <c r="BD755" t="str">
        <f t="shared" si="883"/>
        <v>1</v>
      </c>
      <c r="BE755" t="str">
        <f t="shared" si="883"/>
        <v>1</v>
      </c>
      <c r="BF755" t="str">
        <f t="shared" si="845"/>
        <v xml:space="preserve">3         </v>
      </c>
      <c r="BG755" t="str">
        <f t="shared" si="846"/>
        <v>Confirmado por laboratorio</v>
      </c>
      <c r="BH755" t="str">
        <f>"HOSPITAL FEDERICO LLERAS ACOSTA ESE SEDE LA FRANC"</f>
        <v>HOSPITAL FEDERICO LLERAS ACOSTA ESE SEDE LA FRANC</v>
      </c>
      <c r="BI755" t="str">
        <f t="shared" si="855"/>
        <v>COLOMBIA</v>
      </c>
      <c r="BJ755" t="str">
        <f t="shared" si="847"/>
        <v>CANCER INFANTIL</v>
      </c>
      <c r="BK755" t="str">
        <f>"TOLIMA"</f>
        <v>TOLIMA</v>
      </c>
      <c r="BL755" t="str">
        <f>"MURILLO"</f>
        <v>MURILLO</v>
      </c>
      <c r="BM755" t="str">
        <f t="shared" si="856"/>
        <v>COLOMBIA</v>
      </c>
      <c r="BN755" t="str">
        <f>"TOLIMA"</f>
        <v>TOLIMA</v>
      </c>
      <c r="BO755" t="str">
        <f>"MURILLO"</f>
        <v>MURILLO</v>
      </c>
      <c r="BP755" t="str">
        <f>"TOLIMA"</f>
        <v>TOLIMA</v>
      </c>
      <c r="BQ755" t="str">
        <f>"IBAGUE"</f>
        <v>IBAGUE</v>
      </c>
    </row>
    <row r="756" spans="1:69" x14ac:dyDescent="0.25">
      <c r="A756" t="str">
        <f>"7279185"</f>
        <v>7279185</v>
      </c>
      <c r="B756" t="str">
        <f t="shared" si="840"/>
        <v>459</v>
      </c>
      <c r="C756" t="str">
        <f>"22/02/2021 12:00:00 a. m."</f>
        <v>22/02/2021 12:00:00 a. m.</v>
      </c>
      <c r="D756" t="str">
        <f>"23"</f>
        <v>23</v>
      </c>
      <c r="E756" t="str">
        <f t="shared" si="841"/>
        <v>2020</v>
      </c>
      <c r="F756" t="str">
        <f>"7600101111"</f>
        <v>7600101111</v>
      </c>
      <c r="G756" t="str">
        <f t="shared" si="885"/>
        <v>01</v>
      </c>
      <c r="H756" t="str">
        <f>"6"</f>
        <v>6</v>
      </c>
      <c r="I756" t="str">
        <f t="shared" si="868"/>
        <v>1</v>
      </c>
      <c r="J756" t="str">
        <f>"F"</f>
        <v>F</v>
      </c>
      <c r="K756" t="str">
        <f t="shared" si="853"/>
        <v>170</v>
      </c>
      <c r="L756" t="str">
        <f>"76"</f>
        <v>76</v>
      </c>
      <c r="M756" t="str">
        <f t="shared" ref="M756:M763" si="901">"001"</f>
        <v>001</v>
      </c>
      <c r="N756" t="str">
        <f t="shared" si="891"/>
        <v>1</v>
      </c>
      <c r="O756" t="str">
        <f t="shared" si="897"/>
        <v>9997</v>
      </c>
      <c r="P756" t="str">
        <f>"C"</f>
        <v>C</v>
      </c>
      <c r="Q756" t="str">
        <f>"EMP028"</f>
        <v>EMP028</v>
      </c>
      <c r="R756" t="str">
        <f t="shared" si="873"/>
        <v>6</v>
      </c>
      <c r="S756" t="str">
        <f>""</f>
        <v/>
      </c>
      <c r="T756" t="str">
        <f t="shared" si="874"/>
        <v xml:space="preserve">                                                                                                    </v>
      </c>
      <c r="U756" t="str">
        <f>"5         "</f>
        <v xml:space="preserve">5         </v>
      </c>
      <c r="V756" t="str">
        <f t="shared" si="899"/>
        <v>2</v>
      </c>
      <c r="W756" t="str">
        <f t="shared" si="875"/>
        <v>2</v>
      </c>
      <c r="X756" t="str">
        <f t="shared" si="870"/>
        <v>2</v>
      </c>
      <c r="Y756" t="str">
        <f t="shared" si="877"/>
        <v>2</v>
      </c>
      <c r="Z756" t="str">
        <f t="shared" si="877"/>
        <v>2</v>
      </c>
      <c r="AA756" t="str">
        <f t="shared" si="842"/>
        <v xml:space="preserve">          </v>
      </c>
      <c r="AB756" t="str">
        <f t="shared" si="830"/>
        <v>2</v>
      </c>
      <c r="AC756" t="str">
        <f t="shared" si="832"/>
        <v>2</v>
      </c>
      <c r="AD756" t="str">
        <f t="shared" si="878"/>
        <v>2</v>
      </c>
      <c r="AE756" t="str">
        <f t="shared" si="878"/>
        <v>2</v>
      </c>
      <c r="AF756" t="str">
        <f t="shared" si="878"/>
        <v>2</v>
      </c>
      <c r="AG756" t="str">
        <f t="shared" si="878"/>
        <v>2</v>
      </c>
      <c r="AH756" t="str">
        <f t="shared" si="876"/>
        <v>1</v>
      </c>
      <c r="AI756" t="str">
        <f t="shared" si="884"/>
        <v xml:space="preserve">1         </v>
      </c>
      <c r="AJ756" t="str">
        <f t="shared" si="854"/>
        <v>170</v>
      </c>
      <c r="AK756" t="str">
        <f>"76"</f>
        <v>76</v>
      </c>
      <c r="AL756" t="str">
        <f t="shared" ref="AL756:AL763" si="902">"001"</f>
        <v>001</v>
      </c>
      <c r="AM756" t="str">
        <f>"76"</f>
        <v>76</v>
      </c>
      <c r="AN756" t="str">
        <f>"76001"</f>
        <v>76001</v>
      </c>
      <c r="AO756" t="str">
        <f>"3/06/2020 12:00:00 a. m."</f>
        <v>3/06/2020 12:00:00 a. m.</v>
      </c>
      <c r="AP756" t="str">
        <f>"28/05/2020 12:00:00 a. m."</f>
        <v>28/05/2020 12:00:00 a. m.</v>
      </c>
      <c r="AQ756" t="str">
        <f t="shared" si="898"/>
        <v>3</v>
      </c>
      <c r="AR756" t="str">
        <f t="shared" si="882"/>
        <v>1</v>
      </c>
      <c r="AS756" t="str">
        <f>"3/06/2020 12:00:00 a. m."</f>
        <v>3/06/2020 12:00:00 a. m.</v>
      </c>
      <c r="AT756" t="str">
        <f t="shared" si="900"/>
        <v>1</v>
      </c>
      <c r="AU756" t="str">
        <f>""</f>
        <v/>
      </c>
      <c r="AV756" t="str">
        <f>"0"</f>
        <v>0</v>
      </c>
      <c r="AW756" t="str">
        <f>"13/10/2014 12:00:00 a. m."</f>
        <v>13/10/2014 12:00:00 a. m.</v>
      </c>
      <c r="AX756" t="str">
        <f>""</f>
        <v/>
      </c>
      <c r="AY756" t="str">
        <f t="shared" si="844"/>
        <v>30/04/2021 12:00:00 a. m.</v>
      </c>
      <c r="AZ756" t="str">
        <f>"22/02/2021 12:00:00 a. m."</f>
        <v>22/02/2021 12:00:00 a. m.</v>
      </c>
      <c r="BA756" t="str">
        <f>""</f>
        <v/>
      </c>
      <c r="BB756" t="str">
        <f>""</f>
        <v/>
      </c>
      <c r="BC756" t="str">
        <f>""</f>
        <v/>
      </c>
      <c r="BD756" t="str">
        <f t="shared" si="883"/>
        <v>1</v>
      </c>
      <c r="BE756" t="str">
        <f t="shared" si="883"/>
        <v>1</v>
      </c>
      <c r="BF756" t="str">
        <f t="shared" si="845"/>
        <v xml:space="preserve">3         </v>
      </c>
      <c r="BG756" t="str">
        <f t="shared" si="846"/>
        <v>Confirmado por laboratorio</v>
      </c>
      <c r="BH756" t="str">
        <f>"CENTRO MEDICO IMBANACO CMI"</f>
        <v>CENTRO MEDICO IMBANACO CMI</v>
      </c>
      <c r="BI756" t="str">
        <f t="shared" si="855"/>
        <v>COLOMBIA</v>
      </c>
      <c r="BJ756" t="str">
        <f t="shared" si="847"/>
        <v>CANCER INFANTIL</v>
      </c>
      <c r="BK756" t="str">
        <f>"VALLE"</f>
        <v>VALLE</v>
      </c>
      <c r="BL756" t="str">
        <f>"CALI"</f>
        <v>CALI</v>
      </c>
      <c r="BM756" t="str">
        <f t="shared" si="856"/>
        <v>COLOMBIA</v>
      </c>
      <c r="BN756" t="str">
        <f>"VALLE"</f>
        <v>VALLE</v>
      </c>
      <c r="BO756" t="str">
        <f>"CALI"</f>
        <v>CALI</v>
      </c>
      <c r="BP756" t="str">
        <f>"VALLE"</f>
        <v>VALLE</v>
      </c>
      <c r="BQ756" t="str">
        <f>"CALI"</f>
        <v>CALI</v>
      </c>
    </row>
    <row r="757" spans="1:69" x14ac:dyDescent="0.25">
      <c r="A757" t="str">
        <f>"7279190"</f>
        <v>7279190</v>
      </c>
      <c r="B757" t="str">
        <f t="shared" si="840"/>
        <v>459</v>
      </c>
      <c r="C757" t="str">
        <f>"3/08/2020 12:00:00 a. m."</f>
        <v>3/08/2020 12:00:00 a. m.</v>
      </c>
      <c r="D757" t="str">
        <f>"28"</f>
        <v>28</v>
      </c>
      <c r="E757" t="str">
        <f t="shared" si="841"/>
        <v>2020</v>
      </c>
      <c r="F757" t="str">
        <f>"7600102870"</f>
        <v>7600102870</v>
      </c>
      <c r="G757" t="str">
        <f t="shared" si="885"/>
        <v>01</v>
      </c>
      <c r="H757" t="str">
        <f>"2"</f>
        <v>2</v>
      </c>
      <c r="I757" t="str">
        <f t="shared" si="868"/>
        <v>1</v>
      </c>
      <c r="J757" t="str">
        <f>"M"</f>
        <v>M</v>
      </c>
      <c r="K757" t="str">
        <f t="shared" si="853"/>
        <v>170</v>
      </c>
      <c r="L757" t="str">
        <f>"76"</f>
        <v>76</v>
      </c>
      <c r="M757" t="str">
        <f t="shared" si="901"/>
        <v>001</v>
      </c>
      <c r="N757" t="str">
        <f t="shared" si="891"/>
        <v>1</v>
      </c>
      <c r="O757" t="str">
        <f>"9999"</f>
        <v>9999</v>
      </c>
      <c r="P757" t="str">
        <f>"C"</f>
        <v>C</v>
      </c>
      <c r="Q757" t="str">
        <f>"EPS010"</f>
        <v>EPS010</v>
      </c>
      <c r="R757" t="str">
        <f t="shared" si="873"/>
        <v>6</v>
      </c>
      <c r="S757" t="str">
        <f>""</f>
        <v/>
      </c>
      <c r="T757" t="str">
        <f t="shared" si="874"/>
        <v xml:space="preserve">                                                                                                    </v>
      </c>
      <c r="U757" t="str">
        <f>"2         "</f>
        <v xml:space="preserve">2         </v>
      </c>
      <c r="V757" t="str">
        <f t="shared" si="899"/>
        <v>2</v>
      </c>
      <c r="W757" t="str">
        <f t="shared" si="875"/>
        <v>2</v>
      </c>
      <c r="X757" t="str">
        <f t="shared" si="870"/>
        <v>2</v>
      </c>
      <c r="Y757" t="str">
        <f t="shared" si="877"/>
        <v>2</v>
      </c>
      <c r="Z757" t="str">
        <f t="shared" si="877"/>
        <v>2</v>
      </c>
      <c r="AA757" t="str">
        <f t="shared" si="842"/>
        <v xml:space="preserve">          </v>
      </c>
      <c r="AB757" t="str">
        <f t="shared" si="830"/>
        <v>2</v>
      </c>
      <c r="AC757" t="str">
        <f t="shared" si="832"/>
        <v>2</v>
      </c>
      <c r="AD757" t="str">
        <f t="shared" si="878"/>
        <v>2</v>
      </c>
      <c r="AE757" t="str">
        <f t="shared" si="878"/>
        <v>2</v>
      </c>
      <c r="AF757" t="str">
        <f t="shared" si="878"/>
        <v>2</v>
      </c>
      <c r="AG757" t="str">
        <f t="shared" si="878"/>
        <v>2</v>
      </c>
      <c r="AH757" t="str">
        <f t="shared" si="876"/>
        <v>1</v>
      </c>
      <c r="AI757" t="str">
        <f t="shared" si="884"/>
        <v xml:space="preserve">1         </v>
      </c>
      <c r="AJ757" t="str">
        <f t="shared" si="854"/>
        <v>170</v>
      </c>
      <c r="AK757" t="str">
        <f>"76"</f>
        <v>76</v>
      </c>
      <c r="AL757" t="str">
        <f t="shared" si="902"/>
        <v>001</v>
      </c>
      <c r="AM757" t="str">
        <f>"76"</f>
        <v>76</v>
      </c>
      <c r="AN757" t="str">
        <f>"76001"</f>
        <v>76001</v>
      </c>
      <c r="AO757" t="str">
        <f>"10/07/2020 12:00:00 a. m."</f>
        <v>10/07/2020 12:00:00 a. m.</v>
      </c>
      <c r="AP757" t="str">
        <f>"10/06/2020 12:00:00 a. m."</f>
        <v>10/06/2020 12:00:00 a. m.</v>
      </c>
      <c r="AQ757" t="str">
        <f t="shared" si="898"/>
        <v>3</v>
      </c>
      <c r="AR757" t="str">
        <f t="shared" si="882"/>
        <v>1</v>
      </c>
      <c r="AS757" t="str">
        <f>"10/07/2020 12:00:00 a. m."</f>
        <v>10/07/2020 12:00:00 a. m.</v>
      </c>
      <c r="AT757" t="str">
        <f t="shared" si="900"/>
        <v>1</v>
      </c>
      <c r="AU757" t="str">
        <f>""</f>
        <v/>
      </c>
      <c r="AV757" t="str">
        <f>"7"</f>
        <v>7</v>
      </c>
      <c r="AW757" t="str">
        <f>"15/06/2018 12:00:00 a. m."</f>
        <v>15/06/2018 12:00:00 a. m.</v>
      </c>
      <c r="AX757" t="str">
        <f>""</f>
        <v/>
      </c>
      <c r="AY757" t="str">
        <f t="shared" si="844"/>
        <v>30/04/2021 12:00:00 a. m.</v>
      </c>
      <c r="AZ757" t="str">
        <f>"18/08/2020 12:00:00 a. m."</f>
        <v>18/08/2020 12:00:00 a. m.</v>
      </c>
      <c r="BA757" t="str">
        <f>""</f>
        <v/>
      </c>
      <c r="BB757" t="str">
        <f>""</f>
        <v/>
      </c>
      <c r="BC757" t="str">
        <f>""</f>
        <v/>
      </c>
      <c r="BD757" t="str">
        <f t="shared" si="883"/>
        <v>1</v>
      </c>
      <c r="BE757" t="str">
        <f t="shared" si="883"/>
        <v>1</v>
      </c>
      <c r="BF757" t="str">
        <f t="shared" si="845"/>
        <v xml:space="preserve">3         </v>
      </c>
      <c r="BG757" t="str">
        <f t="shared" si="846"/>
        <v>Confirmado por laboratorio</v>
      </c>
      <c r="BH757" t="str">
        <f>"FUNDACION VALLE DEL LILI"</f>
        <v>FUNDACION VALLE DEL LILI</v>
      </c>
      <c r="BI757" t="str">
        <f t="shared" si="855"/>
        <v>COLOMBIA</v>
      </c>
      <c r="BJ757" t="str">
        <f t="shared" si="847"/>
        <v>CANCER INFANTIL</v>
      </c>
      <c r="BK757" t="str">
        <f>"VALLE"</f>
        <v>VALLE</v>
      </c>
      <c r="BL757" t="str">
        <f>"CALI"</f>
        <v>CALI</v>
      </c>
      <c r="BM757" t="str">
        <f t="shared" si="856"/>
        <v>COLOMBIA</v>
      </c>
      <c r="BN757" t="str">
        <f>"VALLE"</f>
        <v>VALLE</v>
      </c>
      <c r="BO757" t="str">
        <f>"CALI"</f>
        <v>CALI</v>
      </c>
      <c r="BP757" t="str">
        <f>"VALLE"</f>
        <v>VALLE</v>
      </c>
      <c r="BQ757" t="str">
        <f>"CALI"</f>
        <v>CALI</v>
      </c>
    </row>
    <row r="758" spans="1:69" x14ac:dyDescent="0.25">
      <c r="A758" t="str">
        <f>"7291477"</f>
        <v>7291477</v>
      </c>
      <c r="B758" t="str">
        <f t="shared" si="840"/>
        <v>459</v>
      </c>
      <c r="C758" t="str">
        <f>"19/03/2020 12:00:00 a. m."</f>
        <v>19/03/2020 12:00:00 a. m.</v>
      </c>
      <c r="D758" t="str">
        <f>"10"</f>
        <v>10</v>
      </c>
      <c r="E758" t="str">
        <f t="shared" si="841"/>
        <v>2020</v>
      </c>
      <c r="F758" t="str">
        <f>"1100106065"</f>
        <v>1100106065</v>
      </c>
      <c r="G758" t="str">
        <f t="shared" si="885"/>
        <v>01</v>
      </c>
      <c r="H758" t="str">
        <f>"15"</f>
        <v>15</v>
      </c>
      <c r="I758" t="str">
        <f t="shared" si="868"/>
        <v>1</v>
      </c>
      <c r="J758" t="str">
        <f>"F"</f>
        <v>F</v>
      </c>
      <c r="K758" t="str">
        <f t="shared" si="853"/>
        <v>170</v>
      </c>
      <c r="L758" t="str">
        <f>"11"</f>
        <v>11</v>
      </c>
      <c r="M758" t="str">
        <f t="shared" si="901"/>
        <v>001</v>
      </c>
      <c r="N758" t="str">
        <f t="shared" si="891"/>
        <v>1</v>
      </c>
      <c r="O758" t="str">
        <f>"9997"</f>
        <v>9997</v>
      </c>
      <c r="P758" t="str">
        <f>"C"</f>
        <v>C</v>
      </c>
      <c r="Q758" t="str">
        <f>"EPS010"</f>
        <v>EPS010</v>
      </c>
      <c r="R758" t="str">
        <f t="shared" si="873"/>
        <v>6</v>
      </c>
      <c r="S758" t="str">
        <f>""</f>
        <v/>
      </c>
      <c r="T758" t="str">
        <f t="shared" si="874"/>
        <v xml:space="preserve">                                                                                                    </v>
      </c>
      <c r="U758" t="str">
        <f>"2         "</f>
        <v xml:space="preserve">2         </v>
      </c>
      <c r="V758" t="str">
        <f t="shared" si="899"/>
        <v>2</v>
      </c>
      <c r="W758" t="str">
        <f t="shared" si="875"/>
        <v>2</v>
      </c>
      <c r="X758" t="str">
        <f t="shared" si="870"/>
        <v>2</v>
      </c>
      <c r="Y758" t="str">
        <f t="shared" si="877"/>
        <v>2</v>
      </c>
      <c r="Z758" t="str">
        <f t="shared" si="877"/>
        <v>2</v>
      </c>
      <c r="AA758" t="str">
        <f t="shared" si="842"/>
        <v xml:space="preserve">          </v>
      </c>
      <c r="AB758" t="str">
        <f t="shared" si="830"/>
        <v>2</v>
      </c>
      <c r="AC758" t="str">
        <f t="shared" si="832"/>
        <v>2</v>
      </c>
      <c r="AD758" t="str">
        <f t="shared" si="878"/>
        <v>2</v>
      </c>
      <c r="AE758" t="str">
        <f t="shared" si="878"/>
        <v>2</v>
      </c>
      <c r="AF758" t="str">
        <f t="shared" si="878"/>
        <v>2</v>
      </c>
      <c r="AG758" t="str">
        <f t="shared" si="878"/>
        <v>2</v>
      </c>
      <c r="AH758" t="str">
        <f t="shared" si="876"/>
        <v>1</v>
      </c>
      <c r="AI758" t="str">
        <f t="shared" si="884"/>
        <v xml:space="preserve">1         </v>
      </c>
      <c r="AJ758" t="str">
        <f t="shared" si="854"/>
        <v>170</v>
      </c>
      <c r="AK758" t="str">
        <f>"11"</f>
        <v>11</v>
      </c>
      <c r="AL758" t="str">
        <f t="shared" si="902"/>
        <v>001</v>
      </c>
      <c r="AM758" t="str">
        <f>"11"</f>
        <v>11</v>
      </c>
      <c r="AN758" t="str">
        <f>"11001"</f>
        <v>11001</v>
      </c>
      <c r="AO758" t="str">
        <f>"5/03/2020 12:00:00 a. m."</f>
        <v>5/03/2020 12:00:00 a. m.</v>
      </c>
      <c r="AP758" t="str">
        <f>"28/12/2019 12:00:00 a. m."</f>
        <v>28/12/2019 12:00:00 a. m.</v>
      </c>
      <c r="AQ758" t="str">
        <f t="shared" si="898"/>
        <v>3</v>
      </c>
      <c r="AR758" t="str">
        <f t="shared" si="882"/>
        <v>1</v>
      </c>
      <c r="AS758" t="str">
        <f>"5/03/2020 12:00:00 a. m."</f>
        <v>5/03/2020 12:00:00 a. m.</v>
      </c>
      <c r="AT758" t="str">
        <f t="shared" si="900"/>
        <v>1</v>
      </c>
      <c r="AU758" t="str">
        <f>""</f>
        <v/>
      </c>
      <c r="AV758" t="str">
        <f>"7"</f>
        <v>7</v>
      </c>
      <c r="AW758" t="str">
        <f>"13/06/2004 12:00:00 a. m."</f>
        <v>13/06/2004 12:00:00 a. m.</v>
      </c>
      <c r="AX758" t="str">
        <f>""</f>
        <v/>
      </c>
      <c r="AY758" t="str">
        <f t="shared" si="844"/>
        <v>30/04/2021 12:00:00 a. m.</v>
      </c>
      <c r="AZ758" t="str">
        <f>"30/03/2020 12:00:00 a. m."</f>
        <v>30/03/2020 12:00:00 a. m.</v>
      </c>
      <c r="BA758" t="str">
        <f>""</f>
        <v/>
      </c>
      <c r="BB758" t="str">
        <f>""</f>
        <v/>
      </c>
      <c r="BC758" t="str">
        <f>""</f>
        <v/>
      </c>
      <c r="BD758" t="str">
        <f t="shared" si="883"/>
        <v>1</v>
      </c>
      <c r="BE758" t="str">
        <f t="shared" si="883"/>
        <v>1</v>
      </c>
      <c r="BF758" t="str">
        <f t="shared" si="845"/>
        <v xml:space="preserve">3         </v>
      </c>
      <c r="BG758" t="str">
        <f t="shared" si="846"/>
        <v>Confirmado por laboratorio</v>
      </c>
      <c r="BH758" t="str">
        <f>"ESE INSTITUTO NACIONAL DE CANCEROLOGIA"</f>
        <v>ESE INSTITUTO NACIONAL DE CANCEROLOGIA</v>
      </c>
      <c r="BI758" t="str">
        <f t="shared" si="855"/>
        <v>COLOMBIA</v>
      </c>
      <c r="BJ758" t="str">
        <f t="shared" si="847"/>
        <v>CANCER INFANTIL</v>
      </c>
      <c r="BK758" t="str">
        <f>"BOGOTA"</f>
        <v>BOGOTA</v>
      </c>
      <c r="BL758" t="str">
        <f>"BOGOTA"</f>
        <v>BOGOTA</v>
      </c>
      <c r="BM758" t="str">
        <f t="shared" si="856"/>
        <v>COLOMBIA</v>
      </c>
      <c r="BN758" t="str">
        <f>"BOGOTA"</f>
        <v>BOGOTA</v>
      </c>
      <c r="BO758" t="str">
        <f>"BOGOTA"</f>
        <v>BOGOTA</v>
      </c>
      <c r="BP758" t="str">
        <f>"BOGOTA"</f>
        <v>BOGOTA</v>
      </c>
      <c r="BQ758" t="str">
        <f>"BOGOTA"</f>
        <v>BOGOTA</v>
      </c>
    </row>
    <row r="759" spans="1:69" x14ac:dyDescent="0.25">
      <c r="A759" t="str">
        <f>"7291339"</f>
        <v>7291339</v>
      </c>
      <c r="B759" t="str">
        <f t="shared" si="840"/>
        <v>459</v>
      </c>
      <c r="C759" t="str">
        <f>"8/11/2020 12:00:00 a. m."</f>
        <v>8/11/2020 12:00:00 a. m.</v>
      </c>
      <c r="D759" t="str">
        <f>"27"</f>
        <v>27</v>
      </c>
      <c r="E759" t="str">
        <f t="shared" si="841"/>
        <v>2020</v>
      </c>
      <c r="F759" t="str">
        <f>"1100105681"</f>
        <v>1100105681</v>
      </c>
      <c r="G759" t="str">
        <f t="shared" si="885"/>
        <v>01</v>
      </c>
      <c r="H759" t="str">
        <f>"5"</f>
        <v>5</v>
      </c>
      <c r="I759" t="str">
        <f t="shared" si="868"/>
        <v>1</v>
      </c>
      <c r="J759" t="str">
        <f>"M"</f>
        <v>M</v>
      </c>
      <c r="K759" t="str">
        <f t="shared" si="853"/>
        <v>170</v>
      </c>
      <c r="L759" t="str">
        <f>"73"</f>
        <v>73</v>
      </c>
      <c r="M759" t="str">
        <f t="shared" si="901"/>
        <v>001</v>
      </c>
      <c r="N759" t="str">
        <f t="shared" si="891"/>
        <v>1</v>
      </c>
      <c r="O759" t="str">
        <f>"9999"</f>
        <v>9999</v>
      </c>
      <c r="P759" t="str">
        <f>"C"</f>
        <v>C</v>
      </c>
      <c r="Q759" t="str">
        <f>"EPS005"</f>
        <v>EPS005</v>
      </c>
      <c r="R759" t="str">
        <f t="shared" si="873"/>
        <v>6</v>
      </c>
      <c r="S759" t="str">
        <f>""</f>
        <v/>
      </c>
      <c r="T759" t="str">
        <f t="shared" si="874"/>
        <v xml:space="preserve">                                                                                                    </v>
      </c>
      <c r="U759" t="str">
        <f>"2         "</f>
        <v xml:space="preserve">2         </v>
      </c>
      <c r="V759" t="str">
        <f t="shared" si="899"/>
        <v>2</v>
      </c>
      <c r="W759" t="str">
        <f t="shared" si="875"/>
        <v>2</v>
      </c>
      <c r="X759" t="str">
        <f t="shared" si="870"/>
        <v>2</v>
      </c>
      <c r="Y759" t="str">
        <f t="shared" ref="Y759:Z778" si="903">"2"</f>
        <v>2</v>
      </c>
      <c r="Z759" t="str">
        <f t="shared" si="903"/>
        <v>2</v>
      </c>
      <c r="AA759" t="str">
        <f t="shared" si="842"/>
        <v xml:space="preserve">          </v>
      </c>
      <c r="AB759" t="str">
        <f t="shared" si="830"/>
        <v>2</v>
      </c>
      <c r="AC759" t="str">
        <f t="shared" si="832"/>
        <v>2</v>
      </c>
      <c r="AD759" t="str">
        <f t="shared" si="878"/>
        <v>2</v>
      </c>
      <c r="AE759" t="str">
        <f t="shared" si="878"/>
        <v>2</v>
      </c>
      <c r="AF759" t="str">
        <f t="shared" si="878"/>
        <v>2</v>
      </c>
      <c r="AG759" t="str">
        <f t="shared" si="878"/>
        <v>2</v>
      </c>
      <c r="AH759" t="str">
        <f t="shared" si="876"/>
        <v>1</v>
      </c>
      <c r="AI759" t="str">
        <f>"2         "</f>
        <v xml:space="preserve">2         </v>
      </c>
      <c r="AJ759" t="str">
        <f t="shared" si="854"/>
        <v>170</v>
      </c>
      <c r="AK759" t="str">
        <f>"73"</f>
        <v>73</v>
      </c>
      <c r="AL759" t="str">
        <f t="shared" si="902"/>
        <v>001</v>
      </c>
      <c r="AM759" t="str">
        <f>"11"</f>
        <v>11</v>
      </c>
      <c r="AN759" t="str">
        <f>"11001"</f>
        <v>11001</v>
      </c>
      <c r="AO759" t="str">
        <f>"28/06/2020 12:00:00 a. m."</f>
        <v>28/06/2020 12:00:00 a. m.</v>
      </c>
      <c r="AP759" t="str">
        <f>"24/06/2020 12:00:00 a. m."</f>
        <v>24/06/2020 12:00:00 a. m.</v>
      </c>
      <c r="AQ759" t="str">
        <f t="shared" si="898"/>
        <v>3</v>
      </c>
      <c r="AR759" t="str">
        <f t="shared" si="882"/>
        <v>1</v>
      </c>
      <c r="AS759" t="str">
        <f>"28/06/2020 12:00:00 a. m."</f>
        <v>28/06/2020 12:00:00 a. m.</v>
      </c>
      <c r="AT759" t="str">
        <f t="shared" si="900"/>
        <v>1</v>
      </c>
      <c r="AU759" t="str">
        <f>""</f>
        <v/>
      </c>
      <c r="AV759" t="str">
        <f>"0"</f>
        <v>0</v>
      </c>
      <c r="AW759" t="str">
        <f>"26/07/2015 12:00:00 a. m."</f>
        <v>26/07/2015 12:00:00 a. m.</v>
      </c>
      <c r="AX759" t="str">
        <f>""</f>
        <v/>
      </c>
      <c r="AY759" t="str">
        <f t="shared" si="844"/>
        <v>30/04/2021 12:00:00 a. m.</v>
      </c>
      <c r="AZ759" t="str">
        <f>"8/11/2020 12:00:00 a. m."</f>
        <v>8/11/2020 12:00:00 a. m.</v>
      </c>
      <c r="BA759" t="str">
        <f>""</f>
        <v/>
      </c>
      <c r="BB759" t="str">
        <f>""</f>
        <v/>
      </c>
      <c r="BC759" t="str">
        <f>""</f>
        <v/>
      </c>
      <c r="BD759" t="str">
        <f t="shared" si="883"/>
        <v>1</v>
      </c>
      <c r="BE759" t="str">
        <f t="shared" si="883"/>
        <v>1</v>
      </c>
      <c r="BF759" t="str">
        <f t="shared" si="845"/>
        <v xml:space="preserve">3         </v>
      </c>
      <c r="BG759" t="str">
        <f t="shared" si="846"/>
        <v>Confirmado por laboratorio</v>
      </c>
      <c r="BH759" t="str">
        <f>"FUNDACION HOSPITAL DE LA MISERICORDIA"</f>
        <v>FUNDACION HOSPITAL DE LA MISERICORDIA</v>
      </c>
      <c r="BI759" t="str">
        <f t="shared" si="855"/>
        <v>COLOMBIA</v>
      </c>
      <c r="BJ759" t="str">
        <f t="shared" si="847"/>
        <v>CANCER INFANTIL</v>
      </c>
      <c r="BK759" t="str">
        <f>"TOLIMA"</f>
        <v>TOLIMA</v>
      </c>
      <c r="BL759" t="str">
        <f>"IBAGUE"</f>
        <v>IBAGUE</v>
      </c>
      <c r="BM759" t="str">
        <f t="shared" si="856"/>
        <v>COLOMBIA</v>
      </c>
      <c r="BN759" t="str">
        <f>"TOLIMA"</f>
        <v>TOLIMA</v>
      </c>
      <c r="BO759" t="str">
        <f>"IBAGUE"</f>
        <v>IBAGUE</v>
      </c>
      <c r="BP759" t="str">
        <f>"BOGOTA"</f>
        <v>BOGOTA</v>
      </c>
      <c r="BQ759" t="str">
        <f>"BOGOTA"</f>
        <v>BOGOTA</v>
      </c>
    </row>
    <row r="760" spans="1:69" x14ac:dyDescent="0.25">
      <c r="A760" t="str">
        <f>"7291344"</f>
        <v>7291344</v>
      </c>
      <c r="B760" t="str">
        <f t="shared" si="840"/>
        <v>459</v>
      </c>
      <c r="C760" t="str">
        <f>"23/09/2020 12:00:00 a. m."</f>
        <v>23/09/2020 12:00:00 a. m.</v>
      </c>
      <c r="D760" t="str">
        <f>"32"</f>
        <v>32</v>
      </c>
      <c r="E760" t="str">
        <f t="shared" si="841"/>
        <v>2020</v>
      </c>
      <c r="F760" t="str">
        <f>"1100105681"</f>
        <v>1100105681</v>
      </c>
      <c r="G760" t="str">
        <f t="shared" si="885"/>
        <v>01</v>
      </c>
      <c r="H760" t="str">
        <f>"16"</f>
        <v>16</v>
      </c>
      <c r="I760" t="str">
        <f t="shared" ref="I760:I791" si="904">"1"</f>
        <v>1</v>
      </c>
      <c r="J760" t="str">
        <f>"M"</f>
        <v>M</v>
      </c>
      <c r="K760" t="str">
        <f t="shared" si="853"/>
        <v>170</v>
      </c>
      <c r="L760" t="str">
        <f>"11"</f>
        <v>11</v>
      </c>
      <c r="M760" t="str">
        <f t="shared" si="901"/>
        <v>001</v>
      </c>
      <c r="N760" t="str">
        <f t="shared" si="891"/>
        <v>1</v>
      </c>
      <c r="O760" t="str">
        <f>"9997"</f>
        <v>9997</v>
      </c>
      <c r="P760" t="str">
        <f>"C"</f>
        <v>C</v>
      </c>
      <c r="Q760" t="str">
        <f>"EPS002"</f>
        <v>EPS002</v>
      </c>
      <c r="R760" t="str">
        <f t="shared" si="873"/>
        <v>6</v>
      </c>
      <c r="S760" t="str">
        <f>""</f>
        <v/>
      </c>
      <c r="T760" t="str">
        <f t="shared" si="874"/>
        <v xml:space="preserve">                                                                                                    </v>
      </c>
      <c r="U760" t="str">
        <f>"2         "</f>
        <v xml:space="preserve">2         </v>
      </c>
      <c r="V760" t="str">
        <f t="shared" si="899"/>
        <v>2</v>
      </c>
      <c r="W760" t="str">
        <f t="shared" si="875"/>
        <v>2</v>
      </c>
      <c r="X760" t="str">
        <f t="shared" si="870"/>
        <v>2</v>
      </c>
      <c r="Y760" t="str">
        <f t="shared" si="903"/>
        <v>2</v>
      </c>
      <c r="Z760" t="str">
        <f t="shared" si="903"/>
        <v>2</v>
      </c>
      <c r="AA760" t="str">
        <f t="shared" si="842"/>
        <v xml:space="preserve">          </v>
      </c>
      <c r="AB760" t="str">
        <f t="shared" si="830"/>
        <v>2</v>
      </c>
      <c r="AC760" t="str">
        <f t="shared" si="832"/>
        <v>2</v>
      </c>
      <c r="AD760" t="str">
        <f t="shared" ref="AD760:AG779" si="905">"2"</f>
        <v>2</v>
      </c>
      <c r="AE760" t="str">
        <f t="shared" si="905"/>
        <v>2</v>
      </c>
      <c r="AF760" t="str">
        <f t="shared" si="905"/>
        <v>2</v>
      </c>
      <c r="AG760" t="str">
        <f t="shared" si="905"/>
        <v>2</v>
      </c>
      <c r="AH760" t="str">
        <f t="shared" si="876"/>
        <v>1</v>
      </c>
      <c r="AI760" t="str">
        <f>"1         "</f>
        <v xml:space="preserve">1         </v>
      </c>
      <c r="AJ760" t="str">
        <f t="shared" si="854"/>
        <v>170</v>
      </c>
      <c r="AK760" t="str">
        <f>"11"</f>
        <v>11</v>
      </c>
      <c r="AL760" t="str">
        <f t="shared" si="902"/>
        <v>001</v>
      </c>
      <c r="AM760" t="str">
        <f>"11"</f>
        <v>11</v>
      </c>
      <c r="AN760" t="str">
        <f>"11001"</f>
        <v>11001</v>
      </c>
      <c r="AO760" t="str">
        <f>"2/08/2020 12:00:00 a. m."</f>
        <v>2/08/2020 12:00:00 a. m.</v>
      </c>
      <c r="AP760" t="str">
        <f>"29/07/2020 12:00:00 a. m."</f>
        <v>29/07/2020 12:00:00 a. m.</v>
      </c>
      <c r="AQ760" t="str">
        <f t="shared" si="898"/>
        <v>3</v>
      </c>
      <c r="AR760" t="str">
        <f t="shared" si="882"/>
        <v>1</v>
      </c>
      <c r="AS760" t="str">
        <f>"2/08/2020 12:00:00 a. m."</f>
        <v>2/08/2020 12:00:00 a. m.</v>
      </c>
      <c r="AT760" t="str">
        <f t="shared" si="900"/>
        <v>1</v>
      </c>
      <c r="AU760" t="str">
        <f>""</f>
        <v/>
      </c>
      <c r="AV760" t="str">
        <f>"7"</f>
        <v>7</v>
      </c>
      <c r="AW760" t="str">
        <f>"18/05/2004 12:00:00 a. m."</f>
        <v>18/05/2004 12:00:00 a. m.</v>
      </c>
      <c r="AX760" t="str">
        <f>""</f>
        <v/>
      </c>
      <c r="AY760" t="str">
        <f t="shared" si="844"/>
        <v>30/04/2021 12:00:00 a. m.</v>
      </c>
      <c r="AZ760" t="str">
        <f>"29/10/2020 12:00:00 a. m."</f>
        <v>29/10/2020 12:00:00 a. m.</v>
      </c>
      <c r="BA760" t="str">
        <f>""</f>
        <v/>
      </c>
      <c r="BB760" t="str">
        <f>""</f>
        <v/>
      </c>
      <c r="BC760" t="str">
        <f>""</f>
        <v/>
      </c>
      <c r="BD760" t="str">
        <f t="shared" si="883"/>
        <v>1</v>
      </c>
      <c r="BE760" t="str">
        <f t="shared" si="883"/>
        <v>1</v>
      </c>
      <c r="BF760" t="str">
        <f t="shared" si="845"/>
        <v xml:space="preserve">3         </v>
      </c>
      <c r="BG760" t="str">
        <f t="shared" si="846"/>
        <v>Confirmado por laboratorio</v>
      </c>
      <c r="BH760" t="str">
        <f>"FUNDACION HOSPITAL DE LA MISERICORDIA"</f>
        <v>FUNDACION HOSPITAL DE LA MISERICORDIA</v>
      </c>
      <c r="BI760" t="str">
        <f t="shared" si="855"/>
        <v>COLOMBIA</v>
      </c>
      <c r="BJ760" t="str">
        <f t="shared" si="847"/>
        <v>CANCER INFANTIL</v>
      </c>
      <c r="BK760" t="str">
        <f>"BOGOTA"</f>
        <v>BOGOTA</v>
      </c>
      <c r="BL760" t="str">
        <f>"BOGOTA"</f>
        <v>BOGOTA</v>
      </c>
      <c r="BM760" t="str">
        <f t="shared" si="856"/>
        <v>COLOMBIA</v>
      </c>
      <c r="BN760" t="str">
        <f>"BOGOTA"</f>
        <v>BOGOTA</v>
      </c>
      <c r="BO760" t="str">
        <f>"BOGOTA"</f>
        <v>BOGOTA</v>
      </c>
      <c r="BP760" t="str">
        <f>"BOGOTA"</f>
        <v>BOGOTA</v>
      </c>
      <c r="BQ760" t="str">
        <f>"BOGOTA"</f>
        <v>BOGOTA</v>
      </c>
    </row>
    <row r="761" spans="1:69" x14ac:dyDescent="0.25">
      <c r="A761" t="str">
        <f>"7278800"</f>
        <v>7278800</v>
      </c>
      <c r="B761" t="str">
        <f t="shared" si="840"/>
        <v>459</v>
      </c>
      <c r="C761" t="str">
        <f>"8/05/2020 12:00:00 a. m."</f>
        <v>8/05/2020 12:00:00 a. m.</v>
      </c>
      <c r="D761" t="str">
        <f>"17"</f>
        <v>17</v>
      </c>
      <c r="E761" t="str">
        <f t="shared" si="841"/>
        <v>2020</v>
      </c>
      <c r="F761" t="str">
        <f>"0500102144"</f>
        <v>0500102144</v>
      </c>
      <c r="G761" t="str">
        <f t="shared" si="885"/>
        <v>01</v>
      </c>
      <c r="H761" t="str">
        <f>"3"</f>
        <v>3</v>
      </c>
      <c r="I761" t="str">
        <f t="shared" si="904"/>
        <v>1</v>
      </c>
      <c r="J761" t="str">
        <f>"F"</f>
        <v>F</v>
      </c>
      <c r="K761" t="str">
        <f t="shared" si="853"/>
        <v>170</v>
      </c>
      <c r="L761" t="str">
        <f>"05"</f>
        <v>05</v>
      </c>
      <c r="M761" t="str">
        <f t="shared" si="901"/>
        <v>001</v>
      </c>
      <c r="N761" t="str">
        <f t="shared" si="891"/>
        <v>1</v>
      </c>
      <c r="O761" t="str">
        <f>"9999"</f>
        <v>9999</v>
      </c>
      <c r="P761" t="str">
        <f>"S"</f>
        <v>S</v>
      </c>
      <c r="Q761" t="str">
        <f>"EPSS40"</f>
        <v>EPSS40</v>
      </c>
      <c r="R761" t="str">
        <f t="shared" si="873"/>
        <v>6</v>
      </c>
      <c r="S761" t="str">
        <f>""</f>
        <v/>
      </c>
      <c r="T761" t="str">
        <f t="shared" si="874"/>
        <v xml:space="preserve">                                                                                                    </v>
      </c>
      <c r="U761" t="str">
        <f>"          "</f>
        <v xml:space="preserve">          </v>
      </c>
      <c r="V761" t="str">
        <f t="shared" si="899"/>
        <v>2</v>
      </c>
      <c r="W761" t="str">
        <f t="shared" si="875"/>
        <v>2</v>
      </c>
      <c r="X761" t="str">
        <f t="shared" si="870"/>
        <v>2</v>
      </c>
      <c r="Y761" t="str">
        <f t="shared" si="903"/>
        <v>2</v>
      </c>
      <c r="Z761" t="str">
        <f t="shared" si="903"/>
        <v>2</v>
      </c>
      <c r="AA761" t="str">
        <f t="shared" si="842"/>
        <v xml:space="preserve">          </v>
      </c>
      <c r="AB761" t="str">
        <f t="shared" si="830"/>
        <v>2</v>
      </c>
      <c r="AC761" t="str">
        <f t="shared" si="832"/>
        <v>2</v>
      </c>
      <c r="AD761" t="str">
        <f t="shared" si="905"/>
        <v>2</v>
      </c>
      <c r="AE761" t="str">
        <f t="shared" si="905"/>
        <v>2</v>
      </c>
      <c r="AF761" t="str">
        <f t="shared" si="905"/>
        <v>2</v>
      </c>
      <c r="AG761" t="str">
        <f t="shared" si="905"/>
        <v>2</v>
      </c>
      <c r="AH761" t="str">
        <f t="shared" si="876"/>
        <v>1</v>
      </c>
      <c r="AI761" t="str">
        <f>"1         "</f>
        <v xml:space="preserve">1         </v>
      </c>
      <c r="AJ761" t="str">
        <f t="shared" si="854"/>
        <v>170</v>
      </c>
      <c r="AK761" t="str">
        <f>"05"</f>
        <v>05</v>
      </c>
      <c r="AL761" t="str">
        <f t="shared" si="902"/>
        <v>001</v>
      </c>
      <c r="AM761" t="str">
        <f>"05"</f>
        <v>05</v>
      </c>
      <c r="AN761" t="str">
        <f>"05001"</f>
        <v>05001</v>
      </c>
      <c r="AO761" t="str">
        <f>"21/04/2020 12:00:00 a. m."</f>
        <v>21/04/2020 12:00:00 a. m.</v>
      </c>
      <c r="AP761" t="str">
        <f>"21/03/2020 12:00:00 a. m."</f>
        <v>21/03/2020 12:00:00 a. m.</v>
      </c>
      <c r="AQ761" t="str">
        <f t="shared" si="898"/>
        <v>3</v>
      </c>
      <c r="AR761" t="str">
        <f t="shared" si="882"/>
        <v>1</v>
      </c>
      <c r="AS761" t="str">
        <f>"21/04/2020 12:00:00 a. m."</f>
        <v>21/04/2020 12:00:00 a. m.</v>
      </c>
      <c r="AT761" t="str">
        <f t="shared" si="900"/>
        <v>1</v>
      </c>
      <c r="AU761" t="str">
        <f>""</f>
        <v/>
      </c>
      <c r="AV761" t="str">
        <f>"7"</f>
        <v>7</v>
      </c>
      <c r="AW761" t="str">
        <f>"20/04/2017 12:00:00 a. m."</f>
        <v>20/04/2017 12:00:00 a. m.</v>
      </c>
      <c r="AX761" t="str">
        <f>""</f>
        <v/>
      </c>
      <c r="AY761" t="str">
        <f t="shared" si="844"/>
        <v>30/04/2021 12:00:00 a. m.</v>
      </c>
      <c r="AZ761" t="str">
        <f>"3/07/2020 12:00:00 a. m."</f>
        <v>3/07/2020 12:00:00 a. m.</v>
      </c>
      <c r="BA761" t="str">
        <f>""</f>
        <v/>
      </c>
      <c r="BB761" t="str">
        <f>""</f>
        <v/>
      </c>
      <c r="BC761" t="str">
        <f>""</f>
        <v/>
      </c>
      <c r="BD761" t="str">
        <f t="shared" si="883"/>
        <v>1</v>
      </c>
      <c r="BE761" t="str">
        <f t="shared" si="883"/>
        <v>1</v>
      </c>
      <c r="BF761" t="str">
        <f t="shared" si="845"/>
        <v xml:space="preserve">3         </v>
      </c>
      <c r="BG761" t="str">
        <f t="shared" si="846"/>
        <v>Confirmado por laboratorio</v>
      </c>
      <c r="BH761" t="str">
        <f>"HOSPITAL GENERAL DE MEDELLIN - LUZ CASTRO DE GUTIE"</f>
        <v>HOSPITAL GENERAL DE MEDELLIN - LUZ CASTRO DE GUTIE</v>
      </c>
      <c r="BI761" t="str">
        <f t="shared" si="855"/>
        <v>COLOMBIA</v>
      </c>
      <c r="BJ761" t="str">
        <f t="shared" si="847"/>
        <v>CANCER INFANTIL</v>
      </c>
      <c r="BK761" t="str">
        <f>"ANTIOQUIA"</f>
        <v>ANTIOQUIA</v>
      </c>
      <c r="BL761" t="str">
        <f>"MEDELLIN"</f>
        <v>MEDELLIN</v>
      </c>
      <c r="BM761" t="str">
        <f t="shared" si="856"/>
        <v>COLOMBIA</v>
      </c>
      <c r="BN761" t="str">
        <f>"ANTIOQUIA"</f>
        <v>ANTIOQUIA</v>
      </c>
      <c r="BO761" t="str">
        <f>"MEDELLIN"</f>
        <v>MEDELLIN</v>
      </c>
      <c r="BP761" t="str">
        <f>"ANTIOQUIA"</f>
        <v>ANTIOQUIA</v>
      </c>
      <c r="BQ761" t="str">
        <f>"MEDELLIN"</f>
        <v>MEDELLIN</v>
      </c>
    </row>
    <row r="762" spans="1:69" x14ac:dyDescent="0.25">
      <c r="A762" t="str">
        <f>"7278906"</f>
        <v>7278906</v>
      </c>
      <c r="B762" t="str">
        <f t="shared" si="840"/>
        <v>459</v>
      </c>
      <c r="C762" t="str">
        <f>"22/07/2020 12:00:00 a. m."</f>
        <v>22/07/2020 12:00:00 a. m.</v>
      </c>
      <c r="D762" t="str">
        <f>"30"</f>
        <v>30</v>
      </c>
      <c r="E762" t="str">
        <f t="shared" si="841"/>
        <v>2020</v>
      </c>
      <c r="F762" t="str">
        <f>"5200100283"</f>
        <v>5200100283</v>
      </c>
      <c r="G762" t="str">
        <f t="shared" si="885"/>
        <v>01</v>
      </c>
      <c r="H762" t="str">
        <f>"15"</f>
        <v>15</v>
      </c>
      <c r="I762" t="str">
        <f t="shared" si="904"/>
        <v>1</v>
      </c>
      <c r="J762" t="str">
        <f>"M"</f>
        <v>M</v>
      </c>
      <c r="K762" t="str">
        <f t="shared" si="853"/>
        <v>170</v>
      </c>
      <c r="L762" t="str">
        <f>"86"</f>
        <v>86</v>
      </c>
      <c r="M762" t="str">
        <f t="shared" si="901"/>
        <v>001</v>
      </c>
      <c r="N762" t="str">
        <f t="shared" si="891"/>
        <v>1</v>
      </c>
      <c r="O762" t="str">
        <f>"9997"</f>
        <v>9997</v>
      </c>
      <c r="P762" t="str">
        <f>"I"</f>
        <v>I</v>
      </c>
      <c r="Q762" t="str">
        <f>""</f>
        <v/>
      </c>
      <c r="R762" t="str">
        <f t="shared" si="873"/>
        <v>6</v>
      </c>
      <c r="S762" t="str">
        <f>""</f>
        <v/>
      </c>
      <c r="T762" t="str">
        <f t="shared" si="874"/>
        <v xml:space="preserve">                                                                                                    </v>
      </c>
      <c r="U762" t="str">
        <f>"1         "</f>
        <v xml:space="preserve">1         </v>
      </c>
      <c r="V762" t="str">
        <f t="shared" si="899"/>
        <v>2</v>
      </c>
      <c r="W762" t="str">
        <f t="shared" si="875"/>
        <v>2</v>
      </c>
      <c r="X762" t="str">
        <f t="shared" si="870"/>
        <v>2</v>
      </c>
      <c r="Y762" t="str">
        <f t="shared" si="903"/>
        <v>2</v>
      </c>
      <c r="Z762" t="str">
        <f t="shared" si="903"/>
        <v>2</v>
      </c>
      <c r="AA762" t="str">
        <f t="shared" si="842"/>
        <v xml:space="preserve">          </v>
      </c>
      <c r="AB762" t="str">
        <f t="shared" si="830"/>
        <v>2</v>
      </c>
      <c r="AC762" t="str">
        <f t="shared" si="832"/>
        <v>2</v>
      </c>
      <c r="AD762" t="str">
        <f t="shared" si="905"/>
        <v>2</v>
      </c>
      <c r="AE762" t="str">
        <f t="shared" si="905"/>
        <v>2</v>
      </c>
      <c r="AF762" t="str">
        <f t="shared" si="905"/>
        <v>2</v>
      </c>
      <c r="AG762" t="str">
        <f t="shared" si="905"/>
        <v>2</v>
      </c>
      <c r="AH762" t="str">
        <f t="shared" si="876"/>
        <v>1</v>
      </c>
      <c r="AI762" t="str">
        <f>"1         "</f>
        <v xml:space="preserve">1         </v>
      </c>
      <c r="AJ762" t="str">
        <f t="shared" si="854"/>
        <v>170</v>
      </c>
      <c r="AK762" t="str">
        <f>"86"</f>
        <v>86</v>
      </c>
      <c r="AL762" t="str">
        <f t="shared" si="902"/>
        <v>001</v>
      </c>
      <c r="AM762" t="str">
        <f>"52"</f>
        <v>52</v>
      </c>
      <c r="AN762" t="str">
        <f>"52001"</f>
        <v>52001</v>
      </c>
      <c r="AO762" t="str">
        <f>"22/07/2020 12:00:00 a. m."</f>
        <v>22/07/2020 12:00:00 a. m.</v>
      </c>
      <c r="AP762" t="str">
        <f>"14/07/2020 12:00:00 a. m."</f>
        <v>14/07/2020 12:00:00 a. m.</v>
      </c>
      <c r="AQ762" t="str">
        <f>"2"</f>
        <v>2</v>
      </c>
      <c r="AR762" t="str">
        <f t="shared" si="882"/>
        <v>1</v>
      </c>
      <c r="AS762" t="str">
        <f>"22/07/2020 12:00:00 a. m."</f>
        <v>22/07/2020 12:00:00 a. m.</v>
      </c>
      <c r="AT762" t="str">
        <f t="shared" si="900"/>
        <v>1</v>
      </c>
      <c r="AU762" t="str">
        <f>""</f>
        <v/>
      </c>
      <c r="AV762" t="str">
        <f>"3"</f>
        <v>3</v>
      </c>
      <c r="AW762" t="str">
        <f>"1/03/2005 12:00:00 a. m."</f>
        <v>1/03/2005 12:00:00 a. m.</v>
      </c>
      <c r="AX762" t="str">
        <f>""</f>
        <v/>
      </c>
      <c r="AY762" t="str">
        <f t="shared" si="844"/>
        <v>30/04/2021 12:00:00 a. m.</v>
      </c>
      <c r="AZ762" t="str">
        <f>"9/09/2020 12:00:00 a. m."</f>
        <v>9/09/2020 12:00:00 a. m.</v>
      </c>
      <c r="BA762" t="str">
        <f>""</f>
        <v/>
      </c>
      <c r="BB762" t="str">
        <f>""</f>
        <v/>
      </c>
      <c r="BC762" t="str">
        <f>""</f>
        <v/>
      </c>
      <c r="BD762" t="str">
        <f t="shared" ref="BD762:BE781" si="906">"1"</f>
        <v>1</v>
      </c>
      <c r="BE762" t="str">
        <f t="shared" si="906"/>
        <v>1</v>
      </c>
      <c r="BF762" t="str">
        <f t="shared" si="845"/>
        <v xml:space="preserve">3         </v>
      </c>
      <c r="BG762" t="str">
        <f t="shared" si="846"/>
        <v>Confirmado por laboratorio</v>
      </c>
      <c r="BH762" t="str">
        <f>"HOSPITAL INFANTIL LOS ANGELES"</f>
        <v>HOSPITAL INFANTIL LOS ANGELES</v>
      </c>
      <c r="BI762" t="str">
        <f t="shared" si="855"/>
        <v>COLOMBIA</v>
      </c>
      <c r="BJ762" t="str">
        <f t="shared" si="847"/>
        <v>CANCER INFANTIL</v>
      </c>
      <c r="BK762" t="str">
        <f>"PUTUMAYO"</f>
        <v>PUTUMAYO</v>
      </c>
      <c r="BL762" t="str">
        <f>"MOCOA"</f>
        <v>MOCOA</v>
      </c>
      <c r="BM762" t="str">
        <f t="shared" si="856"/>
        <v>COLOMBIA</v>
      </c>
      <c r="BN762" t="str">
        <f>"PUTUMAYO"</f>
        <v>PUTUMAYO</v>
      </c>
      <c r="BO762" t="str">
        <f>"MOCOA"</f>
        <v>MOCOA</v>
      </c>
      <c r="BP762" t="str">
        <f>"NARIÑO"</f>
        <v>NARIÑO</v>
      </c>
      <c r="BQ762" t="str">
        <f>"PASTO"</f>
        <v>PASTO</v>
      </c>
    </row>
    <row r="763" spans="1:69" x14ac:dyDescent="0.25">
      <c r="A763" t="str">
        <f>"7278837"</f>
        <v>7278837</v>
      </c>
      <c r="B763" t="str">
        <f t="shared" si="840"/>
        <v>459</v>
      </c>
      <c r="C763" t="str">
        <f>"8/07/2020 12:00:00 a. m."</f>
        <v>8/07/2020 12:00:00 a. m.</v>
      </c>
      <c r="D763" t="str">
        <f>"24"</f>
        <v>24</v>
      </c>
      <c r="E763" t="str">
        <f t="shared" si="841"/>
        <v>2020</v>
      </c>
      <c r="F763" t="str">
        <f>"0500102104"</f>
        <v>0500102104</v>
      </c>
      <c r="G763" t="str">
        <f t="shared" si="885"/>
        <v>01</v>
      </c>
      <c r="H763" t="str">
        <f>"9"</f>
        <v>9</v>
      </c>
      <c r="I763" t="str">
        <f t="shared" si="904"/>
        <v>1</v>
      </c>
      <c r="J763" t="str">
        <f>"M"</f>
        <v>M</v>
      </c>
      <c r="K763" t="str">
        <f t="shared" si="853"/>
        <v>170</v>
      </c>
      <c r="L763" t="str">
        <f>"05"</f>
        <v>05</v>
      </c>
      <c r="M763" t="str">
        <f t="shared" si="901"/>
        <v>001</v>
      </c>
      <c r="N763" t="str">
        <f t="shared" si="891"/>
        <v>1</v>
      </c>
      <c r="O763" t="str">
        <f>"9997"</f>
        <v>9997</v>
      </c>
      <c r="P763" t="str">
        <f>"C"</f>
        <v>C</v>
      </c>
      <c r="Q763" t="str">
        <f>"EPS010"</f>
        <v>EPS010</v>
      </c>
      <c r="R763" t="str">
        <f t="shared" si="873"/>
        <v>6</v>
      </c>
      <c r="S763" t="str">
        <f>""</f>
        <v/>
      </c>
      <c r="T763" t="str">
        <f t="shared" si="874"/>
        <v xml:space="preserve">                                                                                                    </v>
      </c>
      <c r="U763" t="str">
        <f>"2         "</f>
        <v xml:space="preserve">2         </v>
      </c>
      <c r="V763" t="str">
        <f t="shared" si="899"/>
        <v>2</v>
      </c>
      <c r="W763" t="str">
        <f t="shared" si="875"/>
        <v>2</v>
      </c>
      <c r="X763" t="str">
        <f t="shared" si="870"/>
        <v>2</v>
      </c>
      <c r="Y763" t="str">
        <f t="shared" si="903"/>
        <v>2</v>
      </c>
      <c r="Z763" t="str">
        <f t="shared" si="903"/>
        <v>2</v>
      </c>
      <c r="AA763" t="str">
        <f t="shared" si="842"/>
        <v xml:space="preserve">          </v>
      </c>
      <c r="AB763" t="str">
        <f t="shared" si="830"/>
        <v>2</v>
      </c>
      <c r="AC763" t="str">
        <f t="shared" si="832"/>
        <v>2</v>
      </c>
      <c r="AD763" t="str">
        <f t="shared" si="905"/>
        <v>2</v>
      </c>
      <c r="AE763" t="str">
        <f t="shared" si="905"/>
        <v>2</v>
      </c>
      <c r="AF763" t="str">
        <f t="shared" si="905"/>
        <v>2</v>
      </c>
      <c r="AG763" t="str">
        <f t="shared" si="905"/>
        <v>2</v>
      </c>
      <c r="AH763" t="str">
        <f t="shared" si="876"/>
        <v>1</v>
      </c>
      <c r="AI763" t="str">
        <f>"1         "</f>
        <v xml:space="preserve">1         </v>
      </c>
      <c r="AJ763" t="str">
        <f t="shared" si="854"/>
        <v>170</v>
      </c>
      <c r="AK763" t="str">
        <f>"05"</f>
        <v>05</v>
      </c>
      <c r="AL763" t="str">
        <f t="shared" si="902"/>
        <v>001</v>
      </c>
      <c r="AM763" t="str">
        <f>"05"</f>
        <v>05</v>
      </c>
      <c r="AN763" t="str">
        <f>"05001"</f>
        <v>05001</v>
      </c>
      <c r="AO763" t="str">
        <f>"9/06/2020 12:00:00 a. m."</f>
        <v>9/06/2020 12:00:00 a. m.</v>
      </c>
      <c r="AP763" t="str">
        <f>"9/05/2020 12:00:00 a. m."</f>
        <v>9/05/2020 12:00:00 a. m.</v>
      </c>
      <c r="AQ763" t="str">
        <f>"3"</f>
        <v>3</v>
      </c>
      <c r="AR763" t="str">
        <f t="shared" si="882"/>
        <v>1</v>
      </c>
      <c r="AS763" t="str">
        <f>"9/06/2020 12:00:00 a. m."</f>
        <v>9/06/2020 12:00:00 a. m.</v>
      </c>
      <c r="AT763" t="str">
        <f>"2"</f>
        <v>2</v>
      </c>
      <c r="AU763" t="str">
        <f>"23/07/2020 12:00:00 a. m."</f>
        <v>23/07/2020 12:00:00 a. m.</v>
      </c>
      <c r="AV763" t="str">
        <f>"7"</f>
        <v>7</v>
      </c>
      <c r="AW763" t="str">
        <f>"4/01/2011 12:00:00 a. m."</f>
        <v>4/01/2011 12:00:00 a. m.</v>
      </c>
      <c r="AX763" t="str">
        <f>"9999"</f>
        <v>9999</v>
      </c>
      <c r="AY763" t="str">
        <f t="shared" si="844"/>
        <v>30/04/2021 12:00:00 a. m.</v>
      </c>
      <c r="AZ763" t="str">
        <f>"4/08/2020 12:00:00 a. m."</f>
        <v>4/08/2020 12:00:00 a. m.</v>
      </c>
      <c r="BA763" t="str">
        <f>""</f>
        <v/>
      </c>
      <c r="BB763" t="str">
        <f>""</f>
        <v/>
      </c>
      <c r="BC763" t="str">
        <f>""</f>
        <v/>
      </c>
      <c r="BD763" t="str">
        <f t="shared" si="906"/>
        <v>1</v>
      </c>
      <c r="BE763" t="str">
        <f t="shared" si="906"/>
        <v>1</v>
      </c>
      <c r="BF763" t="str">
        <f t="shared" si="845"/>
        <v xml:space="preserve">3         </v>
      </c>
      <c r="BG763" t="str">
        <f t="shared" si="846"/>
        <v>Confirmado por laboratorio</v>
      </c>
      <c r="BH763" t="str">
        <f>"HOSPITAL PABLO TOBON URIBE"</f>
        <v>HOSPITAL PABLO TOBON URIBE</v>
      </c>
      <c r="BI763" t="str">
        <f t="shared" si="855"/>
        <v>COLOMBIA</v>
      </c>
      <c r="BJ763" t="str">
        <f t="shared" si="847"/>
        <v>CANCER INFANTIL</v>
      </c>
      <c r="BK763" t="str">
        <f>"ANTIOQUIA"</f>
        <v>ANTIOQUIA</v>
      </c>
      <c r="BL763" t="str">
        <f>"MEDELLIN"</f>
        <v>MEDELLIN</v>
      </c>
      <c r="BM763" t="str">
        <f t="shared" si="856"/>
        <v>COLOMBIA</v>
      </c>
      <c r="BN763" t="str">
        <f>"ANTIOQUIA"</f>
        <v>ANTIOQUIA</v>
      </c>
      <c r="BO763" t="str">
        <f>"MEDELLIN"</f>
        <v>MEDELLIN</v>
      </c>
      <c r="BP763" t="str">
        <f>"ANTIOQUIA"</f>
        <v>ANTIOQUIA</v>
      </c>
      <c r="BQ763" t="str">
        <f>"MEDELLIN"</f>
        <v>MEDELLIN</v>
      </c>
    </row>
    <row r="764" spans="1:69" x14ac:dyDescent="0.25">
      <c r="A764" t="str">
        <f>"7291664"</f>
        <v>7291664</v>
      </c>
      <c r="B764" t="str">
        <f t="shared" si="840"/>
        <v>459</v>
      </c>
      <c r="C764" t="str">
        <f>"23/09/2020 12:00:00 a. m."</f>
        <v>23/09/2020 12:00:00 a. m.</v>
      </c>
      <c r="D764" t="str">
        <f>"29"</f>
        <v>29</v>
      </c>
      <c r="E764" t="str">
        <f t="shared" si="841"/>
        <v>2020</v>
      </c>
      <c r="F764" t="str">
        <f>"1100106065"</f>
        <v>1100106065</v>
      </c>
      <c r="G764" t="str">
        <f t="shared" si="885"/>
        <v>01</v>
      </c>
      <c r="H764" t="str">
        <f>"15"</f>
        <v>15</v>
      </c>
      <c r="I764" t="str">
        <f t="shared" si="904"/>
        <v>1</v>
      </c>
      <c r="J764" t="str">
        <f>"M"</f>
        <v>M</v>
      </c>
      <c r="K764" t="str">
        <f t="shared" si="853"/>
        <v>170</v>
      </c>
      <c r="L764" t="str">
        <f>"25"</f>
        <v>25</v>
      </c>
      <c r="M764" t="str">
        <f>"530"</f>
        <v>530</v>
      </c>
      <c r="N764" t="str">
        <f>"3"</f>
        <v>3</v>
      </c>
      <c r="O764" t="str">
        <f>"9997"</f>
        <v>9997</v>
      </c>
      <c r="P764" t="str">
        <f>"S"</f>
        <v>S</v>
      </c>
      <c r="Q764" t="str">
        <f>"CCF055"</f>
        <v>CCF055</v>
      </c>
      <c r="R764" t="str">
        <f t="shared" si="873"/>
        <v>6</v>
      </c>
      <c r="S764" t="str">
        <f>""</f>
        <v/>
      </c>
      <c r="T764" t="str">
        <f t="shared" si="874"/>
        <v xml:space="preserve">                                                                                                    </v>
      </c>
      <c r="U764" t="str">
        <f>"2         "</f>
        <v xml:space="preserve">2         </v>
      </c>
      <c r="V764" t="str">
        <f t="shared" si="899"/>
        <v>2</v>
      </c>
      <c r="W764" t="str">
        <f t="shared" si="875"/>
        <v>2</v>
      </c>
      <c r="X764" t="str">
        <f t="shared" si="870"/>
        <v>2</v>
      </c>
      <c r="Y764" t="str">
        <f t="shared" si="903"/>
        <v>2</v>
      </c>
      <c r="Z764" t="str">
        <f t="shared" si="903"/>
        <v>2</v>
      </c>
      <c r="AA764" t="str">
        <f t="shared" si="842"/>
        <v xml:space="preserve">          </v>
      </c>
      <c r="AB764" t="str">
        <f t="shared" ref="AB764:AB827" si="907">"2"</f>
        <v>2</v>
      </c>
      <c r="AC764" t="str">
        <f t="shared" si="832"/>
        <v>2</v>
      </c>
      <c r="AD764" t="str">
        <f t="shared" si="905"/>
        <v>2</v>
      </c>
      <c r="AE764" t="str">
        <f t="shared" si="905"/>
        <v>2</v>
      </c>
      <c r="AF764" t="str">
        <f t="shared" si="905"/>
        <v>2</v>
      </c>
      <c r="AG764" t="str">
        <f t="shared" si="905"/>
        <v>2</v>
      </c>
      <c r="AH764" t="str">
        <f t="shared" si="876"/>
        <v>1</v>
      </c>
      <c r="AI764" t="str">
        <f>"2         "</f>
        <v xml:space="preserve">2         </v>
      </c>
      <c r="AJ764" t="str">
        <f t="shared" si="854"/>
        <v>170</v>
      </c>
      <c r="AK764" t="str">
        <f>"25"</f>
        <v>25</v>
      </c>
      <c r="AL764" t="str">
        <f>"530"</f>
        <v>530</v>
      </c>
      <c r="AM764" t="str">
        <f>"11"</f>
        <v>11</v>
      </c>
      <c r="AN764" t="str">
        <f>"11001"</f>
        <v>11001</v>
      </c>
      <c r="AO764" t="str">
        <f>"18/07/2020 12:00:00 a. m."</f>
        <v>18/07/2020 12:00:00 a. m.</v>
      </c>
      <c r="AP764" t="str">
        <f>"1/03/2020 12:00:00 a. m."</f>
        <v>1/03/2020 12:00:00 a. m.</v>
      </c>
      <c r="AQ764" t="str">
        <f>"3"</f>
        <v>3</v>
      </c>
      <c r="AR764" t="str">
        <f>"2"</f>
        <v>2</v>
      </c>
      <c r="AS764" t="str">
        <f>""</f>
        <v/>
      </c>
      <c r="AT764" t="str">
        <f>"1"</f>
        <v>1</v>
      </c>
      <c r="AU764" t="str">
        <f>""</f>
        <v/>
      </c>
      <c r="AV764" t="str">
        <f>"7"</f>
        <v>7</v>
      </c>
      <c r="AW764" t="str">
        <f>"15/12/2004 12:00:00 a. m."</f>
        <v>15/12/2004 12:00:00 a. m.</v>
      </c>
      <c r="AX764" t="str">
        <f>""</f>
        <v/>
      </c>
      <c r="AY764" t="str">
        <f t="shared" si="844"/>
        <v>30/04/2021 12:00:00 a. m.</v>
      </c>
      <c r="AZ764" t="str">
        <f>"16/02/2021 12:00:00 a. m."</f>
        <v>16/02/2021 12:00:00 a. m.</v>
      </c>
      <c r="BA764" t="str">
        <f>""</f>
        <v/>
      </c>
      <c r="BB764" t="str">
        <f>""</f>
        <v/>
      </c>
      <c r="BC764" t="str">
        <f>""</f>
        <v/>
      </c>
      <c r="BD764" t="str">
        <f t="shared" si="906"/>
        <v>1</v>
      </c>
      <c r="BE764" t="str">
        <f t="shared" si="906"/>
        <v>1</v>
      </c>
      <c r="BF764" t="str">
        <f t="shared" si="845"/>
        <v xml:space="preserve">3         </v>
      </c>
      <c r="BG764" t="str">
        <f t="shared" si="846"/>
        <v>Confirmado por laboratorio</v>
      </c>
      <c r="BH764" t="str">
        <f>"ESE INSTITUTO NACIONAL DE CANCEROLOGIA"</f>
        <v>ESE INSTITUTO NACIONAL DE CANCEROLOGIA</v>
      </c>
      <c r="BI764" t="str">
        <f t="shared" si="855"/>
        <v>COLOMBIA</v>
      </c>
      <c r="BJ764" t="str">
        <f t="shared" si="847"/>
        <v>CANCER INFANTIL</v>
      </c>
      <c r="BK764" t="str">
        <f>"CUNDINAMARCA"</f>
        <v>CUNDINAMARCA</v>
      </c>
      <c r="BL764" t="str">
        <f>"PARATEBUENO"</f>
        <v>PARATEBUENO</v>
      </c>
      <c r="BM764" t="str">
        <f t="shared" si="856"/>
        <v>COLOMBIA</v>
      </c>
      <c r="BN764" t="str">
        <f>"CUNDINAMARCA"</f>
        <v>CUNDINAMARCA</v>
      </c>
      <c r="BO764" t="str">
        <f>"PARATEBUENO"</f>
        <v>PARATEBUENO</v>
      </c>
      <c r="BP764" t="str">
        <f>"BOGOTA"</f>
        <v>BOGOTA</v>
      </c>
      <c r="BQ764" t="str">
        <f>"BOGOTA"</f>
        <v>BOGOTA</v>
      </c>
    </row>
    <row r="765" spans="1:69" x14ac:dyDescent="0.25">
      <c r="A765" t="str">
        <f>"7291703"</f>
        <v>7291703</v>
      </c>
      <c r="B765" t="str">
        <f t="shared" si="840"/>
        <v>459</v>
      </c>
      <c r="C765" t="str">
        <f>"26/11/2020 12:00:00 a. m."</f>
        <v>26/11/2020 12:00:00 a. m.</v>
      </c>
      <c r="D765" t="str">
        <f>"48"</f>
        <v>48</v>
      </c>
      <c r="E765" t="str">
        <f t="shared" si="841"/>
        <v>2020</v>
      </c>
      <c r="F765" t="str">
        <f>"1100109456"</f>
        <v>1100109456</v>
      </c>
      <c r="G765" t="str">
        <f t="shared" si="885"/>
        <v>01</v>
      </c>
      <c r="H765" t="str">
        <f>"16"</f>
        <v>16</v>
      </c>
      <c r="I765" t="str">
        <f t="shared" si="904"/>
        <v>1</v>
      </c>
      <c r="J765" t="str">
        <f>"F"</f>
        <v>F</v>
      </c>
      <c r="K765" t="str">
        <f t="shared" si="853"/>
        <v>170</v>
      </c>
      <c r="L765" t="str">
        <f>"81"</f>
        <v>81</v>
      </c>
      <c r="M765" t="str">
        <f>"001"</f>
        <v>001</v>
      </c>
      <c r="N765" t="str">
        <f>"1"</f>
        <v>1</v>
      </c>
      <c r="O765" t="str">
        <f>"9997"</f>
        <v>9997</v>
      </c>
      <c r="P765" t="str">
        <f>"C"</f>
        <v>C</v>
      </c>
      <c r="Q765" t="str">
        <f>"EPS037"</f>
        <v>EPS037</v>
      </c>
      <c r="R765" t="str">
        <f t="shared" si="873"/>
        <v>6</v>
      </c>
      <c r="S765" t="str">
        <f>""</f>
        <v/>
      </c>
      <c r="T765" t="str">
        <f t="shared" si="874"/>
        <v xml:space="preserve">                                                                                                    </v>
      </c>
      <c r="U765" t="str">
        <f>"1         "</f>
        <v xml:space="preserve">1         </v>
      </c>
      <c r="V765" t="str">
        <f t="shared" si="899"/>
        <v>2</v>
      </c>
      <c r="W765" t="str">
        <f t="shared" si="875"/>
        <v>2</v>
      </c>
      <c r="X765" t="str">
        <f t="shared" si="870"/>
        <v>2</v>
      </c>
      <c r="Y765" t="str">
        <f t="shared" si="903"/>
        <v>2</v>
      </c>
      <c r="Z765" t="str">
        <f t="shared" si="903"/>
        <v>2</v>
      </c>
      <c r="AA765" t="str">
        <f t="shared" si="842"/>
        <v xml:space="preserve">          </v>
      </c>
      <c r="AB765" t="str">
        <f t="shared" si="907"/>
        <v>2</v>
      </c>
      <c r="AC765" t="str">
        <f t="shared" ref="AC765:AC828" si="908">"2"</f>
        <v>2</v>
      </c>
      <c r="AD765" t="str">
        <f t="shared" si="905"/>
        <v>2</v>
      </c>
      <c r="AE765" t="str">
        <f t="shared" si="905"/>
        <v>2</v>
      </c>
      <c r="AF765" t="str">
        <f t="shared" si="905"/>
        <v>2</v>
      </c>
      <c r="AG765" t="str">
        <f t="shared" si="905"/>
        <v>2</v>
      </c>
      <c r="AH765" t="str">
        <f t="shared" si="876"/>
        <v>1</v>
      </c>
      <c r="AI765" t="str">
        <f>"1         "</f>
        <v xml:space="preserve">1         </v>
      </c>
      <c r="AJ765" t="str">
        <f t="shared" si="854"/>
        <v>170</v>
      </c>
      <c r="AK765" t="str">
        <f>"81"</f>
        <v>81</v>
      </c>
      <c r="AL765" t="str">
        <f>"001"</f>
        <v>001</v>
      </c>
      <c r="AM765" t="str">
        <f>"11"</f>
        <v>11</v>
      </c>
      <c r="AN765" t="str">
        <f>"11001"</f>
        <v>11001</v>
      </c>
      <c r="AO765" t="str">
        <f>"25/11/2020 12:00:00 a. m."</f>
        <v>25/11/2020 12:00:00 a. m.</v>
      </c>
      <c r="AP765" t="str">
        <f>"1/06/2020 12:00:00 a. m."</f>
        <v>1/06/2020 12:00:00 a. m.</v>
      </c>
      <c r="AQ765" t="str">
        <f>"2"</f>
        <v>2</v>
      </c>
      <c r="AR765" t="str">
        <f>"1"</f>
        <v>1</v>
      </c>
      <c r="AS765" t="str">
        <f>"25/11/2020 12:00:00 a. m."</f>
        <v>25/11/2020 12:00:00 a. m.</v>
      </c>
      <c r="AT765" t="str">
        <f>"1"</f>
        <v>1</v>
      </c>
      <c r="AU765" t="str">
        <f>""</f>
        <v/>
      </c>
      <c r="AV765" t="str">
        <f>"3"</f>
        <v>3</v>
      </c>
      <c r="AW765" t="str">
        <f>"9/06/2004 12:00:00 a. m."</f>
        <v>9/06/2004 12:00:00 a. m.</v>
      </c>
      <c r="AX765" t="str">
        <f>""</f>
        <v/>
      </c>
      <c r="AY765" t="str">
        <f t="shared" si="844"/>
        <v>30/04/2021 12:00:00 a. m.</v>
      </c>
      <c r="AZ765" t="str">
        <f>"20/12/2020 12:00:00 a. m."</f>
        <v>20/12/2020 12:00:00 a. m.</v>
      </c>
      <c r="BA765" t="str">
        <f>""</f>
        <v/>
      </c>
      <c r="BB765" t="str">
        <f>""</f>
        <v/>
      </c>
      <c r="BC765" t="str">
        <f>""</f>
        <v/>
      </c>
      <c r="BD765" t="str">
        <f t="shared" si="906"/>
        <v>1</v>
      </c>
      <c r="BE765" t="str">
        <f t="shared" si="906"/>
        <v>1</v>
      </c>
      <c r="BF765" t="str">
        <f t="shared" si="845"/>
        <v xml:space="preserve">3         </v>
      </c>
      <c r="BG765" t="str">
        <f t="shared" si="846"/>
        <v>Confirmado por laboratorio</v>
      </c>
      <c r="BH765" t="str">
        <f>"HOSPITAL UNIVERSITARIO SAN IGNACIO"</f>
        <v>HOSPITAL UNIVERSITARIO SAN IGNACIO</v>
      </c>
      <c r="BI765" t="str">
        <f t="shared" si="855"/>
        <v>COLOMBIA</v>
      </c>
      <c r="BJ765" t="str">
        <f t="shared" si="847"/>
        <v>CANCER INFANTIL</v>
      </c>
      <c r="BK765" t="str">
        <f>"ARAUCA"</f>
        <v>ARAUCA</v>
      </c>
      <c r="BL765" t="str">
        <f>"ARAUCA"</f>
        <v>ARAUCA</v>
      </c>
      <c r="BM765" t="str">
        <f t="shared" si="856"/>
        <v>COLOMBIA</v>
      </c>
      <c r="BN765" t="str">
        <f>"ARAUCA"</f>
        <v>ARAUCA</v>
      </c>
      <c r="BO765" t="str">
        <f>"ARAUCA"</f>
        <v>ARAUCA</v>
      </c>
      <c r="BP765" t="str">
        <f>"BOGOTA"</f>
        <v>BOGOTA</v>
      </c>
      <c r="BQ765" t="str">
        <f>"BOGOTA"</f>
        <v>BOGOTA</v>
      </c>
    </row>
    <row r="766" spans="1:69" x14ac:dyDescent="0.25">
      <c r="A766" t="str">
        <f>"7291714"</f>
        <v>7291714</v>
      </c>
      <c r="B766" t="str">
        <f t="shared" si="840"/>
        <v>459</v>
      </c>
      <c r="C766" t="str">
        <f>"2/07/2020 12:00:00 a. m."</f>
        <v>2/07/2020 12:00:00 a. m.</v>
      </c>
      <c r="D766" t="str">
        <f>"24"</f>
        <v>24</v>
      </c>
      <c r="E766" t="str">
        <f t="shared" si="841"/>
        <v>2020</v>
      </c>
      <c r="F766" t="str">
        <f>"7600102870"</f>
        <v>7600102870</v>
      </c>
      <c r="G766" t="str">
        <f t="shared" si="885"/>
        <v>01</v>
      </c>
      <c r="H766" t="str">
        <f>"3"</f>
        <v>3</v>
      </c>
      <c r="I766" t="str">
        <f t="shared" si="904"/>
        <v>1</v>
      </c>
      <c r="J766" t="str">
        <f>"M"</f>
        <v>M</v>
      </c>
      <c r="K766" t="str">
        <f t="shared" si="853"/>
        <v>170</v>
      </c>
      <c r="L766" t="str">
        <f>"18"</f>
        <v>18</v>
      </c>
      <c r="M766" t="str">
        <f>"753"</f>
        <v>753</v>
      </c>
      <c r="N766" t="str">
        <f>"1"</f>
        <v>1</v>
      </c>
      <c r="O766" t="str">
        <f>"9999"</f>
        <v>9999</v>
      </c>
      <c r="P766" t="str">
        <f>"S"</f>
        <v>S</v>
      </c>
      <c r="Q766" t="str">
        <f>"ESS062"</f>
        <v>ESS062</v>
      </c>
      <c r="R766" t="str">
        <f t="shared" ref="R766:R787" si="909">"6"</f>
        <v>6</v>
      </c>
      <c r="S766" t="str">
        <f>""</f>
        <v/>
      </c>
      <c r="T766" t="str">
        <f t="shared" ref="T766:T797" si="910">"                                                                                                    "</f>
        <v xml:space="preserve">                                                                                                    </v>
      </c>
      <c r="U766" t="str">
        <f>"          "</f>
        <v xml:space="preserve">          </v>
      </c>
      <c r="V766" t="str">
        <f t="shared" si="899"/>
        <v>2</v>
      </c>
      <c r="W766" t="str">
        <f t="shared" si="875"/>
        <v>2</v>
      </c>
      <c r="X766" t="str">
        <f t="shared" si="870"/>
        <v>2</v>
      </c>
      <c r="Y766" t="str">
        <f t="shared" si="903"/>
        <v>2</v>
      </c>
      <c r="Z766" t="str">
        <f t="shared" si="903"/>
        <v>2</v>
      </c>
      <c r="AA766" t="str">
        <f t="shared" si="842"/>
        <v xml:space="preserve">          </v>
      </c>
      <c r="AB766" t="str">
        <f t="shared" si="907"/>
        <v>2</v>
      </c>
      <c r="AC766" t="str">
        <f t="shared" si="908"/>
        <v>2</v>
      </c>
      <c r="AD766" t="str">
        <f t="shared" si="905"/>
        <v>2</v>
      </c>
      <c r="AE766" t="str">
        <f t="shared" si="905"/>
        <v>2</v>
      </c>
      <c r="AF766" t="str">
        <f t="shared" si="905"/>
        <v>2</v>
      </c>
      <c r="AG766" t="str">
        <f t="shared" si="905"/>
        <v>2</v>
      </c>
      <c r="AH766" t="str">
        <f t="shared" si="876"/>
        <v>1</v>
      </c>
      <c r="AI766" t="str">
        <f>"1         "</f>
        <v xml:space="preserve">1         </v>
      </c>
      <c r="AJ766" t="str">
        <f t="shared" si="854"/>
        <v>170</v>
      </c>
      <c r="AK766" t="str">
        <f>"18"</f>
        <v>18</v>
      </c>
      <c r="AL766" t="str">
        <f>"753"</f>
        <v>753</v>
      </c>
      <c r="AM766" t="str">
        <f>"76"</f>
        <v>76</v>
      </c>
      <c r="AN766" t="str">
        <f>"76001"</f>
        <v>76001</v>
      </c>
      <c r="AO766" t="str">
        <f>"12/06/2020 12:00:00 a. m."</f>
        <v>12/06/2020 12:00:00 a. m.</v>
      </c>
      <c r="AP766" t="str">
        <f>"31/05/2020 12:00:00 a. m."</f>
        <v>31/05/2020 12:00:00 a. m.</v>
      </c>
      <c r="AQ766" t="str">
        <f>"3"</f>
        <v>3</v>
      </c>
      <c r="AR766" t="str">
        <f>"1"</f>
        <v>1</v>
      </c>
      <c r="AS766" t="str">
        <f>"12/06/2020 12:00:00 a. m."</f>
        <v>12/06/2020 12:00:00 a. m.</v>
      </c>
      <c r="AT766" t="str">
        <f>"1"</f>
        <v>1</v>
      </c>
      <c r="AU766" t="str">
        <f>""</f>
        <v/>
      </c>
      <c r="AV766" t="str">
        <f>"0"</f>
        <v>0</v>
      </c>
      <c r="AW766" t="str">
        <f>"28/12/2016 12:00:00 a. m."</f>
        <v>28/12/2016 12:00:00 a. m.</v>
      </c>
      <c r="AX766" t="str">
        <f>""</f>
        <v/>
      </c>
      <c r="AY766" t="str">
        <f t="shared" si="844"/>
        <v>30/04/2021 12:00:00 a. m.</v>
      </c>
      <c r="AZ766" t="str">
        <f>"2/07/2020 12:00:00 a. m."</f>
        <v>2/07/2020 12:00:00 a. m.</v>
      </c>
      <c r="BA766" t="str">
        <f>""</f>
        <v/>
      </c>
      <c r="BB766" t="str">
        <f>""</f>
        <v/>
      </c>
      <c r="BC766" t="str">
        <f>""</f>
        <v/>
      </c>
      <c r="BD766" t="str">
        <f t="shared" si="906"/>
        <v>1</v>
      </c>
      <c r="BE766" t="str">
        <f t="shared" si="906"/>
        <v>1</v>
      </c>
      <c r="BF766" t="str">
        <f t="shared" si="845"/>
        <v xml:space="preserve">3         </v>
      </c>
      <c r="BG766" t="str">
        <f t="shared" si="846"/>
        <v>Confirmado por laboratorio</v>
      </c>
      <c r="BH766" t="str">
        <f>"FUNDACION VALLE DEL LILI"</f>
        <v>FUNDACION VALLE DEL LILI</v>
      </c>
      <c r="BI766" t="str">
        <f t="shared" si="855"/>
        <v>COLOMBIA</v>
      </c>
      <c r="BJ766" t="str">
        <f t="shared" si="847"/>
        <v>CANCER INFANTIL</v>
      </c>
      <c r="BK766" t="str">
        <f>"CAQUETA"</f>
        <v>CAQUETA</v>
      </c>
      <c r="BL766" t="str">
        <f>"SAN VICENTE DEL CAGUAN"</f>
        <v>SAN VICENTE DEL CAGUAN</v>
      </c>
      <c r="BM766" t="str">
        <f t="shared" si="856"/>
        <v>COLOMBIA</v>
      </c>
      <c r="BN766" t="str">
        <f>"CAQUETA"</f>
        <v>CAQUETA</v>
      </c>
      <c r="BO766" t="str">
        <f>"SAN VICENTE DEL CAGUAN"</f>
        <v>SAN VICENTE DEL CAGUAN</v>
      </c>
      <c r="BP766" t="str">
        <f>"VALLE"</f>
        <v>VALLE</v>
      </c>
      <c r="BQ766" t="str">
        <f>"CALI"</f>
        <v>CALI</v>
      </c>
    </row>
    <row r="767" spans="1:69" x14ac:dyDescent="0.25">
      <c r="A767" t="str">
        <f>"7285688"</f>
        <v>7285688</v>
      </c>
      <c r="B767" t="str">
        <f t="shared" si="840"/>
        <v>459</v>
      </c>
      <c r="C767" t="str">
        <f>"3/09/2020 12:00:00 a. m."</f>
        <v>3/09/2020 12:00:00 a. m.</v>
      </c>
      <c r="D767" t="str">
        <f>"21"</f>
        <v>21</v>
      </c>
      <c r="E767" t="str">
        <f t="shared" si="841"/>
        <v>2020</v>
      </c>
      <c r="F767" t="str">
        <f>"1100105681"</f>
        <v>1100105681</v>
      </c>
      <c r="G767" t="str">
        <f t="shared" si="885"/>
        <v>01</v>
      </c>
      <c r="H767" t="str">
        <f>"8"</f>
        <v>8</v>
      </c>
      <c r="I767" t="str">
        <f t="shared" si="904"/>
        <v>1</v>
      </c>
      <c r="J767" t="str">
        <f>"M"</f>
        <v>M</v>
      </c>
      <c r="K767" t="str">
        <f t="shared" si="853"/>
        <v>170</v>
      </c>
      <c r="L767" t="str">
        <f>"11"</f>
        <v>11</v>
      </c>
      <c r="M767" t="str">
        <f>"001"</f>
        <v>001</v>
      </c>
      <c r="N767" t="str">
        <f>"1"</f>
        <v>1</v>
      </c>
      <c r="O767" t="str">
        <f t="shared" ref="O767:O772" si="911">"9997"</f>
        <v>9997</v>
      </c>
      <c r="P767" t="str">
        <f>"C"</f>
        <v>C</v>
      </c>
      <c r="Q767" t="str">
        <f>"EPS017"</f>
        <v>EPS017</v>
      </c>
      <c r="R767" t="str">
        <f t="shared" si="909"/>
        <v>6</v>
      </c>
      <c r="S767" t="str">
        <f>""</f>
        <v/>
      </c>
      <c r="T767" t="str">
        <f t="shared" si="910"/>
        <v xml:space="preserve">                                                                                                    </v>
      </c>
      <c r="U767" t="str">
        <f>"2         "</f>
        <v xml:space="preserve">2         </v>
      </c>
      <c r="V767" t="str">
        <f t="shared" si="899"/>
        <v>2</v>
      </c>
      <c r="W767" t="str">
        <f t="shared" ref="W767:W798" si="912">"2"</f>
        <v>2</v>
      </c>
      <c r="X767" t="str">
        <f t="shared" si="870"/>
        <v>2</v>
      </c>
      <c r="Y767" t="str">
        <f t="shared" si="903"/>
        <v>2</v>
      </c>
      <c r="Z767" t="str">
        <f t="shared" si="903"/>
        <v>2</v>
      </c>
      <c r="AA767" t="str">
        <f t="shared" si="842"/>
        <v xml:space="preserve">          </v>
      </c>
      <c r="AB767" t="str">
        <f t="shared" si="907"/>
        <v>2</v>
      </c>
      <c r="AC767" t="str">
        <f t="shared" si="908"/>
        <v>2</v>
      </c>
      <c r="AD767" t="str">
        <f t="shared" si="905"/>
        <v>2</v>
      </c>
      <c r="AE767" t="str">
        <f t="shared" si="905"/>
        <v>2</v>
      </c>
      <c r="AF767" t="str">
        <f t="shared" si="905"/>
        <v>2</v>
      </c>
      <c r="AG767" t="str">
        <f t="shared" si="905"/>
        <v>2</v>
      </c>
      <c r="AH767" t="str">
        <f t="shared" ref="AH767:AH798" si="913">"1"</f>
        <v>1</v>
      </c>
      <c r="AI767" t="str">
        <f>"1         "</f>
        <v xml:space="preserve">1         </v>
      </c>
      <c r="AJ767" t="str">
        <f t="shared" si="854"/>
        <v>170</v>
      </c>
      <c r="AK767" t="str">
        <f>"11"</f>
        <v>11</v>
      </c>
      <c r="AL767" t="str">
        <f>"001"</f>
        <v>001</v>
      </c>
      <c r="AM767" t="str">
        <f t="shared" ref="AM767:AM772" si="914">"11"</f>
        <v>11</v>
      </c>
      <c r="AN767" t="str">
        <f t="shared" ref="AN767:AN772" si="915">"11001"</f>
        <v>11001</v>
      </c>
      <c r="AO767" t="str">
        <f>"18/05/2020 12:00:00 a. m."</f>
        <v>18/05/2020 12:00:00 a. m.</v>
      </c>
      <c r="AP767" t="str">
        <f>"6/05/2020 12:00:00 a. m."</f>
        <v>6/05/2020 12:00:00 a. m.</v>
      </c>
      <c r="AQ767" t="str">
        <f>"3"</f>
        <v>3</v>
      </c>
      <c r="AR767" t="str">
        <f>"1"</f>
        <v>1</v>
      </c>
      <c r="AS767" t="str">
        <f>"18/05/2020 12:00:00 a. m."</f>
        <v>18/05/2020 12:00:00 a. m.</v>
      </c>
      <c r="AT767" t="str">
        <f>"2"</f>
        <v>2</v>
      </c>
      <c r="AU767" t="str">
        <f>"9/10/2020 12:00:00 a. m."</f>
        <v>9/10/2020 12:00:00 a. m.</v>
      </c>
      <c r="AV767" t="str">
        <f>"0"</f>
        <v>0</v>
      </c>
      <c r="AW767" t="str">
        <f>"9/10/2012 12:00:00 a. m."</f>
        <v>9/10/2012 12:00:00 a. m.</v>
      </c>
      <c r="AX767" t="str">
        <f>"C753"</f>
        <v>C753</v>
      </c>
      <c r="AY767" t="str">
        <f t="shared" si="844"/>
        <v>30/04/2021 12:00:00 a. m.</v>
      </c>
      <c r="AZ767" t="str">
        <f>"2/12/2020 12:00:00 a. m."</f>
        <v>2/12/2020 12:00:00 a. m.</v>
      </c>
      <c r="BA767" t="str">
        <f>""</f>
        <v/>
      </c>
      <c r="BB767" t="str">
        <f>""</f>
        <v/>
      </c>
      <c r="BC767" t="str">
        <f>""</f>
        <v/>
      </c>
      <c r="BD767" t="str">
        <f t="shared" si="906"/>
        <v>1</v>
      </c>
      <c r="BE767" t="str">
        <f t="shared" si="906"/>
        <v>1</v>
      </c>
      <c r="BF767" t="str">
        <f t="shared" si="845"/>
        <v xml:space="preserve">3         </v>
      </c>
      <c r="BG767" t="str">
        <f t="shared" si="846"/>
        <v>Confirmado por laboratorio</v>
      </c>
      <c r="BH767" t="str">
        <f>"FUNDACION HOSPITAL DE LA MISERICORDIA"</f>
        <v>FUNDACION HOSPITAL DE LA MISERICORDIA</v>
      </c>
      <c r="BI767" t="str">
        <f t="shared" si="855"/>
        <v>COLOMBIA</v>
      </c>
      <c r="BJ767" t="str">
        <f t="shared" si="847"/>
        <v>CANCER INFANTIL</v>
      </c>
      <c r="BK767" t="str">
        <f>"BOGOTA"</f>
        <v>BOGOTA</v>
      </c>
      <c r="BL767" t="str">
        <f>"BOGOTA"</f>
        <v>BOGOTA</v>
      </c>
      <c r="BM767" t="str">
        <f t="shared" si="856"/>
        <v>COLOMBIA</v>
      </c>
      <c r="BN767" t="str">
        <f>"BOGOTA"</f>
        <v>BOGOTA</v>
      </c>
      <c r="BO767" t="str">
        <f>"BOGOTA"</f>
        <v>BOGOTA</v>
      </c>
      <c r="BP767" t="str">
        <f>"BOGOTA"</f>
        <v>BOGOTA</v>
      </c>
      <c r="BQ767" t="str">
        <f>"BOGOTA"</f>
        <v>BOGOTA</v>
      </c>
    </row>
    <row r="768" spans="1:69" x14ac:dyDescent="0.25">
      <c r="A768" t="str">
        <f>"7285589"</f>
        <v>7285589</v>
      </c>
      <c r="B768" t="str">
        <f t="shared" si="840"/>
        <v>459</v>
      </c>
      <c r="C768" t="str">
        <f>"15/04/2020 12:00:00 a. m."</f>
        <v>15/04/2020 12:00:00 a. m.</v>
      </c>
      <c r="D768" t="str">
        <f>"08"</f>
        <v>08</v>
      </c>
      <c r="E768" t="str">
        <f t="shared" si="841"/>
        <v>2020</v>
      </c>
      <c r="F768" t="str">
        <f>"1100105681"</f>
        <v>1100105681</v>
      </c>
      <c r="G768" t="str">
        <f t="shared" si="885"/>
        <v>01</v>
      </c>
      <c r="H768" t="str">
        <f>"16"</f>
        <v>16</v>
      </c>
      <c r="I768" t="str">
        <f t="shared" si="904"/>
        <v>1</v>
      </c>
      <c r="J768" t="str">
        <f>"M"</f>
        <v>M</v>
      </c>
      <c r="K768" t="str">
        <f t="shared" si="853"/>
        <v>170</v>
      </c>
      <c r="L768" t="str">
        <f>"25"</f>
        <v>25</v>
      </c>
      <c r="M768" t="str">
        <f>"518"</f>
        <v>518</v>
      </c>
      <c r="N768" t="str">
        <f>"3"</f>
        <v>3</v>
      </c>
      <c r="O768" t="str">
        <f t="shared" si="911"/>
        <v>9997</v>
      </c>
      <c r="P768" t="str">
        <f>"S"</f>
        <v>S</v>
      </c>
      <c r="Q768" t="str">
        <f>"EPS022"</f>
        <v>EPS022</v>
      </c>
      <c r="R768" t="str">
        <f t="shared" si="909"/>
        <v>6</v>
      </c>
      <c r="S768" t="str">
        <f>""</f>
        <v/>
      </c>
      <c r="T768" t="str">
        <f t="shared" si="910"/>
        <v xml:space="preserve">                                                                                                    </v>
      </c>
      <c r="U768" t="str">
        <f>"2         "</f>
        <v xml:space="preserve">2         </v>
      </c>
      <c r="V768" t="str">
        <f t="shared" si="899"/>
        <v>2</v>
      </c>
      <c r="W768" t="str">
        <f t="shared" si="912"/>
        <v>2</v>
      </c>
      <c r="X768" t="str">
        <f t="shared" si="870"/>
        <v>2</v>
      </c>
      <c r="Y768" t="str">
        <f t="shared" si="903"/>
        <v>2</v>
      </c>
      <c r="Z768" t="str">
        <f t="shared" si="903"/>
        <v>2</v>
      </c>
      <c r="AA768" t="str">
        <f t="shared" si="842"/>
        <v xml:space="preserve">          </v>
      </c>
      <c r="AB768" t="str">
        <f t="shared" si="907"/>
        <v>2</v>
      </c>
      <c r="AC768" t="str">
        <f t="shared" si="908"/>
        <v>2</v>
      </c>
      <c r="AD768" t="str">
        <f t="shared" si="905"/>
        <v>2</v>
      </c>
      <c r="AE768" t="str">
        <f t="shared" si="905"/>
        <v>2</v>
      </c>
      <c r="AF768" t="str">
        <f t="shared" si="905"/>
        <v>2</v>
      </c>
      <c r="AG768" t="str">
        <f t="shared" si="905"/>
        <v>2</v>
      </c>
      <c r="AH768" t="str">
        <f t="shared" si="913"/>
        <v>1</v>
      </c>
      <c r="AI768" t="str">
        <f>"1         "</f>
        <v xml:space="preserve">1         </v>
      </c>
      <c r="AJ768" t="str">
        <f t="shared" si="854"/>
        <v>170</v>
      </c>
      <c r="AK768" t="str">
        <f>"25"</f>
        <v>25</v>
      </c>
      <c r="AL768" t="str">
        <f>"518"</f>
        <v>518</v>
      </c>
      <c r="AM768" t="str">
        <f t="shared" si="914"/>
        <v>11</v>
      </c>
      <c r="AN768" t="str">
        <f t="shared" si="915"/>
        <v>11001</v>
      </c>
      <c r="AO768" t="str">
        <f>"20/02/2020 12:00:00 a. m."</f>
        <v>20/02/2020 12:00:00 a. m.</v>
      </c>
      <c r="AP768" t="str">
        <f>"20/01/2020 12:00:00 a. m."</f>
        <v>20/01/2020 12:00:00 a. m.</v>
      </c>
      <c r="AQ768" t="str">
        <f>"3"</f>
        <v>3</v>
      </c>
      <c r="AR768" t="str">
        <f>"1"</f>
        <v>1</v>
      </c>
      <c r="AS768" t="str">
        <f>"20/02/2020 12:00:00 a. m."</f>
        <v>20/02/2020 12:00:00 a. m.</v>
      </c>
      <c r="AT768" t="str">
        <f>"1"</f>
        <v>1</v>
      </c>
      <c r="AU768" t="str">
        <f>""</f>
        <v/>
      </c>
      <c r="AV768" t="str">
        <f>"0"</f>
        <v>0</v>
      </c>
      <c r="AW768" t="str">
        <f>"8/05/2003 12:00:00 a. m."</f>
        <v>8/05/2003 12:00:00 a. m.</v>
      </c>
      <c r="AX768" t="str">
        <f>""</f>
        <v/>
      </c>
      <c r="AY768" t="str">
        <f t="shared" si="844"/>
        <v>30/04/2021 12:00:00 a. m.</v>
      </c>
      <c r="AZ768" t="str">
        <f>"15/04/2020 12:00:00 a. m."</f>
        <v>15/04/2020 12:00:00 a. m.</v>
      </c>
      <c r="BA768" t="str">
        <f>""</f>
        <v/>
      </c>
      <c r="BB768" t="str">
        <f>""</f>
        <v/>
      </c>
      <c r="BC768" t="str">
        <f>""</f>
        <v/>
      </c>
      <c r="BD768" t="str">
        <f t="shared" si="906"/>
        <v>1</v>
      </c>
      <c r="BE768" t="str">
        <f t="shared" si="906"/>
        <v>1</v>
      </c>
      <c r="BF768" t="str">
        <f t="shared" si="845"/>
        <v xml:space="preserve">3         </v>
      </c>
      <c r="BG768" t="str">
        <f t="shared" si="846"/>
        <v>Confirmado por laboratorio</v>
      </c>
      <c r="BH768" t="str">
        <f>"FUNDACION HOSPITAL DE LA MISERICORDIA"</f>
        <v>FUNDACION HOSPITAL DE LA MISERICORDIA</v>
      </c>
      <c r="BI768" t="str">
        <f t="shared" si="855"/>
        <v>COLOMBIA</v>
      </c>
      <c r="BJ768" t="str">
        <f t="shared" si="847"/>
        <v>CANCER INFANTIL</v>
      </c>
      <c r="BK768" t="str">
        <f>"CUNDINAMARCA"</f>
        <v>CUNDINAMARCA</v>
      </c>
      <c r="BL768" t="str">
        <f>"PAIME"</f>
        <v>PAIME</v>
      </c>
      <c r="BM768" t="str">
        <f t="shared" si="856"/>
        <v>COLOMBIA</v>
      </c>
      <c r="BN768" t="str">
        <f>"CUNDINAMARCA"</f>
        <v>CUNDINAMARCA</v>
      </c>
      <c r="BO768" t="str">
        <f>"PAIME"</f>
        <v>PAIME</v>
      </c>
      <c r="BP768" t="str">
        <f t="shared" ref="BP768:BQ772" si="916">"BOGOTA"</f>
        <v>BOGOTA</v>
      </c>
      <c r="BQ768" t="str">
        <f t="shared" si="916"/>
        <v>BOGOTA</v>
      </c>
    </row>
    <row r="769" spans="1:69" x14ac:dyDescent="0.25">
      <c r="A769" t="str">
        <f>"7285663"</f>
        <v>7285663</v>
      </c>
      <c r="B769" t="str">
        <f t="shared" si="840"/>
        <v>459</v>
      </c>
      <c r="C769" t="str">
        <f>"22/04/2020 12:00:00 a. m."</f>
        <v>22/04/2020 12:00:00 a. m.</v>
      </c>
      <c r="D769" t="str">
        <f>"04"</f>
        <v>04</v>
      </c>
      <c r="E769" t="str">
        <f t="shared" si="841"/>
        <v>2020</v>
      </c>
      <c r="F769" t="str">
        <f>"1100109186"</f>
        <v>1100109186</v>
      </c>
      <c r="G769" t="str">
        <f>"30"</f>
        <v>30</v>
      </c>
      <c r="H769" t="str">
        <f>"15"</f>
        <v>15</v>
      </c>
      <c r="I769" t="str">
        <f t="shared" si="904"/>
        <v>1</v>
      </c>
      <c r="J769" t="str">
        <f>"M"</f>
        <v>M</v>
      </c>
      <c r="K769" t="str">
        <f t="shared" si="853"/>
        <v>170</v>
      </c>
      <c r="L769" t="str">
        <f>"11"</f>
        <v>11</v>
      </c>
      <c r="M769" t="str">
        <f>"001"</f>
        <v>001</v>
      </c>
      <c r="N769" t="str">
        <f>"1"</f>
        <v>1</v>
      </c>
      <c r="O769" t="str">
        <f t="shared" si="911"/>
        <v>9997</v>
      </c>
      <c r="P769" t="str">
        <f>"C"</f>
        <v>C</v>
      </c>
      <c r="Q769" t="str">
        <f>"EPS005"</f>
        <v>EPS005</v>
      </c>
      <c r="R769" t="str">
        <f t="shared" si="909"/>
        <v>6</v>
      </c>
      <c r="S769" t="str">
        <f>""</f>
        <v/>
      </c>
      <c r="T769" t="str">
        <f t="shared" si="910"/>
        <v xml:space="preserve">                                                                                                    </v>
      </c>
      <c r="U769" t="str">
        <f>"3         "</f>
        <v xml:space="preserve">3         </v>
      </c>
      <c r="V769" t="str">
        <f t="shared" si="899"/>
        <v>2</v>
      </c>
      <c r="W769" t="str">
        <f t="shared" si="912"/>
        <v>2</v>
      </c>
      <c r="X769" t="str">
        <f t="shared" si="870"/>
        <v>2</v>
      </c>
      <c r="Y769" t="str">
        <f t="shared" si="903"/>
        <v>2</v>
      </c>
      <c r="Z769" t="str">
        <f t="shared" si="903"/>
        <v>2</v>
      </c>
      <c r="AA769" t="str">
        <f t="shared" si="842"/>
        <v xml:space="preserve">          </v>
      </c>
      <c r="AB769" t="str">
        <f t="shared" si="907"/>
        <v>2</v>
      </c>
      <c r="AC769" t="str">
        <f t="shared" si="908"/>
        <v>2</v>
      </c>
      <c r="AD769" t="str">
        <f t="shared" si="905"/>
        <v>2</v>
      </c>
      <c r="AE769" t="str">
        <f t="shared" si="905"/>
        <v>2</v>
      </c>
      <c r="AF769" t="str">
        <f t="shared" si="905"/>
        <v>2</v>
      </c>
      <c r="AG769" t="str">
        <f t="shared" si="905"/>
        <v>2</v>
      </c>
      <c r="AH769" t="str">
        <f t="shared" si="913"/>
        <v>1</v>
      </c>
      <c r="AI769" t="str">
        <f>"2         "</f>
        <v xml:space="preserve">2         </v>
      </c>
      <c r="AJ769" t="str">
        <f t="shared" si="854"/>
        <v>170</v>
      </c>
      <c r="AK769" t="str">
        <f>"11"</f>
        <v>11</v>
      </c>
      <c r="AL769" t="str">
        <f>"001"</f>
        <v>001</v>
      </c>
      <c r="AM769" t="str">
        <f t="shared" si="914"/>
        <v>11</v>
      </c>
      <c r="AN769" t="str">
        <f t="shared" si="915"/>
        <v>11001</v>
      </c>
      <c r="AO769" t="str">
        <f>"23/01/2020 12:00:00 a. m."</f>
        <v>23/01/2020 12:00:00 a. m.</v>
      </c>
      <c r="AP769" t="str">
        <f>"20/11/2019 12:00:00 a. m."</f>
        <v>20/11/2019 12:00:00 a. m.</v>
      </c>
      <c r="AQ769" t="str">
        <f>"3"</f>
        <v>3</v>
      </c>
      <c r="AR769" t="str">
        <f>"2"</f>
        <v>2</v>
      </c>
      <c r="AS769" t="str">
        <f>""</f>
        <v/>
      </c>
      <c r="AT769" t="str">
        <f>"1"</f>
        <v>1</v>
      </c>
      <c r="AU769" t="str">
        <f>""</f>
        <v/>
      </c>
      <c r="AV769" t="str">
        <f>"0"</f>
        <v>0</v>
      </c>
      <c r="AW769" t="str">
        <f>"3/05/2004 12:00:00 a. m."</f>
        <v>3/05/2004 12:00:00 a. m.</v>
      </c>
      <c r="AX769" t="str">
        <f>""</f>
        <v/>
      </c>
      <c r="AY769" t="str">
        <f t="shared" si="844"/>
        <v>30/04/2021 12:00:00 a. m.</v>
      </c>
      <c r="AZ769" t="str">
        <f>"22/04/2020 12:00:00 a. m."</f>
        <v>22/04/2020 12:00:00 a. m.</v>
      </c>
      <c r="BA769" t="str">
        <f>""</f>
        <v/>
      </c>
      <c r="BB769" t="str">
        <f>""</f>
        <v/>
      </c>
      <c r="BC769" t="str">
        <f>""</f>
        <v/>
      </c>
      <c r="BD769" t="str">
        <f t="shared" si="906"/>
        <v>1</v>
      </c>
      <c r="BE769" t="str">
        <f t="shared" si="906"/>
        <v>1</v>
      </c>
      <c r="BF769" t="str">
        <f t="shared" si="845"/>
        <v xml:space="preserve">3         </v>
      </c>
      <c r="BG769" t="str">
        <f t="shared" si="846"/>
        <v>Confirmado por laboratorio</v>
      </c>
      <c r="BH769" t="str">
        <f>"CLINICA UNIVERSITARIA COLOMBIA-TEUSAQUILLO"</f>
        <v>CLINICA UNIVERSITARIA COLOMBIA-TEUSAQUILLO</v>
      </c>
      <c r="BI769" t="str">
        <f t="shared" si="855"/>
        <v>COLOMBIA</v>
      </c>
      <c r="BJ769" t="str">
        <f t="shared" si="847"/>
        <v>CANCER INFANTIL</v>
      </c>
      <c r="BK769" t="str">
        <f>"BOGOTA"</f>
        <v>BOGOTA</v>
      </c>
      <c r="BL769" t="str">
        <f>"BOGOTA"</f>
        <v>BOGOTA</v>
      </c>
      <c r="BM769" t="str">
        <f t="shared" si="856"/>
        <v>COLOMBIA</v>
      </c>
      <c r="BN769" t="str">
        <f>"BOGOTA"</f>
        <v>BOGOTA</v>
      </c>
      <c r="BO769" t="str">
        <f>"BOGOTA"</f>
        <v>BOGOTA</v>
      </c>
      <c r="BP769" t="str">
        <f t="shared" si="916"/>
        <v>BOGOTA</v>
      </c>
      <c r="BQ769" t="str">
        <f t="shared" si="916"/>
        <v>BOGOTA</v>
      </c>
    </row>
    <row r="770" spans="1:69" x14ac:dyDescent="0.25">
      <c r="A770" t="str">
        <f>"7291359"</f>
        <v>7291359</v>
      </c>
      <c r="B770" t="str">
        <f t="shared" ref="B770:B833" si="917">"459"</f>
        <v>459</v>
      </c>
      <c r="C770" t="str">
        <f>"17/03/2020 12:00:00 a. m."</f>
        <v>17/03/2020 12:00:00 a. m.</v>
      </c>
      <c r="D770" t="str">
        <f>"06"</f>
        <v>06</v>
      </c>
      <c r="E770" t="str">
        <f t="shared" ref="E770:E833" si="918">"2020"</f>
        <v>2020</v>
      </c>
      <c r="F770" t="str">
        <f>"1100105681"</f>
        <v>1100105681</v>
      </c>
      <c r="G770" t="str">
        <f>"01"</f>
        <v>01</v>
      </c>
      <c r="H770" t="str">
        <f>"14"</f>
        <v>14</v>
      </c>
      <c r="I770" t="str">
        <f t="shared" si="904"/>
        <v>1</v>
      </c>
      <c r="J770" t="str">
        <f>"F"</f>
        <v>F</v>
      </c>
      <c r="K770" t="str">
        <f t="shared" si="853"/>
        <v>170</v>
      </c>
      <c r="L770" t="str">
        <f>"50"</f>
        <v>50</v>
      </c>
      <c r="M770" t="str">
        <f>"110"</f>
        <v>110</v>
      </c>
      <c r="N770" t="str">
        <f>"3"</f>
        <v>3</v>
      </c>
      <c r="O770" t="str">
        <f t="shared" si="911"/>
        <v>9997</v>
      </c>
      <c r="P770" t="str">
        <f>"C"</f>
        <v>C</v>
      </c>
      <c r="Q770" t="str">
        <f>"EPS044"</f>
        <v>EPS044</v>
      </c>
      <c r="R770" t="str">
        <f t="shared" si="909"/>
        <v>6</v>
      </c>
      <c r="S770" t="str">
        <f>""</f>
        <v/>
      </c>
      <c r="T770" t="str">
        <f t="shared" si="910"/>
        <v xml:space="preserve">                                                                                                    </v>
      </c>
      <c r="U770" t="str">
        <f>"2         "</f>
        <v xml:space="preserve">2         </v>
      </c>
      <c r="V770" t="str">
        <f t="shared" si="899"/>
        <v>2</v>
      </c>
      <c r="W770" t="str">
        <f t="shared" si="912"/>
        <v>2</v>
      </c>
      <c r="X770" t="str">
        <f t="shared" si="870"/>
        <v>2</v>
      </c>
      <c r="Y770" t="str">
        <f t="shared" si="903"/>
        <v>2</v>
      </c>
      <c r="Z770" t="str">
        <f t="shared" si="903"/>
        <v>2</v>
      </c>
      <c r="AA770" t="str">
        <f t="shared" ref="AA770:AA833" si="919">"          "</f>
        <v xml:space="preserve">          </v>
      </c>
      <c r="AB770" t="str">
        <f t="shared" si="907"/>
        <v>2</v>
      </c>
      <c r="AC770" t="str">
        <f t="shared" si="908"/>
        <v>2</v>
      </c>
      <c r="AD770" t="str">
        <f t="shared" si="905"/>
        <v>2</v>
      </c>
      <c r="AE770" t="str">
        <f t="shared" si="905"/>
        <v>2</v>
      </c>
      <c r="AF770" t="str">
        <f t="shared" si="905"/>
        <v>2</v>
      </c>
      <c r="AG770" t="str">
        <f t="shared" si="905"/>
        <v>2</v>
      </c>
      <c r="AH770" t="str">
        <f t="shared" si="913"/>
        <v>1</v>
      </c>
      <c r="AI770" t="str">
        <f>"2         "</f>
        <v xml:space="preserve">2         </v>
      </c>
      <c r="AJ770" t="str">
        <f t="shared" si="854"/>
        <v>170</v>
      </c>
      <c r="AK770" t="str">
        <f>"50"</f>
        <v>50</v>
      </c>
      <c r="AL770" t="str">
        <f>"110"</f>
        <v>110</v>
      </c>
      <c r="AM770" t="str">
        <f t="shared" si="914"/>
        <v>11</v>
      </c>
      <c r="AN770" t="str">
        <f t="shared" si="915"/>
        <v>11001</v>
      </c>
      <c r="AO770" t="str">
        <f>"8/02/2020 12:00:00 a. m."</f>
        <v>8/02/2020 12:00:00 a. m.</v>
      </c>
      <c r="AP770" t="str">
        <f>"8/11/2019 12:00:00 a. m."</f>
        <v>8/11/2019 12:00:00 a. m.</v>
      </c>
      <c r="AQ770" t="str">
        <f>"3"</f>
        <v>3</v>
      </c>
      <c r="AR770" t="str">
        <f t="shared" ref="AR770:AR780" si="920">"1"</f>
        <v>1</v>
      </c>
      <c r="AS770" t="str">
        <f>"8/02/2020 12:00:00 a. m."</f>
        <v>8/02/2020 12:00:00 a. m.</v>
      </c>
      <c r="AT770" t="str">
        <f>"2"</f>
        <v>2</v>
      </c>
      <c r="AU770" t="str">
        <f>"14/10/2020 12:00:00 a. m."</f>
        <v>14/10/2020 12:00:00 a. m.</v>
      </c>
      <c r="AV770" t="str">
        <f>"7"</f>
        <v>7</v>
      </c>
      <c r="AW770" t="str">
        <f>"25/02/2006 12:00:00 a. m."</f>
        <v>25/02/2006 12:00:00 a. m.</v>
      </c>
      <c r="AX770" t="str">
        <f>"C402"</f>
        <v>C402</v>
      </c>
      <c r="AY770" t="str">
        <f t="shared" ref="AY770:AY833" si="921">"30/04/2021 12:00:00 a. m."</f>
        <v>30/04/2021 12:00:00 a. m.</v>
      </c>
      <c r="AZ770" t="str">
        <f>"29/10/2020 12:00:00 a. m."</f>
        <v>29/10/2020 12:00:00 a. m.</v>
      </c>
      <c r="BA770" t="str">
        <f>""</f>
        <v/>
      </c>
      <c r="BB770" t="str">
        <f>""</f>
        <v/>
      </c>
      <c r="BC770" t="str">
        <f>""</f>
        <v/>
      </c>
      <c r="BD770" t="str">
        <f t="shared" si="906"/>
        <v>1</v>
      </c>
      <c r="BE770" t="str">
        <f t="shared" si="906"/>
        <v>1</v>
      </c>
      <c r="BF770" t="str">
        <f t="shared" ref="BF770:BF833" si="922">"3         "</f>
        <v xml:space="preserve">3         </v>
      </c>
      <c r="BG770" t="str">
        <f t="shared" ref="BG770:BG833" si="923">"Confirmado por laboratorio"</f>
        <v>Confirmado por laboratorio</v>
      </c>
      <c r="BH770" t="str">
        <f>"FUNDACION HOSPITAL DE LA MISERICORDIA"</f>
        <v>FUNDACION HOSPITAL DE LA MISERICORDIA</v>
      </c>
      <c r="BI770" t="str">
        <f t="shared" si="855"/>
        <v>COLOMBIA</v>
      </c>
      <c r="BJ770" t="str">
        <f t="shared" ref="BJ770:BJ833" si="924">"CANCER INFANTIL"</f>
        <v>CANCER INFANTIL</v>
      </c>
      <c r="BK770" t="str">
        <f>"META"</f>
        <v>META</v>
      </c>
      <c r="BL770" t="str">
        <f>"BARRANCA DE UPIA"</f>
        <v>BARRANCA DE UPIA</v>
      </c>
      <c r="BM770" t="str">
        <f t="shared" si="856"/>
        <v>COLOMBIA</v>
      </c>
      <c r="BN770" t="str">
        <f>"META"</f>
        <v>META</v>
      </c>
      <c r="BO770" t="str">
        <f>"BARRANCA DE UPIA"</f>
        <v>BARRANCA DE UPIA</v>
      </c>
      <c r="BP770" t="str">
        <f t="shared" si="916"/>
        <v>BOGOTA</v>
      </c>
      <c r="BQ770" t="str">
        <f t="shared" si="916"/>
        <v>BOGOTA</v>
      </c>
    </row>
    <row r="771" spans="1:69" x14ac:dyDescent="0.25">
      <c r="A771" t="str">
        <f>"7291503"</f>
        <v>7291503</v>
      </c>
      <c r="B771" t="str">
        <f t="shared" si="917"/>
        <v>459</v>
      </c>
      <c r="C771" t="str">
        <f>"2/07/2020 12:00:00 a. m."</f>
        <v>2/07/2020 12:00:00 a. m.</v>
      </c>
      <c r="D771" t="str">
        <f>"27"</f>
        <v>27</v>
      </c>
      <c r="E771" t="str">
        <f t="shared" si="918"/>
        <v>2020</v>
      </c>
      <c r="F771" t="str">
        <f>"1100108171"</f>
        <v>1100108171</v>
      </c>
      <c r="G771" t="str">
        <f>"02"</f>
        <v>02</v>
      </c>
      <c r="H771" t="str">
        <f>"14"</f>
        <v>14</v>
      </c>
      <c r="I771" t="str">
        <f t="shared" si="904"/>
        <v>1</v>
      </c>
      <c r="J771" t="str">
        <f>"M"</f>
        <v>M</v>
      </c>
      <c r="K771" t="str">
        <f t="shared" si="853"/>
        <v>170</v>
      </c>
      <c r="L771" t="str">
        <f>"25"</f>
        <v>25</v>
      </c>
      <c r="M771" t="str">
        <f>"754"</f>
        <v>754</v>
      </c>
      <c r="N771" t="str">
        <f t="shared" ref="N771:N785" si="925">"1"</f>
        <v>1</v>
      </c>
      <c r="O771" t="str">
        <f t="shared" si="911"/>
        <v>9997</v>
      </c>
      <c r="P771" t="str">
        <f>"C"</f>
        <v>C</v>
      </c>
      <c r="Q771" t="str">
        <f>"EPS017"</f>
        <v>EPS017</v>
      </c>
      <c r="R771" t="str">
        <f t="shared" si="909"/>
        <v>6</v>
      </c>
      <c r="S771" t="str">
        <f>""</f>
        <v/>
      </c>
      <c r="T771" t="str">
        <f t="shared" si="910"/>
        <v xml:space="preserve">                                                                                                    </v>
      </c>
      <c r="U771" t="str">
        <f>"1         "</f>
        <v xml:space="preserve">1         </v>
      </c>
      <c r="V771" t="str">
        <f t="shared" si="899"/>
        <v>2</v>
      </c>
      <c r="W771" t="str">
        <f t="shared" si="912"/>
        <v>2</v>
      </c>
      <c r="X771" t="str">
        <f t="shared" si="870"/>
        <v>2</v>
      </c>
      <c r="Y771" t="str">
        <f t="shared" si="903"/>
        <v>2</v>
      </c>
      <c r="Z771" t="str">
        <f t="shared" si="903"/>
        <v>2</v>
      </c>
      <c r="AA771" t="str">
        <f t="shared" si="919"/>
        <v xml:space="preserve">          </v>
      </c>
      <c r="AB771" t="str">
        <f t="shared" si="907"/>
        <v>2</v>
      </c>
      <c r="AC771" t="str">
        <f t="shared" si="908"/>
        <v>2</v>
      </c>
      <c r="AD771" t="str">
        <f t="shared" si="905"/>
        <v>2</v>
      </c>
      <c r="AE771" t="str">
        <f t="shared" si="905"/>
        <v>2</v>
      </c>
      <c r="AF771" t="str">
        <f t="shared" si="905"/>
        <v>2</v>
      </c>
      <c r="AG771" t="str">
        <f t="shared" si="905"/>
        <v>2</v>
      </c>
      <c r="AH771" t="str">
        <f t="shared" si="913"/>
        <v>1</v>
      </c>
      <c r="AI771" t="str">
        <f t="shared" ref="AI771:AI784" si="926">"1         "</f>
        <v xml:space="preserve">1         </v>
      </c>
      <c r="AJ771" t="str">
        <f t="shared" si="854"/>
        <v>170</v>
      </c>
      <c r="AK771" t="str">
        <f>"25"</f>
        <v>25</v>
      </c>
      <c r="AL771" t="str">
        <f>"754"</f>
        <v>754</v>
      </c>
      <c r="AM771" t="str">
        <f t="shared" si="914"/>
        <v>11</v>
      </c>
      <c r="AN771" t="str">
        <f t="shared" si="915"/>
        <v>11001</v>
      </c>
      <c r="AO771" t="str">
        <f>"30/06/2020 12:00:00 a. m."</f>
        <v>30/06/2020 12:00:00 a. m.</v>
      </c>
      <c r="AP771" t="str">
        <f>"30/11/2019 12:00:00 a. m."</f>
        <v>30/11/2019 12:00:00 a. m.</v>
      </c>
      <c r="AQ771" t="str">
        <f t="shared" ref="AQ771:AQ776" si="927">"2"</f>
        <v>2</v>
      </c>
      <c r="AR771" t="str">
        <f t="shared" si="920"/>
        <v>1</v>
      </c>
      <c r="AS771" t="str">
        <f>"30/06/2020 12:00:00 a. m."</f>
        <v>30/06/2020 12:00:00 a. m.</v>
      </c>
      <c r="AT771" t="str">
        <f t="shared" ref="AT771:AT780" si="928">"1"</f>
        <v>1</v>
      </c>
      <c r="AU771" t="str">
        <f>""</f>
        <v/>
      </c>
      <c r="AV771" t="str">
        <f t="shared" ref="AV771:AV776" si="929">"3"</f>
        <v>3</v>
      </c>
      <c r="AW771" t="str">
        <f>"23/04/2006 12:00:00 a. m."</f>
        <v>23/04/2006 12:00:00 a. m.</v>
      </c>
      <c r="AX771" t="str">
        <f>""</f>
        <v/>
      </c>
      <c r="AY771" t="str">
        <f t="shared" si="921"/>
        <v>30/04/2021 12:00:00 a. m.</v>
      </c>
      <c r="AZ771" t="str">
        <f>"21/07/2020 12:00:00 a. m."</f>
        <v>21/07/2020 12:00:00 a. m.</v>
      </c>
      <c r="BA771" t="str">
        <f>""</f>
        <v/>
      </c>
      <c r="BB771" t="str">
        <f>""</f>
        <v/>
      </c>
      <c r="BC771" t="str">
        <f>""</f>
        <v/>
      </c>
      <c r="BD771" t="str">
        <f t="shared" si="906"/>
        <v>1</v>
      </c>
      <c r="BE771" t="str">
        <f t="shared" si="906"/>
        <v>1</v>
      </c>
      <c r="BF771" t="str">
        <f t="shared" si="922"/>
        <v xml:space="preserve">3         </v>
      </c>
      <c r="BG771" t="str">
        <f t="shared" si="923"/>
        <v>Confirmado por laboratorio</v>
      </c>
      <c r="BH771" t="str">
        <f>"CLINICA INFANTIL COLSUBSIDIO"</f>
        <v>CLINICA INFANTIL COLSUBSIDIO</v>
      </c>
      <c r="BI771" t="str">
        <f t="shared" si="855"/>
        <v>COLOMBIA</v>
      </c>
      <c r="BJ771" t="str">
        <f t="shared" si="924"/>
        <v>CANCER INFANTIL</v>
      </c>
      <c r="BK771" t="str">
        <f>"CUNDINAMARCA"</f>
        <v>CUNDINAMARCA</v>
      </c>
      <c r="BL771" t="str">
        <f>"SOACHA"</f>
        <v>SOACHA</v>
      </c>
      <c r="BM771" t="str">
        <f t="shared" si="856"/>
        <v>COLOMBIA</v>
      </c>
      <c r="BN771" t="str">
        <f>"CUNDINAMARCA"</f>
        <v>CUNDINAMARCA</v>
      </c>
      <c r="BO771" t="str">
        <f>"SOACHA"</f>
        <v>SOACHA</v>
      </c>
      <c r="BP771" t="str">
        <f t="shared" si="916"/>
        <v>BOGOTA</v>
      </c>
      <c r="BQ771" t="str">
        <f t="shared" si="916"/>
        <v>BOGOTA</v>
      </c>
    </row>
    <row r="772" spans="1:69" x14ac:dyDescent="0.25">
      <c r="A772" t="str">
        <f>"7291462"</f>
        <v>7291462</v>
      </c>
      <c r="B772" t="str">
        <f t="shared" si="917"/>
        <v>459</v>
      </c>
      <c r="C772" t="str">
        <f>"6/04/2020 12:00:00 a. m."</f>
        <v>6/04/2020 12:00:00 a. m.</v>
      </c>
      <c r="D772" t="str">
        <f>"15"</f>
        <v>15</v>
      </c>
      <c r="E772" t="str">
        <f t="shared" si="918"/>
        <v>2020</v>
      </c>
      <c r="F772" t="str">
        <f>"1100108171"</f>
        <v>1100108171</v>
      </c>
      <c r="G772" t="str">
        <f>"02"</f>
        <v>02</v>
      </c>
      <c r="H772" t="str">
        <f>"11"</f>
        <v>11</v>
      </c>
      <c r="I772" t="str">
        <f t="shared" si="904"/>
        <v>1</v>
      </c>
      <c r="J772" t="str">
        <f>"F"</f>
        <v>F</v>
      </c>
      <c r="K772" t="str">
        <f t="shared" si="853"/>
        <v>170</v>
      </c>
      <c r="L772" t="str">
        <f>"25"</f>
        <v>25</v>
      </c>
      <c r="M772" t="str">
        <f>"754"</f>
        <v>754</v>
      </c>
      <c r="N772" t="str">
        <f t="shared" si="925"/>
        <v>1</v>
      </c>
      <c r="O772" t="str">
        <f t="shared" si="911"/>
        <v>9997</v>
      </c>
      <c r="P772" t="str">
        <f>"C"</f>
        <v>C</v>
      </c>
      <c r="Q772" t="str">
        <f>"EPS017"</f>
        <v>EPS017</v>
      </c>
      <c r="R772" t="str">
        <f t="shared" si="909"/>
        <v>6</v>
      </c>
      <c r="S772" t="str">
        <f>""</f>
        <v/>
      </c>
      <c r="T772" t="str">
        <f t="shared" si="910"/>
        <v xml:space="preserve">                                                                                                    </v>
      </c>
      <c r="U772" t="str">
        <f>"4         "</f>
        <v xml:space="preserve">4         </v>
      </c>
      <c r="V772" t="str">
        <f t="shared" si="899"/>
        <v>2</v>
      </c>
      <c r="W772" t="str">
        <f t="shared" si="912"/>
        <v>2</v>
      </c>
      <c r="X772" t="str">
        <f t="shared" si="870"/>
        <v>2</v>
      </c>
      <c r="Y772" t="str">
        <f t="shared" si="903"/>
        <v>2</v>
      </c>
      <c r="Z772" t="str">
        <f t="shared" si="903"/>
        <v>2</v>
      </c>
      <c r="AA772" t="str">
        <f t="shared" si="919"/>
        <v xml:space="preserve">          </v>
      </c>
      <c r="AB772" t="str">
        <f t="shared" si="907"/>
        <v>2</v>
      </c>
      <c r="AC772" t="str">
        <f t="shared" si="908"/>
        <v>2</v>
      </c>
      <c r="AD772" t="str">
        <f t="shared" si="905"/>
        <v>2</v>
      </c>
      <c r="AE772" t="str">
        <f t="shared" si="905"/>
        <v>2</v>
      </c>
      <c r="AF772" t="str">
        <f t="shared" si="905"/>
        <v>2</v>
      </c>
      <c r="AG772" t="str">
        <f t="shared" si="905"/>
        <v>2</v>
      </c>
      <c r="AH772" t="str">
        <f t="shared" si="913"/>
        <v>1</v>
      </c>
      <c r="AI772" t="str">
        <f t="shared" si="926"/>
        <v xml:space="preserve">1         </v>
      </c>
      <c r="AJ772" t="str">
        <f t="shared" si="854"/>
        <v>170</v>
      </c>
      <c r="AK772" t="str">
        <f>"25"</f>
        <v>25</v>
      </c>
      <c r="AL772" t="str">
        <f>"754"</f>
        <v>754</v>
      </c>
      <c r="AM772" t="str">
        <f t="shared" si="914"/>
        <v>11</v>
      </c>
      <c r="AN772" t="str">
        <f t="shared" si="915"/>
        <v>11001</v>
      </c>
      <c r="AO772" t="str">
        <f>"5/04/2020 12:00:00 a. m."</f>
        <v>5/04/2020 12:00:00 a. m.</v>
      </c>
      <c r="AP772" t="str">
        <f>"2/04/2020 12:00:00 a. m."</f>
        <v>2/04/2020 12:00:00 a. m.</v>
      </c>
      <c r="AQ772" t="str">
        <f t="shared" si="927"/>
        <v>2</v>
      </c>
      <c r="AR772" t="str">
        <f t="shared" si="920"/>
        <v>1</v>
      </c>
      <c r="AS772" t="str">
        <f>"5/04/2020 12:00:00 a. m."</f>
        <v>5/04/2020 12:00:00 a. m.</v>
      </c>
      <c r="AT772" t="str">
        <f t="shared" si="928"/>
        <v>1</v>
      </c>
      <c r="AU772" t="str">
        <f>""</f>
        <v/>
      </c>
      <c r="AV772" t="str">
        <f t="shared" si="929"/>
        <v>3</v>
      </c>
      <c r="AW772" t="str">
        <f>"27/12/2008 12:00:00 a. m."</f>
        <v>27/12/2008 12:00:00 a. m.</v>
      </c>
      <c r="AX772" t="str">
        <f>""</f>
        <v/>
      </c>
      <c r="AY772" t="str">
        <f t="shared" si="921"/>
        <v>30/04/2021 12:00:00 a. m.</v>
      </c>
      <c r="AZ772" t="str">
        <f>"21/04/2020 12:00:00 a. m."</f>
        <v>21/04/2020 12:00:00 a. m.</v>
      </c>
      <c r="BA772" t="str">
        <f>""</f>
        <v/>
      </c>
      <c r="BB772" t="str">
        <f>""</f>
        <v/>
      </c>
      <c r="BC772" t="str">
        <f>""</f>
        <v/>
      </c>
      <c r="BD772" t="str">
        <f t="shared" si="906"/>
        <v>1</v>
      </c>
      <c r="BE772" t="str">
        <f t="shared" si="906"/>
        <v>1</v>
      </c>
      <c r="BF772" t="str">
        <f t="shared" si="922"/>
        <v xml:space="preserve">3         </v>
      </c>
      <c r="BG772" t="str">
        <f t="shared" si="923"/>
        <v>Confirmado por laboratorio</v>
      </c>
      <c r="BH772" t="str">
        <f>"CLINICA INFANTIL COLSUBSIDIO"</f>
        <v>CLINICA INFANTIL COLSUBSIDIO</v>
      </c>
      <c r="BI772" t="str">
        <f t="shared" si="855"/>
        <v>COLOMBIA</v>
      </c>
      <c r="BJ772" t="str">
        <f t="shared" si="924"/>
        <v>CANCER INFANTIL</v>
      </c>
      <c r="BK772" t="str">
        <f>"CUNDINAMARCA"</f>
        <v>CUNDINAMARCA</v>
      </c>
      <c r="BL772" t="str">
        <f>"SOACHA"</f>
        <v>SOACHA</v>
      </c>
      <c r="BM772" t="str">
        <f t="shared" si="856"/>
        <v>COLOMBIA</v>
      </c>
      <c r="BN772" t="str">
        <f>"CUNDINAMARCA"</f>
        <v>CUNDINAMARCA</v>
      </c>
      <c r="BO772" t="str">
        <f>"SOACHA"</f>
        <v>SOACHA</v>
      </c>
      <c r="BP772" t="str">
        <f t="shared" si="916"/>
        <v>BOGOTA</v>
      </c>
      <c r="BQ772" t="str">
        <f t="shared" si="916"/>
        <v>BOGOTA</v>
      </c>
    </row>
    <row r="773" spans="1:69" x14ac:dyDescent="0.25">
      <c r="A773" t="str">
        <f>"7279194"</f>
        <v>7279194</v>
      </c>
      <c r="B773" t="str">
        <f t="shared" si="917"/>
        <v>459</v>
      </c>
      <c r="C773" t="str">
        <f>"18/11/2020 12:00:00 a. m."</f>
        <v>18/11/2020 12:00:00 a. m.</v>
      </c>
      <c r="D773" t="str">
        <f>"46"</f>
        <v>46</v>
      </c>
      <c r="E773" t="str">
        <f t="shared" si="918"/>
        <v>2020</v>
      </c>
      <c r="F773" t="str">
        <f>"7600102870"</f>
        <v>7600102870</v>
      </c>
      <c r="G773" t="str">
        <f t="shared" ref="G773:G778" si="930">"01"</f>
        <v>01</v>
      </c>
      <c r="H773" t="str">
        <f>"4"</f>
        <v>4</v>
      </c>
      <c r="I773" t="str">
        <f t="shared" si="904"/>
        <v>1</v>
      </c>
      <c r="J773" t="str">
        <f>"F"</f>
        <v>F</v>
      </c>
      <c r="K773" t="str">
        <f t="shared" si="853"/>
        <v>170</v>
      </c>
      <c r="L773" t="str">
        <f>"76"</f>
        <v>76</v>
      </c>
      <c r="M773" t="str">
        <f>"001"</f>
        <v>001</v>
      </c>
      <c r="N773" t="str">
        <f t="shared" si="925"/>
        <v>1</v>
      </c>
      <c r="O773" t="str">
        <f>"9999"</f>
        <v>9999</v>
      </c>
      <c r="P773" t="str">
        <f>"C"</f>
        <v>C</v>
      </c>
      <c r="Q773" t="str">
        <f>"EPS018"</f>
        <v>EPS018</v>
      </c>
      <c r="R773" t="str">
        <f t="shared" si="909"/>
        <v>6</v>
      </c>
      <c r="S773" t="str">
        <f>""</f>
        <v/>
      </c>
      <c r="T773" t="str">
        <f t="shared" si="910"/>
        <v xml:space="preserve">                                                                                                    </v>
      </c>
      <c r="U773" t="str">
        <f>"2         "</f>
        <v xml:space="preserve">2         </v>
      </c>
      <c r="V773" t="str">
        <f t="shared" si="899"/>
        <v>2</v>
      </c>
      <c r="W773" t="str">
        <f t="shared" si="912"/>
        <v>2</v>
      </c>
      <c r="X773" t="str">
        <f t="shared" si="870"/>
        <v>2</v>
      </c>
      <c r="Y773" t="str">
        <f t="shared" si="903"/>
        <v>2</v>
      </c>
      <c r="Z773" t="str">
        <f t="shared" si="903"/>
        <v>2</v>
      </c>
      <c r="AA773" t="str">
        <f t="shared" si="919"/>
        <v xml:space="preserve">          </v>
      </c>
      <c r="AB773" t="str">
        <f t="shared" si="907"/>
        <v>2</v>
      </c>
      <c r="AC773" t="str">
        <f t="shared" si="908"/>
        <v>2</v>
      </c>
      <c r="AD773" t="str">
        <f t="shared" si="905"/>
        <v>2</v>
      </c>
      <c r="AE773" t="str">
        <f t="shared" si="905"/>
        <v>2</v>
      </c>
      <c r="AF773" t="str">
        <f t="shared" si="905"/>
        <v>2</v>
      </c>
      <c r="AG773" t="str">
        <f t="shared" si="905"/>
        <v>2</v>
      </c>
      <c r="AH773" t="str">
        <f t="shared" si="913"/>
        <v>1</v>
      </c>
      <c r="AI773" t="str">
        <f t="shared" si="926"/>
        <v xml:space="preserve">1         </v>
      </c>
      <c r="AJ773" t="str">
        <f t="shared" si="854"/>
        <v>170</v>
      </c>
      <c r="AK773" t="str">
        <f>"76"</f>
        <v>76</v>
      </c>
      <c r="AL773" t="str">
        <f>"001"</f>
        <v>001</v>
      </c>
      <c r="AM773" t="str">
        <f>"76"</f>
        <v>76</v>
      </c>
      <c r="AN773" t="str">
        <f>"76001"</f>
        <v>76001</v>
      </c>
      <c r="AO773" t="str">
        <f>"13/11/2020 12:00:00 a. m."</f>
        <v>13/11/2020 12:00:00 a. m.</v>
      </c>
      <c r="AP773" t="str">
        <f>"1/08/2020 12:00:00 a. m."</f>
        <v>1/08/2020 12:00:00 a. m.</v>
      </c>
      <c r="AQ773" t="str">
        <f t="shared" si="927"/>
        <v>2</v>
      </c>
      <c r="AR773" t="str">
        <f t="shared" si="920"/>
        <v>1</v>
      </c>
      <c r="AS773" t="str">
        <f>"13/11/2020 12:00:00 a. m."</f>
        <v>13/11/2020 12:00:00 a. m.</v>
      </c>
      <c r="AT773" t="str">
        <f t="shared" si="928"/>
        <v>1</v>
      </c>
      <c r="AU773" t="str">
        <f>""</f>
        <v/>
      </c>
      <c r="AV773" t="str">
        <f t="shared" si="929"/>
        <v>3</v>
      </c>
      <c r="AW773" t="str">
        <f>"14/11/2016 12:00:00 a. m."</f>
        <v>14/11/2016 12:00:00 a. m.</v>
      </c>
      <c r="AX773" t="str">
        <f>""</f>
        <v/>
      </c>
      <c r="AY773" t="str">
        <f t="shared" si="921"/>
        <v>30/04/2021 12:00:00 a. m.</v>
      </c>
      <c r="AZ773" t="str">
        <f>"6/01/2021 12:00:00 a. m."</f>
        <v>6/01/2021 12:00:00 a. m.</v>
      </c>
      <c r="BA773" t="str">
        <f>""</f>
        <v/>
      </c>
      <c r="BB773" t="str">
        <f>""</f>
        <v/>
      </c>
      <c r="BC773" t="str">
        <f>""</f>
        <v/>
      </c>
      <c r="BD773" t="str">
        <f t="shared" si="906"/>
        <v>1</v>
      </c>
      <c r="BE773" t="str">
        <f t="shared" si="906"/>
        <v>1</v>
      </c>
      <c r="BF773" t="str">
        <f t="shared" si="922"/>
        <v xml:space="preserve">3         </v>
      </c>
      <c r="BG773" t="str">
        <f t="shared" si="923"/>
        <v>Confirmado por laboratorio</v>
      </c>
      <c r="BH773" t="str">
        <f>"FUNDACION VALLE DEL LILI"</f>
        <v>FUNDACION VALLE DEL LILI</v>
      </c>
      <c r="BI773" t="str">
        <f t="shared" si="855"/>
        <v>COLOMBIA</v>
      </c>
      <c r="BJ773" t="str">
        <f t="shared" si="924"/>
        <v>CANCER INFANTIL</v>
      </c>
      <c r="BK773" t="str">
        <f>"VALLE"</f>
        <v>VALLE</v>
      </c>
      <c r="BL773" t="str">
        <f>"CALI"</f>
        <v>CALI</v>
      </c>
      <c r="BM773" t="str">
        <f t="shared" si="856"/>
        <v>COLOMBIA</v>
      </c>
      <c r="BN773" t="str">
        <f>"VALLE"</f>
        <v>VALLE</v>
      </c>
      <c r="BO773" t="str">
        <f>"CALI"</f>
        <v>CALI</v>
      </c>
      <c r="BP773" t="str">
        <f>"VALLE"</f>
        <v>VALLE</v>
      </c>
      <c r="BQ773" t="str">
        <f>"CALI"</f>
        <v>CALI</v>
      </c>
    </row>
    <row r="774" spans="1:69" x14ac:dyDescent="0.25">
      <c r="A774" t="str">
        <f>"7279197"</f>
        <v>7279197</v>
      </c>
      <c r="B774" t="str">
        <f t="shared" si="917"/>
        <v>459</v>
      </c>
      <c r="C774" t="str">
        <f>"10/11/2020 12:00:00 a. m."</f>
        <v>10/11/2020 12:00:00 a. m.</v>
      </c>
      <c r="D774" t="str">
        <f>"45"</f>
        <v>45</v>
      </c>
      <c r="E774" t="str">
        <f t="shared" si="918"/>
        <v>2020</v>
      </c>
      <c r="F774" t="str">
        <f>"7600102870"</f>
        <v>7600102870</v>
      </c>
      <c r="G774" t="str">
        <f t="shared" si="930"/>
        <v>01</v>
      </c>
      <c r="H774" t="str">
        <f>"10"</f>
        <v>10</v>
      </c>
      <c r="I774" t="str">
        <f t="shared" si="904"/>
        <v>1</v>
      </c>
      <c r="J774" t="str">
        <f>"M"</f>
        <v>M</v>
      </c>
      <c r="K774" t="str">
        <f t="shared" si="853"/>
        <v>170</v>
      </c>
      <c r="L774" t="str">
        <f>"76"</f>
        <v>76</v>
      </c>
      <c r="M774" t="str">
        <f>"109"</f>
        <v>109</v>
      </c>
      <c r="N774" t="str">
        <f t="shared" si="925"/>
        <v>1</v>
      </c>
      <c r="O774" t="str">
        <f>"9999"</f>
        <v>9999</v>
      </c>
      <c r="P774" t="str">
        <f>"S"</f>
        <v>S</v>
      </c>
      <c r="Q774" t="str">
        <f>"ESS118"</f>
        <v>ESS118</v>
      </c>
      <c r="R774" t="str">
        <f t="shared" si="909"/>
        <v>6</v>
      </c>
      <c r="S774" t="str">
        <f>""</f>
        <v/>
      </c>
      <c r="T774" t="str">
        <f t="shared" si="910"/>
        <v xml:space="preserve">                                                                                                    </v>
      </c>
      <c r="U774" t="str">
        <f>"          "</f>
        <v xml:space="preserve">          </v>
      </c>
      <c r="V774" t="str">
        <f t="shared" si="899"/>
        <v>2</v>
      </c>
      <c r="W774" t="str">
        <f t="shared" si="912"/>
        <v>2</v>
      </c>
      <c r="X774" t="str">
        <f t="shared" si="870"/>
        <v>2</v>
      </c>
      <c r="Y774" t="str">
        <f t="shared" si="903"/>
        <v>2</v>
      </c>
      <c r="Z774" t="str">
        <f t="shared" si="903"/>
        <v>2</v>
      </c>
      <c r="AA774" t="str">
        <f t="shared" si="919"/>
        <v xml:space="preserve">          </v>
      </c>
      <c r="AB774" t="str">
        <f t="shared" si="907"/>
        <v>2</v>
      </c>
      <c r="AC774" t="str">
        <f t="shared" si="908"/>
        <v>2</v>
      </c>
      <c r="AD774" t="str">
        <f t="shared" si="905"/>
        <v>2</v>
      </c>
      <c r="AE774" t="str">
        <f t="shared" si="905"/>
        <v>2</v>
      </c>
      <c r="AF774" t="str">
        <f t="shared" si="905"/>
        <v>2</v>
      </c>
      <c r="AG774" t="str">
        <f t="shared" si="905"/>
        <v>2</v>
      </c>
      <c r="AH774" t="str">
        <f t="shared" si="913"/>
        <v>1</v>
      </c>
      <c r="AI774" t="str">
        <f t="shared" si="926"/>
        <v xml:space="preserve">1         </v>
      </c>
      <c r="AJ774" t="str">
        <f t="shared" si="854"/>
        <v>170</v>
      </c>
      <c r="AK774" t="str">
        <f>"76"</f>
        <v>76</v>
      </c>
      <c r="AL774" t="str">
        <f>"109"</f>
        <v>109</v>
      </c>
      <c r="AM774" t="str">
        <f>"76"</f>
        <v>76</v>
      </c>
      <c r="AN774" t="str">
        <f>"76001"</f>
        <v>76001</v>
      </c>
      <c r="AO774" t="str">
        <f>"6/11/2020 12:00:00 a. m."</f>
        <v>6/11/2020 12:00:00 a. m.</v>
      </c>
      <c r="AP774" t="str">
        <f>"1/06/2020 12:00:00 a. m."</f>
        <v>1/06/2020 12:00:00 a. m.</v>
      </c>
      <c r="AQ774" t="str">
        <f t="shared" si="927"/>
        <v>2</v>
      </c>
      <c r="AR774" t="str">
        <f t="shared" si="920"/>
        <v>1</v>
      </c>
      <c r="AS774" t="str">
        <f>"6/11/2020 12:00:00 a. m."</f>
        <v>6/11/2020 12:00:00 a. m.</v>
      </c>
      <c r="AT774" t="str">
        <f t="shared" si="928"/>
        <v>1</v>
      </c>
      <c r="AU774" t="str">
        <f>""</f>
        <v/>
      </c>
      <c r="AV774" t="str">
        <f t="shared" si="929"/>
        <v>3</v>
      </c>
      <c r="AW774" t="str">
        <f>"15/08/2010 12:00:00 a. m."</f>
        <v>15/08/2010 12:00:00 a. m.</v>
      </c>
      <c r="AX774" t="str">
        <f>""</f>
        <v/>
      </c>
      <c r="AY774" t="str">
        <f t="shared" si="921"/>
        <v>30/04/2021 12:00:00 a. m.</v>
      </c>
      <c r="AZ774" t="str">
        <f>"15/01/2021 12:00:00 a. m."</f>
        <v>15/01/2021 12:00:00 a. m.</v>
      </c>
      <c r="BA774" t="str">
        <f>""</f>
        <v/>
      </c>
      <c r="BB774" t="str">
        <f>""</f>
        <v/>
      </c>
      <c r="BC774" t="str">
        <f>""</f>
        <v/>
      </c>
      <c r="BD774" t="str">
        <f t="shared" si="906"/>
        <v>1</v>
      </c>
      <c r="BE774" t="str">
        <f t="shared" si="906"/>
        <v>1</v>
      </c>
      <c r="BF774" t="str">
        <f t="shared" si="922"/>
        <v xml:space="preserve">3         </v>
      </c>
      <c r="BG774" t="str">
        <f t="shared" si="923"/>
        <v>Confirmado por laboratorio</v>
      </c>
      <c r="BH774" t="str">
        <f>"FUNDACION VALLE DEL LILI"</f>
        <v>FUNDACION VALLE DEL LILI</v>
      </c>
      <c r="BI774" t="str">
        <f t="shared" si="855"/>
        <v>COLOMBIA</v>
      </c>
      <c r="BJ774" t="str">
        <f t="shared" si="924"/>
        <v>CANCER INFANTIL</v>
      </c>
      <c r="BK774" t="str">
        <f>"VALLE"</f>
        <v>VALLE</v>
      </c>
      <c r="BL774" t="str">
        <f>"BUENAVENTURA"</f>
        <v>BUENAVENTURA</v>
      </c>
      <c r="BM774" t="str">
        <f t="shared" si="856"/>
        <v>COLOMBIA</v>
      </c>
      <c r="BN774" t="str">
        <f>"VALLE"</f>
        <v>VALLE</v>
      </c>
      <c r="BO774" t="str">
        <f>"BUENAVENTURA"</f>
        <v>BUENAVENTURA</v>
      </c>
      <c r="BP774" t="str">
        <f>"VALLE"</f>
        <v>VALLE</v>
      </c>
      <c r="BQ774" t="str">
        <f>"CALI"</f>
        <v>CALI</v>
      </c>
    </row>
    <row r="775" spans="1:69" x14ac:dyDescent="0.25">
      <c r="A775" t="str">
        <f>"7279200"</f>
        <v>7279200</v>
      </c>
      <c r="B775" t="str">
        <f t="shared" si="917"/>
        <v>459</v>
      </c>
      <c r="C775" t="str">
        <f>"1/07/2020 12:00:00 a. m."</f>
        <v>1/07/2020 12:00:00 a. m.</v>
      </c>
      <c r="D775" t="str">
        <f>"26"</f>
        <v>26</v>
      </c>
      <c r="E775" t="str">
        <f t="shared" si="918"/>
        <v>2020</v>
      </c>
      <c r="F775" t="str">
        <f>"7600102870"</f>
        <v>7600102870</v>
      </c>
      <c r="G775" t="str">
        <f t="shared" si="930"/>
        <v>01</v>
      </c>
      <c r="H775" t="str">
        <f>"15"</f>
        <v>15</v>
      </c>
      <c r="I775" t="str">
        <f t="shared" si="904"/>
        <v>1</v>
      </c>
      <c r="J775" t="str">
        <f>"M"</f>
        <v>M</v>
      </c>
      <c r="K775" t="str">
        <f t="shared" si="853"/>
        <v>170</v>
      </c>
      <c r="L775" t="str">
        <f>"76"</f>
        <v>76</v>
      </c>
      <c r="M775" t="str">
        <f>"111"</f>
        <v>111</v>
      </c>
      <c r="N775" t="str">
        <f t="shared" si="925"/>
        <v>1</v>
      </c>
      <c r="O775" t="str">
        <f>"9999"</f>
        <v>9999</v>
      </c>
      <c r="P775" t="str">
        <f>"C"</f>
        <v>C</v>
      </c>
      <c r="Q775" t="str">
        <f>"EPS018"</f>
        <v>EPS018</v>
      </c>
      <c r="R775" t="str">
        <f t="shared" si="909"/>
        <v>6</v>
      </c>
      <c r="S775" t="str">
        <f>""</f>
        <v/>
      </c>
      <c r="T775" t="str">
        <f t="shared" si="910"/>
        <v xml:space="preserve">                                                                                                    </v>
      </c>
      <c r="U775" t="str">
        <f>"          "</f>
        <v xml:space="preserve">          </v>
      </c>
      <c r="V775" t="str">
        <f t="shared" si="899"/>
        <v>2</v>
      </c>
      <c r="W775" t="str">
        <f t="shared" si="912"/>
        <v>2</v>
      </c>
      <c r="X775" t="str">
        <f t="shared" si="870"/>
        <v>2</v>
      </c>
      <c r="Y775" t="str">
        <f t="shared" si="903"/>
        <v>2</v>
      </c>
      <c r="Z775" t="str">
        <f t="shared" si="903"/>
        <v>2</v>
      </c>
      <c r="AA775" t="str">
        <f t="shared" si="919"/>
        <v xml:space="preserve">          </v>
      </c>
      <c r="AB775" t="str">
        <f t="shared" si="907"/>
        <v>2</v>
      </c>
      <c r="AC775" t="str">
        <f t="shared" si="908"/>
        <v>2</v>
      </c>
      <c r="AD775" t="str">
        <f t="shared" si="905"/>
        <v>2</v>
      </c>
      <c r="AE775" t="str">
        <f t="shared" si="905"/>
        <v>2</v>
      </c>
      <c r="AF775" t="str">
        <f t="shared" si="905"/>
        <v>2</v>
      </c>
      <c r="AG775" t="str">
        <f t="shared" si="905"/>
        <v>2</v>
      </c>
      <c r="AH775" t="str">
        <f t="shared" si="913"/>
        <v>1</v>
      </c>
      <c r="AI775" t="str">
        <f t="shared" si="926"/>
        <v xml:space="preserve">1         </v>
      </c>
      <c r="AJ775" t="str">
        <f t="shared" si="854"/>
        <v>170</v>
      </c>
      <c r="AK775" t="str">
        <f>"76"</f>
        <v>76</v>
      </c>
      <c r="AL775" t="str">
        <f>"111"</f>
        <v>111</v>
      </c>
      <c r="AM775" t="str">
        <f>"76"</f>
        <v>76</v>
      </c>
      <c r="AN775" t="str">
        <f>"76001"</f>
        <v>76001</v>
      </c>
      <c r="AO775" t="str">
        <f>"23/06/2020 12:00:00 a. m."</f>
        <v>23/06/2020 12:00:00 a. m.</v>
      </c>
      <c r="AP775" t="str">
        <f>"9/06/2020 12:00:00 a. m."</f>
        <v>9/06/2020 12:00:00 a. m.</v>
      </c>
      <c r="AQ775" t="str">
        <f t="shared" si="927"/>
        <v>2</v>
      </c>
      <c r="AR775" t="str">
        <f t="shared" si="920"/>
        <v>1</v>
      </c>
      <c r="AS775" t="str">
        <f>"24/06/2020 12:00:00 a. m."</f>
        <v>24/06/2020 12:00:00 a. m.</v>
      </c>
      <c r="AT775" t="str">
        <f t="shared" si="928"/>
        <v>1</v>
      </c>
      <c r="AU775" t="str">
        <f>""</f>
        <v/>
      </c>
      <c r="AV775" t="str">
        <f t="shared" si="929"/>
        <v>3</v>
      </c>
      <c r="AW775" t="str">
        <f>"2/04/2005 12:00:00 a. m."</f>
        <v>2/04/2005 12:00:00 a. m.</v>
      </c>
      <c r="AX775" t="str">
        <f>""</f>
        <v/>
      </c>
      <c r="AY775" t="str">
        <f t="shared" si="921"/>
        <v>30/04/2021 12:00:00 a. m.</v>
      </c>
      <c r="AZ775" t="str">
        <f>"18/08/2020 12:00:00 a. m."</f>
        <v>18/08/2020 12:00:00 a. m.</v>
      </c>
      <c r="BA775" t="str">
        <f>""</f>
        <v/>
      </c>
      <c r="BB775" t="str">
        <f>""</f>
        <v/>
      </c>
      <c r="BC775" t="str">
        <f>""</f>
        <v/>
      </c>
      <c r="BD775" t="str">
        <f t="shared" si="906"/>
        <v>1</v>
      </c>
      <c r="BE775" t="str">
        <f t="shared" si="906"/>
        <v>1</v>
      </c>
      <c r="BF775" t="str">
        <f t="shared" si="922"/>
        <v xml:space="preserve">3         </v>
      </c>
      <c r="BG775" t="str">
        <f t="shared" si="923"/>
        <v>Confirmado por laboratorio</v>
      </c>
      <c r="BH775" t="str">
        <f>"FUNDACION VALLE DEL LILI"</f>
        <v>FUNDACION VALLE DEL LILI</v>
      </c>
      <c r="BI775" t="str">
        <f t="shared" si="855"/>
        <v>COLOMBIA</v>
      </c>
      <c r="BJ775" t="str">
        <f t="shared" si="924"/>
        <v>CANCER INFANTIL</v>
      </c>
      <c r="BK775" t="str">
        <f>"VALLE"</f>
        <v>VALLE</v>
      </c>
      <c r="BL775" t="str">
        <f>"BUGA"</f>
        <v>BUGA</v>
      </c>
      <c r="BM775" t="str">
        <f t="shared" si="856"/>
        <v>COLOMBIA</v>
      </c>
      <c r="BN775" t="str">
        <f>"VALLE"</f>
        <v>VALLE</v>
      </c>
      <c r="BO775" t="str">
        <f>"BUGA"</f>
        <v>BUGA</v>
      </c>
      <c r="BP775" t="str">
        <f>"VALLE"</f>
        <v>VALLE</v>
      </c>
      <c r="BQ775" t="str">
        <f>"CALI"</f>
        <v>CALI</v>
      </c>
    </row>
    <row r="776" spans="1:69" x14ac:dyDescent="0.25">
      <c r="A776" t="str">
        <f>"7279182"</f>
        <v>7279182</v>
      </c>
      <c r="B776" t="str">
        <f t="shared" si="917"/>
        <v>459</v>
      </c>
      <c r="C776" t="str">
        <f>"15/04/2020 12:00:00 a. m."</f>
        <v>15/04/2020 12:00:00 a. m.</v>
      </c>
      <c r="D776" t="str">
        <f>"13"</f>
        <v>13</v>
      </c>
      <c r="E776" t="str">
        <f t="shared" si="918"/>
        <v>2020</v>
      </c>
      <c r="F776" t="str">
        <f>"7600102541"</f>
        <v>7600102541</v>
      </c>
      <c r="G776" t="str">
        <f t="shared" si="930"/>
        <v>01</v>
      </c>
      <c r="H776" t="str">
        <f>"11"</f>
        <v>11</v>
      </c>
      <c r="I776" t="str">
        <f t="shared" si="904"/>
        <v>1</v>
      </c>
      <c r="J776" t="str">
        <f>"M"</f>
        <v>M</v>
      </c>
      <c r="K776" t="str">
        <f t="shared" si="853"/>
        <v>170</v>
      </c>
      <c r="L776" t="str">
        <f>"76"</f>
        <v>76</v>
      </c>
      <c r="M776" t="str">
        <f t="shared" ref="M776:M785" si="931">"001"</f>
        <v>001</v>
      </c>
      <c r="N776" t="str">
        <f t="shared" si="925"/>
        <v>1</v>
      </c>
      <c r="O776" t="str">
        <f>"9997"</f>
        <v>9997</v>
      </c>
      <c r="P776" t="str">
        <f>"S"</f>
        <v>S</v>
      </c>
      <c r="Q776" t="str">
        <f>"EPSS02"</f>
        <v>EPSS02</v>
      </c>
      <c r="R776" t="str">
        <f t="shared" si="909"/>
        <v>6</v>
      </c>
      <c r="S776" t="str">
        <f>""</f>
        <v/>
      </c>
      <c r="T776" t="str">
        <f t="shared" si="910"/>
        <v xml:space="preserve">                                                                                                    </v>
      </c>
      <c r="U776" t="str">
        <f>"3         "</f>
        <v xml:space="preserve">3         </v>
      </c>
      <c r="V776" t="str">
        <f t="shared" si="899"/>
        <v>2</v>
      </c>
      <c r="W776" t="str">
        <f t="shared" si="912"/>
        <v>2</v>
      </c>
      <c r="X776" t="str">
        <f t="shared" si="870"/>
        <v>2</v>
      </c>
      <c r="Y776" t="str">
        <f t="shared" si="903"/>
        <v>2</v>
      </c>
      <c r="Z776" t="str">
        <f t="shared" si="903"/>
        <v>2</v>
      </c>
      <c r="AA776" t="str">
        <f t="shared" si="919"/>
        <v xml:space="preserve">          </v>
      </c>
      <c r="AB776" t="str">
        <f t="shared" si="907"/>
        <v>2</v>
      </c>
      <c r="AC776" t="str">
        <f t="shared" si="908"/>
        <v>2</v>
      </c>
      <c r="AD776" t="str">
        <f t="shared" si="905"/>
        <v>2</v>
      </c>
      <c r="AE776" t="str">
        <f t="shared" si="905"/>
        <v>2</v>
      </c>
      <c r="AF776" t="str">
        <f t="shared" si="905"/>
        <v>2</v>
      </c>
      <c r="AG776" t="str">
        <f t="shared" si="905"/>
        <v>2</v>
      </c>
      <c r="AH776" t="str">
        <f t="shared" si="913"/>
        <v>1</v>
      </c>
      <c r="AI776" t="str">
        <f t="shared" si="926"/>
        <v xml:space="preserve">1         </v>
      </c>
      <c r="AJ776" t="str">
        <f t="shared" si="854"/>
        <v>170</v>
      </c>
      <c r="AK776" t="str">
        <f>"76"</f>
        <v>76</v>
      </c>
      <c r="AL776" t="str">
        <f t="shared" ref="AL776:AL785" si="932">"001"</f>
        <v>001</v>
      </c>
      <c r="AM776" t="str">
        <f>"76"</f>
        <v>76</v>
      </c>
      <c r="AN776" t="str">
        <f>"76001"</f>
        <v>76001</v>
      </c>
      <c r="AO776" t="str">
        <f>"28/03/2020 12:00:00 a. m."</f>
        <v>28/03/2020 12:00:00 a. m.</v>
      </c>
      <c r="AP776" t="str">
        <f>"22/03/2020 12:00:00 a. m."</f>
        <v>22/03/2020 12:00:00 a. m.</v>
      </c>
      <c r="AQ776" t="str">
        <f t="shared" si="927"/>
        <v>2</v>
      </c>
      <c r="AR776" t="str">
        <f t="shared" si="920"/>
        <v>1</v>
      </c>
      <c r="AS776" t="str">
        <f>"28/03/2020 12:00:00 a. m."</f>
        <v>28/03/2020 12:00:00 a. m.</v>
      </c>
      <c r="AT776" t="str">
        <f t="shared" si="928"/>
        <v>1</v>
      </c>
      <c r="AU776" t="str">
        <f>""</f>
        <v/>
      </c>
      <c r="AV776" t="str">
        <f t="shared" si="929"/>
        <v>3</v>
      </c>
      <c r="AW776" t="str">
        <f>"15/04/2009 12:00:00 a. m."</f>
        <v>15/04/2009 12:00:00 a. m.</v>
      </c>
      <c r="AX776" t="str">
        <f>""</f>
        <v/>
      </c>
      <c r="AY776" t="str">
        <f t="shared" si="921"/>
        <v>30/04/2021 12:00:00 a. m.</v>
      </c>
      <c r="AZ776" t="str">
        <f>"9/06/2020 12:00:00 a. m."</f>
        <v>9/06/2020 12:00:00 a. m.</v>
      </c>
      <c r="BA776" t="str">
        <f>""</f>
        <v/>
      </c>
      <c r="BB776" t="str">
        <f>""</f>
        <v/>
      </c>
      <c r="BC776" t="str">
        <f>""</f>
        <v/>
      </c>
      <c r="BD776" t="str">
        <f t="shared" si="906"/>
        <v>1</v>
      </c>
      <c r="BE776" t="str">
        <f t="shared" si="906"/>
        <v>1</v>
      </c>
      <c r="BF776" t="str">
        <f t="shared" si="922"/>
        <v xml:space="preserve">3         </v>
      </c>
      <c r="BG776" t="str">
        <f t="shared" si="923"/>
        <v>Confirmado por laboratorio</v>
      </c>
      <c r="BH776" t="str">
        <f>"FUNDACION CLINICA INFANTIL CLUB NOEL"</f>
        <v>FUNDACION CLINICA INFANTIL CLUB NOEL</v>
      </c>
      <c r="BI776" t="str">
        <f t="shared" si="855"/>
        <v>COLOMBIA</v>
      </c>
      <c r="BJ776" t="str">
        <f t="shared" si="924"/>
        <v>CANCER INFANTIL</v>
      </c>
      <c r="BK776" t="str">
        <f>"VALLE"</f>
        <v>VALLE</v>
      </c>
      <c r="BL776" t="str">
        <f>"CALI"</f>
        <v>CALI</v>
      </c>
      <c r="BM776" t="str">
        <f t="shared" si="856"/>
        <v>COLOMBIA</v>
      </c>
      <c r="BN776" t="str">
        <f>"VALLE"</f>
        <v>VALLE</v>
      </c>
      <c r="BO776" t="str">
        <f>"CALI"</f>
        <v>CALI</v>
      </c>
      <c r="BP776" t="str">
        <f>"VALLE"</f>
        <v>VALLE</v>
      </c>
      <c r="BQ776" t="str">
        <f>"CALI"</f>
        <v>CALI</v>
      </c>
    </row>
    <row r="777" spans="1:69" x14ac:dyDescent="0.25">
      <c r="A777" t="str">
        <f>"7291520"</f>
        <v>7291520</v>
      </c>
      <c r="B777" t="str">
        <f t="shared" si="917"/>
        <v>459</v>
      </c>
      <c r="C777" t="str">
        <f>"25/10/2020 12:00:00 a. m."</f>
        <v>25/10/2020 12:00:00 a. m.</v>
      </c>
      <c r="D777" t="str">
        <f>"43"</f>
        <v>43</v>
      </c>
      <c r="E777" t="str">
        <f t="shared" si="918"/>
        <v>2020</v>
      </c>
      <c r="F777" t="str">
        <f>"1100106065"</f>
        <v>1100106065</v>
      </c>
      <c r="G777" t="str">
        <f t="shared" si="930"/>
        <v>01</v>
      </c>
      <c r="H777" t="str">
        <f>"4"</f>
        <v>4</v>
      </c>
      <c r="I777" t="str">
        <f t="shared" si="904"/>
        <v>1</v>
      </c>
      <c r="J777" t="str">
        <f>"M"</f>
        <v>M</v>
      </c>
      <c r="K777" t="str">
        <f t="shared" ref="K777:K840" si="933">"170"</f>
        <v>170</v>
      </c>
      <c r="L777" t="str">
        <f t="shared" ref="L777:L783" si="934">"11"</f>
        <v>11</v>
      </c>
      <c r="M777" t="str">
        <f t="shared" si="931"/>
        <v>001</v>
      </c>
      <c r="N777" t="str">
        <f t="shared" si="925"/>
        <v>1</v>
      </c>
      <c r="O777" t="str">
        <f>"9998"</f>
        <v>9998</v>
      </c>
      <c r="P777" t="str">
        <f>"S"</f>
        <v>S</v>
      </c>
      <c r="Q777" t="str">
        <f>"EPSS34"</f>
        <v>EPSS34</v>
      </c>
      <c r="R777" t="str">
        <f t="shared" si="909"/>
        <v>6</v>
      </c>
      <c r="S777" t="str">
        <f>""</f>
        <v/>
      </c>
      <c r="T777" t="str">
        <f t="shared" si="910"/>
        <v xml:space="preserve">                                                                                                    </v>
      </c>
      <c r="U777" t="str">
        <f>"1         "</f>
        <v xml:space="preserve">1         </v>
      </c>
      <c r="V777" t="str">
        <f t="shared" si="899"/>
        <v>2</v>
      </c>
      <c r="W777" t="str">
        <f t="shared" si="912"/>
        <v>2</v>
      </c>
      <c r="X777" t="str">
        <f t="shared" si="870"/>
        <v>2</v>
      </c>
      <c r="Y777" t="str">
        <f t="shared" si="903"/>
        <v>2</v>
      </c>
      <c r="Z777" t="str">
        <f t="shared" si="903"/>
        <v>2</v>
      </c>
      <c r="AA777" t="str">
        <f t="shared" si="919"/>
        <v xml:space="preserve">          </v>
      </c>
      <c r="AB777" t="str">
        <f t="shared" si="907"/>
        <v>2</v>
      </c>
      <c r="AC777" t="str">
        <f t="shared" si="908"/>
        <v>2</v>
      </c>
      <c r="AD777" t="str">
        <f t="shared" si="905"/>
        <v>2</v>
      </c>
      <c r="AE777" t="str">
        <f t="shared" si="905"/>
        <v>2</v>
      </c>
      <c r="AF777" t="str">
        <f t="shared" si="905"/>
        <v>2</v>
      </c>
      <c r="AG777" t="str">
        <f t="shared" si="905"/>
        <v>2</v>
      </c>
      <c r="AH777" t="str">
        <f t="shared" si="913"/>
        <v>1</v>
      </c>
      <c r="AI777" t="str">
        <f t="shared" si="926"/>
        <v xml:space="preserve">1         </v>
      </c>
      <c r="AJ777" t="str">
        <f t="shared" ref="AJ777:AJ840" si="935">"170"</f>
        <v>170</v>
      </c>
      <c r="AK777" t="str">
        <f t="shared" ref="AK777:AK783" si="936">"11"</f>
        <v>11</v>
      </c>
      <c r="AL777" t="str">
        <f t="shared" si="932"/>
        <v>001</v>
      </c>
      <c r="AM777" t="str">
        <f t="shared" ref="AM777:AM787" si="937">"11"</f>
        <v>11</v>
      </c>
      <c r="AN777" t="str">
        <f t="shared" ref="AN777:AN787" si="938">"11001"</f>
        <v>11001</v>
      </c>
      <c r="AO777" t="str">
        <f>"23/10/2020 12:00:00 a. m."</f>
        <v>23/10/2020 12:00:00 a. m.</v>
      </c>
      <c r="AP777" t="str">
        <f>"20/09/2020 12:00:00 a. m."</f>
        <v>20/09/2020 12:00:00 a. m.</v>
      </c>
      <c r="AQ777" t="str">
        <f>"3"</f>
        <v>3</v>
      </c>
      <c r="AR777" t="str">
        <f t="shared" si="920"/>
        <v>1</v>
      </c>
      <c r="AS777" t="str">
        <f>"23/10/2020 12:00:00 a. m."</f>
        <v>23/10/2020 12:00:00 a. m.</v>
      </c>
      <c r="AT777" t="str">
        <f t="shared" si="928"/>
        <v>1</v>
      </c>
      <c r="AU777" t="str">
        <f>""</f>
        <v/>
      </c>
      <c r="AV777" t="str">
        <f>"0"</f>
        <v>0</v>
      </c>
      <c r="AW777" t="str">
        <f>"26/10/2016 12:00:00 a. m."</f>
        <v>26/10/2016 12:00:00 a. m.</v>
      </c>
      <c r="AX777" t="str">
        <f>""</f>
        <v/>
      </c>
      <c r="AY777" t="str">
        <f t="shared" si="921"/>
        <v>30/04/2021 12:00:00 a. m.</v>
      </c>
      <c r="AZ777" t="str">
        <f>"30/10/2020 12:00:00 a. m."</f>
        <v>30/10/2020 12:00:00 a. m.</v>
      </c>
      <c r="BA777" t="str">
        <f>""</f>
        <v/>
      </c>
      <c r="BB777" t="str">
        <f>""</f>
        <v/>
      </c>
      <c r="BC777" t="str">
        <f>""</f>
        <v/>
      </c>
      <c r="BD777" t="str">
        <f t="shared" si="906"/>
        <v>1</v>
      </c>
      <c r="BE777" t="str">
        <f t="shared" si="906"/>
        <v>1</v>
      </c>
      <c r="BF777" t="str">
        <f t="shared" si="922"/>
        <v xml:space="preserve">3         </v>
      </c>
      <c r="BG777" t="str">
        <f t="shared" si="923"/>
        <v>Confirmado por laboratorio</v>
      </c>
      <c r="BH777" t="str">
        <f>"ESE INSTITUTO NACIONAL DE CANCEROLOGIA"</f>
        <v>ESE INSTITUTO NACIONAL DE CANCEROLOGIA</v>
      </c>
      <c r="BI777" t="str">
        <f t="shared" ref="BI777:BI840" si="939">"COLOMBIA"</f>
        <v>COLOMBIA</v>
      </c>
      <c r="BJ777" t="str">
        <f t="shared" si="924"/>
        <v>CANCER INFANTIL</v>
      </c>
      <c r="BK777" t="str">
        <f t="shared" ref="BK777:BL783" si="940">"BOGOTA"</f>
        <v>BOGOTA</v>
      </c>
      <c r="BL777" t="str">
        <f t="shared" si="940"/>
        <v>BOGOTA</v>
      </c>
      <c r="BM777" t="str">
        <f t="shared" ref="BM777:BM840" si="941">"COLOMBIA"</f>
        <v>COLOMBIA</v>
      </c>
      <c r="BN777" t="str">
        <f t="shared" ref="BN777:BQ783" si="942">"BOGOTA"</f>
        <v>BOGOTA</v>
      </c>
      <c r="BO777" t="str">
        <f t="shared" si="942"/>
        <v>BOGOTA</v>
      </c>
      <c r="BP777" t="str">
        <f t="shared" si="942"/>
        <v>BOGOTA</v>
      </c>
      <c r="BQ777" t="str">
        <f t="shared" si="942"/>
        <v>BOGOTA</v>
      </c>
    </row>
    <row r="778" spans="1:69" x14ac:dyDescent="0.25">
      <c r="A778" t="str">
        <f>"7291451"</f>
        <v>7291451</v>
      </c>
      <c r="B778" t="str">
        <f t="shared" si="917"/>
        <v>459</v>
      </c>
      <c r="C778" t="str">
        <f>"25/10/2020 12:00:00 a. m."</f>
        <v>25/10/2020 12:00:00 a. m.</v>
      </c>
      <c r="D778" t="str">
        <f>"43"</f>
        <v>43</v>
      </c>
      <c r="E778" t="str">
        <f t="shared" si="918"/>
        <v>2020</v>
      </c>
      <c r="F778" t="str">
        <f>"1100106065"</f>
        <v>1100106065</v>
      </c>
      <c r="G778" t="str">
        <f t="shared" si="930"/>
        <v>01</v>
      </c>
      <c r="H778" t="str">
        <f>"3"</f>
        <v>3</v>
      </c>
      <c r="I778" t="str">
        <f t="shared" si="904"/>
        <v>1</v>
      </c>
      <c r="J778" t="str">
        <f>"F"</f>
        <v>F</v>
      </c>
      <c r="K778" t="str">
        <f t="shared" si="933"/>
        <v>170</v>
      </c>
      <c r="L778" t="str">
        <f t="shared" si="934"/>
        <v>11</v>
      </c>
      <c r="M778" t="str">
        <f t="shared" si="931"/>
        <v>001</v>
      </c>
      <c r="N778" t="str">
        <f t="shared" si="925"/>
        <v>1</v>
      </c>
      <c r="O778" t="str">
        <f>"9999"</f>
        <v>9999</v>
      </c>
      <c r="P778" t="str">
        <f>"S"</f>
        <v>S</v>
      </c>
      <c r="Q778" t="str">
        <f>"CCF053"</f>
        <v>CCF053</v>
      </c>
      <c r="R778" t="str">
        <f t="shared" si="909"/>
        <v>6</v>
      </c>
      <c r="S778" t="str">
        <f>""</f>
        <v/>
      </c>
      <c r="T778" t="str">
        <f t="shared" si="910"/>
        <v xml:space="preserve">                                                                                                    </v>
      </c>
      <c r="U778" t="str">
        <f>"2         "</f>
        <v xml:space="preserve">2         </v>
      </c>
      <c r="V778" t="str">
        <f t="shared" si="899"/>
        <v>2</v>
      </c>
      <c r="W778" t="str">
        <f t="shared" si="912"/>
        <v>2</v>
      </c>
      <c r="X778" t="str">
        <f t="shared" si="870"/>
        <v>2</v>
      </c>
      <c r="Y778" t="str">
        <f t="shared" si="903"/>
        <v>2</v>
      </c>
      <c r="Z778" t="str">
        <f t="shared" si="903"/>
        <v>2</v>
      </c>
      <c r="AA778" t="str">
        <f t="shared" si="919"/>
        <v xml:space="preserve">          </v>
      </c>
      <c r="AB778" t="str">
        <f t="shared" si="907"/>
        <v>2</v>
      </c>
      <c r="AC778" t="str">
        <f t="shared" si="908"/>
        <v>2</v>
      </c>
      <c r="AD778" t="str">
        <f t="shared" si="905"/>
        <v>2</v>
      </c>
      <c r="AE778" t="str">
        <f t="shared" si="905"/>
        <v>2</v>
      </c>
      <c r="AF778" t="str">
        <f t="shared" si="905"/>
        <v>2</v>
      </c>
      <c r="AG778" t="str">
        <f t="shared" si="905"/>
        <v>2</v>
      </c>
      <c r="AH778" t="str">
        <f t="shared" si="913"/>
        <v>1</v>
      </c>
      <c r="AI778" t="str">
        <f t="shared" si="926"/>
        <v xml:space="preserve">1         </v>
      </c>
      <c r="AJ778" t="str">
        <f t="shared" si="935"/>
        <v>170</v>
      </c>
      <c r="AK778" t="str">
        <f t="shared" si="936"/>
        <v>11</v>
      </c>
      <c r="AL778" t="str">
        <f t="shared" si="932"/>
        <v>001</v>
      </c>
      <c r="AM778" t="str">
        <f t="shared" si="937"/>
        <v>11</v>
      </c>
      <c r="AN778" t="str">
        <f t="shared" si="938"/>
        <v>11001</v>
      </c>
      <c r="AO778" t="str">
        <f>"23/10/2020 12:00:00 a. m."</f>
        <v>23/10/2020 12:00:00 a. m.</v>
      </c>
      <c r="AP778" t="str">
        <f>"2/02/2020 12:00:00 a. m."</f>
        <v>2/02/2020 12:00:00 a. m.</v>
      </c>
      <c r="AQ778" t="str">
        <f>"3"</f>
        <v>3</v>
      </c>
      <c r="AR778" t="str">
        <f t="shared" si="920"/>
        <v>1</v>
      </c>
      <c r="AS778" t="str">
        <f>"23/10/2020 12:00:00 a. m."</f>
        <v>23/10/2020 12:00:00 a. m.</v>
      </c>
      <c r="AT778" t="str">
        <f t="shared" si="928"/>
        <v>1</v>
      </c>
      <c r="AU778" t="str">
        <f>""</f>
        <v/>
      </c>
      <c r="AV778" t="str">
        <f>"7"</f>
        <v>7</v>
      </c>
      <c r="AW778" t="str">
        <f>"3/09/2017 12:00:00 a. m."</f>
        <v>3/09/2017 12:00:00 a. m.</v>
      </c>
      <c r="AX778" t="str">
        <f>""</f>
        <v/>
      </c>
      <c r="AY778" t="str">
        <f t="shared" si="921"/>
        <v>30/04/2021 12:00:00 a. m.</v>
      </c>
      <c r="AZ778" t="str">
        <f>"9/11/2020 12:00:00 a. m."</f>
        <v>9/11/2020 12:00:00 a. m.</v>
      </c>
      <c r="BA778" t="str">
        <f>""</f>
        <v/>
      </c>
      <c r="BB778" t="str">
        <f>""</f>
        <v/>
      </c>
      <c r="BC778" t="str">
        <f>""</f>
        <v/>
      </c>
      <c r="BD778" t="str">
        <f t="shared" si="906"/>
        <v>1</v>
      </c>
      <c r="BE778" t="str">
        <f t="shared" si="906"/>
        <v>1</v>
      </c>
      <c r="BF778" t="str">
        <f t="shared" si="922"/>
        <v xml:space="preserve">3         </v>
      </c>
      <c r="BG778" t="str">
        <f t="shared" si="923"/>
        <v>Confirmado por laboratorio</v>
      </c>
      <c r="BH778" t="str">
        <f>"ESE INSTITUTO NACIONAL DE CANCEROLOGIA"</f>
        <v>ESE INSTITUTO NACIONAL DE CANCEROLOGIA</v>
      </c>
      <c r="BI778" t="str">
        <f t="shared" si="939"/>
        <v>COLOMBIA</v>
      </c>
      <c r="BJ778" t="str">
        <f t="shared" si="924"/>
        <v>CANCER INFANTIL</v>
      </c>
      <c r="BK778" t="str">
        <f t="shared" si="940"/>
        <v>BOGOTA</v>
      </c>
      <c r="BL778" t="str">
        <f t="shared" si="940"/>
        <v>BOGOTA</v>
      </c>
      <c r="BM778" t="str">
        <f t="shared" si="941"/>
        <v>COLOMBIA</v>
      </c>
      <c r="BN778" t="str">
        <f t="shared" si="942"/>
        <v>BOGOTA</v>
      </c>
      <c r="BO778" t="str">
        <f t="shared" si="942"/>
        <v>BOGOTA</v>
      </c>
      <c r="BP778" t="str">
        <f t="shared" si="942"/>
        <v>BOGOTA</v>
      </c>
      <c r="BQ778" t="str">
        <f t="shared" si="942"/>
        <v>BOGOTA</v>
      </c>
    </row>
    <row r="779" spans="1:69" x14ac:dyDescent="0.25">
      <c r="A779" t="str">
        <f>"7291447"</f>
        <v>7291447</v>
      </c>
      <c r="B779" t="str">
        <f t="shared" si="917"/>
        <v>459</v>
      </c>
      <c r="C779" t="str">
        <f>"30/07/2020 12:00:00 a. m."</f>
        <v>30/07/2020 12:00:00 a. m.</v>
      </c>
      <c r="D779" t="str">
        <f>"31"</f>
        <v>31</v>
      </c>
      <c r="E779" t="str">
        <f t="shared" si="918"/>
        <v>2020</v>
      </c>
      <c r="F779" t="str">
        <f>"1100109186"</f>
        <v>1100109186</v>
      </c>
      <c r="G779" t="str">
        <f>"68"</f>
        <v>68</v>
      </c>
      <c r="H779" t="str">
        <f>"1"</f>
        <v>1</v>
      </c>
      <c r="I779" t="str">
        <f t="shared" si="904"/>
        <v>1</v>
      </c>
      <c r="J779" t="str">
        <f>"F"</f>
        <v>F</v>
      </c>
      <c r="K779" t="str">
        <f t="shared" si="933"/>
        <v>170</v>
      </c>
      <c r="L779" t="str">
        <f t="shared" si="934"/>
        <v>11</v>
      </c>
      <c r="M779" t="str">
        <f t="shared" si="931"/>
        <v>001</v>
      </c>
      <c r="N779" t="str">
        <f t="shared" si="925"/>
        <v>1</v>
      </c>
      <c r="O779" t="str">
        <f>"9999"</f>
        <v>9999</v>
      </c>
      <c r="P779" t="str">
        <f>"C"</f>
        <v>C</v>
      </c>
      <c r="Q779" t="str">
        <f>"EPS005"</f>
        <v>EPS005</v>
      </c>
      <c r="R779" t="str">
        <f t="shared" si="909"/>
        <v>6</v>
      </c>
      <c r="S779" t="str">
        <f>""</f>
        <v/>
      </c>
      <c r="T779" t="str">
        <f t="shared" si="910"/>
        <v xml:space="preserve">                                                                                                    </v>
      </c>
      <c r="U779" t="str">
        <f>"2         "</f>
        <v xml:space="preserve">2         </v>
      </c>
      <c r="V779" t="str">
        <f t="shared" si="899"/>
        <v>2</v>
      </c>
      <c r="W779" t="str">
        <f t="shared" si="912"/>
        <v>2</v>
      </c>
      <c r="X779" t="str">
        <f t="shared" si="870"/>
        <v>2</v>
      </c>
      <c r="Y779" t="str">
        <f t="shared" ref="Y779:Z798" si="943">"2"</f>
        <v>2</v>
      </c>
      <c r="Z779" t="str">
        <f t="shared" si="943"/>
        <v>2</v>
      </c>
      <c r="AA779" t="str">
        <f t="shared" si="919"/>
        <v xml:space="preserve">          </v>
      </c>
      <c r="AB779" t="str">
        <f t="shared" si="907"/>
        <v>2</v>
      </c>
      <c r="AC779" t="str">
        <f t="shared" si="908"/>
        <v>2</v>
      </c>
      <c r="AD779" t="str">
        <f t="shared" si="905"/>
        <v>2</v>
      </c>
      <c r="AE779" t="str">
        <f t="shared" si="905"/>
        <v>2</v>
      </c>
      <c r="AF779" t="str">
        <f t="shared" si="905"/>
        <v>2</v>
      </c>
      <c r="AG779" t="str">
        <f t="shared" si="905"/>
        <v>2</v>
      </c>
      <c r="AH779" t="str">
        <f t="shared" si="913"/>
        <v>1</v>
      </c>
      <c r="AI779" t="str">
        <f t="shared" si="926"/>
        <v xml:space="preserve">1         </v>
      </c>
      <c r="AJ779" t="str">
        <f t="shared" si="935"/>
        <v>170</v>
      </c>
      <c r="AK779" t="str">
        <f t="shared" si="936"/>
        <v>11</v>
      </c>
      <c r="AL779" t="str">
        <f t="shared" si="932"/>
        <v>001</v>
      </c>
      <c r="AM779" t="str">
        <f t="shared" si="937"/>
        <v>11</v>
      </c>
      <c r="AN779" t="str">
        <f t="shared" si="938"/>
        <v>11001</v>
      </c>
      <c r="AO779" t="str">
        <f>"29/07/2020 12:00:00 a. m."</f>
        <v>29/07/2020 12:00:00 a. m.</v>
      </c>
      <c r="AP779" t="str">
        <f>"29/05/2020 12:00:00 a. m."</f>
        <v>29/05/2020 12:00:00 a. m.</v>
      </c>
      <c r="AQ779" t="str">
        <f>"2"</f>
        <v>2</v>
      </c>
      <c r="AR779" t="str">
        <f t="shared" si="920"/>
        <v>1</v>
      </c>
      <c r="AS779" t="str">
        <f>"29/07/2020 12:00:00 a. m."</f>
        <v>29/07/2020 12:00:00 a. m.</v>
      </c>
      <c r="AT779" t="str">
        <f t="shared" si="928"/>
        <v>1</v>
      </c>
      <c r="AU779" t="str">
        <f>""</f>
        <v/>
      </c>
      <c r="AV779" t="str">
        <f>"3"</f>
        <v>3</v>
      </c>
      <c r="AW779" t="str">
        <f>"11/07/2019 12:00:00 a. m."</f>
        <v>11/07/2019 12:00:00 a. m.</v>
      </c>
      <c r="AX779" t="str">
        <f>""</f>
        <v/>
      </c>
      <c r="AY779" t="str">
        <f t="shared" si="921"/>
        <v>30/04/2021 12:00:00 a. m.</v>
      </c>
      <c r="AZ779" t="str">
        <f>"22/09/2020 12:00:00 a. m."</f>
        <v>22/09/2020 12:00:00 a. m.</v>
      </c>
      <c r="BA779" t="str">
        <f>""</f>
        <v/>
      </c>
      <c r="BB779" t="str">
        <f>""</f>
        <v/>
      </c>
      <c r="BC779" t="str">
        <f>""</f>
        <v/>
      </c>
      <c r="BD779" t="str">
        <f t="shared" si="906"/>
        <v>1</v>
      </c>
      <c r="BE779" t="str">
        <f t="shared" si="906"/>
        <v>1</v>
      </c>
      <c r="BF779" t="str">
        <f t="shared" si="922"/>
        <v xml:space="preserve">3         </v>
      </c>
      <c r="BG779" t="str">
        <f t="shared" si="923"/>
        <v>Confirmado por laboratorio</v>
      </c>
      <c r="BH779" t="str">
        <f>"CLINICA INFANTIL SANTA MARIA DEL LAGO"</f>
        <v>CLINICA INFANTIL SANTA MARIA DEL LAGO</v>
      </c>
      <c r="BI779" t="str">
        <f t="shared" si="939"/>
        <v>COLOMBIA</v>
      </c>
      <c r="BJ779" t="str">
        <f t="shared" si="924"/>
        <v>CANCER INFANTIL</v>
      </c>
      <c r="BK779" t="str">
        <f t="shared" si="940"/>
        <v>BOGOTA</v>
      </c>
      <c r="BL779" t="str">
        <f t="shared" si="940"/>
        <v>BOGOTA</v>
      </c>
      <c r="BM779" t="str">
        <f t="shared" si="941"/>
        <v>COLOMBIA</v>
      </c>
      <c r="BN779" t="str">
        <f t="shared" si="942"/>
        <v>BOGOTA</v>
      </c>
      <c r="BO779" t="str">
        <f t="shared" si="942"/>
        <v>BOGOTA</v>
      </c>
      <c r="BP779" t="str">
        <f t="shared" si="942"/>
        <v>BOGOTA</v>
      </c>
      <c r="BQ779" t="str">
        <f t="shared" si="942"/>
        <v>BOGOTA</v>
      </c>
    </row>
    <row r="780" spans="1:69" x14ac:dyDescent="0.25">
      <c r="A780" t="str">
        <f>"7279266"</f>
        <v>7279266</v>
      </c>
      <c r="B780" t="str">
        <f t="shared" si="917"/>
        <v>459</v>
      </c>
      <c r="C780" t="str">
        <f>"19/02/2020 12:00:00 a. m."</f>
        <v>19/02/2020 12:00:00 a. m.</v>
      </c>
      <c r="D780" t="str">
        <f>"02"</f>
        <v>02</v>
      </c>
      <c r="E780" t="str">
        <f t="shared" si="918"/>
        <v>2020</v>
      </c>
      <c r="F780" t="str">
        <f>"1100109599"</f>
        <v>1100109599</v>
      </c>
      <c r="G780" t="str">
        <f t="shared" ref="G780:G785" si="944">"01"</f>
        <v>01</v>
      </c>
      <c r="H780" t="str">
        <f>"16"</f>
        <v>16</v>
      </c>
      <c r="I780" t="str">
        <f t="shared" si="904"/>
        <v>1</v>
      </c>
      <c r="J780" t="str">
        <f>"M"</f>
        <v>M</v>
      </c>
      <c r="K780" t="str">
        <f t="shared" si="933"/>
        <v>170</v>
      </c>
      <c r="L780" t="str">
        <f t="shared" si="934"/>
        <v>11</v>
      </c>
      <c r="M780" t="str">
        <f t="shared" si="931"/>
        <v>001</v>
      </c>
      <c r="N780" t="str">
        <f t="shared" si="925"/>
        <v>1</v>
      </c>
      <c r="O780" t="str">
        <f t="shared" ref="O780:O786" si="945">"9997"</f>
        <v>9997</v>
      </c>
      <c r="P780" t="str">
        <f>"C"</f>
        <v>C</v>
      </c>
      <c r="Q780" t="str">
        <f>"EPS008"</f>
        <v>EPS008</v>
      </c>
      <c r="R780" t="str">
        <f t="shared" si="909"/>
        <v>6</v>
      </c>
      <c r="S780" t="str">
        <f>""</f>
        <v/>
      </c>
      <c r="T780" t="str">
        <f t="shared" si="910"/>
        <v xml:space="preserve">                                                                                                    </v>
      </c>
      <c r="U780" t="str">
        <f>"3         "</f>
        <v xml:space="preserve">3         </v>
      </c>
      <c r="V780" t="str">
        <f t="shared" si="899"/>
        <v>2</v>
      </c>
      <c r="W780" t="str">
        <f t="shared" si="912"/>
        <v>2</v>
      </c>
      <c r="X780" t="str">
        <f t="shared" si="870"/>
        <v>2</v>
      </c>
      <c r="Y780" t="str">
        <f t="shared" si="943"/>
        <v>2</v>
      </c>
      <c r="Z780" t="str">
        <f t="shared" si="943"/>
        <v>2</v>
      </c>
      <c r="AA780" t="str">
        <f t="shared" si="919"/>
        <v xml:space="preserve">          </v>
      </c>
      <c r="AB780" t="str">
        <f t="shared" si="907"/>
        <v>2</v>
      </c>
      <c r="AC780" t="str">
        <f t="shared" si="908"/>
        <v>2</v>
      </c>
      <c r="AD780" t="str">
        <f t="shared" ref="AD780:AG799" si="946">"2"</f>
        <v>2</v>
      </c>
      <c r="AE780" t="str">
        <f t="shared" si="946"/>
        <v>2</v>
      </c>
      <c r="AF780" t="str">
        <f t="shared" si="946"/>
        <v>2</v>
      </c>
      <c r="AG780" t="str">
        <f t="shared" si="946"/>
        <v>2</v>
      </c>
      <c r="AH780" t="str">
        <f t="shared" si="913"/>
        <v>1</v>
      </c>
      <c r="AI780" t="str">
        <f t="shared" si="926"/>
        <v xml:space="preserve">1         </v>
      </c>
      <c r="AJ780" t="str">
        <f t="shared" si="935"/>
        <v>170</v>
      </c>
      <c r="AK780" t="str">
        <f t="shared" si="936"/>
        <v>11</v>
      </c>
      <c r="AL780" t="str">
        <f t="shared" si="932"/>
        <v>001</v>
      </c>
      <c r="AM780" t="str">
        <f t="shared" si="937"/>
        <v>11</v>
      </c>
      <c r="AN780" t="str">
        <f t="shared" si="938"/>
        <v>11001</v>
      </c>
      <c r="AO780" t="str">
        <f>"5/01/2020 12:00:00 a. m."</f>
        <v>5/01/2020 12:00:00 a. m.</v>
      </c>
      <c r="AP780" t="str">
        <f>"15/12/2019 12:00:00 a. m."</f>
        <v>15/12/2019 12:00:00 a. m.</v>
      </c>
      <c r="AQ780" t="str">
        <f>"3"</f>
        <v>3</v>
      </c>
      <c r="AR780" t="str">
        <f t="shared" si="920"/>
        <v>1</v>
      </c>
      <c r="AS780" t="str">
        <f>"25/01/2020 12:00:00 a. m."</f>
        <v>25/01/2020 12:00:00 a. m.</v>
      </c>
      <c r="AT780" t="str">
        <f t="shared" si="928"/>
        <v>1</v>
      </c>
      <c r="AU780" t="str">
        <f>""</f>
        <v/>
      </c>
      <c r="AV780" t="str">
        <f>"0"</f>
        <v>0</v>
      </c>
      <c r="AW780" t="str">
        <f>"21/02/2003 12:00:00 a. m."</f>
        <v>21/02/2003 12:00:00 a. m.</v>
      </c>
      <c r="AX780" t="str">
        <f>""</f>
        <v/>
      </c>
      <c r="AY780" t="str">
        <f t="shared" si="921"/>
        <v>30/04/2021 12:00:00 a. m.</v>
      </c>
      <c r="AZ780" t="str">
        <f>"19/02/2020 12:00:00 a. m."</f>
        <v>19/02/2020 12:00:00 a. m.</v>
      </c>
      <c r="BA780" t="str">
        <f>""</f>
        <v/>
      </c>
      <c r="BB780" t="str">
        <f>""</f>
        <v/>
      </c>
      <c r="BC780" t="str">
        <f>""</f>
        <v/>
      </c>
      <c r="BD780" t="str">
        <f t="shared" si="906"/>
        <v>1</v>
      </c>
      <c r="BE780" t="str">
        <f t="shared" si="906"/>
        <v>1</v>
      </c>
      <c r="BF780" t="str">
        <f t="shared" si="922"/>
        <v xml:space="preserve">3         </v>
      </c>
      <c r="BG780" t="str">
        <f t="shared" si="923"/>
        <v>Confirmado por laboratorio</v>
      </c>
      <c r="BH780" t="str">
        <f>"ADMINISTRADORA COUNTRY SA"</f>
        <v>ADMINISTRADORA COUNTRY SA</v>
      </c>
      <c r="BI780" t="str">
        <f t="shared" si="939"/>
        <v>COLOMBIA</v>
      </c>
      <c r="BJ780" t="str">
        <f t="shared" si="924"/>
        <v>CANCER INFANTIL</v>
      </c>
      <c r="BK780" t="str">
        <f t="shared" si="940"/>
        <v>BOGOTA</v>
      </c>
      <c r="BL780" t="str">
        <f t="shared" si="940"/>
        <v>BOGOTA</v>
      </c>
      <c r="BM780" t="str">
        <f t="shared" si="941"/>
        <v>COLOMBIA</v>
      </c>
      <c r="BN780" t="str">
        <f t="shared" si="942"/>
        <v>BOGOTA</v>
      </c>
      <c r="BO780" t="str">
        <f t="shared" si="942"/>
        <v>BOGOTA</v>
      </c>
      <c r="BP780" t="str">
        <f t="shared" si="942"/>
        <v>BOGOTA</v>
      </c>
      <c r="BQ780" t="str">
        <f t="shared" si="942"/>
        <v>BOGOTA</v>
      </c>
    </row>
    <row r="781" spans="1:69" x14ac:dyDescent="0.25">
      <c r="A781" t="str">
        <f>"7279276"</f>
        <v>7279276</v>
      </c>
      <c r="B781" t="str">
        <f t="shared" si="917"/>
        <v>459</v>
      </c>
      <c r="C781" t="str">
        <f>"10/03/2020 12:00:00 a. m."</f>
        <v>10/03/2020 12:00:00 a. m.</v>
      </c>
      <c r="D781" t="str">
        <f>"09"</f>
        <v>09</v>
      </c>
      <c r="E781" t="str">
        <f t="shared" si="918"/>
        <v>2020</v>
      </c>
      <c r="F781" t="str">
        <f>"1100109599"</f>
        <v>1100109599</v>
      </c>
      <c r="G781" t="str">
        <f t="shared" si="944"/>
        <v>01</v>
      </c>
      <c r="H781" t="str">
        <f>"17"</f>
        <v>17</v>
      </c>
      <c r="I781" t="str">
        <f t="shared" si="904"/>
        <v>1</v>
      </c>
      <c r="J781" t="str">
        <f>"M"</f>
        <v>M</v>
      </c>
      <c r="K781" t="str">
        <f t="shared" si="933"/>
        <v>170</v>
      </c>
      <c r="L781" t="str">
        <f t="shared" si="934"/>
        <v>11</v>
      </c>
      <c r="M781" t="str">
        <f t="shared" si="931"/>
        <v>001</v>
      </c>
      <c r="N781" t="str">
        <f t="shared" si="925"/>
        <v>1</v>
      </c>
      <c r="O781" t="str">
        <f t="shared" si="945"/>
        <v>9997</v>
      </c>
      <c r="P781" t="str">
        <f>"N"</f>
        <v>N</v>
      </c>
      <c r="Q781" t="str">
        <f>""</f>
        <v/>
      </c>
      <c r="R781" t="str">
        <f t="shared" si="909"/>
        <v>6</v>
      </c>
      <c r="S781" t="str">
        <f>""</f>
        <v/>
      </c>
      <c r="T781" t="str">
        <f t="shared" si="910"/>
        <v xml:space="preserve">                                                                                                    </v>
      </c>
      <c r="U781" t="str">
        <f>"4         "</f>
        <v xml:space="preserve">4         </v>
      </c>
      <c r="V781" t="str">
        <f t="shared" si="899"/>
        <v>2</v>
      </c>
      <c r="W781" t="str">
        <f t="shared" si="912"/>
        <v>2</v>
      </c>
      <c r="X781" t="str">
        <f t="shared" si="870"/>
        <v>2</v>
      </c>
      <c r="Y781" t="str">
        <f t="shared" si="943"/>
        <v>2</v>
      </c>
      <c r="Z781" t="str">
        <f t="shared" si="943"/>
        <v>2</v>
      </c>
      <c r="AA781" t="str">
        <f t="shared" si="919"/>
        <v xml:space="preserve">          </v>
      </c>
      <c r="AB781" t="str">
        <f t="shared" si="907"/>
        <v>2</v>
      </c>
      <c r="AC781" t="str">
        <f t="shared" si="908"/>
        <v>2</v>
      </c>
      <c r="AD781" t="str">
        <f t="shared" si="946"/>
        <v>2</v>
      </c>
      <c r="AE781" t="str">
        <f t="shared" si="946"/>
        <v>2</v>
      </c>
      <c r="AF781" t="str">
        <f t="shared" si="946"/>
        <v>2</v>
      </c>
      <c r="AG781" t="str">
        <f t="shared" si="946"/>
        <v>2</v>
      </c>
      <c r="AH781" t="str">
        <f t="shared" si="913"/>
        <v>1</v>
      </c>
      <c r="AI781" t="str">
        <f t="shared" si="926"/>
        <v xml:space="preserve">1         </v>
      </c>
      <c r="AJ781" t="str">
        <f t="shared" si="935"/>
        <v>170</v>
      </c>
      <c r="AK781" t="str">
        <f t="shared" si="936"/>
        <v>11</v>
      </c>
      <c r="AL781" t="str">
        <f t="shared" si="932"/>
        <v>001</v>
      </c>
      <c r="AM781" t="str">
        <f t="shared" si="937"/>
        <v>11</v>
      </c>
      <c r="AN781" t="str">
        <f t="shared" si="938"/>
        <v>11001</v>
      </c>
      <c r="AO781" t="str">
        <f>"25/02/2020 12:00:00 a. m."</f>
        <v>25/02/2020 12:00:00 a. m.</v>
      </c>
      <c r="AP781" t="str">
        <f>"10/01/2020 12:00:00 a. m."</f>
        <v>10/01/2020 12:00:00 a. m.</v>
      </c>
      <c r="AQ781" t="str">
        <f>"3"</f>
        <v>3</v>
      </c>
      <c r="AR781" t="str">
        <f>"2"</f>
        <v>2</v>
      </c>
      <c r="AS781" t="str">
        <f>""</f>
        <v/>
      </c>
      <c r="AT781" t="str">
        <f>"2"</f>
        <v>2</v>
      </c>
      <c r="AU781" t="str">
        <f>"14/02/2021 12:00:00 a. m."</f>
        <v>14/02/2021 12:00:00 a. m.</v>
      </c>
      <c r="AV781" t="str">
        <f>"7"</f>
        <v>7</v>
      </c>
      <c r="AW781" t="str">
        <f>"24/04/2002 12:00:00 a. m."</f>
        <v>24/04/2002 12:00:00 a. m.</v>
      </c>
      <c r="AX781" t="str">
        <f>"C827"</f>
        <v>C827</v>
      </c>
      <c r="AY781" t="str">
        <f t="shared" si="921"/>
        <v>30/04/2021 12:00:00 a. m.</v>
      </c>
      <c r="AZ781" t="str">
        <f>"8/03/2021 12:00:00 a. m."</f>
        <v>8/03/2021 12:00:00 a. m.</v>
      </c>
      <c r="BA781" t="str">
        <f>""</f>
        <v/>
      </c>
      <c r="BB781" t="str">
        <f>""</f>
        <v/>
      </c>
      <c r="BC781" t="str">
        <f>""</f>
        <v/>
      </c>
      <c r="BD781" t="str">
        <f t="shared" si="906"/>
        <v>1</v>
      </c>
      <c r="BE781" t="str">
        <f t="shared" si="906"/>
        <v>1</v>
      </c>
      <c r="BF781" t="str">
        <f t="shared" si="922"/>
        <v xml:space="preserve">3         </v>
      </c>
      <c r="BG781" t="str">
        <f t="shared" si="923"/>
        <v>Confirmado por laboratorio</v>
      </c>
      <c r="BH781" t="str">
        <f>"ADMINISTRADORA COUNTRY SA"</f>
        <v>ADMINISTRADORA COUNTRY SA</v>
      </c>
      <c r="BI781" t="str">
        <f t="shared" si="939"/>
        <v>COLOMBIA</v>
      </c>
      <c r="BJ781" t="str">
        <f t="shared" si="924"/>
        <v>CANCER INFANTIL</v>
      </c>
      <c r="BK781" t="str">
        <f t="shared" si="940"/>
        <v>BOGOTA</v>
      </c>
      <c r="BL781" t="str">
        <f t="shared" si="940"/>
        <v>BOGOTA</v>
      </c>
      <c r="BM781" t="str">
        <f t="shared" si="941"/>
        <v>COLOMBIA</v>
      </c>
      <c r="BN781" t="str">
        <f t="shared" si="942"/>
        <v>BOGOTA</v>
      </c>
      <c r="BO781" t="str">
        <f t="shared" si="942"/>
        <v>BOGOTA</v>
      </c>
      <c r="BP781" t="str">
        <f t="shared" si="942"/>
        <v>BOGOTA</v>
      </c>
      <c r="BQ781" t="str">
        <f t="shared" si="942"/>
        <v>BOGOTA</v>
      </c>
    </row>
    <row r="782" spans="1:69" x14ac:dyDescent="0.25">
      <c r="A782" t="str">
        <f>"7279257"</f>
        <v>7279257</v>
      </c>
      <c r="B782" t="str">
        <f t="shared" si="917"/>
        <v>459</v>
      </c>
      <c r="C782" t="str">
        <f>"3/07/2020 12:00:00 a. m."</f>
        <v>3/07/2020 12:00:00 a. m.</v>
      </c>
      <c r="D782" t="str">
        <f>"27"</f>
        <v>27</v>
      </c>
      <c r="E782" t="str">
        <f t="shared" si="918"/>
        <v>2020</v>
      </c>
      <c r="F782" t="str">
        <f>"1100116133"</f>
        <v>1100116133</v>
      </c>
      <c r="G782" t="str">
        <f t="shared" si="944"/>
        <v>01</v>
      </c>
      <c r="H782" t="str">
        <f>"15"</f>
        <v>15</v>
      </c>
      <c r="I782" t="str">
        <f t="shared" si="904"/>
        <v>1</v>
      </c>
      <c r="J782" t="str">
        <f>"F"</f>
        <v>F</v>
      </c>
      <c r="K782" t="str">
        <f t="shared" si="933"/>
        <v>170</v>
      </c>
      <c r="L782" t="str">
        <f t="shared" si="934"/>
        <v>11</v>
      </c>
      <c r="M782" t="str">
        <f t="shared" si="931"/>
        <v>001</v>
      </c>
      <c r="N782" t="str">
        <f t="shared" si="925"/>
        <v>1</v>
      </c>
      <c r="O782" t="str">
        <f t="shared" si="945"/>
        <v>9997</v>
      </c>
      <c r="P782" t="str">
        <f>"N"</f>
        <v>N</v>
      </c>
      <c r="Q782" t="str">
        <f>""</f>
        <v/>
      </c>
      <c r="R782" t="str">
        <f t="shared" si="909"/>
        <v>6</v>
      </c>
      <c r="S782" t="str">
        <f>""</f>
        <v/>
      </c>
      <c r="T782" t="str">
        <f t="shared" si="910"/>
        <v xml:space="preserve">                                                                                                    </v>
      </c>
      <c r="U782" t="str">
        <f>"2         "</f>
        <v xml:space="preserve">2         </v>
      </c>
      <c r="V782" t="str">
        <f t="shared" si="899"/>
        <v>2</v>
      </c>
      <c r="W782" t="str">
        <f t="shared" si="912"/>
        <v>2</v>
      </c>
      <c r="X782" t="str">
        <f t="shared" si="870"/>
        <v>2</v>
      </c>
      <c r="Y782" t="str">
        <f t="shared" si="943"/>
        <v>2</v>
      </c>
      <c r="Z782" t="str">
        <f t="shared" si="943"/>
        <v>2</v>
      </c>
      <c r="AA782" t="str">
        <f t="shared" si="919"/>
        <v xml:space="preserve">          </v>
      </c>
      <c r="AB782" t="str">
        <f t="shared" si="907"/>
        <v>2</v>
      </c>
      <c r="AC782" t="str">
        <f t="shared" si="908"/>
        <v>2</v>
      </c>
      <c r="AD782" t="str">
        <f t="shared" si="946"/>
        <v>2</v>
      </c>
      <c r="AE782" t="str">
        <f t="shared" si="946"/>
        <v>2</v>
      </c>
      <c r="AF782" t="str">
        <f t="shared" si="946"/>
        <v>2</v>
      </c>
      <c r="AG782" t="str">
        <f t="shared" si="946"/>
        <v>2</v>
      </c>
      <c r="AH782" t="str">
        <f t="shared" si="913"/>
        <v>1</v>
      </c>
      <c r="AI782" t="str">
        <f t="shared" si="926"/>
        <v xml:space="preserve">1         </v>
      </c>
      <c r="AJ782" t="str">
        <f t="shared" si="935"/>
        <v>170</v>
      </c>
      <c r="AK782" t="str">
        <f t="shared" si="936"/>
        <v>11</v>
      </c>
      <c r="AL782" t="str">
        <f t="shared" si="932"/>
        <v>001</v>
      </c>
      <c r="AM782" t="str">
        <f t="shared" si="937"/>
        <v>11</v>
      </c>
      <c r="AN782" t="str">
        <f t="shared" si="938"/>
        <v>11001</v>
      </c>
      <c r="AO782" t="str">
        <f>"1/07/2020 12:00:00 a. m."</f>
        <v>1/07/2020 12:00:00 a. m.</v>
      </c>
      <c r="AP782" t="str">
        <f>"1/03/2020 12:00:00 a. m."</f>
        <v>1/03/2020 12:00:00 a. m.</v>
      </c>
      <c r="AQ782" t="str">
        <f>"2"</f>
        <v>2</v>
      </c>
      <c r="AR782" t="str">
        <f t="shared" ref="AR782:AR789" si="947">"1"</f>
        <v>1</v>
      </c>
      <c r="AS782" t="str">
        <f>"1/07/2020 12:00:00 a. m."</f>
        <v>1/07/2020 12:00:00 a. m.</v>
      </c>
      <c r="AT782" t="str">
        <f>"1"</f>
        <v>1</v>
      </c>
      <c r="AU782" t="str">
        <f>""</f>
        <v/>
      </c>
      <c r="AV782" t="str">
        <f>"3"</f>
        <v>3</v>
      </c>
      <c r="AW782" t="str">
        <f>"11/10/2004 12:00:00 a. m."</f>
        <v>11/10/2004 12:00:00 a. m.</v>
      </c>
      <c r="AX782" t="str">
        <f>""</f>
        <v/>
      </c>
      <c r="AY782" t="str">
        <f t="shared" si="921"/>
        <v>30/04/2021 12:00:00 a. m.</v>
      </c>
      <c r="AZ782" t="str">
        <f>"25/08/2020 12:00:00 a. m."</f>
        <v>25/08/2020 12:00:00 a. m.</v>
      </c>
      <c r="BA782" t="str">
        <f>""</f>
        <v/>
      </c>
      <c r="BB782" t="str">
        <f>""</f>
        <v/>
      </c>
      <c r="BC782" t="str">
        <f>""</f>
        <v/>
      </c>
      <c r="BD782" t="str">
        <f t="shared" ref="BD782:BE801" si="948">"1"</f>
        <v>1</v>
      </c>
      <c r="BE782" t="str">
        <f t="shared" si="948"/>
        <v>1</v>
      </c>
      <c r="BF782" t="str">
        <f t="shared" si="922"/>
        <v xml:space="preserve">3         </v>
      </c>
      <c r="BG782" t="str">
        <f t="shared" si="923"/>
        <v>Confirmado por laboratorio</v>
      </c>
      <c r="BH782" t="str">
        <f>"FUNDACION HOSPITAL INFANTIL UNIVERSITARIO DE SAN"</f>
        <v>FUNDACION HOSPITAL INFANTIL UNIVERSITARIO DE SAN</v>
      </c>
      <c r="BI782" t="str">
        <f t="shared" si="939"/>
        <v>COLOMBIA</v>
      </c>
      <c r="BJ782" t="str">
        <f t="shared" si="924"/>
        <v>CANCER INFANTIL</v>
      </c>
      <c r="BK782" t="str">
        <f t="shared" si="940"/>
        <v>BOGOTA</v>
      </c>
      <c r="BL782" t="str">
        <f t="shared" si="940"/>
        <v>BOGOTA</v>
      </c>
      <c r="BM782" t="str">
        <f t="shared" si="941"/>
        <v>COLOMBIA</v>
      </c>
      <c r="BN782" t="str">
        <f t="shared" si="942"/>
        <v>BOGOTA</v>
      </c>
      <c r="BO782" t="str">
        <f t="shared" si="942"/>
        <v>BOGOTA</v>
      </c>
      <c r="BP782" t="str">
        <f t="shared" si="942"/>
        <v>BOGOTA</v>
      </c>
      <c r="BQ782" t="str">
        <f t="shared" si="942"/>
        <v>BOGOTA</v>
      </c>
    </row>
    <row r="783" spans="1:69" x14ac:dyDescent="0.25">
      <c r="A783" t="str">
        <f>"7285616"</f>
        <v>7285616</v>
      </c>
      <c r="B783" t="str">
        <f t="shared" si="917"/>
        <v>459</v>
      </c>
      <c r="C783" t="str">
        <f>"11/04/2020 12:00:00 a. m."</f>
        <v>11/04/2020 12:00:00 a. m.</v>
      </c>
      <c r="D783" t="str">
        <f>"15"</f>
        <v>15</v>
      </c>
      <c r="E783" t="str">
        <f t="shared" si="918"/>
        <v>2020</v>
      </c>
      <c r="F783" t="str">
        <f>"1100105681"</f>
        <v>1100105681</v>
      </c>
      <c r="G783" t="str">
        <f t="shared" si="944"/>
        <v>01</v>
      </c>
      <c r="H783" t="str">
        <f>"17"</f>
        <v>17</v>
      </c>
      <c r="I783" t="str">
        <f t="shared" si="904"/>
        <v>1</v>
      </c>
      <c r="J783" t="str">
        <f>"M"</f>
        <v>M</v>
      </c>
      <c r="K783" t="str">
        <f t="shared" si="933"/>
        <v>170</v>
      </c>
      <c r="L783" t="str">
        <f t="shared" si="934"/>
        <v>11</v>
      </c>
      <c r="M783" t="str">
        <f t="shared" si="931"/>
        <v>001</v>
      </c>
      <c r="N783" t="str">
        <f t="shared" si="925"/>
        <v>1</v>
      </c>
      <c r="O783" t="str">
        <f t="shared" si="945"/>
        <v>9997</v>
      </c>
      <c r="P783" t="str">
        <f>"C"</f>
        <v>C</v>
      </c>
      <c r="Q783" t="str">
        <f>"EPS044"</f>
        <v>EPS044</v>
      </c>
      <c r="R783" t="str">
        <f t="shared" si="909"/>
        <v>6</v>
      </c>
      <c r="S783" t="str">
        <f>""</f>
        <v/>
      </c>
      <c r="T783" t="str">
        <f t="shared" si="910"/>
        <v xml:space="preserve">                                                                                                    </v>
      </c>
      <c r="U783" t="str">
        <f>"2         "</f>
        <v xml:space="preserve">2         </v>
      </c>
      <c r="V783" t="str">
        <f t="shared" si="899"/>
        <v>2</v>
      </c>
      <c r="W783" t="str">
        <f t="shared" si="912"/>
        <v>2</v>
      </c>
      <c r="X783" t="str">
        <f t="shared" si="870"/>
        <v>2</v>
      </c>
      <c r="Y783" t="str">
        <f t="shared" si="943"/>
        <v>2</v>
      </c>
      <c r="Z783" t="str">
        <f t="shared" si="943"/>
        <v>2</v>
      </c>
      <c r="AA783" t="str">
        <f t="shared" si="919"/>
        <v xml:space="preserve">          </v>
      </c>
      <c r="AB783" t="str">
        <f t="shared" si="907"/>
        <v>2</v>
      </c>
      <c r="AC783" t="str">
        <f t="shared" si="908"/>
        <v>2</v>
      </c>
      <c r="AD783" t="str">
        <f t="shared" si="946"/>
        <v>2</v>
      </c>
      <c r="AE783" t="str">
        <f t="shared" si="946"/>
        <v>2</v>
      </c>
      <c r="AF783" t="str">
        <f t="shared" si="946"/>
        <v>2</v>
      </c>
      <c r="AG783" t="str">
        <f t="shared" si="946"/>
        <v>2</v>
      </c>
      <c r="AH783" t="str">
        <f t="shared" si="913"/>
        <v>1</v>
      </c>
      <c r="AI783" t="str">
        <f t="shared" si="926"/>
        <v xml:space="preserve">1         </v>
      </c>
      <c r="AJ783" t="str">
        <f t="shared" si="935"/>
        <v>170</v>
      </c>
      <c r="AK783" t="str">
        <f t="shared" si="936"/>
        <v>11</v>
      </c>
      <c r="AL783" t="str">
        <f t="shared" si="932"/>
        <v>001</v>
      </c>
      <c r="AM783" t="str">
        <f t="shared" si="937"/>
        <v>11</v>
      </c>
      <c r="AN783" t="str">
        <f t="shared" si="938"/>
        <v>11001</v>
      </c>
      <c r="AO783" t="str">
        <f>"6/04/2020 12:00:00 a. m."</f>
        <v>6/04/2020 12:00:00 a. m.</v>
      </c>
      <c r="AP783" t="str">
        <f>"1/09/2019 12:00:00 a. m."</f>
        <v>1/09/2019 12:00:00 a. m.</v>
      </c>
      <c r="AQ783" t="str">
        <f>"3"</f>
        <v>3</v>
      </c>
      <c r="AR783" t="str">
        <f t="shared" si="947"/>
        <v>1</v>
      </c>
      <c r="AS783" t="str">
        <f>"6/04/2020 12:00:00 a. m."</f>
        <v>6/04/2020 12:00:00 a. m.</v>
      </c>
      <c r="AT783" t="str">
        <f>"2"</f>
        <v>2</v>
      </c>
      <c r="AU783" t="str">
        <f>"29/10/2020 12:00:00 a. m."</f>
        <v>29/10/2020 12:00:00 a. m.</v>
      </c>
      <c r="AV783" t="str">
        <f>"7"</f>
        <v>7</v>
      </c>
      <c r="AW783" t="str">
        <f>"23/08/2003 12:00:00 a. m."</f>
        <v>23/08/2003 12:00:00 a. m.</v>
      </c>
      <c r="AX783" t="str">
        <f>"C629"</f>
        <v>C629</v>
      </c>
      <c r="AY783" t="str">
        <f t="shared" si="921"/>
        <v>30/04/2021 12:00:00 a. m.</v>
      </c>
      <c r="AZ783" t="str">
        <f>"2/02/2021 12:00:00 a. m."</f>
        <v>2/02/2021 12:00:00 a. m.</v>
      </c>
      <c r="BA783" t="str">
        <f>""</f>
        <v/>
      </c>
      <c r="BB783" t="str">
        <f>""</f>
        <v/>
      </c>
      <c r="BC783" t="str">
        <f>""</f>
        <v/>
      </c>
      <c r="BD783" t="str">
        <f t="shared" si="948"/>
        <v>1</v>
      </c>
      <c r="BE783" t="str">
        <f t="shared" si="948"/>
        <v>1</v>
      </c>
      <c r="BF783" t="str">
        <f t="shared" si="922"/>
        <v xml:space="preserve">3         </v>
      </c>
      <c r="BG783" t="str">
        <f t="shared" si="923"/>
        <v>Confirmado por laboratorio</v>
      </c>
      <c r="BH783" t="str">
        <f>"FUNDACION HOSPITAL DE LA MISERICORDIA"</f>
        <v>FUNDACION HOSPITAL DE LA MISERICORDIA</v>
      </c>
      <c r="BI783" t="str">
        <f t="shared" si="939"/>
        <v>COLOMBIA</v>
      </c>
      <c r="BJ783" t="str">
        <f t="shared" si="924"/>
        <v>CANCER INFANTIL</v>
      </c>
      <c r="BK783" t="str">
        <f t="shared" si="940"/>
        <v>BOGOTA</v>
      </c>
      <c r="BL783" t="str">
        <f t="shared" si="940"/>
        <v>BOGOTA</v>
      </c>
      <c r="BM783" t="str">
        <f t="shared" si="941"/>
        <v>COLOMBIA</v>
      </c>
      <c r="BN783" t="str">
        <f t="shared" si="942"/>
        <v>BOGOTA</v>
      </c>
      <c r="BO783" t="str">
        <f t="shared" si="942"/>
        <v>BOGOTA</v>
      </c>
      <c r="BP783" t="str">
        <f t="shared" si="942"/>
        <v>BOGOTA</v>
      </c>
      <c r="BQ783" t="str">
        <f t="shared" si="942"/>
        <v>BOGOTA</v>
      </c>
    </row>
    <row r="784" spans="1:69" x14ac:dyDescent="0.25">
      <c r="A784" t="str">
        <f>"7285617"</f>
        <v>7285617</v>
      </c>
      <c r="B784" t="str">
        <f t="shared" si="917"/>
        <v>459</v>
      </c>
      <c r="C784" t="str">
        <f>"23/09/2020 12:00:00 a. m."</f>
        <v>23/09/2020 12:00:00 a. m.</v>
      </c>
      <c r="D784" t="str">
        <f>"33"</f>
        <v>33</v>
      </c>
      <c r="E784" t="str">
        <f t="shared" si="918"/>
        <v>2020</v>
      </c>
      <c r="F784" t="str">
        <f>"1100105681"</f>
        <v>1100105681</v>
      </c>
      <c r="G784" t="str">
        <f t="shared" si="944"/>
        <v>01</v>
      </c>
      <c r="H784" t="str">
        <f>"17"</f>
        <v>17</v>
      </c>
      <c r="I784" t="str">
        <f t="shared" si="904"/>
        <v>1</v>
      </c>
      <c r="J784" t="str">
        <f>"M"</f>
        <v>M</v>
      </c>
      <c r="K784" t="str">
        <f t="shared" si="933"/>
        <v>170</v>
      </c>
      <c r="L784" t="str">
        <f>"73"</f>
        <v>73</v>
      </c>
      <c r="M784" t="str">
        <f t="shared" si="931"/>
        <v>001</v>
      </c>
      <c r="N784" t="str">
        <f t="shared" si="925"/>
        <v>1</v>
      </c>
      <c r="O784" t="str">
        <f t="shared" si="945"/>
        <v>9997</v>
      </c>
      <c r="P784" t="str">
        <f>"I"</f>
        <v>I</v>
      </c>
      <c r="Q784" t="str">
        <f>""</f>
        <v/>
      </c>
      <c r="R784" t="str">
        <f t="shared" si="909"/>
        <v>6</v>
      </c>
      <c r="S784" t="str">
        <f>""</f>
        <v/>
      </c>
      <c r="T784" t="str">
        <f t="shared" si="910"/>
        <v xml:space="preserve">                                                                                                    </v>
      </c>
      <c r="U784" t="str">
        <f>"2         "</f>
        <v xml:space="preserve">2         </v>
      </c>
      <c r="V784" t="str">
        <f t="shared" si="899"/>
        <v>2</v>
      </c>
      <c r="W784" t="str">
        <f t="shared" si="912"/>
        <v>2</v>
      </c>
      <c r="X784" t="str">
        <f t="shared" si="870"/>
        <v>2</v>
      </c>
      <c r="Y784" t="str">
        <f t="shared" si="943"/>
        <v>2</v>
      </c>
      <c r="Z784" t="str">
        <f t="shared" si="943"/>
        <v>2</v>
      </c>
      <c r="AA784" t="str">
        <f t="shared" si="919"/>
        <v xml:space="preserve">          </v>
      </c>
      <c r="AB784" t="str">
        <f t="shared" si="907"/>
        <v>2</v>
      </c>
      <c r="AC784" t="str">
        <f t="shared" si="908"/>
        <v>2</v>
      </c>
      <c r="AD784" t="str">
        <f t="shared" si="946"/>
        <v>2</v>
      </c>
      <c r="AE784" t="str">
        <f t="shared" si="946"/>
        <v>2</v>
      </c>
      <c r="AF784" t="str">
        <f t="shared" si="946"/>
        <v>2</v>
      </c>
      <c r="AG784" t="str">
        <f t="shared" si="946"/>
        <v>2</v>
      </c>
      <c r="AH784" t="str">
        <f t="shared" si="913"/>
        <v>1</v>
      </c>
      <c r="AI784" t="str">
        <f t="shared" si="926"/>
        <v xml:space="preserve">1         </v>
      </c>
      <c r="AJ784" t="str">
        <f t="shared" si="935"/>
        <v>170</v>
      </c>
      <c r="AK784" t="str">
        <f>"73"</f>
        <v>73</v>
      </c>
      <c r="AL784" t="str">
        <f t="shared" si="932"/>
        <v>001</v>
      </c>
      <c r="AM784" t="str">
        <f t="shared" si="937"/>
        <v>11</v>
      </c>
      <c r="AN784" t="str">
        <f t="shared" si="938"/>
        <v>11001</v>
      </c>
      <c r="AO784" t="str">
        <f>"12/08/2020 12:00:00 a. m."</f>
        <v>12/08/2020 12:00:00 a. m.</v>
      </c>
      <c r="AP784" t="str">
        <f>"12/07/2020 12:00:00 a. m."</f>
        <v>12/07/2020 12:00:00 a. m.</v>
      </c>
      <c r="AQ784" t="str">
        <f>"3"</f>
        <v>3</v>
      </c>
      <c r="AR784" t="str">
        <f t="shared" si="947"/>
        <v>1</v>
      </c>
      <c r="AS784" t="str">
        <f>"12/08/2020 12:00:00 a. m."</f>
        <v>12/08/2020 12:00:00 a. m.</v>
      </c>
      <c r="AT784" t="str">
        <f>"2"</f>
        <v>2</v>
      </c>
      <c r="AU784" t="str">
        <f>"21/09/2020 12:00:00 a. m."</f>
        <v>21/09/2020 12:00:00 a. m.</v>
      </c>
      <c r="AV784" t="str">
        <f>"7"</f>
        <v>7</v>
      </c>
      <c r="AW784" t="str">
        <f>"2/06/2003 12:00:00 a. m."</f>
        <v>2/06/2003 12:00:00 a. m.</v>
      </c>
      <c r="AX784" t="str">
        <f>"C793"</f>
        <v>C793</v>
      </c>
      <c r="AY784" t="str">
        <f t="shared" si="921"/>
        <v>30/04/2021 12:00:00 a. m.</v>
      </c>
      <c r="AZ784" t="str">
        <f>"27/10/2020 12:00:00 a. m."</f>
        <v>27/10/2020 12:00:00 a. m.</v>
      </c>
      <c r="BA784" t="str">
        <f>""</f>
        <v/>
      </c>
      <c r="BB784" t="str">
        <f>""</f>
        <v/>
      </c>
      <c r="BC784" t="str">
        <f>""</f>
        <v/>
      </c>
      <c r="BD784" t="str">
        <f t="shared" si="948"/>
        <v>1</v>
      </c>
      <c r="BE784" t="str">
        <f t="shared" si="948"/>
        <v>1</v>
      </c>
      <c r="BF784" t="str">
        <f t="shared" si="922"/>
        <v xml:space="preserve">3         </v>
      </c>
      <c r="BG784" t="str">
        <f t="shared" si="923"/>
        <v>Confirmado por laboratorio</v>
      </c>
      <c r="BH784" t="str">
        <f>"FUNDACION HOSPITAL DE LA MISERICORDIA"</f>
        <v>FUNDACION HOSPITAL DE LA MISERICORDIA</v>
      </c>
      <c r="BI784" t="str">
        <f t="shared" si="939"/>
        <v>COLOMBIA</v>
      </c>
      <c r="BJ784" t="str">
        <f t="shared" si="924"/>
        <v>CANCER INFANTIL</v>
      </c>
      <c r="BK784" t="str">
        <f>"TOLIMA"</f>
        <v>TOLIMA</v>
      </c>
      <c r="BL784" t="str">
        <f>"IBAGUE"</f>
        <v>IBAGUE</v>
      </c>
      <c r="BM784" t="str">
        <f t="shared" si="941"/>
        <v>COLOMBIA</v>
      </c>
      <c r="BN784" t="str">
        <f>"TOLIMA"</f>
        <v>TOLIMA</v>
      </c>
      <c r="BO784" t="str">
        <f>"IBAGUE"</f>
        <v>IBAGUE</v>
      </c>
      <c r="BP784" t="str">
        <f t="shared" ref="BP784:BQ787" si="949">"BOGOTA"</f>
        <v>BOGOTA</v>
      </c>
      <c r="BQ784" t="str">
        <f t="shared" si="949"/>
        <v>BOGOTA</v>
      </c>
    </row>
    <row r="785" spans="1:69" x14ac:dyDescent="0.25">
      <c r="A785" t="str">
        <f>"7285636"</f>
        <v>7285636</v>
      </c>
      <c r="B785" t="str">
        <f t="shared" si="917"/>
        <v>459</v>
      </c>
      <c r="C785" t="str">
        <f>"15/11/2020 12:00:00 a. m."</f>
        <v>15/11/2020 12:00:00 a. m.</v>
      </c>
      <c r="D785" t="str">
        <f>"38"</f>
        <v>38</v>
      </c>
      <c r="E785" t="str">
        <f t="shared" si="918"/>
        <v>2020</v>
      </c>
      <c r="F785" t="str">
        <f>"1100125070"</f>
        <v>1100125070</v>
      </c>
      <c r="G785" t="str">
        <f t="shared" si="944"/>
        <v>01</v>
      </c>
      <c r="H785" t="str">
        <f>"17"</f>
        <v>17</v>
      </c>
      <c r="I785" t="str">
        <f t="shared" si="904"/>
        <v>1</v>
      </c>
      <c r="J785" t="str">
        <f>"F"</f>
        <v>F</v>
      </c>
      <c r="K785" t="str">
        <f t="shared" si="933"/>
        <v>170</v>
      </c>
      <c r="L785" t="str">
        <f>"11"</f>
        <v>11</v>
      </c>
      <c r="M785" t="str">
        <f t="shared" si="931"/>
        <v>001</v>
      </c>
      <c r="N785" t="str">
        <f t="shared" si="925"/>
        <v>1</v>
      </c>
      <c r="O785" t="str">
        <f t="shared" si="945"/>
        <v>9997</v>
      </c>
      <c r="P785" t="str">
        <f>"C"</f>
        <v>C</v>
      </c>
      <c r="Q785" t="str">
        <f>"EPS001"</f>
        <v>EPS001</v>
      </c>
      <c r="R785" t="str">
        <f t="shared" si="909"/>
        <v>6</v>
      </c>
      <c r="S785" t="str">
        <f>""</f>
        <v/>
      </c>
      <c r="T785" t="str">
        <f t="shared" si="910"/>
        <v xml:space="preserve">                                                                                                    </v>
      </c>
      <c r="U785" t="str">
        <f>"4         "</f>
        <v xml:space="preserve">4         </v>
      </c>
      <c r="V785" t="str">
        <f t="shared" si="899"/>
        <v>2</v>
      </c>
      <c r="W785" t="str">
        <f t="shared" si="912"/>
        <v>2</v>
      </c>
      <c r="X785" t="str">
        <f t="shared" si="870"/>
        <v>2</v>
      </c>
      <c r="Y785" t="str">
        <f t="shared" si="943"/>
        <v>2</v>
      </c>
      <c r="Z785" t="str">
        <f t="shared" si="943"/>
        <v>2</v>
      </c>
      <c r="AA785" t="str">
        <f t="shared" si="919"/>
        <v xml:space="preserve">          </v>
      </c>
      <c r="AB785" t="str">
        <f t="shared" si="907"/>
        <v>2</v>
      </c>
      <c r="AC785" t="str">
        <f t="shared" si="908"/>
        <v>2</v>
      </c>
      <c r="AD785" t="str">
        <f t="shared" si="946"/>
        <v>2</v>
      </c>
      <c r="AE785" t="str">
        <f t="shared" si="946"/>
        <v>2</v>
      </c>
      <c r="AF785" t="str">
        <f t="shared" si="946"/>
        <v>2</v>
      </c>
      <c r="AG785" t="str">
        <f t="shared" si="946"/>
        <v>2</v>
      </c>
      <c r="AH785" t="str">
        <f t="shared" si="913"/>
        <v>1</v>
      </c>
      <c r="AI785" t="str">
        <f>"2         "</f>
        <v xml:space="preserve">2         </v>
      </c>
      <c r="AJ785" t="str">
        <f t="shared" si="935"/>
        <v>170</v>
      </c>
      <c r="AK785" t="str">
        <f>"11"</f>
        <v>11</v>
      </c>
      <c r="AL785" t="str">
        <f t="shared" si="932"/>
        <v>001</v>
      </c>
      <c r="AM785" t="str">
        <f t="shared" si="937"/>
        <v>11</v>
      </c>
      <c r="AN785" t="str">
        <f t="shared" si="938"/>
        <v>11001</v>
      </c>
      <c r="AO785" t="str">
        <f>"14/09/2020 12:00:00 a. m."</f>
        <v>14/09/2020 12:00:00 a. m.</v>
      </c>
      <c r="AP785" t="str">
        <f>"13/09/2020 12:00:00 a. m."</f>
        <v>13/09/2020 12:00:00 a. m.</v>
      </c>
      <c r="AQ785" t="str">
        <f>"3"</f>
        <v>3</v>
      </c>
      <c r="AR785" t="str">
        <f t="shared" si="947"/>
        <v>1</v>
      </c>
      <c r="AS785" t="str">
        <f>"14/09/2020 12:00:00 a. m."</f>
        <v>14/09/2020 12:00:00 a. m.</v>
      </c>
      <c r="AT785" t="str">
        <f t="shared" ref="AT785:AT795" si="950">"1"</f>
        <v>1</v>
      </c>
      <c r="AU785" t="str">
        <f>""</f>
        <v/>
      </c>
      <c r="AV785" t="str">
        <f>"7"</f>
        <v>7</v>
      </c>
      <c r="AW785" t="str">
        <f>"15/11/2003 12:00:00 a. m."</f>
        <v>15/11/2003 12:00:00 a. m.</v>
      </c>
      <c r="AX785" t="str">
        <f>""</f>
        <v/>
      </c>
      <c r="AY785" t="str">
        <f t="shared" si="921"/>
        <v>30/04/2021 12:00:00 a. m.</v>
      </c>
      <c r="AZ785" t="str">
        <f>"25/11/2020 12:00:00 a. m."</f>
        <v>25/11/2020 12:00:00 a. m.</v>
      </c>
      <c r="BA785" t="str">
        <f>""</f>
        <v/>
      </c>
      <c r="BB785" t="str">
        <f>""</f>
        <v/>
      </c>
      <c r="BC785" t="str">
        <f>""</f>
        <v/>
      </c>
      <c r="BD785" t="str">
        <f t="shared" si="948"/>
        <v>1</v>
      </c>
      <c r="BE785" t="str">
        <f t="shared" si="948"/>
        <v>1</v>
      </c>
      <c r="BF785" t="str">
        <f t="shared" si="922"/>
        <v xml:space="preserve">3         </v>
      </c>
      <c r="BG785" t="str">
        <f t="shared" si="923"/>
        <v>Confirmado por laboratorio</v>
      </c>
      <c r="BH785" t="str">
        <f>"ADMINISTRADORA CLINICA LA COLINA"</f>
        <v>ADMINISTRADORA CLINICA LA COLINA</v>
      </c>
      <c r="BI785" t="str">
        <f t="shared" si="939"/>
        <v>COLOMBIA</v>
      </c>
      <c r="BJ785" t="str">
        <f t="shared" si="924"/>
        <v>CANCER INFANTIL</v>
      </c>
      <c r="BK785" t="str">
        <f>"BOGOTA"</f>
        <v>BOGOTA</v>
      </c>
      <c r="BL785" t="str">
        <f>"BOGOTA"</f>
        <v>BOGOTA</v>
      </c>
      <c r="BM785" t="str">
        <f t="shared" si="941"/>
        <v>COLOMBIA</v>
      </c>
      <c r="BN785" t="str">
        <f>"BOGOTA"</f>
        <v>BOGOTA</v>
      </c>
      <c r="BO785" t="str">
        <f>"BOGOTA"</f>
        <v>BOGOTA</v>
      </c>
      <c r="BP785" t="str">
        <f t="shared" si="949"/>
        <v>BOGOTA</v>
      </c>
      <c r="BQ785" t="str">
        <f t="shared" si="949"/>
        <v>BOGOTA</v>
      </c>
    </row>
    <row r="786" spans="1:69" x14ac:dyDescent="0.25">
      <c r="A786" t="str">
        <f>"7291709"</f>
        <v>7291709</v>
      </c>
      <c r="B786" t="str">
        <f t="shared" si="917"/>
        <v>459</v>
      </c>
      <c r="C786" t="str">
        <f>"4/11/2020 12:00:00 a. m."</f>
        <v>4/11/2020 12:00:00 a. m.</v>
      </c>
      <c r="D786" t="str">
        <f>"43"</f>
        <v>43</v>
      </c>
      <c r="E786" t="str">
        <f t="shared" si="918"/>
        <v>2020</v>
      </c>
      <c r="F786" t="str">
        <f>"1100116338"</f>
        <v>1100116338</v>
      </c>
      <c r="G786" t="str">
        <f>"83"</f>
        <v>83</v>
      </c>
      <c r="H786" t="str">
        <f>"15"</f>
        <v>15</v>
      </c>
      <c r="I786" t="str">
        <f t="shared" si="904"/>
        <v>1</v>
      </c>
      <c r="J786" t="str">
        <f>"M"</f>
        <v>M</v>
      </c>
      <c r="K786" t="str">
        <f t="shared" si="933"/>
        <v>170</v>
      </c>
      <c r="L786" t="str">
        <f>"41"</f>
        <v>41</v>
      </c>
      <c r="M786" t="str">
        <f>"530"</f>
        <v>530</v>
      </c>
      <c r="N786" t="str">
        <f>"3"</f>
        <v>3</v>
      </c>
      <c r="O786" t="str">
        <f t="shared" si="945"/>
        <v>9997</v>
      </c>
      <c r="P786" t="str">
        <f>"P"</f>
        <v>P</v>
      </c>
      <c r="Q786" t="str">
        <f>"RES003"</f>
        <v>RES003</v>
      </c>
      <c r="R786" t="str">
        <f t="shared" si="909"/>
        <v>6</v>
      </c>
      <c r="S786" t="str">
        <f>""</f>
        <v/>
      </c>
      <c r="T786" t="str">
        <f t="shared" si="910"/>
        <v xml:space="preserve">                                                                                                    </v>
      </c>
      <c r="U786" t="str">
        <f>"1         "</f>
        <v xml:space="preserve">1         </v>
      </c>
      <c r="V786" t="str">
        <f t="shared" si="899"/>
        <v>2</v>
      </c>
      <c r="W786" t="str">
        <f t="shared" si="912"/>
        <v>2</v>
      </c>
      <c r="X786" t="str">
        <f t="shared" si="870"/>
        <v>2</v>
      </c>
      <c r="Y786" t="str">
        <f t="shared" si="943"/>
        <v>2</v>
      </c>
      <c r="Z786" t="str">
        <f t="shared" si="943"/>
        <v>2</v>
      </c>
      <c r="AA786" t="str">
        <f t="shared" si="919"/>
        <v xml:space="preserve">          </v>
      </c>
      <c r="AB786" t="str">
        <f t="shared" si="907"/>
        <v>2</v>
      </c>
      <c r="AC786" t="str">
        <f t="shared" si="908"/>
        <v>2</v>
      </c>
      <c r="AD786" t="str">
        <f t="shared" si="946"/>
        <v>2</v>
      </c>
      <c r="AE786" t="str">
        <f t="shared" si="946"/>
        <v>2</v>
      </c>
      <c r="AF786" t="str">
        <f t="shared" si="946"/>
        <v>2</v>
      </c>
      <c r="AG786" t="str">
        <f t="shared" si="946"/>
        <v>2</v>
      </c>
      <c r="AH786" t="str">
        <f t="shared" si="913"/>
        <v>1</v>
      </c>
      <c r="AI786" t="str">
        <f>"2         "</f>
        <v xml:space="preserve">2         </v>
      </c>
      <c r="AJ786" t="str">
        <f t="shared" si="935"/>
        <v>170</v>
      </c>
      <c r="AK786" t="str">
        <f>"41"</f>
        <v>41</v>
      </c>
      <c r="AL786" t="str">
        <f>"530"</f>
        <v>530</v>
      </c>
      <c r="AM786" t="str">
        <f t="shared" si="937"/>
        <v>11</v>
      </c>
      <c r="AN786" t="str">
        <f t="shared" si="938"/>
        <v>11001</v>
      </c>
      <c r="AO786" t="str">
        <f>"20/10/2020 12:00:00 a. m."</f>
        <v>20/10/2020 12:00:00 a. m.</v>
      </c>
      <c r="AP786" t="str">
        <f>"20/05/2020 12:00:00 a. m."</f>
        <v>20/05/2020 12:00:00 a. m.</v>
      </c>
      <c r="AQ786" t="str">
        <f>"3"</f>
        <v>3</v>
      </c>
      <c r="AR786" t="str">
        <f t="shared" si="947"/>
        <v>1</v>
      </c>
      <c r="AS786" t="str">
        <f>"20/10/2020 12:00:00 a. m."</f>
        <v>20/10/2020 12:00:00 a. m.</v>
      </c>
      <c r="AT786" t="str">
        <f t="shared" si="950"/>
        <v>1</v>
      </c>
      <c r="AU786" t="str">
        <f>""</f>
        <v/>
      </c>
      <c r="AV786" t="str">
        <f>"0"</f>
        <v>0</v>
      </c>
      <c r="AW786" t="str">
        <f>"30/03/2005 12:00:00 a. m."</f>
        <v>30/03/2005 12:00:00 a. m.</v>
      </c>
      <c r="AX786" t="str">
        <f>""</f>
        <v/>
      </c>
      <c r="AY786" t="str">
        <f t="shared" si="921"/>
        <v>30/04/2021 12:00:00 a. m.</v>
      </c>
      <c r="AZ786" t="str">
        <f>"4/11/2020 12:00:00 a. m."</f>
        <v>4/11/2020 12:00:00 a. m.</v>
      </c>
      <c r="BA786" t="str">
        <f>""</f>
        <v/>
      </c>
      <c r="BB786" t="str">
        <f>""</f>
        <v/>
      </c>
      <c r="BC786" t="str">
        <f>""</f>
        <v/>
      </c>
      <c r="BD786" t="str">
        <f t="shared" si="948"/>
        <v>1</v>
      </c>
      <c r="BE786" t="str">
        <f t="shared" si="948"/>
        <v>1</v>
      </c>
      <c r="BF786" t="str">
        <f t="shared" si="922"/>
        <v xml:space="preserve">3         </v>
      </c>
      <c r="BG786" t="str">
        <f t="shared" si="923"/>
        <v>Confirmado por laboratorio</v>
      </c>
      <c r="BH786" t="str">
        <f>"HOSPITAL MILITAR CENTRAL CHAPINERO"</f>
        <v>HOSPITAL MILITAR CENTRAL CHAPINERO</v>
      </c>
      <c r="BI786" t="str">
        <f t="shared" si="939"/>
        <v>COLOMBIA</v>
      </c>
      <c r="BJ786" t="str">
        <f t="shared" si="924"/>
        <v>CANCER INFANTIL</v>
      </c>
      <c r="BK786" t="str">
        <f>"HUILA"</f>
        <v>HUILA</v>
      </c>
      <c r="BL786" t="str">
        <f>"PALESTINA"</f>
        <v>PALESTINA</v>
      </c>
      <c r="BM786" t="str">
        <f t="shared" si="941"/>
        <v>COLOMBIA</v>
      </c>
      <c r="BN786" t="str">
        <f>"HUILA"</f>
        <v>HUILA</v>
      </c>
      <c r="BO786" t="str">
        <f>"PALESTINA"</f>
        <v>PALESTINA</v>
      </c>
      <c r="BP786" t="str">
        <f t="shared" si="949"/>
        <v>BOGOTA</v>
      </c>
      <c r="BQ786" t="str">
        <f t="shared" si="949"/>
        <v>BOGOTA</v>
      </c>
    </row>
    <row r="787" spans="1:69" x14ac:dyDescent="0.25">
      <c r="A787" t="str">
        <f>"7291789"</f>
        <v>7291789</v>
      </c>
      <c r="B787" t="str">
        <f t="shared" si="917"/>
        <v>459</v>
      </c>
      <c r="C787" t="str">
        <f>"29/01/2021 12:00:00 a. m."</f>
        <v>29/01/2021 12:00:00 a. m.</v>
      </c>
      <c r="D787" t="str">
        <f>"29"</f>
        <v>29</v>
      </c>
      <c r="E787" t="str">
        <f t="shared" si="918"/>
        <v>2020</v>
      </c>
      <c r="F787" t="str">
        <f>"1100105681"</f>
        <v>1100105681</v>
      </c>
      <c r="G787" t="str">
        <f t="shared" ref="G787:G814" si="951">"01"</f>
        <v>01</v>
      </c>
      <c r="H787" t="str">
        <f>"17"</f>
        <v>17</v>
      </c>
      <c r="I787" t="str">
        <f t="shared" si="904"/>
        <v>1</v>
      </c>
      <c r="J787" t="str">
        <f>"M"</f>
        <v>M</v>
      </c>
      <c r="K787" t="str">
        <f t="shared" si="933"/>
        <v>170</v>
      </c>
      <c r="L787" t="str">
        <f>"50"</f>
        <v>50</v>
      </c>
      <c r="M787" t="str">
        <f>"683"</f>
        <v>683</v>
      </c>
      <c r="N787" t="str">
        <f t="shared" ref="N787:N796" si="952">"1"</f>
        <v>1</v>
      </c>
      <c r="O787" t="str">
        <f>"9999"</f>
        <v>9999</v>
      </c>
      <c r="P787" t="str">
        <f>"S"</f>
        <v>S</v>
      </c>
      <c r="Q787" t="str">
        <f>"EPSS34"</f>
        <v>EPSS34</v>
      </c>
      <c r="R787" t="str">
        <f t="shared" si="909"/>
        <v>6</v>
      </c>
      <c r="S787" t="str">
        <f>""</f>
        <v/>
      </c>
      <c r="T787" t="str">
        <f t="shared" si="910"/>
        <v xml:space="preserve">                                                                                                    </v>
      </c>
      <c r="U787" t="str">
        <f>"2         "</f>
        <v xml:space="preserve">2         </v>
      </c>
      <c r="V787" t="str">
        <f t="shared" si="899"/>
        <v>2</v>
      </c>
      <c r="W787" t="str">
        <f t="shared" si="912"/>
        <v>2</v>
      </c>
      <c r="X787" t="str">
        <f t="shared" si="870"/>
        <v>2</v>
      </c>
      <c r="Y787" t="str">
        <f t="shared" si="943"/>
        <v>2</v>
      </c>
      <c r="Z787" t="str">
        <f t="shared" si="943"/>
        <v>2</v>
      </c>
      <c r="AA787" t="str">
        <f t="shared" si="919"/>
        <v xml:space="preserve">          </v>
      </c>
      <c r="AB787" t="str">
        <f t="shared" si="907"/>
        <v>2</v>
      </c>
      <c r="AC787" t="str">
        <f t="shared" si="908"/>
        <v>2</v>
      </c>
      <c r="AD787" t="str">
        <f t="shared" si="946"/>
        <v>2</v>
      </c>
      <c r="AE787" t="str">
        <f t="shared" si="946"/>
        <v>2</v>
      </c>
      <c r="AF787" t="str">
        <f t="shared" si="946"/>
        <v>2</v>
      </c>
      <c r="AG787" t="str">
        <f t="shared" si="946"/>
        <v>2</v>
      </c>
      <c r="AH787" t="str">
        <f t="shared" si="913"/>
        <v>1</v>
      </c>
      <c r="AI787" t="str">
        <f>"2         "</f>
        <v xml:space="preserve">2         </v>
      </c>
      <c r="AJ787" t="str">
        <f t="shared" si="935"/>
        <v>170</v>
      </c>
      <c r="AK787" t="str">
        <f>"50"</f>
        <v>50</v>
      </c>
      <c r="AL787" t="str">
        <f>"683"</f>
        <v>683</v>
      </c>
      <c r="AM787" t="str">
        <f t="shared" si="937"/>
        <v>11</v>
      </c>
      <c r="AN787" t="str">
        <f t="shared" si="938"/>
        <v>11001</v>
      </c>
      <c r="AO787" t="str">
        <f>"16/07/2020 12:00:00 a. m."</f>
        <v>16/07/2020 12:00:00 a. m.</v>
      </c>
      <c r="AP787" t="str">
        <f>"1/07/2018 12:00:00 a. m."</f>
        <v>1/07/2018 12:00:00 a. m.</v>
      </c>
      <c r="AQ787" t="str">
        <f>"3"</f>
        <v>3</v>
      </c>
      <c r="AR787" t="str">
        <f t="shared" si="947"/>
        <v>1</v>
      </c>
      <c r="AS787" t="str">
        <f>"16/07/2020 12:00:00 a. m."</f>
        <v>16/07/2020 12:00:00 a. m.</v>
      </c>
      <c r="AT787" t="str">
        <f t="shared" si="950"/>
        <v>1</v>
      </c>
      <c r="AU787" t="str">
        <f>""</f>
        <v/>
      </c>
      <c r="AV787" t="str">
        <f>"0"</f>
        <v>0</v>
      </c>
      <c r="AW787" t="str">
        <f>"20/01/2004 12:00:00 a. m."</f>
        <v>20/01/2004 12:00:00 a. m.</v>
      </c>
      <c r="AX787" t="str">
        <f>""</f>
        <v/>
      </c>
      <c r="AY787" t="str">
        <f t="shared" si="921"/>
        <v>30/04/2021 12:00:00 a. m.</v>
      </c>
      <c r="AZ787" t="str">
        <f>"29/01/2021 12:00:00 a. m."</f>
        <v>29/01/2021 12:00:00 a. m.</v>
      </c>
      <c r="BA787" t="str">
        <f>""</f>
        <v/>
      </c>
      <c r="BB787" t="str">
        <f>""</f>
        <v/>
      </c>
      <c r="BC787" t="str">
        <f>""</f>
        <v/>
      </c>
      <c r="BD787" t="str">
        <f t="shared" si="948"/>
        <v>1</v>
      </c>
      <c r="BE787" t="str">
        <f t="shared" si="948"/>
        <v>1</v>
      </c>
      <c r="BF787" t="str">
        <f t="shared" si="922"/>
        <v xml:space="preserve">3         </v>
      </c>
      <c r="BG787" t="str">
        <f t="shared" si="923"/>
        <v>Confirmado por laboratorio</v>
      </c>
      <c r="BH787" t="str">
        <f>"FUNDACION HOSPITAL DE LA MISERICORDIA"</f>
        <v>FUNDACION HOSPITAL DE LA MISERICORDIA</v>
      </c>
      <c r="BI787" t="str">
        <f t="shared" si="939"/>
        <v>COLOMBIA</v>
      </c>
      <c r="BJ787" t="str">
        <f t="shared" si="924"/>
        <v>CANCER INFANTIL</v>
      </c>
      <c r="BK787" t="str">
        <f>"META"</f>
        <v>META</v>
      </c>
      <c r="BL787" t="str">
        <f>"SAN JUAN DE ARAMA"</f>
        <v>SAN JUAN DE ARAMA</v>
      </c>
      <c r="BM787" t="str">
        <f t="shared" si="941"/>
        <v>COLOMBIA</v>
      </c>
      <c r="BN787" t="str">
        <f>"META"</f>
        <v>META</v>
      </c>
      <c r="BO787" t="str">
        <f>"SAN JUAN DE ARAMA"</f>
        <v>SAN JUAN DE ARAMA</v>
      </c>
      <c r="BP787" t="str">
        <f t="shared" si="949"/>
        <v>BOGOTA</v>
      </c>
      <c r="BQ787" t="str">
        <f t="shared" si="949"/>
        <v>BOGOTA</v>
      </c>
    </row>
    <row r="788" spans="1:69" x14ac:dyDescent="0.25">
      <c r="A788" t="str">
        <f>"7291733"</f>
        <v>7291733</v>
      </c>
      <c r="B788" t="str">
        <f t="shared" si="917"/>
        <v>459</v>
      </c>
      <c r="C788" t="str">
        <f>"12/01/2020 12:00:00 a. m."</f>
        <v>12/01/2020 12:00:00 a. m.</v>
      </c>
      <c r="D788" t="str">
        <f>"02"</f>
        <v>02</v>
      </c>
      <c r="E788" t="str">
        <f t="shared" si="918"/>
        <v>2020</v>
      </c>
      <c r="F788" t="str">
        <f>"5000100529"</f>
        <v>5000100529</v>
      </c>
      <c r="G788" t="str">
        <f t="shared" si="951"/>
        <v>01</v>
      </c>
      <c r="H788" t="str">
        <f>"1"</f>
        <v>1</v>
      </c>
      <c r="I788" t="str">
        <f t="shared" si="904"/>
        <v>1</v>
      </c>
      <c r="J788" t="str">
        <f>"F"</f>
        <v>F</v>
      </c>
      <c r="K788" t="str">
        <f t="shared" si="933"/>
        <v>170</v>
      </c>
      <c r="L788" t="str">
        <f>"50"</f>
        <v>50</v>
      </c>
      <c r="M788" t="str">
        <f>"001"</f>
        <v>001</v>
      </c>
      <c r="N788" t="str">
        <f t="shared" si="952"/>
        <v>1</v>
      </c>
      <c r="O788" t="str">
        <f>"9999"</f>
        <v>9999</v>
      </c>
      <c r="P788" t="str">
        <f>"C"</f>
        <v>C</v>
      </c>
      <c r="Q788" t="str">
        <f>"EPS037"</f>
        <v>EPS037</v>
      </c>
      <c r="R788" t="str">
        <f>"3"</f>
        <v>3</v>
      </c>
      <c r="S788" t="str">
        <f>""</f>
        <v/>
      </c>
      <c r="T788" t="str">
        <f t="shared" si="910"/>
        <v xml:space="preserve">                                                                                                    </v>
      </c>
      <c r="U788" t="str">
        <f>"2         "</f>
        <v xml:space="preserve">2         </v>
      </c>
      <c r="V788" t="str">
        <f t="shared" si="899"/>
        <v>2</v>
      </c>
      <c r="W788" t="str">
        <f t="shared" si="912"/>
        <v>2</v>
      </c>
      <c r="X788" t="str">
        <f t="shared" si="870"/>
        <v>2</v>
      </c>
      <c r="Y788" t="str">
        <f t="shared" si="943"/>
        <v>2</v>
      </c>
      <c r="Z788" t="str">
        <f t="shared" si="943"/>
        <v>2</v>
      </c>
      <c r="AA788" t="str">
        <f t="shared" si="919"/>
        <v xml:space="preserve">          </v>
      </c>
      <c r="AB788" t="str">
        <f t="shared" si="907"/>
        <v>2</v>
      </c>
      <c r="AC788" t="str">
        <f t="shared" si="908"/>
        <v>2</v>
      </c>
      <c r="AD788" t="str">
        <f t="shared" si="946"/>
        <v>2</v>
      </c>
      <c r="AE788" t="str">
        <f t="shared" si="946"/>
        <v>2</v>
      </c>
      <c r="AF788" t="str">
        <f t="shared" si="946"/>
        <v>2</v>
      </c>
      <c r="AG788" t="str">
        <f t="shared" si="946"/>
        <v>2</v>
      </c>
      <c r="AH788" t="str">
        <f t="shared" si="913"/>
        <v>1</v>
      </c>
      <c r="AI788" t="str">
        <f>"1         "</f>
        <v xml:space="preserve">1         </v>
      </c>
      <c r="AJ788" t="str">
        <f t="shared" si="935"/>
        <v>170</v>
      </c>
      <c r="AK788" t="str">
        <f>"50"</f>
        <v>50</v>
      </c>
      <c r="AL788" t="str">
        <f>"001"</f>
        <v>001</v>
      </c>
      <c r="AM788" t="str">
        <f>"50"</f>
        <v>50</v>
      </c>
      <c r="AN788" t="str">
        <f>"50001"</f>
        <v>50001</v>
      </c>
      <c r="AO788" t="str">
        <f>"11/01/2020 12:00:00 a. m."</f>
        <v>11/01/2020 12:00:00 a. m.</v>
      </c>
      <c r="AP788" t="str">
        <f>"1/01/2020 12:00:00 a. m."</f>
        <v>1/01/2020 12:00:00 a. m.</v>
      </c>
      <c r="AQ788" t="str">
        <f>"2"</f>
        <v>2</v>
      </c>
      <c r="AR788" t="str">
        <f t="shared" si="947"/>
        <v>1</v>
      </c>
      <c r="AS788" t="str">
        <f>"11/01/2020 12:00:00 a. m."</f>
        <v>11/01/2020 12:00:00 a. m.</v>
      </c>
      <c r="AT788" t="str">
        <f t="shared" si="950"/>
        <v>1</v>
      </c>
      <c r="AU788" t="str">
        <f>""</f>
        <v/>
      </c>
      <c r="AV788" t="str">
        <f>"3"</f>
        <v>3</v>
      </c>
      <c r="AW788" t="str">
        <f>"31/05/2018 12:00:00 a. m."</f>
        <v>31/05/2018 12:00:00 a. m.</v>
      </c>
      <c r="AX788" t="str">
        <f>""</f>
        <v/>
      </c>
      <c r="AY788" t="str">
        <f t="shared" si="921"/>
        <v>30/04/2021 12:00:00 a. m.</v>
      </c>
      <c r="AZ788" t="str">
        <f>"6/02/2020 12:00:00 a. m."</f>
        <v>6/02/2020 12:00:00 a. m.</v>
      </c>
      <c r="BA788" t="str">
        <f>""</f>
        <v/>
      </c>
      <c r="BB788" t="str">
        <f>""</f>
        <v/>
      </c>
      <c r="BC788" t="str">
        <f>""</f>
        <v/>
      </c>
      <c r="BD788" t="str">
        <f t="shared" si="948"/>
        <v>1</v>
      </c>
      <c r="BE788" t="str">
        <f t="shared" si="948"/>
        <v>1</v>
      </c>
      <c r="BF788" t="str">
        <f t="shared" si="922"/>
        <v xml:space="preserve">3         </v>
      </c>
      <c r="BG788" t="str">
        <f t="shared" si="923"/>
        <v>Confirmado por laboratorio</v>
      </c>
      <c r="BH788" t="str">
        <f>"HOSPITAL DEPARTAMENTAL DE VILLAVICENCIO"</f>
        <v>HOSPITAL DEPARTAMENTAL DE VILLAVICENCIO</v>
      </c>
      <c r="BI788" t="str">
        <f t="shared" si="939"/>
        <v>COLOMBIA</v>
      </c>
      <c r="BJ788" t="str">
        <f t="shared" si="924"/>
        <v>CANCER INFANTIL</v>
      </c>
      <c r="BK788" t="str">
        <f>"META"</f>
        <v>META</v>
      </c>
      <c r="BL788" t="str">
        <f>"VILLAVICENCIO"</f>
        <v>VILLAVICENCIO</v>
      </c>
      <c r="BM788" t="str">
        <f t="shared" si="941"/>
        <v>COLOMBIA</v>
      </c>
      <c r="BN788" t="str">
        <f>"META"</f>
        <v>META</v>
      </c>
      <c r="BO788" t="str">
        <f>"VILLAVICENCIO"</f>
        <v>VILLAVICENCIO</v>
      </c>
      <c r="BP788" t="str">
        <f>"META"</f>
        <v>META</v>
      </c>
      <c r="BQ788" t="str">
        <f>"VILLAVICENCIO"</f>
        <v>VILLAVICENCIO</v>
      </c>
    </row>
    <row r="789" spans="1:69" x14ac:dyDescent="0.25">
      <c r="A789" t="str">
        <f>"7291694"</f>
        <v>7291694</v>
      </c>
      <c r="B789" t="str">
        <f t="shared" si="917"/>
        <v>459</v>
      </c>
      <c r="C789" t="str">
        <f>"17/04/2020 12:00:00 a. m."</f>
        <v>17/04/2020 12:00:00 a. m.</v>
      </c>
      <c r="D789" t="str">
        <f>"10"</f>
        <v>10</v>
      </c>
      <c r="E789" t="str">
        <f t="shared" si="918"/>
        <v>2020</v>
      </c>
      <c r="F789" t="str">
        <f>"6800100431"</f>
        <v>6800100431</v>
      </c>
      <c r="G789" t="str">
        <f t="shared" si="951"/>
        <v>01</v>
      </c>
      <c r="H789" t="str">
        <f>"13"</f>
        <v>13</v>
      </c>
      <c r="I789" t="str">
        <f t="shared" si="904"/>
        <v>1</v>
      </c>
      <c r="J789" t="str">
        <f>"F"</f>
        <v>F</v>
      </c>
      <c r="K789" t="str">
        <f t="shared" si="933"/>
        <v>170</v>
      </c>
      <c r="L789" t="str">
        <f>"81"</f>
        <v>81</v>
      </c>
      <c r="M789" t="str">
        <f>"736"</f>
        <v>736</v>
      </c>
      <c r="N789" t="str">
        <f t="shared" si="952"/>
        <v>1</v>
      </c>
      <c r="O789" t="str">
        <f>"9997"</f>
        <v>9997</v>
      </c>
      <c r="P789" t="str">
        <f>"S"</f>
        <v>S</v>
      </c>
      <c r="Q789" t="str">
        <f>"ESS133"</f>
        <v>ESS133</v>
      </c>
      <c r="R789" t="str">
        <f t="shared" ref="R789:R820" si="953">"6"</f>
        <v>6</v>
      </c>
      <c r="S789" t="str">
        <f>""</f>
        <v/>
      </c>
      <c r="T789" t="str">
        <f t="shared" si="910"/>
        <v xml:space="preserve">                                                                                                    </v>
      </c>
      <c r="U789" t="str">
        <f>"2         "</f>
        <v xml:space="preserve">2         </v>
      </c>
      <c r="V789" t="str">
        <f t="shared" si="899"/>
        <v>2</v>
      </c>
      <c r="W789" t="str">
        <f t="shared" si="912"/>
        <v>2</v>
      </c>
      <c r="X789" t="str">
        <f t="shared" si="870"/>
        <v>2</v>
      </c>
      <c r="Y789" t="str">
        <f t="shared" si="943"/>
        <v>2</v>
      </c>
      <c r="Z789" t="str">
        <f t="shared" si="943"/>
        <v>2</v>
      </c>
      <c r="AA789" t="str">
        <f t="shared" si="919"/>
        <v xml:space="preserve">          </v>
      </c>
      <c r="AB789" t="str">
        <f t="shared" si="907"/>
        <v>2</v>
      </c>
      <c r="AC789" t="str">
        <f t="shared" si="908"/>
        <v>2</v>
      </c>
      <c r="AD789" t="str">
        <f t="shared" si="946"/>
        <v>2</v>
      </c>
      <c r="AE789" t="str">
        <f t="shared" si="946"/>
        <v>2</v>
      </c>
      <c r="AF789" t="str">
        <f t="shared" si="946"/>
        <v>2</v>
      </c>
      <c r="AG789" t="str">
        <f t="shared" si="946"/>
        <v>2</v>
      </c>
      <c r="AH789" t="str">
        <f t="shared" si="913"/>
        <v>1</v>
      </c>
      <c r="AI789" t="str">
        <f>"1         "</f>
        <v xml:space="preserve">1         </v>
      </c>
      <c r="AJ789" t="str">
        <f t="shared" si="935"/>
        <v>170</v>
      </c>
      <c r="AK789" t="str">
        <f>"81"</f>
        <v>81</v>
      </c>
      <c r="AL789" t="str">
        <f>"736"</f>
        <v>736</v>
      </c>
      <c r="AM789" t="str">
        <f>"68"</f>
        <v>68</v>
      </c>
      <c r="AN789" t="str">
        <f>"68001"</f>
        <v>68001</v>
      </c>
      <c r="AO789" t="str">
        <f>"1/03/2020 12:00:00 a. m."</f>
        <v>1/03/2020 12:00:00 a. m.</v>
      </c>
      <c r="AP789" t="str">
        <f>"1/01/2019 12:00:00 a. m."</f>
        <v>1/01/2019 12:00:00 a. m.</v>
      </c>
      <c r="AQ789" t="str">
        <f t="shared" ref="AQ789:AQ799" si="954">"3"</f>
        <v>3</v>
      </c>
      <c r="AR789" t="str">
        <f t="shared" si="947"/>
        <v>1</v>
      </c>
      <c r="AS789" t="str">
        <f>"15/04/2020 12:00:00 a. m."</f>
        <v>15/04/2020 12:00:00 a. m.</v>
      </c>
      <c r="AT789" t="str">
        <f t="shared" si="950"/>
        <v>1</v>
      </c>
      <c r="AU789" t="str">
        <f>""</f>
        <v/>
      </c>
      <c r="AV789" t="str">
        <f>"7"</f>
        <v>7</v>
      </c>
      <c r="AW789" t="str">
        <f>"12/01/2007 12:00:00 a. m."</f>
        <v>12/01/2007 12:00:00 a. m.</v>
      </c>
      <c r="AX789" t="str">
        <f>""</f>
        <v/>
      </c>
      <c r="AY789" t="str">
        <f t="shared" si="921"/>
        <v>30/04/2021 12:00:00 a. m.</v>
      </c>
      <c r="AZ789" t="str">
        <f>"6/04/2021 12:00:00 a. m."</f>
        <v>6/04/2021 12:00:00 a. m.</v>
      </c>
      <c r="BA789" t="str">
        <f>""</f>
        <v/>
      </c>
      <c r="BB789" t="str">
        <f>""</f>
        <v/>
      </c>
      <c r="BC789" t="str">
        <f>""</f>
        <v/>
      </c>
      <c r="BD789" t="str">
        <f t="shared" si="948"/>
        <v>1</v>
      </c>
      <c r="BE789" t="str">
        <f t="shared" si="948"/>
        <v>1</v>
      </c>
      <c r="BF789" t="str">
        <f t="shared" si="922"/>
        <v xml:space="preserve">3         </v>
      </c>
      <c r="BG789" t="str">
        <f t="shared" si="923"/>
        <v>Confirmado por laboratorio</v>
      </c>
      <c r="BH789" t="str">
        <f>"CLINICA MATERNO INFANTEL SAN LUIS SA"</f>
        <v>CLINICA MATERNO INFANTEL SAN LUIS SA</v>
      </c>
      <c r="BI789" t="str">
        <f t="shared" si="939"/>
        <v>COLOMBIA</v>
      </c>
      <c r="BJ789" t="str">
        <f t="shared" si="924"/>
        <v>CANCER INFANTIL</v>
      </c>
      <c r="BK789" t="str">
        <f>"ARAUCA"</f>
        <v>ARAUCA</v>
      </c>
      <c r="BL789" t="str">
        <f>"SARAVENA"</f>
        <v>SARAVENA</v>
      </c>
      <c r="BM789" t="str">
        <f t="shared" si="941"/>
        <v>COLOMBIA</v>
      </c>
      <c r="BN789" t="str">
        <f>"ARAUCA"</f>
        <v>ARAUCA</v>
      </c>
      <c r="BO789" t="str">
        <f>"SARAVENA"</f>
        <v>SARAVENA</v>
      </c>
      <c r="BP789" t="str">
        <f>"SANTANDER"</f>
        <v>SANTANDER</v>
      </c>
      <c r="BQ789" t="str">
        <f>"BUCARAMANGA"</f>
        <v>BUCARAMANGA</v>
      </c>
    </row>
    <row r="790" spans="1:69" x14ac:dyDescent="0.25">
      <c r="A790" t="str">
        <f>"7291731"</f>
        <v>7291731</v>
      </c>
      <c r="B790" t="str">
        <f t="shared" si="917"/>
        <v>459</v>
      </c>
      <c r="C790" t="str">
        <f>"2/08/2020 12:00:00 a. m."</f>
        <v>2/08/2020 12:00:00 a. m.</v>
      </c>
      <c r="D790" t="str">
        <f>"05"</f>
        <v>05</v>
      </c>
      <c r="E790" t="str">
        <f t="shared" si="918"/>
        <v>2020</v>
      </c>
      <c r="F790" t="str">
        <f>"5000100529"</f>
        <v>5000100529</v>
      </c>
      <c r="G790" t="str">
        <f t="shared" si="951"/>
        <v>01</v>
      </c>
      <c r="H790" t="str">
        <f>"2"</f>
        <v>2</v>
      </c>
      <c r="I790" t="str">
        <f t="shared" si="904"/>
        <v>1</v>
      </c>
      <c r="J790" t="str">
        <f>"M"</f>
        <v>M</v>
      </c>
      <c r="K790" t="str">
        <f t="shared" si="933"/>
        <v>170</v>
      </c>
      <c r="L790" t="str">
        <f>"50"</f>
        <v>50</v>
      </c>
      <c r="M790" t="str">
        <f>"006"</f>
        <v>006</v>
      </c>
      <c r="N790" t="str">
        <f t="shared" si="952"/>
        <v>1</v>
      </c>
      <c r="O790" t="str">
        <f>"9999"</f>
        <v>9999</v>
      </c>
      <c r="P790" t="str">
        <f>"S"</f>
        <v>S</v>
      </c>
      <c r="Q790" t="str">
        <f>"EPSS34"</f>
        <v>EPSS34</v>
      </c>
      <c r="R790" t="str">
        <f t="shared" si="953"/>
        <v>6</v>
      </c>
      <c r="S790" t="str">
        <f>""</f>
        <v/>
      </c>
      <c r="T790" t="str">
        <f t="shared" si="910"/>
        <v xml:space="preserve">                                                                                                    </v>
      </c>
      <c r="U790" t="str">
        <f>"1         "</f>
        <v xml:space="preserve">1         </v>
      </c>
      <c r="V790" t="str">
        <f t="shared" si="899"/>
        <v>2</v>
      </c>
      <c r="W790" t="str">
        <f t="shared" si="912"/>
        <v>2</v>
      </c>
      <c r="X790" t="str">
        <f t="shared" si="870"/>
        <v>2</v>
      </c>
      <c r="Y790" t="str">
        <f t="shared" si="943"/>
        <v>2</v>
      </c>
      <c r="Z790" t="str">
        <f t="shared" si="943"/>
        <v>2</v>
      </c>
      <c r="AA790" t="str">
        <f t="shared" si="919"/>
        <v xml:space="preserve">          </v>
      </c>
      <c r="AB790" t="str">
        <f t="shared" si="907"/>
        <v>2</v>
      </c>
      <c r="AC790" t="str">
        <f t="shared" si="908"/>
        <v>2</v>
      </c>
      <c r="AD790" t="str">
        <f t="shared" si="946"/>
        <v>2</v>
      </c>
      <c r="AE790" t="str">
        <f t="shared" si="946"/>
        <v>2</v>
      </c>
      <c r="AF790" t="str">
        <f t="shared" si="946"/>
        <v>2</v>
      </c>
      <c r="AG790" t="str">
        <f t="shared" si="946"/>
        <v>2</v>
      </c>
      <c r="AH790" t="str">
        <f t="shared" si="913"/>
        <v>1</v>
      </c>
      <c r="AI790" t="str">
        <f>"1         "</f>
        <v xml:space="preserve">1         </v>
      </c>
      <c r="AJ790" t="str">
        <f t="shared" si="935"/>
        <v>170</v>
      </c>
      <c r="AK790" t="str">
        <f>"50"</f>
        <v>50</v>
      </c>
      <c r="AL790" t="str">
        <f>"006"</f>
        <v>006</v>
      </c>
      <c r="AM790" t="str">
        <f>"50"</f>
        <v>50</v>
      </c>
      <c r="AN790" t="str">
        <f>"50001"</f>
        <v>50001</v>
      </c>
      <c r="AO790" t="str">
        <f>"1/02/2020 12:00:00 a. m."</f>
        <v>1/02/2020 12:00:00 a. m.</v>
      </c>
      <c r="AP790" t="str">
        <f>"1/01/2020 12:00:00 a. m."</f>
        <v>1/01/2020 12:00:00 a. m.</v>
      </c>
      <c r="AQ790" t="str">
        <f t="shared" si="954"/>
        <v>3</v>
      </c>
      <c r="AR790" t="str">
        <f>"2"</f>
        <v>2</v>
      </c>
      <c r="AS790" t="str">
        <f>""</f>
        <v/>
      </c>
      <c r="AT790" t="str">
        <f t="shared" si="950"/>
        <v>1</v>
      </c>
      <c r="AU790" t="str">
        <f>""</f>
        <v/>
      </c>
      <c r="AV790" t="str">
        <f>"3"</f>
        <v>3</v>
      </c>
      <c r="AW790" t="str">
        <f>"1/09/2017 12:00:00 a. m."</f>
        <v>1/09/2017 12:00:00 a. m.</v>
      </c>
      <c r="AX790" t="str">
        <f>""</f>
        <v/>
      </c>
      <c r="AY790" t="str">
        <f t="shared" si="921"/>
        <v>30/04/2021 12:00:00 a. m.</v>
      </c>
      <c r="AZ790" t="str">
        <f>"5/12/2020 12:00:00 a. m."</f>
        <v>5/12/2020 12:00:00 a. m.</v>
      </c>
      <c r="BA790" t="str">
        <f>""</f>
        <v/>
      </c>
      <c r="BB790" t="str">
        <f>""</f>
        <v/>
      </c>
      <c r="BC790" t="str">
        <f>""</f>
        <v/>
      </c>
      <c r="BD790" t="str">
        <f t="shared" si="948"/>
        <v>1</v>
      </c>
      <c r="BE790" t="str">
        <f t="shared" si="948"/>
        <v>1</v>
      </c>
      <c r="BF790" t="str">
        <f t="shared" si="922"/>
        <v xml:space="preserve">3         </v>
      </c>
      <c r="BG790" t="str">
        <f t="shared" si="923"/>
        <v>Confirmado por laboratorio</v>
      </c>
      <c r="BH790" t="str">
        <f>"HOSPITAL DEPARTAMENTAL DE VILLAVICENCIO"</f>
        <v>HOSPITAL DEPARTAMENTAL DE VILLAVICENCIO</v>
      </c>
      <c r="BI790" t="str">
        <f t="shared" si="939"/>
        <v>COLOMBIA</v>
      </c>
      <c r="BJ790" t="str">
        <f t="shared" si="924"/>
        <v>CANCER INFANTIL</v>
      </c>
      <c r="BK790" t="str">
        <f>"META"</f>
        <v>META</v>
      </c>
      <c r="BL790" t="str">
        <f>"ACACIAS"</f>
        <v>ACACIAS</v>
      </c>
      <c r="BM790" t="str">
        <f t="shared" si="941"/>
        <v>COLOMBIA</v>
      </c>
      <c r="BN790" t="str">
        <f>"META"</f>
        <v>META</v>
      </c>
      <c r="BO790" t="str">
        <f>"ACACIAS"</f>
        <v>ACACIAS</v>
      </c>
      <c r="BP790" t="str">
        <f>"META"</f>
        <v>META</v>
      </c>
      <c r="BQ790" t="str">
        <f>"VILLAVICENCIO"</f>
        <v>VILLAVICENCIO</v>
      </c>
    </row>
    <row r="791" spans="1:69" x14ac:dyDescent="0.25">
      <c r="A791" t="str">
        <f>"7291726"</f>
        <v>7291726</v>
      </c>
      <c r="B791" t="str">
        <f t="shared" si="917"/>
        <v>459</v>
      </c>
      <c r="C791" t="str">
        <f>"25/11/2020 12:00:00 a. m."</f>
        <v>25/11/2020 12:00:00 a. m.</v>
      </c>
      <c r="D791" t="str">
        <f>"48"</f>
        <v>48</v>
      </c>
      <c r="E791" t="str">
        <f t="shared" si="918"/>
        <v>2020</v>
      </c>
      <c r="F791" t="str">
        <f>"1100105681"</f>
        <v>1100105681</v>
      </c>
      <c r="G791" t="str">
        <f t="shared" si="951"/>
        <v>01</v>
      </c>
      <c r="H791" t="str">
        <f>"14"</f>
        <v>14</v>
      </c>
      <c r="I791" t="str">
        <f t="shared" si="904"/>
        <v>1</v>
      </c>
      <c r="J791" t="str">
        <f>"M"</f>
        <v>M</v>
      </c>
      <c r="K791" t="str">
        <f t="shared" si="933"/>
        <v>170</v>
      </c>
      <c r="L791" t="str">
        <f>"50"</f>
        <v>50</v>
      </c>
      <c r="M791" t="str">
        <f>"006"</f>
        <v>006</v>
      </c>
      <c r="N791" t="str">
        <f t="shared" si="952"/>
        <v>1</v>
      </c>
      <c r="O791" t="str">
        <f>"9997"</f>
        <v>9997</v>
      </c>
      <c r="P791" t="str">
        <f>"S"</f>
        <v>S</v>
      </c>
      <c r="Q791" t="str">
        <f>"EPSS34"</f>
        <v>EPSS34</v>
      </c>
      <c r="R791" t="str">
        <f t="shared" si="953"/>
        <v>6</v>
      </c>
      <c r="S791" t="str">
        <f>""</f>
        <v/>
      </c>
      <c r="T791" t="str">
        <f t="shared" si="910"/>
        <v xml:space="preserve">                                                                                                    </v>
      </c>
      <c r="U791" t="str">
        <f>"2         "</f>
        <v xml:space="preserve">2         </v>
      </c>
      <c r="V791" t="str">
        <f t="shared" si="899"/>
        <v>2</v>
      </c>
      <c r="W791" t="str">
        <f t="shared" si="912"/>
        <v>2</v>
      </c>
      <c r="X791" t="str">
        <f t="shared" si="870"/>
        <v>2</v>
      </c>
      <c r="Y791" t="str">
        <f t="shared" si="943"/>
        <v>2</v>
      </c>
      <c r="Z791" t="str">
        <f t="shared" si="943"/>
        <v>2</v>
      </c>
      <c r="AA791" t="str">
        <f t="shared" si="919"/>
        <v xml:space="preserve">          </v>
      </c>
      <c r="AB791" t="str">
        <f t="shared" si="907"/>
        <v>2</v>
      </c>
      <c r="AC791" t="str">
        <f t="shared" si="908"/>
        <v>2</v>
      </c>
      <c r="AD791" t="str">
        <f t="shared" si="946"/>
        <v>2</v>
      </c>
      <c r="AE791" t="str">
        <f t="shared" si="946"/>
        <v>2</v>
      </c>
      <c r="AF791" t="str">
        <f t="shared" si="946"/>
        <v>2</v>
      </c>
      <c r="AG791" t="str">
        <f t="shared" si="946"/>
        <v>2</v>
      </c>
      <c r="AH791" t="str">
        <f t="shared" si="913"/>
        <v>1</v>
      </c>
      <c r="AI791" t="str">
        <f>"1         "</f>
        <v xml:space="preserve">1         </v>
      </c>
      <c r="AJ791" t="str">
        <f t="shared" si="935"/>
        <v>170</v>
      </c>
      <c r="AK791" t="str">
        <f>"50"</f>
        <v>50</v>
      </c>
      <c r="AL791" t="str">
        <f>"006"</f>
        <v>006</v>
      </c>
      <c r="AM791" t="str">
        <f>"11"</f>
        <v>11</v>
      </c>
      <c r="AN791" t="str">
        <f>"11001"</f>
        <v>11001</v>
      </c>
      <c r="AO791" t="str">
        <f>"25/11/2020 12:00:00 a. m."</f>
        <v>25/11/2020 12:00:00 a. m.</v>
      </c>
      <c r="AP791" t="str">
        <f>"25/09/2020 12:00:00 a. m."</f>
        <v>25/09/2020 12:00:00 a. m.</v>
      </c>
      <c r="AQ791" t="str">
        <f t="shared" si="954"/>
        <v>3</v>
      </c>
      <c r="AR791" t="str">
        <f t="shared" ref="AR791:AR804" si="955">"1"</f>
        <v>1</v>
      </c>
      <c r="AS791" t="str">
        <f>"25/11/2020 12:00:00 a. m."</f>
        <v>25/11/2020 12:00:00 a. m.</v>
      </c>
      <c r="AT791" t="str">
        <f t="shared" si="950"/>
        <v>1</v>
      </c>
      <c r="AU791" t="str">
        <f>""</f>
        <v/>
      </c>
      <c r="AV791" t="str">
        <f>"0"</f>
        <v>0</v>
      </c>
      <c r="AW791" t="str">
        <f>"22/04/2006 12:00:00 a. m."</f>
        <v>22/04/2006 12:00:00 a. m.</v>
      </c>
      <c r="AX791" t="str">
        <f>""</f>
        <v/>
      </c>
      <c r="AY791" t="str">
        <f t="shared" si="921"/>
        <v>30/04/2021 12:00:00 a. m.</v>
      </c>
      <c r="AZ791" t="str">
        <f>"10/01/2021 12:00:00 a. m."</f>
        <v>10/01/2021 12:00:00 a. m.</v>
      </c>
      <c r="BA791" t="str">
        <f>""</f>
        <v/>
      </c>
      <c r="BB791" t="str">
        <f>""</f>
        <v/>
      </c>
      <c r="BC791" t="str">
        <f>""</f>
        <v/>
      </c>
      <c r="BD791" t="str">
        <f t="shared" si="948"/>
        <v>1</v>
      </c>
      <c r="BE791" t="str">
        <f t="shared" si="948"/>
        <v>1</v>
      </c>
      <c r="BF791" t="str">
        <f t="shared" si="922"/>
        <v xml:space="preserve">3         </v>
      </c>
      <c r="BG791" t="str">
        <f t="shared" si="923"/>
        <v>Confirmado por laboratorio</v>
      </c>
      <c r="BH791" t="str">
        <f>"FUNDACION HOSPITAL DE LA MISERICORDIA"</f>
        <v>FUNDACION HOSPITAL DE LA MISERICORDIA</v>
      </c>
      <c r="BI791" t="str">
        <f t="shared" si="939"/>
        <v>COLOMBIA</v>
      </c>
      <c r="BJ791" t="str">
        <f t="shared" si="924"/>
        <v>CANCER INFANTIL</v>
      </c>
      <c r="BK791" t="str">
        <f>"META"</f>
        <v>META</v>
      </c>
      <c r="BL791" t="str">
        <f>"ACACIAS"</f>
        <v>ACACIAS</v>
      </c>
      <c r="BM791" t="str">
        <f t="shared" si="941"/>
        <v>COLOMBIA</v>
      </c>
      <c r="BN791" t="str">
        <f>"META"</f>
        <v>META</v>
      </c>
      <c r="BO791" t="str">
        <f>"ACACIAS"</f>
        <v>ACACIAS</v>
      </c>
      <c r="BP791" t="str">
        <f t="shared" ref="BP791:BQ794" si="956">"BOGOTA"</f>
        <v>BOGOTA</v>
      </c>
      <c r="BQ791" t="str">
        <f t="shared" si="956"/>
        <v>BOGOTA</v>
      </c>
    </row>
    <row r="792" spans="1:69" x14ac:dyDescent="0.25">
      <c r="A792" t="str">
        <f>"7291526"</f>
        <v>7291526</v>
      </c>
      <c r="B792" t="str">
        <f t="shared" si="917"/>
        <v>459</v>
      </c>
      <c r="C792" t="str">
        <f>"12/11/2020 12:00:00 a. m."</f>
        <v>12/11/2020 12:00:00 a. m.</v>
      </c>
      <c r="D792" t="str">
        <f>"42"</f>
        <v>42</v>
      </c>
      <c r="E792" t="str">
        <f t="shared" si="918"/>
        <v>2020</v>
      </c>
      <c r="F792" t="str">
        <f>"1100116133"</f>
        <v>1100116133</v>
      </c>
      <c r="G792" t="str">
        <f t="shared" si="951"/>
        <v>01</v>
      </c>
      <c r="H792" t="str">
        <f>"4"</f>
        <v>4</v>
      </c>
      <c r="I792" t="str">
        <f t="shared" ref="I792:I807" si="957">"1"</f>
        <v>1</v>
      </c>
      <c r="J792" t="str">
        <f>"M"</f>
        <v>M</v>
      </c>
      <c r="K792" t="str">
        <f t="shared" si="933"/>
        <v>170</v>
      </c>
      <c r="L792" t="str">
        <f>"11"</f>
        <v>11</v>
      </c>
      <c r="M792" t="str">
        <f>"001"</f>
        <v>001</v>
      </c>
      <c r="N792" t="str">
        <f t="shared" si="952"/>
        <v>1</v>
      </c>
      <c r="O792" t="str">
        <f>"9999"</f>
        <v>9999</v>
      </c>
      <c r="P792" t="str">
        <f>"C"</f>
        <v>C</v>
      </c>
      <c r="Q792" t="str">
        <f>"EPS008"</f>
        <v>EPS008</v>
      </c>
      <c r="R792" t="str">
        <f t="shared" si="953"/>
        <v>6</v>
      </c>
      <c r="S792" t="str">
        <f>""</f>
        <v/>
      </c>
      <c r="T792" t="str">
        <f t="shared" si="910"/>
        <v xml:space="preserve">                                                                                                    </v>
      </c>
      <c r="U792" t="str">
        <f>"2         "</f>
        <v xml:space="preserve">2         </v>
      </c>
      <c r="V792" t="str">
        <f t="shared" si="899"/>
        <v>2</v>
      </c>
      <c r="W792" t="str">
        <f t="shared" si="912"/>
        <v>2</v>
      </c>
      <c r="X792" t="str">
        <f t="shared" si="870"/>
        <v>2</v>
      </c>
      <c r="Y792" t="str">
        <f t="shared" si="943"/>
        <v>2</v>
      </c>
      <c r="Z792" t="str">
        <f t="shared" si="943"/>
        <v>2</v>
      </c>
      <c r="AA792" t="str">
        <f t="shared" si="919"/>
        <v xml:space="preserve">          </v>
      </c>
      <c r="AB792" t="str">
        <f t="shared" si="907"/>
        <v>2</v>
      </c>
      <c r="AC792" t="str">
        <f t="shared" si="908"/>
        <v>2</v>
      </c>
      <c r="AD792" t="str">
        <f t="shared" si="946"/>
        <v>2</v>
      </c>
      <c r="AE792" t="str">
        <f t="shared" si="946"/>
        <v>2</v>
      </c>
      <c r="AF792" t="str">
        <f t="shared" si="946"/>
        <v>2</v>
      </c>
      <c r="AG792" t="str">
        <f t="shared" si="946"/>
        <v>2</v>
      </c>
      <c r="AH792" t="str">
        <f t="shared" si="913"/>
        <v>1</v>
      </c>
      <c r="AI792" t="str">
        <f>"2         "</f>
        <v xml:space="preserve">2         </v>
      </c>
      <c r="AJ792" t="str">
        <f t="shared" si="935"/>
        <v>170</v>
      </c>
      <c r="AK792" t="str">
        <f>"11"</f>
        <v>11</v>
      </c>
      <c r="AL792" t="str">
        <f>"001"</f>
        <v>001</v>
      </c>
      <c r="AM792" t="str">
        <f>"11"</f>
        <v>11</v>
      </c>
      <c r="AN792" t="str">
        <f>"11001"</f>
        <v>11001</v>
      </c>
      <c r="AO792" t="str">
        <f>"14/10/2020 12:00:00 a. m."</f>
        <v>14/10/2020 12:00:00 a. m.</v>
      </c>
      <c r="AP792" t="str">
        <f>"30/09/2020 12:00:00 a. m."</f>
        <v>30/09/2020 12:00:00 a. m.</v>
      </c>
      <c r="AQ792" t="str">
        <f t="shared" si="954"/>
        <v>3</v>
      </c>
      <c r="AR792" t="str">
        <f t="shared" si="955"/>
        <v>1</v>
      </c>
      <c r="AS792" t="str">
        <f>"14/10/2020 12:00:00 a. m."</f>
        <v>14/10/2020 12:00:00 a. m.</v>
      </c>
      <c r="AT792" t="str">
        <f t="shared" si="950"/>
        <v>1</v>
      </c>
      <c r="AU792" t="str">
        <f>""</f>
        <v/>
      </c>
      <c r="AV792" t="str">
        <f>"0"</f>
        <v>0</v>
      </c>
      <c r="AW792" t="str">
        <f>"3/06/2016 12:00:00 a. m."</f>
        <v>3/06/2016 12:00:00 a. m.</v>
      </c>
      <c r="AX792" t="str">
        <f>""</f>
        <v/>
      </c>
      <c r="AY792" t="str">
        <f t="shared" si="921"/>
        <v>30/04/2021 12:00:00 a. m.</v>
      </c>
      <c r="AZ792" t="str">
        <f>"13/11/2020 12:00:00 a. m."</f>
        <v>13/11/2020 12:00:00 a. m.</v>
      </c>
      <c r="BA792" t="str">
        <f>""</f>
        <v/>
      </c>
      <c r="BB792" t="str">
        <f>""</f>
        <v/>
      </c>
      <c r="BC792" t="str">
        <f>""</f>
        <v/>
      </c>
      <c r="BD792" t="str">
        <f t="shared" si="948"/>
        <v>1</v>
      </c>
      <c r="BE792" t="str">
        <f t="shared" si="948"/>
        <v>1</v>
      </c>
      <c r="BF792" t="str">
        <f t="shared" si="922"/>
        <v xml:space="preserve">3         </v>
      </c>
      <c r="BG792" t="str">
        <f t="shared" si="923"/>
        <v>Confirmado por laboratorio</v>
      </c>
      <c r="BH792" t="str">
        <f>"FUNDACION HOSPITAL INFANTIL UNIVERSITARIO DE SAN"</f>
        <v>FUNDACION HOSPITAL INFANTIL UNIVERSITARIO DE SAN</v>
      </c>
      <c r="BI792" t="str">
        <f t="shared" si="939"/>
        <v>COLOMBIA</v>
      </c>
      <c r="BJ792" t="str">
        <f t="shared" si="924"/>
        <v>CANCER INFANTIL</v>
      </c>
      <c r="BK792" t="str">
        <f t="shared" ref="BK792:BL794" si="958">"BOGOTA"</f>
        <v>BOGOTA</v>
      </c>
      <c r="BL792" t="str">
        <f t="shared" si="958"/>
        <v>BOGOTA</v>
      </c>
      <c r="BM792" t="str">
        <f t="shared" si="941"/>
        <v>COLOMBIA</v>
      </c>
      <c r="BN792" t="str">
        <f t="shared" ref="BN792:BO794" si="959">"BOGOTA"</f>
        <v>BOGOTA</v>
      </c>
      <c r="BO792" t="str">
        <f t="shared" si="959"/>
        <v>BOGOTA</v>
      </c>
      <c r="BP792" t="str">
        <f t="shared" si="956"/>
        <v>BOGOTA</v>
      </c>
      <c r="BQ792" t="str">
        <f t="shared" si="956"/>
        <v>BOGOTA</v>
      </c>
    </row>
    <row r="793" spans="1:69" x14ac:dyDescent="0.25">
      <c r="A793" t="str">
        <f>"7291459"</f>
        <v>7291459</v>
      </c>
      <c r="B793" t="str">
        <f t="shared" si="917"/>
        <v>459</v>
      </c>
      <c r="C793" t="str">
        <f>"29/05/2020 12:00:00 a. m."</f>
        <v>29/05/2020 12:00:00 a. m.</v>
      </c>
      <c r="D793" t="str">
        <f>"10"</f>
        <v>10</v>
      </c>
      <c r="E793" t="str">
        <f t="shared" si="918"/>
        <v>2020</v>
      </c>
      <c r="F793" t="str">
        <f>"1100116133"</f>
        <v>1100116133</v>
      </c>
      <c r="G793" t="str">
        <f t="shared" si="951"/>
        <v>01</v>
      </c>
      <c r="H793" t="str">
        <f>"16"</f>
        <v>16</v>
      </c>
      <c r="I793" t="str">
        <f t="shared" si="957"/>
        <v>1</v>
      </c>
      <c r="J793" t="str">
        <f>"F"</f>
        <v>F</v>
      </c>
      <c r="K793" t="str">
        <f t="shared" si="933"/>
        <v>170</v>
      </c>
      <c r="L793" t="str">
        <f>"11"</f>
        <v>11</v>
      </c>
      <c r="M793" t="str">
        <f>"001"</f>
        <v>001</v>
      </c>
      <c r="N793" t="str">
        <f t="shared" si="952"/>
        <v>1</v>
      </c>
      <c r="O793" t="str">
        <f>"9997"</f>
        <v>9997</v>
      </c>
      <c r="P793" t="str">
        <f>"C"</f>
        <v>C</v>
      </c>
      <c r="Q793" t="str">
        <f>"EPS002"</f>
        <v>EPS002</v>
      </c>
      <c r="R793" t="str">
        <f t="shared" si="953"/>
        <v>6</v>
      </c>
      <c r="S793" t="str">
        <f>""</f>
        <v/>
      </c>
      <c r="T793" t="str">
        <f t="shared" si="910"/>
        <v xml:space="preserve">                                                                                                    </v>
      </c>
      <c r="U793" t="str">
        <f>"2         "</f>
        <v xml:space="preserve">2         </v>
      </c>
      <c r="V793" t="str">
        <f t="shared" si="899"/>
        <v>2</v>
      </c>
      <c r="W793" t="str">
        <f t="shared" si="912"/>
        <v>2</v>
      </c>
      <c r="X793" t="str">
        <f t="shared" si="870"/>
        <v>2</v>
      </c>
      <c r="Y793" t="str">
        <f t="shared" si="943"/>
        <v>2</v>
      </c>
      <c r="Z793" t="str">
        <f t="shared" si="943"/>
        <v>2</v>
      </c>
      <c r="AA793" t="str">
        <f t="shared" si="919"/>
        <v xml:space="preserve">          </v>
      </c>
      <c r="AB793" t="str">
        <f t="shared" si="907"/>
        <v>2</v>
      </c>
      <c r="AC793" t="str">
        <f t="shared" si="908"/>
        <v>2</v>
      </c>
      <c r="AD793" t="str">
        <f t="shared" si="946"/>
        <v>2</v>
      </c>
      <c r="AE793" t="str">
        <f t="shared" si="946"/>
        <v>2</v>
      </c>
      <c r="AF793" t="str">
        <f t="shared" si="946"/>
        <v>2</v>
      </c>
      <c r="AG793" t="str">
        <f t="shared" si="946"/>
        <v>2</v>
      </c>
      <c r="AH793" t="str">
        <f t="shared" si="913"/>
        <v>1</v>
      </c>
      <c r="AI793" t="str">
        <f>"2         "</f>
        <v xml:space="preserve">2         </v>
      </c>
      <c r="AJ793" t="str">
        <f t="shared" si="935"/>
        <v>170</v>
      </c>
      <c r="AK793" t="str">
        <f>"11"</f>
        <v>11</v>
      </c>
      <c r="AL793" t="str">
        <f>"001"</f>
        <v>001</v>
      </c>
      <c r="AM793" t="str">
        <f>"11"</f>
        <v>11</v>
      </c>
      <c r="AN793" t="str">
        <f>"11001"</f>
        <v>11001</v>
      </c>
      <c r="AO793" t="str">
        <f>"6/03/2020 12:00:00 a. m."</f>
        <v>6/03/2020 12:00:00 a. m.</v>
      </c>
      <c r="AP793" t="str">
        <f>"28/01/2020 12:00:00 a. m."</f>
        <v>28/01/2020 12:00:00 a. m.</v>
      </c>
      <c r="AQ793" t="str">
        <f t="shared" si="954"/>
        <v>3</v>
      </c>
      <c r="AR793" t="str">
        <f t="shared" si="955"/>
        <v>1</v>
      </c>
      <c r="AS793" t="str">
        <f>"6/03/2020 12:00:00 a. m."</f>
        <v>6/03/2020 12:00:00 a. m.</v>
      </c>
      <c r="AT793" t="str">
        <f t="shared" si="950"/>
        <v>1</v>
      </c>
      <c r="AU793" t="str">
        <f>""</f>
        <v/>
      </c>
      <c r="AV793" t="str">
        <f>"0"</f>
        <v>0</v>
      </c>
      <c r="AW793" t="str">
        <f>"3/01/2004 12:00:00 a. m."</f>
        <v>3/01/2004 12:00:00 a. m.</v>
      </c>
      <c r="AX793" t="str">
        <f>""</f>
        <v/>
      </c>
      <c r="AY793" t="str">
        <f t="shared" si="921"/>
        <v>30/04/2021 12:00:00 a. m.</v>
      </c>
      <c r="AZ793" t="str">
        <f>"1/06/2020 12:00:00 a. m."</f>
        <v>1/06/2020 12:00:00 a. m.</v>
      </c>
      <c r="BA793" t="str">
        <f>""</f>
        <v/>
      </c>
      <c r="BB793" t="str">
        <f>""</f>
        <v/>
      </c>
      <c r="BC793" t="str">
        <f>""</f>
        <v/>
      </c>
      <c r="BD793" t="str">
        <f t="shared" si="948"/>
        <v>1</v>
      </c>
      <c r="BE793" t="str">
        <f t="shared" si="948"/>
        <v>1</v>
      </c>
      <c r="BF793" t="str">
        <f t="shared" si="922"/>
        <v xml:space="preserve">3         </v>
      </c>
      <c r="BG793" t="str">
        <f t="shared" si="923"/>
        <v>Confirmado por laboratorio</v>
      </c>
      <c r="BH793" t="str">
        <f>"FUNDACION HOSPITAL INFANTIL UNIVERSITARIO DE SAN"</f>
        <v>FUNDACION HOSPITAL INFANTIL UNIVERSITARIO DE SAN</v>
      </c>
      <c r="BI793" t="str">
        <f t="shared" si="939"/>
        <v>COLOMBIA</v>
      </c>
      <c r="BJ793" t="str">
        <f t="shared" si="924"/>
        <v>CANCER INFANTIL</v>
      </c>
      <c r="BK793" t="str">
        <f t="shared" si="958"/>
        <v>BOGOTA</v>
      </c>
      <c r="BL793" t="str">
        <f t="shared" si="958"/>
        <v>BOGOTA</v>
      </c>
      <c r="BM793" t="str">
        <f t="shared" si="941"/>
        <v>COLOMBIA</v>
      </c>
      <c r="BN793" t="str">
        <f t="shared" si="959"/>
        <v>BOGOTA</v>
      </c>
      <c r="BO793" t="str">
        <f t="shared" si="959"/>
        <v>BOGOTA</v>
      </c>
      <c r="BP793" t="str">
        <f t="shared" si="956"/>
        <v>BOGOTA</v>
      </c>
      <c r="BQ793" t="str">
        <f t="shared" si="956"/>
        <v>BOGOTA</v>
      </c>
    </row>
    <row r="794" spans="1:69" x14ac:dyDescent="0.25">
      <c r="A794" t="str">
        <f>"7291460"</f>
        <v>7291460</v>
      </c>
      <c r="B794" t="str">
        <f t="shared" si="917"/>
        <v>459</v>
      </c>
      <c r="C794" t="str">
        <f>"27/05/2020 12:00:00 a. m."</f>
        <v>27/05/2020 12:00:00 a. m.</v>
      </c>
      <c r="D794" t="str">
        <f>"09"</f>
        <v>09</v>
      </c>
      <c r="E794" t="str">
        <f t="shared" si="918"/>
        <v>2020</v>
      </c>
      <c r="F794" t="str">
        <f>"1100116133"</f>
        <v>1100116133</v>
      </c>
      <c r="G794" t="str">
        <f t="shared" si="951"/>
        <v>01</v>
      </c>
      <c r="H794" t="str">
        <f>"16"</f>
        <v>16</v>
      </c>
      <c r="I794" t="str">
        <f t="shared" si="957"/>
        <v>1</v>
      </c>
      <c r="J794" t="str">
        <f>"M"</f>
        <v>M</v>
      </c>
      <c r="K794" t="str">
        <f t="shared" si="933"/>
        <v>170</v>
      </c>
      <c r="L794" t="str">
        <f>"11"</f>
        <v>11</v>
      </c>
      <c r="M794" t="str">
        <f>"001"</f>
        <v>001</v>
      </c>
      <c r="N794" t="str">
        <f t="shared" si="952"/>
        <v>1</v>
      </c>
      <c r="O794" t="str">
        <f>"9997"</f>
        <v>9997</v>
      </c>
      <c r="P794" t="str">
        <f>"C"</f>
        <v>C</v>
      </c>
      <c r="Q794" t="str">
        <f>"EPS008"</f>
        <v>EPS008</v>
      </c>
      <c r="R794" t="str">
        <f t="shared" si="953"/>
        <v>6</v>
      </c>
      <c r="S794" t="str">
        <f>""</f>
        <v/>
      </c>
      <c r="T794" t="str">
        <f t="shared" si="910"/>
        <v xml:space="preserve">                                                                                                    </v>
      </c>
      <c r="U794" t="str">
        <f>"5         "</f>
        <v xml:space="preserve">5         </v>
      </c>
      <c r="V794" t="str">
        <f t="shared" si="899"/>
        <v>2</v>
      </c>
      <c r="W794" t="str">
        <f t="shared" si="912"/>
        <v>2</v>
      </c>
      <c r="X794" t="str">
        <f t="shared" ref="X794:X857" si="960">"2"</f>
        <v>2</v>
      </c>
      <c r="Y794" t="str">
        <f t="shared" si="943"/>
        <v>2</v>
      </c>
      <c r="Z794" t="str">
        <f t="shared" si="943"/>
        <v>2</v>
      </c>
      <c r="AA794" t="str">
        <f t="shared" si="919"/>
        <v xml:space="preserve">          </v>
      </c>
      <c r="AB794" t="str">
        <f t="shared" si="907"/>
        <v>2</v>
      </c>
      <c r="AC794" t="str">
        <f t="shared" si="908"/>
        <v>2</v>
      </c>
      <c r="AD794" t="str">
        <f t="shared" si="946"/>
        <v>2</v>
      </c>
      <c r="AE794" t="str">
        <f t="shared" si="946"/>
        <v>2</v>
      </c>
      <c r="AF794" t="str">
        <f t="shared" si="946"/>
        <v>2</v>
      </c>
      <c r="AG794" t="str">
        <f t="shared" si="946"/>
        <v>2</v>
      </c>
      <c r="AH794" t="str">
        <f t="shared" si="913"/>
        <v>1</v>
      </c>
      <c r="AI794" t="str">
        <f>"2         "</f>
        <v xml:space="preserve">2         </v>
      </c>
      <c r="AJ794" t="str">
        <f t="shared" si="935"/>
        <v>170</v>
      </c>
      <c r="AK794" t="str">
        <f>"11"</f>
        <v>11</v>
      </c>
      <c r="AL794" t="str">
        <f>"001"</f>
        <v>001</v>
      </c>
      <c r="AM794" t="str">
        <f>"11"</f>
        <v>11</v>
      </c>
      <c r="AN794" t="str">
        <f>"11001"</f>
        <v>11001</v>
      </c>
      <c r="AO794" t="str">
        <f>"27/02/2020 12:00:00 a. m."</f>
        <v>27/02/2020 12:00:00 a. m.</v>
      </c>
      <c r="AP794" t="str">
        <f>"27/02/2020 12:00:00 a. m."</f>
        <v>27/02/2020 12:00:00 a. m.</v>
      </c>
      <c r="AQ794" t="str">
        <f t="shared" si="954"/>
        <v>3</v>
      </c>
      <c r="AR794" t="str">
        <f t="shared" si="955"/>
        <v>1</v>
      </c>
      <c r="AS794" t="str">
        <f>"27/02/2020 12:00:00 a. m."</f>
        <v>27/02/2020 12:00:00 a. m.</v>
      </c>
      <c r="AT794" t="str">
        <f t="shared" si="950"/>
        <v>1</v>
      </c>
      <c r="AU794" t="str">
        <f>""</f>
        <v/>
      </c>
      <c r="AV794" t="str">
        <f>"0"</f>
        <v>0</v>
      </c>
      <c r="AW794" t="str">
        <f>"22/10/2003 12:00:00 a. m."</f>
        <v>22/10/2003 12:00:00 a. m.</v>
      </c>
      <c r="AX794" t="str">
        <f>""</f>
        <v/>
      </c>
      <c r="AY794" t="str">
        <f t="shared" si="921"/>
        <v>30/04/2021 12:00:00 a. m.</v>
      </c>
      <c r="AZ794" t="str">
        <f>"2/06/2020 12:00:00 a. m."</f>
        <v>2/06/2020 12:00:00 a. m.</v>
      </c>
      <c r="BA794" t="str">
        <f>""</f>
        <v/>
      </c>
      <c r="BB794" t="str">
        <f>""</f>
        <v/>
      </c>
      <c r="BC794" t="str">
        <f>""</f>
        <v/>
      </c>
      <c r="BD794" t="str">
        <f t="shared" si="948"/>
        <v>1</v>
      </c>
      <c r="BE794" t="str">
        <f t="shared" si="948"/>
        <v>1</v>
      </c>
      <c r="BF794" t="str">
        <f t="shared" si="922"/>
        <v xml:space="preserve">3         </v>
      </c>
      <c r="BG794" t="str">
        <f t="shared" si="923"/>
        <v>Confirmado por laboratorio</v>
      </c>
      <c r="BH794" t="str">
        <f>"FUNDACION HOSPITAL INFANTIL UNIVERSITARIO DE SAN"</f>
        <v>FUNDACION HOSPITAL INFANTIL UNIVERSITARIO DE SAN</v>
      </c>
      <c r="BI794" t="str">
        <f t="shared" si="939"/>
        <v>COLOMBIA</v>
      </c>
      <c r="BJ794" t="str">
        <f t="shared" si="924"/>
        <v>CANCER INFANTIL</v>
      </c>
      <c r="BK794" t="str">
        <f t="shared" si="958"/>
        <v>BOGOTA</v>
      </c>
      <c r="BL794" t="str">
        <f t="shared" si="958"/>
        <v>BOGOTA</v>
      </c>
      <c r="BM794" t="str">
        <f t="shared" si="941"/>
        <v>COLOMBIA</v>
      </c>
      <c r="BN794" t="str">
        <f t="shared" si="959"/>
        <v>BOGOTA</v>
      </c>
      <c r="BO794" t="str">
        <f t="shared" si="959"/>
        <v>BOGOTA</v>
      </c>
      <c r="BP794" t="str">
        <f t="shared" si="956"/>
        <v>BOGOTA</v>
      </c>
      <c r="BQ794" t="str">
        <f t="shared" si="956"/>
        <v>BOGOTA</v>
      </c>
    </row>
    <row r="795" spans="1:69" x14ac:dyDescent="0.25">
      <c r="A795" t="str">
        <f>"7278859"</f>
        <v>7278859</v>
      </c>
      <c r="B795" t="str">
        <f t="shared" si="917"/>
        <v>459</v>
      </c>
      <c r="C795" t="str">
        <f>"30/09/2020 12:00:00 a. m."</f>
        <v>30/09/2020 12:00:00 a. m.</v>
      </c>
      <c r="D795" t="str">
        <f>"38"</f>
        <v>38</v>
      </c>
      <c r="E795" t="str">
        <f t="shared" si="918"/>
        <v>2020</v>
      </c>
      <c r="F795" t="str">
        <f>"0500102104"</f>
        <v>0500102104</v>
      </c>
      <c r="G795" t="str">
        <f t="shared" si="951"/>
        <v>01</v>
      </c>
      <c r="H795" t="str">
        <f>"11"</f>
        <v>11</v>
      </c>
      <c r="I795" t="str">
        <f t="shared" si="957"/>
        <v>1</v>
      </c>
      <c r="J795" t="str">
        <f>"M"</f>
        <v>M</v>
      </c>
      <c r="K795" t="str">
        <f t="shared" si="933"/>
        <v>170</v>
      </c>
      <c r="L795" t="str">
        <f>"05"</f>
        <v>05</v>
      </c>
      <c r="M795" t="str">
        <f>"321"</f>
        <v>321</v>
      </c>
      <c r="N795" t="str">
        <f t="shared" si="952"/>
        <v>1</v>
      </c>
      <c r="O795" t="str">
        <f>"9997"</f>
        <v>9997</v>
      </c>
      <c r="P795" t="str">
        <f>"C"</f>
        <v>C</v>
      </c>
      <c r="Q795" t="str">
        <f>"EPS005"</f>
        <v>EPS005</v>
      </c>
      <c r="R795" t="str">
        <f t="shared" si="953"/>
        <v>6</v>
      </c>
      <c r="S795" t="str">
        <f>""</f>
        <v/>
      </c>
      <c r="T795" t="str">
        <f t="shared" si="910"/>
        <v xml:space="preserve">                                                                                                    </v>
      </c>
      <c r="U795" t="str">
        <f>"2         "</f>
        <v xml:space="preserve">2         </v>
      </c>
      <c r="V795" t="str">
        <f t="shared" si="899"/>
        <v>2</v>
      </c>
      <c r="W795" t="str">
        <f t="shared" si="912"/>
        <v>2</v>
      </c>
      <c r="X795" t="str">
        <f t="shared" si="960"/>
        <v>2</v>
      </c>
      <c r="Y795" t="str">
        <f t="shared" si="943"/>
        <v>2</v>
      </c>
      <c r="Z795" t="str">
        <f t="shared" si="943"/>
        <v>2</v>
      </c>
      <c r="AA795" t="str">
        <f t="shared" si="919"/>
        <v xml:space="preserve">          </v>
      </c>
      <c r="AB795" t="str">
        <f t="shared" si="907"/>
        <v>2</v>
      </c>
      <c r="AC795" t="str">
        <f t="shared" si="908"/>
        <v>2</v>
      </c>
      <c r="AD795" t="str">
        <f t="shared" si="946"/>
        <v>2</v>
      </c>
      <c r="AE795" t="str">
        <f t="shared" si="946"/>
        <v>2</v>
      </c>
      <c r="AF795" t="str">
        <f t="shared" si="946"/>
        <v>2</v>
      </c>
      <c r="AG795" t="str">
        <f t="shared" si="946"/>
        <v>2</v>
      </c>
      <c r="AH795" t="str">
        <f t="shared" si="913"/>
        <v>1</v>
      </c>
      <c r="AI795" t="str">
        <f>"1         "</f>
        <v xml:space="preserve">1         </v>
      </c>
      <c r="AJ795" t="str">
        <f t="shared" si="935"/>
        <v>170</v>
      </c>
      <c r="AK795" t="str">
        <f>"05"</f>
        <v>05</v>
      </c>
      <c r="AL795" t="str">
        <f>"321"</f>
        <v>321</v>
      </c>
      <c r="AM795" t="str">
        <f>"05"</f>
        <v>05</v>
      </c>
      <c r="AN795" t="str">
        <f>"05001"</f>
        <v>05001</v>
      </c>
      <c r="AO795" t="str">
        <f>"17/09/2020 12:00:00 a. m."</f>
        <v>17/09/2020 12:00:00 a. m.</v>
      </c>
      <c r="AP795" t="str">
        <f>"2/09/2020 12:00:00 a. m."</f>
        <v>2/09/2020 12:00:00 a. m.</v>
      </c>
      <c r="AQ795" t="str">
        <f t="shared" si="954"/>
        <v>3</v>
      </c>
      <c r="AR795" t="str">
        <f t="shared" si="955"/>
        <v>1</v>
      </c>
      <c r="AS795" t="str">
        <f>"17/09/2020 12:00:00 a. m."</f>
        <v>17/09/2020 12:00:00 a. m.</v>
      </c>
      <c r="AT795" t="str">
        <f t="shared" si="950"/>
        <v>1</v>
      </c>
      <c r="AU795" t="str">
        <f>""</f>
        <v/>
      </c>
      <c r="AV795" t="str">
        <f>"0"</f>
        <v>0</v>
      </c>
      <c r="AW795" t="str">
        <f>"29/10/2008 12:00:00 a. m."</f>
        <v>29/10/2008 12:00:00 a. m.</v>
      </c>
      <c r="AX795" t="str">
        <f>""</f>
        <v/>
      </c>
      <c r="AY795" t="str">
        <f t="shared" si="921"/>
        <v>30/04/2021 12:00:00 a. m.</v>
      </c>
      <c r="AZ795" t="str">
        <f>"1/10/2020 12:00:00 a. m."</f>
        <v>1/10/2020 12:00:00 a. m.</v>
      </c>
      <c r="BA795" t="str">
        <f>""</f>
        <v/>
      </c>
      <c r="BB795" t="str">
        <f>""</f>
        <v/>
      </c>
      <c r="BC795" t="str">
        <f>""</f>
        <v/>
      </c>
      <c r="BD795" t="str">
        <f t="shared" si="948"/>
        <v>1</v>
      </c>
      <c r="BE795" t="str">
        <f t="shared" si="948"/>
        <v>1</v>
      </c>
      <c r="BF795" t="str">
        <f t="shared" si="922"/>
        <v xml:space="preserve">3         </v>
      </c>
      <c r="BG795" t="str">
        <f t="shared" si="923"/>
        <v>Confirmado por laboratorio</v>
      </c>
      <c r="BH795" t="str">
        <f>"HOSPITAL PABLO TOBON URIBE"</f>
        <v>HOSPITAL PABLO TOBON URIBE</v>
      </c>
      <c r="BI795" t="str">
        <f t="shared" si="939"/>
        <v>COLOMBIA</v>
      </c>
      <c r="BJ795" t="str">
        <f t="shared" si="924"/>
        <v>CANCER INFANTIL</v>
      </c>
      <c r="BK795" t="str">
        <f>"ANTIOQUIA"</f>
        <v>ANTIOQUIA</v>
      </c>
      <c r="BL795" t="str">
        <f>"GUATAPE"</f>
        <v>GUATAPE</v>
      </c>
      <c r="BM795" t="str">
        <f t="shared" si="941"/>
        <v>COLOMBIA</v>
      </c>
      <c r="BN795" t="str">
        <f>"ANTIOQUIA"</f>
        <v>ANTIOQUIA</v>
      </c>
      <c r="BO795" t="str">
        <f>"GUATAPE"</f>
        <v>GUATAPE</v>
      </c>
      <c r="BP795" t="str">
        <f>"ANTIOQUIA"</f>
        <v>ANTIOQUIA</v>
      </c>
      <c r="BQ795" t="str">
        <f>"MEDELLIN"</f>
        <v>MEDELLIN</v>
      </c>
    </row>
    <row r="796" spans="1:69" x14ac:dyDescent="0.25">
      <c r="A796" t="str">
        <f>"7278851"</f>
        <v>7278851</v>
      </c>
      <c r="B796" t="str">
        <f t="shared" si="917"/>
        <v>459</v>
      </c>
      <c r="C796" t="str">
        <f>"15/09/2020 12:00:00 a. m."</f>
        <v>15/09/2020 12:00:00 a. m.</v>
      </c>
      <c r="D796" t="str">
        <f>"20"</f>
        <v>20</v>
      </c>
      <c r="E796" t="str">
        <f t="shared" si="918"/>
        <v>2020</v>
      </c>
      <c r="F796" t="str">
        <f>"1100105681"</f>
        <v>1100105681</v>
      </c>
      <c r="G796" t="str">
        <f t="shared" si="951"/>
        <v>01</v>
      </c>
      <c r="H796" t="str">
        <f>"14"</f>
        <v>14</v>
      </c>
      <c r="I796" t="str">
        <f t="shared" si="957"/>
        <v>1</v>
      </c>
      <c r="J796" t="str">
        <f>"M"</f>
        <v>M</v>
      </c>
      <c r="K796" t="str">
        <f t="shared" si="933"/>
        <v>170</v>
      </c>
      <c r="L796" t="str">
        <f>"25"</f>
        <v>25</v>
      </c>
      <c r="M796" t="str">
        <f>"214"</f>
        <v>214</v>
      </c>
      <c r="N796" t="str">
        <f t="shared" si="952"/>
        <v>1</v>
      </c>
      <c r="O796" t="str">
        <f>"9997"</f>
        <v>9997</v>
      </c>
      <c r="P796" t="str">
        <f>"C"</f>
        <v>C</v>
      </c>
      <c r="Q796" t="str">
        <f>"EPS005"</f>
        <v>EPS005</v>
      </c>
      <c r="R796" t="str">
        <f t="shared" si="953"/>
        <v>6</v>
      </c>
      <c r="S796" t="str">
        <f>""</f>
        <v/>
      </c>
      <c r="T796" t="str">
        <f t="shared" si="910"/>
        <v xml:space="preserve">                                                                                                    </v>
      </c>
      <c r="U796" t="str">
        <f>"2         "</f>
        <v xml:space="preserve">2         </v>
      </c>
      <c r="V796" t="str">
        <f t="shared" si="899"/>
        <v>2</v>
      </c>
      <c r="W796" t="str">
        <f t="shared" si="912"/>
        <v>2</v>
      </c>
      <c r="X796" t="str">
        <f t="shared" si="960"/>
        <v>2</v>
      </c>
      <c r="Y796" t="str">
        <f t="shared" si="943"/>
        <v>2</v>
      </c>
      <c r="Z796" t="str">
        <f t="shared" si="943"/>
        <v>2</v>
      </c>
      <c r="AA796" t="str">
        <f t="shared" si="919"/>
        <v xml:space="preserve">          </v>
      </c>
      <c r="AB796" t="str">
        <f t="shared" si="907"/>
        <v>2</v>
      </c>
      <c r="AC796" t="str">
        <f t="shared" si="908"/>
        <v>2</v>
      </c>
      <c r="AD796" t="str">
        <f t="shared" si="946"/>
        <v>2</v>
      </c>
      <c r="AE796" t="str">
        <f t="shared" si="946"/>
        <v>2</v>
      </c>
      <c r="AF796" t="str">
        <f t="shared" si="946"/>
        <v>2</v>
      </c>
      <c r="AG796" t="str">
        <f t="shared" si="946"/>
        <v>2</v>
      </c>
      <c r="AH796" t="str">
        <f t="shared" si="913"/>
        <v>1</v>
      </c>
      <c r="AI796" t="str">
        <f>"2         "</f>
        <v xml:space="preserve">2         </v>
      </c>
      <c r="AJ796" t="str">
        <f t="shared" si="935"/>
        <v>170</v>
      </c>
      <c r="AK796" t="str">
        <f>"25"</f>
        <v>25</v>
      </c>
      <c r="AL796" t="str">
        <f>"214"</f>
        <v>214</v>
      </c>
      <c r="AM796" t="str">
        <f>"11"</f>
        <v>11</v>
      </c>
      <c r="AN796" t="str">
        <f>"11001"</f>
        <v>11001</v>
      </c>
      <c r="AO796" t="str">
        <f>"13/05/2020 12:00:00 a. m."</f>
        <v>13/05/2020 12:00:00 a. m.</v>
      </c>
      <c r="AP796" t="str">
        <f>"20/04/2020 12:00:00 a. m."</f>
        <v>20/04/2020 12:00:00 a. m.</v>
      </c>
      <c r="AQ796" t="str">
        <f t="shared" si="954"/>
        <v>3</v>
      </c>
      <c r="AR796" t="str">
        <f t="shared" si="955"/>
        <v>1</v>
      </c>
      <c r="AS796" t="str">
        <f>"13/05/2020 12:00:00 a. m."</f>
        <v>13/05/2020 12:00:00 a. m.</v>
      </c>
      <c r="AT796" t="str">
        <f>"2"</f>
        <v>2</v>
      </c>
      <c r="AU796" t="str">
        <f>"16/12/2020 12:00:00 a. m."</f>
        <v>16/12/2020 12:00:00 a. m.</v>
      </c>
      <c r="AV796" t="str">
        <f>"7"</f>
        <v>7</v>
      </c>
      <c r="AW796" t="str">
        <f>"15/10/2005 12:00:00 a. m."</f>
        <v>15/10/2005 12:00:00 a. m.</v>
      </c>
      <c r="AX796" t="str">
        <f>"J189"</f>
        <v>J189</v>
      </c>
      <c r="AY796" t="str">
        <f t="shared" si="921"/>
        <v>30/04/2021 12:00:00 a. m.</v>
      </c>
      <c r="AZ796" t="str">
        <f>"2/02/2021 12:00:00 a. m."</f>
        <v>2/02/2021 12:00:00 a. m.</v>
      </c>
      <c r="BA796" t="str">
        <f>""</f>
        <v/>
      </c>
      <c r="BB796" t="str">
        <f>""</f>
        <v/>
      </c>
      <c r="BC796" t="str">
        <f>""</f>
        <v/>
      </c>
      <c r="BD796" t="str">
        <f t="shared" si="948"/>
        <v>1</v>
      </c>
      <c r="BE796" t="str">
        <f t="shared" si="948"/>
        <v>1</v>
      </c>
      <c r="BF796" t="str">
        <f t="shared" si="922"/>
        <v xml:space="preserve">3         </v>
      </c>
      <c r="BG796" t="str">
        <f t="shared" si="923"/>
        <v>Confirmado por laboratorio</v>
      </c>
      <c r="BH796" t="str">
        <f>"FUNDACION HOSPITAL DE LA MISERICORDIA"</f>
        <v>FUNDACION HOSPITAL DE LA MISERICORDIA</v>
      </c>
      <c r="BI796" t="str">
        <f t="shared" si="939"/>
        <v>COLOMBIA</v>
      </c>
      <c r="BJ796" t="str">
        <f t="shared" si="924"/>
        <v>CANCER INFANTIL</v>
      </c>
      <c r="BK796" t="str">
        <f>"CUNDINAMARCA"</f>
        <v>CUNDINAMARCA</v>
      </c>
      <c r="BL796" t="str">
        <f>"COTA"</f>
        <v>COTA</v>
      </c>
      <c r="BM796" t="str">
        <f t="shared" si="941"/>
        <v>COLOMBIA</v>
      </c>
      <c r="BN796" t="str">
        <f>"CUNDINAMARCA"</f>
        <v>CUNDINAMARCA</v>
      </c>
      <c r="BO796" t="str">
        <f>"COTA"</f>
        <v>COTA</v>
      </c>
      <c r="BP796" t="str">
        <f>"BOGOTA"</f>
        <v>BOGOTA</v>
      </c>
      <c r="BQ796" t="str">
        <f>"BOGOTA"</f>
        <v>BOGOTA</v>
      </c>
    </row>
    <row r="797" spans="1:69" x14ac:dyDescent="0.25">
      <c r="A797" t="str">
        <f>"7278742"</f>
        <v>7278742</v>
      </c>
      <c r="B797" t="str">
        <f t="shared" si="917"/>
        <v>459</v>
      </c>
      <c r="C797" t="str">
        <f>"1/03/2021 12:00:00 a. m."</f>
        <v>1/03/2021 12:00:00 a. m.</v>
      </c>
      <c r="D797" t="str">
        <f>"42"</f>
        <v>42</v>
      </c>
      <c r="E797" t="str">
        <f t="shared" si="918"/>
        <v>2020</v>
      </c>
      <c r="F797" t="str">
        <f>"7600101111"</f>
        <v>7600101111</v>
      </c>
      <c r="G797" t="str">
        <f t="shared" si="951"/>
        <v>01</v>
      </c>
      <c r="H797" t="str">
        <f>"6"</f>
        <v>6</v>
      </c>
      <c r="I797" t="str">
        <f t="shared" si="957"/>
        <v>1</v>
      </c>
      <c r="J797" t="str">
        <f>"M"</f>
        <v>M</v>
      </c>
      <c r="K797" t="str">
        <f t="shared" si="933"/>
        <v>170</v>
      </c>
      <c r="L797" t="str">
        <f>"19"</f>
        <v>19</v>
      </c>
      <c r="M797" t="str">
        <f>"355"</f>
        <v>355</v>
      </c>
      <c r="N797" t="str">
        <f>"3"</f>
        <v>3</v>
      </c>
      <c r="O797" t="str">
        <f>"9999"</f>
        <v>9999</v>
      </c>
      <c r="P797" t="str">
        <f>"S"</f>
        <v>S</v>
      </c>
      <c r="Q797" t="str">
        <f>"EPSI03"</f>
        <v>EPSI03</v>
      </c>
      <c r="R797" t="str">
        <f t="shared" si="953"/>
        <v>6</v>
      </c>
      <c r="S797" t="str">
        <f>""</f>
        <v/>
      </c>
      <c r="T797" t="str">
        <f t="shared" si="910"/>
        <v xml:space="preserve">                                                                                                    </v>
      </c>
      <c r="U797" t="str">
        <f>"1         "</f>
        <v xml:space="preserve">1         </v>
      </c>
      <c r="V797" t="str">
        <f t="shared" si="899"/>
        <v>2</v>
      </c>
      <c r="W797" t="str">
        <f t="shared" si="912"/>
        <v>2</v>
      </c>
      <c r="X797" t="str">
        <f t="shared" si="960"/>
        <v>2</v>
      </c>
      <c r="Y797" t="str">
        <f t="shared" si="943"/>
        <v>2</v>
      </c>
      <c r="Z797" t="str">
        <f t="shared" si="943"/>
        <v>2</v>
      </c>
      <c r="AA797" t="str">
        <f t="shared" si="919"/>
        <v xml:space="preserve">          </v>
      </c>
      <c r="AB797" t="str">
        <f t="shared" si="907"/>
        <v>2</v>
      </c>
      <c r="AC797" t="str">
        <f t="shared" si="908"/>
        <v>2</v>
      </c>
      <c r="AD797" t="str">
        <f t="shared" si="946"/>
        <v>2</v>
      </c>
      <c r="AE797" t="str">
        <f t="shared" si="946"/>
        <v>2</v>
      </c>
      <c r="AF797" t="str">
        <f t="shared" si="946"/>
        <v>2</v>
      </c>
      <c r="AG797" t="str">
        <f t="shared" si="946"/>
        <v>2</v>
      </c>
      <c r="AH797" t="str">
        <f t="shared" si="913"/>
        <v>1</v>
      </c>
      <c r="AI797" t="str">
        <f>"1         "</f>
        <v xml:space="preserve">1         </v>
      </c>
      <c r="AJ797" t="str">
        <f t="shared" si="935"/>
        <v>170</v>
      </c>
      <c r="AK797" t="str">
        <f>"19"</f>
        <v>19</v>
      </c>
      <c r="AL797" t="str">
        <f>"355"</f>
        <v>355</v>
      </c>
      <c r="AM797" t="str">
        <f>"76"</f>
        <v>76</v>
      </c>
      <c r="AN797" t="str">
        <f>"76001"</f>
        <v>76001</v>
      </c>
      <c r="AO797" t="str">
        <f>"13/10/2020 12:00:00 a. m."</f>
        <v>13/10/2020 12:00:00 a. m.</v>
      </c>
      <c r="AP797" t="str">
        <f>"12/10/2020 12:00:00 a. m."</f>
        <v>12/10/2020 12:00:00 a. m.</v>
      </c>
      <c r="AQ797" t="str">
        <f t="shared" si="954"/>
        <v>3</v>
      </c>
      <c r="AR797" t="str">
        <f t="shared" si="955"/>
        <v>1</v>
      </c>
      <c r="AS797" t="str">
        <f>"21/10/2020 12:00:00 a. m."</f>
        <v>21/10/2020 12:00:00 a. m.</v>
      </c>
      <c r="AT797" t="str">
        <f t="shared" ref="AT797:AT807" si="961">"1"</f>
        <v>1</v>
      </c>
      <c r="AU797" t="str">
        <f>""</f>
        <v/>
      </c>
      <c r="AV797" t="str">
        <f>"0"</f>
        <v>0</v>
      </c>
      <c r="AW797" t="str">
        <f>"21/03/2014 12:00:00 a. m."</f>
        <v>21/03/2014 12:00:00 a. m.</v>
      </c>
      <c r="AX797" t="str">
        <f>""</f>
        <v/>
      </c>
      <c r="AY797" t="str">
        <f t="shared" si="921"/>
        <v>30/04/2021 12:00:00 a. m.</v>
      </c>
      <c r="AZ797" t="str">
        <f>"1/03/2021 12:00:00 a. m."</f>
        <v>1/03/2021 12:00:00 a. m.</v>
      </c>
      <c r="BA797" t="str">
        <f>""</f>
        <v/>
      </c>
      <c r="BB797" t="str">
        <f>""</f>
        <v/>
      </c>
      <c r="BC797" t="str">
        <f>""</f>
        <v/>
      </c>
      <c r="BD797" t="str">
        <f t="shared" si="948"/>
        <v>1</v>
      </c>
      <c r="BE797" t="str">
        <f t="shared" si="948"/>
        <v>1</v>
      </c>
      <c r="BF797" t="str">
        <f t="shared" si="922"/>
        <v xml:space="preserve">3         </v>
      </c>
      <c r="BG797" t="str">
        <f t="shared" si="923"/>
        <v>Confirmado por laboratorio</v>
      </c>
      <c r="BH797" t="str">
        <f>"CENTRO MEDICO IMBANACO CMI"</f>
        <v>CENTRO MEDICO IMBANACO CMI</v>
      </c>
      <c r="BI797" t="str">
        <f t="shared" si="939"/>
        <v>COLOMBIA</v>
      </c>
      <c r="BJ797" t="str">
        <f t="shared" si="924"/>
        <v>CANCER INFANTIL</v>
      </c>
      <c r="BK797" t="str">
        <f>"CAUCA"</f>
        <v>CAUCA</v>
      </c>
      <c r="BL797" t="str">
        <f>"INZA"</f>
        <v>INZA</v>
      </c>
      <c r="BM797" t="str">
        <f t="shared" si="941"/>
        <v>COLOMBIA</v>
      </c>
      <c r="BN797" t="str">
        <f>"CAUCA"</f>
        <v>CAUCA</v>
      </c>
      <c r="BO797" t="str">
        <f>"INZA"</f>
        <v>INZA</v>
      </c>
      <c r="BP797" t="str">
        <f>"VALLE"</f>
        <v>VALLE</v>
      </c>
      <c r="BQ797" t="str">
        <f>"CALI"</f>
        <v>CALI</v>
      </c>
    </row>
    <row r="798" spans="1:69" x14ac:dyDescent="0.25">
      <c r="A798" t="str">
        <f>"7285517"</f>
        <v>7285517</v>
      </c>
      <c r="B798" t="str">
        <f t="shared" si="917"/>
        <v>459</v>
      </c>
      <c r="C798" t="str">
        <f>"27/02/2020 12:00:00 a. m."</f>
        <v>27/02/2020 12:00:00 a. m.</v>
      </c>
      <c r="D798" t="str">
        <f>"09"</f>
        <v>09</v>
      </c>
      <c r="E798" t="str">
        <f t="shared" si="918"/>
        <v>2020</v>
      </c>
      <c r="F798" t="str">
        <f>"6827601666"</f>
        <v>6827601666</v>
      </c>
      <c r="G798" t="str">
        <f t="shared" si="951"/>
        <v>01</v>
      </c>
      <c r="H798" t="str">
        <f>"6"</f>
        <v>6</v>
      </c>
      <c r="I798" t="str">
        <f t="shared" si="957"/>
        <v>1</v>
      </c>
      <c r="J798" t="str">
        <f>"M"</f>
        <v>M</v>
      </c>
      <c r="K798" t="str">
        <f t="shared" si="933"/>
        <v>170</v>
      </c>
      <c r="L798" t="str">
        <f>"68"</f>
        <v>68</v>
      </c>
      <c r="M798" t="str">
        <f>"081"</f>
        <v>081</v>
      </c>
      <c r="N798" t="str">
        <f>"1"</f>
        <v>1</v>
      </c>
      <c r="O798" t="str">
        <f>"9997"</f>
        <v>9997</v>
      </c>
      <c r="P798" t="str">
        <f>"S"</f>
        <v>S</v>
      </c>
      <c r="Q798" t="str">
        <f>"EPSS37"</f>
        <v>EPSS37</v>
      </c>
      <c r="R798" t="str">
        <f t="shared" si="953"/>
        <v>6</v>
      </c>
      <c r="S798" t="str">
        <f>""</f>
        <v/>
      </c>
      <c r="T798" t="str">
        <f t="shared" ref="T798:T829" si="962">"                                                                                                    "</f>
        <v xml:space="preserve">                                                                                                    </v>
      </c>
      <c r="U798" t="str">
        <f>"2         "</f>
        <v xml:space="preserve">2         </v>
      </c>
      <c r="V798" t="str">
        <f t="shared" si="899"/>
        <v>2</v>
      </c>
      <c r="W798" t="str">
        <f t="shared" si="912"/>
        <v>2</v>
      </c>
      <c r="X798" t="str">
        <f t="shared" si="960"/>
        <v>2</v>
      </c>
      <c r="Y798" t="str">
        <f t="shared" si="943"/>
        <v>2</v>
      </c>
      <c r="Z798" t="str">
        <f t="shared" si="943"/>
        <v>2</v>
      </c>
      <c r="AA798" t="str">
        <f t="shared" si="919"/>
        <v xml:space="preserve">          </v>
      </c>
      <c r="AB798" t="str">
        <f t="shared" si="907"/>
        <v>2</v>
      </c>
      <c r="AC798" t="str">
        <f t="shared" si="908"/>
        <v>2</v>
      </c>
      <c r="AD798" t="str">
        <f t="shared" si="946"/>
        <v>2</v>
      </c>
      <c r="AE798" t="str">
        <f t="shared" si="946"/>
        <v>2</v>
      </c>
      <c r="AF798" t="str">
        <f t="shared" si="946"/>
        <v>2</v>
      </c>
      <c r="AG798" t="str">
        <f t="shared" si="946"/>
        <v>2</v>
      </c>
      <c r="AH798" t="str">
        <f t="shared" si="913"/>
        <v>1</v>
      </c>
      <c r="AI798" t="str">
        <f>"2         "</f>
        <v xml:space="preserve">2         </v>
      </c>
      <c r="AJ798" t="str">
        <f t="shared" si="935"/>
        <v>170</v>
      </c>
      <c r="AK798" t="str">
        <f>"68"</f>
        <v>68</v>
      </c>
      <c r="AL798" t="str">
        <f>"081"</f>
        <v>081</v>
      </c>
      <c r="AM798" t="str">
        <f>"68"</f>
        <v>68</v>
      </c>
      <c r="AN798" t="str">
        <f>"68276"</f>
        <v>68276</v>
      </c>
      <c r="AO798" t="str">
        <f>"27/02/2020 12:00:00 a. m."</f>
        <v>27/02/2020 12:00:00 a. m.</v>
      </c>
      <c r="AP798" t="str">
        <f>"22/02/2020 12:00:00 a. m."</f>
        <v>22/02/2020 12:00:00 a. m.</v>
      </c>
      <c r="AQ798" t="str">
        <f t="shared" si="954"/>
        <v>3</v>
      </c>
      <c r="AR798" t="str">
        <f t="shared" si="955"/>
        <v>1</v>
      </c>
      <c r="AS798" t="str">
        <f>"27/02/2020 12:00:00 a. m."</f>
        <v>27/02/2020 12:00:00 a. m.</v>
      </c>
      <c r="AT798" t="str">
        <f t="shared" si="961"/>
        <v>1</v>
      </c>
      <c r="AU798" t="str">
        <f>""</f>
        <v/>
      </c>
      <c r="AV798" t="str">
        <f>"0"</f>
        <v>0</v>
      </c>
      <c r="AW798" t="str">
        <f>"11/01/2014 12:00:00 a. m."</f>
        <v>11/01/2014 12:00:00 a. m.</v>
      </c>
      <c r="AX798" t="str">
        <f>""</f>
        <v/>
      </c>
      <c r="AY798" t="str">
        <f t="shared" si="921"/>
        <v>30/04/2021 12:00:00 a. m.</v>
      </c>
      <c r="AZ798" t="str">
        <f>"2/04/2020 12:00:00 a. m."</f>
        <v>2/04/2020 12:00:00 a. m.</v>
      </c>
      <c r="BA798" t="str">
        <f>""</f>
        <v/>
      </c>
      <c r="BB798" t="str">
        <f>""</f>
        <v/>
      </c>
      <c r="BC798" t="str">
        <f>""</f>
        <v/>
      </c>
      <c r="BD798" t="str">
        <f t="shared" si="948"/>
        <v>1</v>
      </c>
      <c r="BE798" t="str">
        <f t="shared" si="948"/>
        <v>1</v>
      </c>
      <c r="BF798" t="str">
        <f t="shared" si="922"/>
        <v xml:space="preserve">3         </v>
      </c>
      <c r="BG798" t="str">
        <f t="shared" si="923"/>
        <v>Confirmado por laboratorio</v>
      </c>
      <c r="BH798" t="str">
        <f>"FUNDACION OFTALMOLOGICA DE SDER FOSCAL"</f>
        <v>FUNDACION OFTALMOLOGICA DE SDER FOSCAL</v>
      </c>
      <c r="BI798" t="str">
        <f t="shared" si="939"/>
        <v>COLOMBIA</v>
      </c>
      <c r="BJ798" t="str">
        <f t="shared" si="924"/>
        <v>CANCER INFANTIL</v>
      </c>
      <c r="BK798" t="str">
        <f>"SANTANDER"</f>
        <v>SANTANDER</v>
      </c>
      <c r="BL798" t="str">
        <f>"BARRANCABERMEJA"</f>
        <v>BARRANCABERMEJA</v>
      </c>
      <c r="BM798" t="str">
        <f t="shared" si="941"/>
        <v>COLOMBIA</v>
      </c>
      <c r="BN798" t="str">
        <f>"SANTANDER"</f>
        <v>SANTANDER</v>
      </c>
      <c r="BO798" t="str">
        <f>"BARRANCABERMEJA"</f>
        <v>BARRANCABERMEJA</v>
      </c>
      <c r="BP798" t="str">
        <f>"SANTANDER"</f>
        <v>SANTANDER</v>
      </c>
      <c r="BQ798" t="str">
        <f>"FLORIDABLANCA"</f>
        <v>FLORIDABLANCA</v>
      </c>
    </row>
    <row r="799" spans="1:69" x14ac:dyDescent="0.25">
      <c r="A799" t="str">
        <f>"7285498"</f>
        <v>7285498</v>
      </c>
      <c r="B799" t="str">
        <f t="shared" si="917"/>
        <v>459</v>
      </c>
      <c r="C799" t="str">
        <f>"7/12/2020 12:00:00 a. m."</f>
        <v>7/12/2020 12:00:00 a. m.</v>
      </c>
      <c r="D799" t="str">
        <f>"27"</f>
        <v>27</v>
      </c>
      <c r="E799" t="str">
        <f t="shared" si="918"/>
        <v>2020</v>
      </c>
      <c r="F799" t="str">
        <f>"0500102175"</f>
        <v>0500102175</v>
      </c>
      <c r="G799" t="str">
        <f t="shared" si="951"/>
        <v>01</v>
      </c>
      <c r="H799" t="str">
        <f>"12"</f>
        <v>12</v>
      </c>
      <c r="I799" t="str">
        <f t="shared" si="957"/>
        <v>1</v>
      </c>
      <c r="J799" t="str">
        <f>"F"</f>
        <v>F</v>
      </c>
      <c r="K799" t="str">
        <f t="shared" si="933"/>
        <v>170</v>
      </c>
      <c r="L799" t="str">
        <f>"05"</f>
        <v>05</v>
      </c>
      <c r="M799" t="str">
        <f>"001"</f>
        <v>001</v>
      </c>
      <c r="N799" t="str">
        <f>"3"</f>
        <v>3</v>
      </c>
      <c r="O799" t="str">
        <f>"9999"</f>
        <v>9999</v>
      </c>
      <c r="P799" t="str">
        <f>"C"</f>
        <v>C</v>
      </c>
      <c r="Q799" t="str">
        <f>"EPS002"</f>
        <v>EPS002</v>
      </c>
      <c r="R799" t="str">
        <f t="shared" si="953"/>
        <v>6</v>
      </c>
      <c r="S799" t="str">
        <f>""</f>
        <v/>
      </c>
      <c r="T799" t="str">
        <f t="shared" si="962"/>
        <v xml:space="preserve">                                                                                                    </v>
      </c>
      <c r="U799" t="str">
        <f>"2         "</f>
        <v xml:space="preserve">2         </v>
      </c>
      <c r="V799" t="str">
        <f t="shared" si="899"/>
        <v>2</v>
      </c>
      <c r="W799" t="str">
        <f t="shared" ref="W799:W830" si="963">"2"</f>
        <v>2</v>
      </c>
      <c r="X799" t="str">
        <f t="shared" si="960"/>
        <v>2</v>
      </c>
      <c r="Y799" t="str">
        <f t="shared" ref="Y799:Z818" si="964">"2"</f>
        <v>2</v>
      </c>
      <c r="Z799" t="str">
        <f t="shared" si="964"/>
        <v>2</v>
      </c>
      <c r="AA799" t="str">
        <f t="shared" si="919"/>
        <v xml:space="preserve">          </v>
      </c>
      <c r="AB799" t="str">
        <f t="shared" si="907"/>
        <v>2</v>
      </c>
      <c r="AC799" t="str">
        <f t="shared" si="908"/>
        <v>2</v>
      </c>
      <c r="AD799" t="str">
        <f t="shared" si="946"/>
        <v>2</v>
      </c>
      <c r="AE799" t="str">
        <f t="shared" si="946"/>
        <v>2</v>
      </c>
      <c r="AF799" t="str">
        <f t="shared" si="946"/>
        <v>2</v>
      </c>
      <c r="AG799" t="str">
        <f t="shared" si="946"/>
        <v>2</v>
      </c>
      <c r="AH799" t="str">
        <f t="shared" ref="AH799:AH830" si="965">"1"</f>
        <v>1</v>
      </c>
      <c r="AI799" t="str">
        <f>"1         "</f>
        <v xml:space="preserve">1         </v>
      </c>
      <c r="AJ799" t="str">
        <f t="shared" si="935"/>
        <v>170</v>
      </c>
      <c r="AK799" t="str">
        <f>"05"</f>
        <v>05</v>
      </c>
      <c r="AL799" t="str">
        <f>"001"</f>
        <v>001</v>
      </c>
      <c r="AM799" t="str">
        <f>"05"</f>
        <v>05</v>
      </c>
      <c r="AN799" t="str">
        <f>"05001"</f>
        <v>05001</v>
      </c>
      <c r="AO799" t="str">
        <f>"1/07/2020 12:00:00 a. m."</f>
        <v>1/07/2020 12:00:00 a. m.</v>
      </c>
      <c r="AP799" t="str">
        <f>"1/07/2020 12:00:00 a. m."</f>
        <v>1/07/2020 12:00:00 a. m.</v>
      </c>
      <c r="AQ799" t="str">
        <f t="shared" si="954"/>
        <v>3</v>
      </c>
      <c r="AR799" t="str">
        <f t="shared" si="955"/>
        <v>1</v>
      </c>
      <c r="AS799" t="str">
        <f>"1/12/2020 12:00:00 a. m."</f>
        <v>1/12/2020 12:00:00 a. m.</v>
      </c>
      <c r="AT799" t="str">
        <f t="shared" si="961"/>
        <v>1</v>
      </c>
      <c r="AU799" t="str">
        <f>""</f>
        <v/>
      </c>
      <c r="AV799" t="str">
        <f>"0"</f>
        <v>0</v>
      </c>
      <c r="AW799" t="str">
        <f>"18/04/2008 12:00:00 a. m."</f>
        <v>18/04/2008 12:00:00 a. m.</v>
      </c>
      <c r="AX799" t="str">
        <f>""</f>
        <v/>
      </c>
      <c r="AY799" t="str">
        <f t="shared" si="921"/>
        <v>30/04/2021 12:00:00 a. m.</v>
      </c>
      <c r="AZ799" t="str">
        <f>"7/12/2020 12:00:00 a. m."</f>
        <v>7/12/2020 12:00:00 a. m.</v>
      </c>
      <c r="BA799" t="str">
        <f>""</f>
        <v/>
      </c>
      <c r="BB799" t="str">
        <f>""</f>
        <v/>
      </c>
      <c r="BC799" t="str">
        <f>""</f>
        <v/>
      </c>
      <c r="BD799" t="str">
        <f t="shared" si="948"/>
        <v>1</v>
      </c>
      <c r="BE799" t="str">
        <f t="shared" si="948"/>
        <v>1</v>
      </c>
      <c r="BF799" t="str">
        <f t="shared" si="922"/>
        <v xml:space="preserve">3         </v>
      </c>
      <c r="BG799" t="str">
        <f t="shared" si="923"/>
        <v>Confirmado por laboratorio</v>
      </c>
      <c r="BH799" t="str">
        <f>"FUNDACION HOSPITALARIA SAN VICENTE DE PAUL"</f>
        <v>FUNDACION HOSPITALARIA SAN VICENTE DE PAUL</v>
      </c>
      <c r="BI799" t="str">
        <f t="shared" si="939"/>
        <v>COLOMBIA</v>
      </c>
      <c r="BJ799" t="str">
        <f t="shared" si="924"/>
        <v>CANCER INFANTIL</v>
      </c>
      <c r="BK799" t="str">
        <f>"ANTIOQUIA"</f>
        <v>ANTIOQUIA</v>
      </c>
      <c r="BL799" t="str">
        <f>"MEDELLIN"</f>
        <v>MEDELLIN</v>
      </c>
      <c r="BM799" t="str">
        <f t="shared" si="941"/>
        <v>COLOMBIA</v>
      </c>
      <c r="BN799" t="str">
        <f>"ANTIOQUIA"</f>
        <v>ANTIOQUIA</v>
      </c>
      <c r="BO799" t="str">
        <f>"MEDELLIN"</f>
        <v>MEDELLIN</v>
      </c>
      <c r="BP799" t="str">
        <f>"ANTIOQUIA"</f>
        <v>ANTIOQUIA</v>
      </c>
      <c r="BQ799" t="str">
        <f>"MEDELLIN"</f>
        <v>MEDELLIN</v>
      </c>
    </row>
    <row r="800" spans="1:69" x14ac:dyDescent="0.25">
      <c r="A800" t="str">
        <f>"7285427"</f>
        <v>7285427</v>
      </c>
      <c r="B800" t="str">
        <f t="shared" si="917"/>
        <v>459</v>
      </c>
      <c r="C800" t="str">
        <f>"17/11/2020 12:00:00 a. m."</f>
        <v>17/11/2020 12:00:00 a. m.</v>
      </c>
      <c r="D800" t="str">
        <f>"43"</f>
        <v>43</v>
      </c>
      <c r="E800" t="str">
        <f t="shared" si="918"/>
        <v>2020</v>
      </c>
      <c r="F800" t="str">
        <f>"0500102144"</f>
        <v>0500102144</v>
      </c>
      <c r="G800" t="str">
        <f t="shared" si="951"/>
        <v>01</v>
      </c>
      <c r="H800" t="str">
        <f>"10"</f>
        <v>10</v>
      </c>
      <c r="I800" t="str">
        <f t="shared" si="957"/>
        <v>1</v>
      </c>
      <c r="J800" t="str">
        <f>"M"</f>
        <v>M</v>
      </c>
      <c r="K800" t="str">
        <f t="shared" si="933"/>
        <v>170</v>
      </c>
      <c r="L800" t="str">
        <f>"05"</f>
        <v>05</v>
      </c>
      <c r="M800" t="str">
        <f>"380"</f>
        <v>380</v>
      </c>
      <c r="N800" t="str">
        <f t="shared" ref="N800:N829" si="966">"1"</f>
        <v>1</v>
      </c>
      <c r="O800" t="str">
        <f>"9999"</f>
        <v>9999</v>
      </c>
      <c r="P800" t="str">
        <f>"S"</f>
        <v>S</v>
      </c>
      <c r="Q800" t="str">
        <f>"EPSS40"</f>
        <v>EPSS40</v>
      </c>
      <c r="R800" t="str">
        <f t="shared" si="953"/>
        <v>6</v>
      </c>
      <c r="S800" t="str">
        <f>""</f>
        <v/>
      </c>
      <c r="T800" t="str">
        <f t="shared" si="962"/>
        <v xml:space="preserve">                                                                                                    </v>
      </c>
      <c r="U800" t="str">
        <f>"          "</f>
        <v xml:space="preserve">          </v>
      </c>
      <c r="V800" t="str">
        <f t="shared" si="899"/>
        <v>2</v>
      </c>
      <c r="W800" t="str">
        <f t="shared" si="963"/>
        <v>2</v>
      </c>
      <c r="X800" t="str">
        <f t="shared" si="960"/>
        <v>2</v>
      </c>
      <c r="Y800" t="str">
        <f t="shared" si="964"/>
        <v>2</v>
      </c>
      <c r="Z800" t="str">
        <f t="shared" si="964"/>
        <v>2</v>
      </c>
      <c r="AA800" t="str">
        <f t="shared" si="919"/>
        <v xml:space="preserve">          </v>
      </c>
      <c r="AB800" t="str">
        <f t="shared" si="907"/>
        <v>2</v>
      </c>
      <c r="AC800" t="str">
        <f t="shared" si="908"/>
        <v>2</v>
      </c>
      <c r="AD800" t="str">
        <f t="shared" ref="AD800:AG819" si="967">"2"</f>
        <v>2</v>
      </c>
      <c r="AE800" t="str">
        <f t="shared" si="967"/>
        <v>2</v>
      </c>
      <c r="AF800" t="str">
        <f t="shared" si="967"/>
        <v>2</v>
      </c>
      <c r="AG800" t="str">
        <f t="shared" si="967"/>
        <v>2</v>
      </c>
      <c r="AH800" t="str">
        <f t="shared" si="965"/>
        <v>1</v>
      </c>
      <c r="AI800" t="str">
        <f>"1         "</f>
        <v xml:space="preserve">1         </v>
      </c>
      <c r="AJ800" t="str">
        <f t="shared" si="935"/>
        <v>170</v>
      </c>
      <c r="AK800" t="str">
        <f>"05"</f>
        <v>05</v>
      </c>
      <c r="AL800" t="str">
        <f>"380"</f>
        <v>380</v>
      </c>
      <c r="AM800" t="str">
        <f>"05"</f>
        <v>05</v>
      </c>
      <c r="AN800" t="str">
        <f>"05001"</f>
        <v>05001</v>
      </c>
      <c r="AO800" t="str">
        <f>"6/10/2020 12:00:00 a. m."</f>
        <v>6/10/2020 12:00:00 a. m.</v>
      </c>
      <c r="AP800" t="str">
        <f>"21/09/2020 12:00:00 a. m."</f>
        <v>21/09/2020 12:00:00 a. m.</v>
      </c>
      <c r="AQ800" t="str">
        <f>"2"</f>
        <v>2</v>
      </c>
      <c r="AR800" t="str">
        <f t="shared" si="955"/>
        <v>1</v>
      </c>
      <c r="AS800" t="str">
        <f>"6/10/2020 12:00:00 a. m."</f>
        <v>6/10/2020 12:00:00 a. m.</v>
      </c>
      <c r="AT800" t="str">
        <f t="shared" si="961"/>
        <v>1</v>
      </c>
      <c r="AU800" t="str">
        <f>""</f>
        <v/>
      </c>
      <c r="AV800" t="str">
        <f>"3"</f>
        <v>3</v>
      </c>
      <c r="AW800" t="str">
        <f>"25/04/2010 12:00:00 a. m."</f>
        <v>25/04/2010 12:00:00 a. m.</v>
      </c>
      <c r="AX800" t="str">
        <f>""</f>
        <v/>
      </c>
      <c r="AY800" t="str">
        <f t="shared" si="921"/>
        <v>30/04/2021 12:00:00 a. m.</v>
      </c>
      <c r="AZ800" t="str">
        <f>"30/03/2021 12:00:00 a. m."</f>
        <v>30/03/2021 12:00:00 a. m.</v>
      </c>
      <c r="BA800" t="str">
        <f>""</f>
        <v/>
      </c>
      <c r="BB800" t="str">
        <f>""</f>
        <v/>
      </c>
      <c r="BC800" t="str">
        <f>""</f>
        <v/>
      </c>
      <c r="BD800" t="str">
        <f t="shared" si="948"/>
        <v>1</v>
      </c>
      <c r="BE800" t="str">
        <f t="shared" si="948"/>
        <v>1</v>
      </c>
      <c r="BF800" t="str">
        <f t="shared" si="922"/>
        <v xml:space="preserve">3         </v>
      </c>
      <c r="BG800" t="str">
        <f t="shared" si="923"/>
        <v>Confirmado por laboratorio</v>
      </c>
      <c r="BH800" t="str">
        <f>"HOSPITAL GENERAL DE MEDELLIN - LUZ CASTRO DE GUTIE"</f>
        <v>HOSPITAL GENERAL DE MEDELLIN - LUZ CASTRO DE GUTIE</v>
      </c>
      <c r="BI800" t="str">
        <f t="shared" si="939"/>
        <v>COLOMBIA</v>
      </c>
      <c r="BJ800" t="str">
        <f t="shared" si="924"/>
        <v>CANCER INFANTIL</v>
      </c>
      <c r="BK800" t="str">
        <f>"ANTIOQUIA"</f>
        <v>ANTIOQUIA</v>
      </c>
      <c r="BL800" t="str">
        <f>"LA ESTRELLA"</f>
        <v>LA ESTRELLA</v>
      </c>
      <c r="BM800" t="str">
        <f t="shared" si="941"/>
        <v>COLOMBIA</v>
      </c>
      <c r="BN800" t="str">
        <f>"ANTIOQUIA"</f>
        <v>ANTIOQUIA</v>
      </c>
      <c r="BO800" t="str">
        <f>"LA ESTRELLA"</f>
        <v>LA ESTRELLA</v>
      </c>
      <c r="BP800" t="str">
        <f>"ANTIOQUIA"</f>
        <v>ANTIOQUIA</v>
      </c>
      <c r="BQ800" t="str">
        <f>"MEDELLIN"</f>
        <v>MEDELLIN</v>
      </c>
    </row>
    <row r="801" spans="1:69" x14ac:dyDescent="0.25">
      <c r="A801" t="str">
        <f>"7291449"</f>
        <v>7291449</v>
      </c>
      <c r="B801" t="str">
        <f t="shared" si="917"/>
        <v>459</v>
      </c>
      <c r="C801" t="str">
        <f>"1/12/2020 12:00:00 a. m."</f>
        <v>1/12/2020 12:00:00 a. m.</v>
      </c>
      <c r="D801" t="str">
        <f>"44"</f>
        <v>44</v>
      </c>
      <c r="E801" t="str">
        <f t="shared" si="918"/>
        <v>2020</v>
      </c>
      <c r="F801" t="str">
        <f>"1100105681"</f>
        <v>1100105681</v>
      </c>
      <c r="G801" t="str">
        <f t="shared" si="951"/>
        <v>01</v>
      </c>
      <c r="H801" t="str">
        <f>"10"</f>
        <v>10</v>
      </c>
      <c r="I801" t="str">
        <f t="shared" si="957"/>
        <v>1</v>
      </c>
      <c r="J801" t="str">
        <f>"F"</f>
        <v>F</v>
      </c>
      <c r="K801" t="str">
        <f t="shared" si="933"/>
        <v>170</v>
      </c>
      <c r="L801" t="str">
        <f>"11"</f>
        <v>11</v>
      </c>
      <c r="M801" t="str">
        <f t="shared" ref="M801:M808" si="968">"001"</f>
        <v>001</v>
      </c>
      <c r="N801" t="str">
        <f t="shared" si="966"/>
        <v>1</v>
      </c>
      <c r="O801" t="str">
        <f t="shared" ref="O801:O807" si="969">"9997"</f>
        <v>9997</v>
      </c>
      <c r="P801" t="str">
        <f>"C"</f>
        <v>C</v>
      </c>
      <c r="Q801" t="str">
        <f>"EPS002"</f>
        <v>EPS002</v>
      </c>
      <c r="R801" t="str">
        <f t="shared" si="953"/>
        <v>6</v>
      </c>
      <c r="S801" t="str">
        <f>""</f>
        <v/>
      </c>
      <c r="T801" t="str">
        <f t="shared" si="962"/>
        <v xml:space="preserve">                                                                                                    </v>
      </c>
      <c r="U801" t="str">
        <f t="shared" ref="U801:U810" si="970">"2         "</f>
        <v xml:space="preserve">2         </v>
      </c>
      <c r="V801" t="str">
        <f t="shared" si="899"/>
        <v>2</v>
      </c>
      <c r="W801" t="str">
        <f t="shared" si="963"/>
        <v>2</v>
      </c>
      <c r="X801" t="str">
        <f t="shared" si="960"/>
        <v>2</v>
      </c>
      <c r="Y801" t="str">
        <f t="shared" si="964"/>
        <v>2</v>
      </c>
      <c r="Z801" t="str">
        <f t="shared" si="964"/>
        <v>2</v>
      </c>
      <c r="AA801" t="str">
        <f t="shared" si="919"/>
        <v xml:space="preserve">          </v>
      </c>
      <c r="AB801" t="str">
        <f t="shared" si="907"/>
        <v>2</v>
      </c>
      <c r="AC801" t="str">
        <f t="shared" si="908"/>
        <v>2</v>
      </c>
      <c r="AD801" t="str">
        <f t="shared" si="967"/>
        <v>2</v>
      </c>
      <c r="AE801" t="str">
        <f t="shared" si="967"/>
        <v>2</v>
      </c>
      <c r="AF801" t="str">
        <f t="shared" si="967"/>
        <v>2</v>
      </c>
      <c r="AG801" t="str">
        <f t="shared" si="967"/>
        <v>2</v>
      </c>
      <c r="AH801" t="str">
        <f t="shared" si="965"/>
        <v>1</v>
      </c>
      <c r="AI801" t="str">
        <f>"1         "</f>
        <v xml:space="preserve">1         </v>
      </c>
      <c r="AJ801" t="str">
        <f t="shared" si="935"/>
        <v>170</v>
      </c>
      <c r="AK801" t="str">
        <f>"11"</f>
        <v>11</v>
      </c>
      <c r="AL801" t="str">
        <f t="shared" ref="AL801:AL808" si="971">"001"</f>
        <v>001</v>
      </c>
      <c r="AM801" t="str">
        <f>"11"</f>
        <v>11</v>
      </c>
      <c r="AN801" t="str">
        <f>"11001"</f>
        <v>11001</v>
      </c>
      <c r="AO801" t="str">
        <f>"28/10/2020 12:00:00 a. m."</f>
        <v>28/10/2020 12:00:00 a. m.</v>
      </c>
      <c r="AP801" t="str">
        <f>"15/07/2020 12:00:00 a. m."</f>
        <v>15/07/2020 12:00:00 a. m.</v>
      </c>
      <c r="AQ801" t="str">
        <f>"3"</f>
        <v>3</v>
      </c>
      <c r="AR801" t="str">
        <f t="shared" si="955"/>
        <v>1</v>
      </c>
      <c r="AS801" t="str">
        <f>"28/10/2020 12:00:00 a. m."</f>
        <v>28/10/2020 12:00:00 a. m.</v>
      </c>
      <c r="AT801" t="str">
        <f t="shared" si="961"/>
        <v>1</v>
      </c>
      <c r="AU801" t="str">
        <f>""</f>
        <v/>
      </c>
      <c r="AV801" t="str">
        <f>"0"</f>
        <v>0</v>
      </c>
      <c r="AW801" t="str">
        <f>"1/12/2010 12:00:00 a. m."</f>
        <v>1/12/2010 12:00:00 a. m.</v>
      </c>
      <c r="AX801" t="str">
        <f>""</f>
        <v/>
      </c>
      <c r="AY801" t="str">
        <f t="shared" si="921"/>
        <v>30/04/2021 12:00:00 a. m.</v>
      </c>
      <c r="AZ801" t="str">
        <f>"7/01/2021 12:00:00 a. m."</f>
        <v>7/01/2021 12:00:00 a. m.</v>
      </c>
      <c r="BA801" t="str">
        <f>""</f>
        <v/>
      </c>
      <c r="BB801" t="str">
        <f>""</f>
        <v/>
      </c>
      <c r="BC801" t="str">
        <f>""</f>
        <v/>
      </c>
      <c r="BD801" t="str">
        <f t="shared" si="948"/>
        <v>1</v>
      </c>
      <c r="BE801" t="str">
        <f t="shared" si="948"/>
        <v>1</v>
      </c>
      <c r="BF801" t="str">
        <f t="shared" si="922"/>
        <v xml:space="preserve">3         </v>
      </c>
      <c r="BG801" t="str">
        <f t="shared" si="923"/>
        <v>Confirmado por laboratorio</v>
      </c>
      <c r="BH801" t="str">
        <f>"FUNDACION HOSPITAL DE LA MISERICORDIA"</f>
        <v>FUNDACION HOSPITAL DE LA MISERICORDIA</v>
      </c>
      <c r="BI801" t="str">
        <f t="shared" si="939"/>
        <v>COLOMBIA</v>
      </c>
      <c r="BJ801" t="str">
        <f t="shared" si="924"/>
        <v>CANCER INFANTIL</v>
      </c>
      <c r="BK801" t="str">
        <f t="shared" ref="BK801:BL803" si="972">"BOGOTA"</f>
        <v>BOGOTA</v>
      </c>
      <c r="BL801" t="str">
        <f t="shared" si="972"/>
        <v>BOGOTA</v>
      </c>
      <c r="BM801" t="str">
        <f t="shared" si="941"/>
        <v>COLOMBIA</v>
      </c>
      <c r="BN801" t="str">
        <f t="shared" ref="BN801:BQ803" si="973">"BOGOTA"</f>
        <v>BOGOTA</v>
      </c>
      <c r="BO801" t="str">
        <f t="shared" si="973"/>
        <v>BOGOTA</v>
      </c>
      <c r="BP801" t="str">
        <f t="shared" si="973"/>
        <v>BOGOTA</v>
      </c>
      <c r="BQ801" t="str">
        <f t="shared" si="973"/>
        <v>BOGOTA</v>
      </c>
    </row>
    <row r="802" spans="1:69" x14ac:dyDescent="0.25">
      <c r="A802" t="str">
        <f>"7291452"</f>
        <v>7291452</v>
      </c>
      <c r="B802" t="str">
        <f t="shared" si="917"/>
        <v>459</v>
      </c>
      <c r="C802" t="str">
        <f>"14/07/2020 12:00:00 a. m."</f>
        <v>14/07/2020 12:00:00 a. m.</v>
      </c>
      <c r="D802" t="str">
        <f>"28"</f>
        <v>28</v>
      </c>
      <c r="E802" t="str">
        <f t="shared" si="918"/>
        <v>2020</v>
      </c>
      <c r="F802" t="str">
        <f>"1100108258"</f>
        <v>1100108258</v>
      </c>
      <c r="G802" t="str">
        <f t="shared" si="951"/>
        <v>01</v>
      </c>
      <c r="H802" t="str">
        <f>"7"</f>
        <v>7</v>
      </c>
      <c r="I802" t="str">
        <f t="shared" si="957"/>
        <v>1</v>
      </c>
      <c r="J802" t="str">
        <f>"F"</f>
        <v>F</v>
      </c>
      <c r="K802" t="str">
        <f t="shared" si="933"/>
        <v>170</v>
      </c>
      <c r="L802" t="str">
        <f>"11"</f>
        <v>11</v>
      </c>
      <c r="M802" t="str">
        <f t="shared" si="968"/>
        <v>001</v>
      </c>
      <c r="N802" t="str">
        <f t="shared" si="966"/>
        <v>1</v>
      </c>
      <c r="O802" t="str">
        <f t="shared" si="969"/>
        <v>9997</v>
      </c>
      <c r="P802" t="str">
        <f>"C"</f>
        <v>C</v>
      </c>
      <c r="Q802" t="str">
        <f>"EPS002"</f>
        <v>EPS002</v>
      </c>
      <c r="R802" t="str">
        <f t="shared" si="953"/>
        <v>6</v>
      </c>
      <c r="S802" t="str">
        <f>""</f>
        <v/>
      </c>
      <c r="T802" t="str">
        <f t="shared" si="962"/>
        <v xml:space="preserve">                                                                                                    </v>
      </c>
      <c r="U802" t="str">
        <f t="shared" si="970"/>
        <v xml:space="preserve">2         </v>
      </c>
      <c r="V802" t="str">
        <f t="shared" si="899"/>
        <v>2</v>
      </c>
      <c r="W802" t="str">
        <f t="shared" si="963"/>
        <v>2</v>
      </c>
      <c r="X802" t="str">
        <f t="shared" si="960"/>
        <v>2</v>
      </c>
      <c r="Y802" t="str">
        <f t="shared" si="964"/>
        <v>2</v>
      </c>
      <c r="Z802" t="str">
        <f t="shared" si="964"/>
        <v>2</v>
      </c>
      <c r="AA802" t="str">
        <f t="shared" si="919"/>
        <v xml:space="preserve">          </v>
      </c>
      <c r="AB802" t="str">
        <f t="shared" si="907"/>
        <v>2</v>
      </c>
      <c r="AC802" t="str">
        <f t="shared" si="908"/>
        <v>2</v>
      </c>
      <c r="AD802" t="str">
        <f t="shared" si="967"/>
        <v>2</v>
      </c>
      <c r="AE802" t="str">
        <f t="shared" si="967"/>
        <v>2</v>
      </c>
      <c r="AF802" t="str">
        <f t="shared" si="967"/>
        <v>2</v>
      </c>
      <c r="AG802" t="str">
        <f t="shared" si="967"/>
        <v>2</v>
      </c>
      <c r="AH802" t="str">
        <f t="shared" si="965"/>
        <v>1</v>
      </c>
      <c r="AI802" t="str">
        <f>"2         "</f>
        <v xml:space="preserve">2         </v>
      </c>
      <c r="AJ802" t="str">
        <f t="shared" si="935"/>
        <v>170</v>
      </c>
      <c r="AK802" t="str">
        <f>"11"</f>
        <v>11</v>
      </c>
      <c r="AL802" t="str">
        <f t="shared" si="971"/>
        <v>001</v>
      </c>
      <c r="AM802" t="str">
        <f>"11"</f>
        <v>11</v>
      </c>
      <c r="AN802" t="str">
        <f>"11001"</f>
        <v>11001</v>
      </c>
      <c r="AO802" t="str">
        <f>"7/07/2020 12:00:00 a. m."</f>
        <v>7/07/2020 12:00:00 a. m.</v>
      </c>
      <c r="AP802" t="str">
        <f>"1/01/2018 12:00:00 a. m."</f>
        <v>1/01/2018 12:00:00 a. m.</v>
      </c>
      <c r="AQ802" t="str">
        <f>"3"</f>
        <v>3</v>
      </c>
      <c r="AR802" t="str">
        <f t="shared" si="955"/>
        <v>1</v>
      </c>
      <c r="AS802" t="str">
        <f>"7/07/2020 12:00:00 a. m."</f>
        <v>7/07/2020 12:00:00 a. m.</v>
      </c>
      <c r="AT802" t="str">
        <f t="shared" si="961"/>
        <v>1</v>
      </c>
      <c r="AU802" t="str">
        <f>""</f>
        <v/>
      </c>
      <c r="AV802" t="str">
        <f>"0"</f>
        <v>0</v>
      </c>
      <c r="AW802" t="str">
        <f>"11/07/2013 12:00:00 a. m."</f>
        <v>11/07/2013 12:00:00 a. m.</v>
      </c>
      <c r="AX802" t="str">
        <f>""</f>
        <v/>
      </c>
      <c r="AY802" t="str">
        <f t="shared" si="921"/>
        <v>30/04/2021 12:00:00 a. m.</v>
      </c>
      <c r="AZ802" t="str">
        <f>"14/07/2020 12:00:00 a. m."</f>
        <v>14/07/2020 12:00:00 a. m.</v>
      </c>
      <c r="BA802" t="str">
        <f>""</f>
        <v/>
      </c>
      <c r="BB802" t="str">
        <f>""</f>
        <v/>
      </c>
      <c r="BC802" t="str">
        <f>""</f>
        <v/>
      </c>
      <c r="BD802" t="str">
        <f t="shared" ref="BD802:BE821" si="974">"1"</f>
        <v>1</v>
      </c>
      <c r="BE802" t="str">
        <f t="shared" si="974"/>
        <v>1</v>
      </c>
      <c r="BF802" t="str">
        <f t="shared" si="922"/>
        <v xml:space="preserve">3         </v>
      </c>
      <c r="BG802" t="str">
        <f t="shared" si="923"/>
        <v>Confirmado por laboratorio</v>
      </c>
      <c r="BH802" t="str">
        <f>"INSTITUTO DE ORTOPEDIA INFANTIL ROOSEVELT"</f>
        <v>INSTITUTO DE ORTOPEDIA INFANTIL ROOSEVELT</v>
      </c>
      <c r="BI802" t="str">
        <f t="shared" si="939"/>
        <v>COLOMBIA</v>
      </c>
      <c r="BJ802" t="str">
        <f t="shared" si="924"/>
        <v>CANCER INFANTIL</v>
      </c>
      <c r="BK802" t="str">
        <f t="shared" si="972"/>
        <v>BOGOTA</v>
      </c>
      <c r="BL802" t="str">
        <f t="shared" si="972"/>
        <v>BOGOTA</v>
      </c>
      <c r="BM802" t="str">
        <f t="shared" si="941"/>
        <v>COLOMBIA</v>
      </c>
      <c r="BN802" t="str">
        <f t="shared" si="973"/>
        <v>BOGOTA</v>
      </c>
      <c r="BO802" t="str">
        <f t="shared" si="973"/>
        <v>BOGOTA</v>
      </c>
      <c r="BP802" t="str">
        <f t="shared" si="973"/>
        <v>BOGOTA</v>
      </c>
      <c r="BQ802" t="str">
        <f t="shared" si="973"/>
        <v>BOGOTA</v>
      </c>
    </row>
    <row r="803" spans="1:69" x14ac:dyDescent="0.25">
      <c r="A803" t="str">
        <f>"7291453"</f>
        <v>7291453</v>
      </c>
      <c r="B803" t="str">
        <f t="shared" si="917"/>
        <v>459</v>
      </c>
      <c r="C803" t="str">
        <f>"9/01/2020 12:00:00 a. m."</f>
        <v>9/01/2020 12:00:00 a. m.</v>
      </c>
      <c r="D803" t="str">
        <f>"01"</f>
        <v>01</v>
      </c>
      <c r="E803" t="str">
        <f t="shared" si="918"/>
        <v>2020</v>
      </c>
      <c r="F803" t="str">
        <f>"1100105681"</f>
        <v>1100105681</v>
      </c>
      <c r="G803" t="str">
        <f t="shared" si="951"/>
        <v>01</v>
      </c>
      <c r="H803" t="str">
        <f>"15"</f>
        <v>15</v>
      </c>
      <c r="I803" t="str">
        <f t="shared" si="957"/>
        <v>1</v>
      </c>
      <c r="J803" t="str">
        <f>"F"</f>
        <v>F</v>
      </c>
      <c r="K803" t="str">
        <f t="shared" si="933"/>
        <v>170</v>
      </c>
      <c r="L803" t="str">
        <f>"11"</f>
        <v>11</v>
      </c>
      <c r="M803" t="str">
        <f t="shared" si="968"/>
        <v>001</v>
      </c>
      <c r="N803" t="str">
        <f t="shared" si="966"/>
        <v>1</v>
      </c>
      <c r="O803" t="str">
        <f t="shared" si="969"/>
        <v>9997</v>
      </c>
      <c r="P803" t="str">
        <f>"S"</f>
        <v>S</v>
      </c>
      <c r="Q803" t="str">
        <f>"EPSS34"</f>
        <v>EPSS34</v>
      </c>
      <c r="R803" t="str">
        <f t="shared" si="953"/>
        <v>6</v>
      </c>
      <c r="S803" t="str">
        <f>""</f>
        <v/>
      </c>
      <c r="T803" t="str">
        <f t="shared" si="962"/>
        <v xml:space="preserve">                                                                                                    </v>
      </c>
      <c r="U803" t="str">
        <f t="shared" si="970"/>
        <v xml:space="preserve">2         </v>
      </c>
      <c r="V803" t="str">
        <f t="shared" si="899"/>
        <v>2</v>
      </c>
      <c r="W803" t="str">
        <f t="shared" si="963"/>
        <v>2</v>
      </c>
      <c r="X803" t="str">
        <f t="shared" si="960"/>
        <v>2</v>
      </c>
      <c r="Y803" t="str">
        <f t="shared" si="964"/>
        <v>2</v>
      </c>
      <c r="Z803" t="str">
        <f t="shared" si="964"/>
        <v>2</v>
      </c>
      <c r="AA803" t="str">
        <f t="shared" si="919"/>
        <v xml:space="preserve">          </v>
      </c>
      <c r="AB803" t="str">
        <f t="shared" si="907"/>
        <v>2</v>
      </c>
      <c r="AC803" t="str">
        <f t="shared" si="908"/>
        <v>2</v>
      </c>
      <c r="AD803" t="str">
        <f t="shared" si="967"/>
        <v>2</v>
      </c>
      <c r="AE803" t="str">
        <f t="shared" si="967"/>
        <v>2</v>
      </c>
      <c r="AF803" t="str">
        <f t="shared" si="967"/>
        <v>2</v>
      </c>
      <c r="AG803" t="str">
        <f t="shared" si="967"/>
        <v>2</v>
      </c>
      <c r="AH803" t="str">
        <f t="shared" si="965"/>
        <v>1</v>
      </c>
      <c r="AI803" t="str">
        <f t="shared" ref="AI803:AI812" si="975">"1         "</f>
        <v xml:space="preserve">1         </v>
      </c>
      <c r="AJ803" t="str">
        <f t="shared" si="935"/>
        <v>170</v>
      </c>
      <c r="AK803" t="str">
        <f>"11"</f>
        <v>11</v>
      </c>
      <c r="AL803" t="str">
        <f t="shared" si="971"/>
        <v>001</v>
      </c>
      <c r="AM803" t="str">
        <f>"11"</f>
        <v>11</v>
      </c>
      <c r="AN803" t="str">
        <f>"11001"</f>
        <v>11001</v>
      </c>
      <c r="AO803" t="str">
        <f>"3/01/2020 12:00:00 a. m."</f>
        <v>3/01/2020 12:00:00 a. m.</v>
      </c>
      <c r="AP803" t="str">
        <f>"3/01/2020 12:00:00 a. m."</f>
        <v>3/01/2020 12:00:00 a. m.</v>
      </c>
      <c r="AQ803" t="str">
        <f>"3"</f>
        <v>3</v>
      </c>
      <c r="AR803" t="str">
        <f t="shared" si="955"/>
        <v>1</v>
      </c>
      <c r="AS803" t="str">
        <f>"3/01/2020 12:00:00 a. m."</f>
        <v>3/01/2020 12:00:00 a. m.</v>
      </c>
      <c r="AT803" t="str">
        <f t="shared" si="961"/>
        <v>1</v>
      </c>
      <c r="AU803" t="str">
        <f>""</f>
        <v/>
      </c>
      <c r="AV803" t="str">
        <f>"0"</f>
        <v>0</v>
      </c>
      <c r="AW803" t="str">
        <f>"16/07/2004 12:00:00 a. m."</f>
        <v>16/07/2004 12:00:00 a. m.</v>
      </c>
      <c r="AX803" t="str">
        <f>""</f>
        <v/>
      </c>
      <c r="AY803" t="str">
        <f t="shared" si="921"/>
        <v>30/04/2021 12:00:00 a. m.</v>
      </c>
      <c r="AZ803" t="str">
        <f>"13/02/2020 12:00:00 a. m."</f>
        <v>13/02/2020 12:00:00 a. m.</v>
      </c>
      <c r="BA803" t="str">
        <f>""</f>
        <v/>
      </c>
      <c r="BB803" t="str">
        <f>""</f>
        <v/>
      </c>
      <c r="BC803" t="str">
        <f>""</f>
        <v/>
      </c>
      <c r="BD803" t="str">
        <f t="shared" si="974"/>
        <v>1</v>
      </c>
      <c r="BE803" t="str">
        <f t="shared" si="974"/>
        <v>1</v>
      </c>
      <c r="BF803" t="str">
        <f t="shared" si="922"/>
        <v xml:space="preserve">3         </v>
      </c>
      <c r="BG803" t="str">
        <f t="shared" si="923"/>
        <v>Confirmado por laboratorio</v>
      </c>
      <c r="BH803" t="str">
        <f>"FUNDACION HOSPITAL DE LA MISERICORDIA"</f>
        <v>FUNDACION HOSPITAL DE LA MISERICORDIA</v>
      </c>
      <c r="BI803" t="str">
        <f t="shared" si="939"/>
        <v>COLOMBIA</v>
      </c>
      <c r="BJ803" t="str">
        <f t="shared" si="924"/>
        <v>CANCER INFANTIL</v>
      </c>
      <c r="BK803" t="str">
        <f t="shared" si="972"/>
        <v>BOGOTA</v>
      </c>
      <c r="BL803" t="str">
        <f t="shared" si="972"/>
        <v>BOGOTA</v>
      </c>
      <c r="BM803" t="str">
        <f t="shared" si="941"/>
        <v>COLOMBIA</v>
      </c>
      <c r="BN803" t="str">
        <f t="shared" si="973"/>
        <v>BOGOTA</v>
      </c>
      <c r="BO803" t="str">
        <f t="shared" si="973"/>
        <v>BOGOTA</v>
      </c>
      <c r="BP803" t="str">
        <f t="shared" si="973"/>
        <v>BOGOTA</v>
      </c>
      <c r="BQ803" t="str">
        <f t="shared" si="973"/>
        <v>BOGOTA</v>
      </c>
    </row>
    <row r="804" spans="1:69" x14ac:dyDescent="0.25">
      <c r="A804" t="str">
        <f>"7291743"</f>
        <v>7291743</v>
      </c>
      <c r="B804" t="str">
        <f t="shared" si="917"/>
        <v>459</v>
      </c>
      <c r="C804" t="str">
        <f>"18/02/2020 12:00:00 a. m."</f>
        <v>18/02/2020 12:00:00 a. m.</v>
      </c>
      <c r="D804" t="str">
        <f>"08"</f>
        <v>08</v>
      </c>
      <c r="E804" t="str">
        <f t="shared" si="918"/>
        <v>2020</v>
      </c>
      <c r="F804" t="str">
        <f>"5000100529"</f>
        <v>5000100529</v>
      </c>
      <c r="G804" t="str">
        <f t="shared" si="951"/>
        <v>01</v>
      </c>
      <c r="H804" t="str">
        <f>"13"</f>
        <v>13</v>
      </c>
      <c r="I804" t="str">
        <f t="shared" si="957"/>
        <v>1</v>
      </c>
      <c r="J804" t="str">
        <f>"M"</f>
        <v>M</v>
      </c>
      <c r="K804" t="str">
        <f t="shared" si="933"/>
        <v>170</v>
      </c>
      <c r="L804" t="str">
        <f>"50"</f>
        <v>50</v>
      </c>
      <c r="M804" t="str">
        <f t="shared" si="968"/>
        <v>001</v>
      </c>
      <c r="N804" t="str">
        <f t="shared" si="966"/>
        <v>1</v>
      </c>
      <c r="O804" t="str">
        <f t="shared" si="969"/>
        <v>9997</v>
      </c>
      <c r="P804" t="str">
        <f>"C"</f>
        <v>C</v>
      </c>
      <c r="Q804" t="str">
        <f>"CCFC55"</f>
        <v>CCFC55</v>
      </c>
      <c r="R804" t="str">
        <f t="shared" si="953"/>
        <v>6</v>
      </c>
      <c r="S804" t="str">
        <f>""</f>
        <v/>
      </c>
      <c r="T804" t="str">
        <f t="shared" si="962"/>
        <v xml:space="preserve">                                                                                                    </v>
      </c>
      <c r="U804" t="str">
        <f t="shared" si="970"/>
        <v xml:space="preserve">2         </v>
      </c>
      <c r="V804" t="str">
        <f t="shared" si="899"/>
        <v>2</v>
      </c>
      <c r="W804" t="str">
        <f t="shared" si="963"/>
        <v>2</v>
      </c>
      <c r="X804" t="str">
        <f t="shared" si="960"/>
        <v>2</v>
      </c>
      <c r="Y804" t="str">
        <f t="shared" si="964"/>
        <v>2</v>
      </c>
      <c r="Z804" t="str">
        <f t="shared" si="964"/>
        <v>2</v>
      </c>
      <c r="AA804" t="str">
        <f t="shared" si="919"/>
        <v xml:space="preserve">          </v>
      </c>
      <c r="AB804" t="str">
        <f t="shared" si="907"/>
        <v>2</v>
      </c>
      <c r="AC804" t="str">
        <f t="shared" si="908"/>
        <v>2</v>
      </c>
      <c r="AD804" t="str">
        <f t="shared" si="967"/>
        <v>2</v>
      </c>
      <c r="AE804" t="str">
        <f t="shared" si="967"/>
        <v>2</v>
      </c>
      <c r="AF804" t="str">
        <f t="shared" si="967"/>
        <v>2</v>
      </c>
      <c r="AG804" t="str">
        <f t="shared" si="967"/>
        <v>2</v>
      </c>
      <c r="AH804" t="str">
        <f t="shared" si="965"/>
        <v>1</v>
      </c>
      <c r="AI804" t="str">
        <f t="shared" si="975"/>
        <v xml:space="preserve">1         </v>
      </c>
      <c r="AJ804" t="str">
        <f t="shared" si="935"/>
        <v>170</v>
      </c>
      <c r="AK804" t="str">
        <f>"50"</f>
        <v>50</v>
      </c>
      <c r="AL804" t="str">
        <f t="shared" si="971"/>
        <v>001</v>
      </c>
      <c r="AM804" t="str">
        <f>"50"</f>
        <v>50</v>
      </c>
      <c r="AN804" t="str">
        <f>"50001"</f>
        <v>50001</v>
      </c>
      <c r="AO804" t="str">
        <f>"17/02/2020 12:00:00 a. m."</f>
        <v>17/02/2020 12:00:00 a. m.</v>
      </c>
      <c r="AP804" t="str">
        <f>"15/01/2020 12:00:00 a. m."</f>
        <v>15/01/2020 12:00:00 a. m.</v>
      </c>
      <c r="AQ804" t="str">
        <f>"3"</f>
        <v>3</v>
      </c>
      <c r="AR804" t="str">
        <f t="shared" si="955"/>
        <v>1</v>
      </c>
      <c r="AS804" t="str">
        <f>"17/02/2020 12:00:00 a. m."</f>
        <v>17/02/2020 12:00:00 a. m.</v>
      </c>
      <c r="AT804" t="str">
        <f t="shared" si="961"/>
        <v>1</v>
      </c>
      <c r="AU804" t="str">
        <f>""</f>
        <v/>
      </c>
      <c r="AV804" t="str">
        <f>"3"</f>
        <v>3</v>
      </c>
      <c r="AW804" t="str">
        <f>"4/12/2006 12:00:00 a. m."</f>
        <v>4/12/2006 12:00:00 a. m.</v>
      </c>
      <c r="AX804" t="str">
        <f>""</f>
        <v/>
      </c>
      <c r="AY804" t="str">
        <f t="shared" si="921"/>
        <v>30/04/2021 12:00:00 a. m.</v>
      </c>
      <c r="AZ804" t="str">
        <f>"5/12/2020 12:00:00 a. m."</f>
        <v>5/12/2020 12:00:00 a. m.</v>
      </c>
      <c r="BA804" t="str">
        <f>""</f>
        <v/>
      </c>
      <c r="BB804" t="str">
        <f>""</f>
        <v/>
      </c>
      <c r="BC804" t="str">
        <f>""</f>
        <v/>
      </c>
      <c r="BD804" t="str">
        <f t="shared" si="974"/>
        <v>1</v>
      </c>
      <c r="BE804" t="str">
        <f t="shared" si="974"/>
        <v>1</v>
      </c>
      <c r="BF804" t="str">
        <f t="shared" si="922"/>
        <v xml:space="preserve">3         </v>
      </c>
      <c r="BG804" t="str">
        <f t="shared" si="923"/>
        <v>Confirmado por laboratorio</v>
      </c>
      <c r="BH804" t="str">
        <f>"HOSPITAL DEPARTAMENTAL DE VILLAVICENCIO"</f>
        <v>HOSPITAL DEPARTAMENTAL DE VILLAVICENCIO</v>
      </c>
      <c r="BI804" t="str">
        <f t="shared" si="939"/>
        <v>COLOMBIA</v>
      </c>
      <c r="BJ804" t="str">
        <f t="shared" si="924"/>
        <v>CANCER INFANTIL</v>
      </c>
      <c r="BK804" t="str">
        <f>"META"</f>
        <v>META</v>
      </c>
      <c r="BL804" t="str">
        <f>"VILLAVICENCIO"</f>
        <v>VILLAVICENCIO</v>
      </c>
      <c r="BM804" t="str">
        <f t="shared" si="941"/>
        <v>COLOMBIA</v>
      </c>
      <c r="BN804" t="str">
        <f>"META"</f>
        <v>META</v>
      </c>
      <c r="BO804" t="str">
        <f>"VILLAVICENCIO"</f>
        <v>VILLAVICENCIO</v>
      </c>
      <c r="BP804" t="str">
        <f>"META"</f>
        <v>META</v>
      </c>
      <c r="BQ804" t="str">
        <f>"VILLAVICENCIO"</f>
        <v>VILLAVICENCIO</v>
      </c>
    </row>
    <row r="805" spans="1:69" x14ac:dyDescent="0.25">
      <c r="A805" t="str">
        <f>"7291744"</f>
        <v>7291744</v>
      </c>
      <c r="B805" t="str">
        <f t="shared" si="917"/>
        <v>459</v>
      </c>
      <c r="C805" t="str">
        <f>"1/03/2020 12:00:00 a. m."</f>
        <v>1/03/2020 12:00:00 a. m.</v>
      </c>
      <c r="D805" t="str">
        <f>"10"</f>
        <v>10</v>
      </c>
      <c r="E805" t="str">
        <f t="shared" si="918"/>
        <v>2020</v>
      </c>
      <c r="F805" t="str">
        <f>"5000100529"</f>
        <v>5000100529</v>
      </c>
      <c r="G805" t="str">
        <f t="shared" si="951"/>
        <v>01</v>
      </c>
      <c r="H805" t="str">
        <f>"12"</f>
        <v>12</v>
      </c>
      <c r="I805" t="str">
        <f t="shared" si="957"/>
        <v>1</v>
      </c>
      <c r="J805" t="str">
        <f>"F"</f>
        <v>F</v>
      </c>
      <c r="K805" t="str">
        <f t="shared" si="933"/>
        <v>170</v>
      </c>
      <c r="L805" t="str">
        <f>"50"</f>
        <v>50</v>
      </c>
      <c r="M805" t="str">
        <f t="shared" si="968"/>
        <v>001</v>
      </c>
      <c r="N805" t="str">
        <f t="shared" si="966"/>
        <v>1</v>
      </c>
      <c r="O805" t="str">
        <f t="shared" si="969"/>
        <v>9997</v>
      </c>
      <c r="P805" t="str">
        <f>"S"</f>
        <v>S</v>
      </c>
      <c r="Q805" t="str">
        <f>"EPSS34"</f>
        <v>EPSS34</v>
      </c>
      <c r="R805" t="str">
        <f t="shared" si="953"/>
        <v>6</v>
      </c>
      <c r="S805" t="str">
        <f>""</f>
        <v/>
      </c>
      <c r="T805" t="str">
        <f t="shared" si="962"/>
        <v xml:space="preserve">                                                                                                    </v>
      </c>
      <c r="U805" t="str">
        <f t="shared" si="970"/>
        <v xml:space="preserve">2         </v>
      </c>
      <c r="V805" t="str">
        <f t="shared" si="899"/>
        <v>2</v>
      </c>
      <c r="W805" t="str">
        <f t="shared" si="963"/>
        <v>2</v>
      </c>
      <c r="X805" t="str">
        <f t="shared" si="960"/>
        <v>2</v>
      </c>
      <c r="Y805" t="str">
        <f t="shared" si="964"/>
        <v>2</v>
      </c>
      <c r="Z805" t="str">
        <f t="shared" si="964"/>
        <v>2</v>
      </c>
      <c r="AA805" t="str">
        <f t="shared" si="919"/>
        <v xml:space="preserve">          </v>
      </c>
      <c r="AB805" t="str">
        <f t="shared" si="907"/>
        <v>2</v>
      </c>
      <c r="AC805" t="str">
        <f t="shared" si="908"/>
        <v>2</v>
      </c>
      <c r="AD805" t="str">
        <f t="shared" si="967"/>
        <v>2</v>
      </c>
      <c r="AE805" t="str">
        <f t="shared" si="967"/>
        <v>2</v>
      </c>
      <c r="AF805" t="str">
        <f t="shared" si="967"/>
        <v>2</v>
      </c>
      <c r="AG805" t="str">
        <f t="shared" si="967"/>
        <v>2</v>
      </c>
      <c r="AH805" t="str">
        <f t="shared" si="965"/>
        <v>1</v>
      </c>
      <c r="AI805" t="str">
        <f t="shared" si="975"/>
        <v xml:space="preserve">1         </v>
      </c>
      <c r="AJ805" t="str">
        <f t="shared" si="935"/>
        <v>170</v>
      </c>
      <c r="AK805" t="str">
        <f>"50"</f>
        <v>50</v>
      </c>
      <c r="AL805" t="str">
        <f t="shared" si="971"/>
        <v>001</v>
      </c>
      <c r="AM805" t="str">
        <f>"50"</f>
        <v>50</v>
      </c>
      <c r="AN805" t="str">
        <f>"50001"</f>
        <v>50001</v>
      </c>
      <c r="AO805" t="str">
        <f>"1/03/2020 12:00:00 a. m."</f>
        <v>1/03/2020 12:00:00 a. m.</v>
      </c>
      <c r="AP805" t="str">
        <f>"3/09/2019 12:00:00 a. m."</f>
        <v>3/09/2019 12:00:00 a. m.</v>
      </c>
      <c r="AQ805" t="str">
        <f>"2"</f>
        <v>2</v>
      </c>
      <c r="AR805" t="str">
        <f>"2"</f>
        <v>2</v>
      </c>
      <c r="AS805" t="str">
        <f>""</f>
        <v/>
      </c>
      <c r="AT805" t="str">
        <f t="shared" si="961"/>
        <v>1</v>
      </c>
      <c r="AU805" t="str">
        <f>""</f>
        <v/>
      </c>
      <c r="AV805" t="str">
        <f>"3"</f>
        <v>3</v>
      </c>
      <c r="AW805" t="str">
        <f>"10/04/2007 12:00:00 a. m."</f>
        <v>10/04/2007 12:00:00 a. m.</v>
      </c>
      <c r="AX805" t="str">
        <f>""</f>
        <v/>
      </c>
      <c r="AY805" t="str">
        <f t="shared" si="921"/>
        <v>30/04/2021 12:00:00 a. m.</v>
      </c>
      <c r="AZ805" t="str">
        <f>"17/05/2020 12:00:00 a. m."</f>
        <v>17/05/2020 12:00:00 a. m.</v>
      </c>
      <c r="BA805" t="str">
        <f>""</f>
        <v/>
      </c>
      <c r="BB805" t="str">
        <f>""</f>
        <v/>
      </c>
      <c r="BC805" t="str">
        <f>""</f>
        <v/>
      </c>
      <c r="BD805" t="str">
        <f t="shared" si="974"/>
        <v>1</v>
      </c>
      <c r="BE805" t="str">
        <f t="shared" si="974"/>
        <v>1</v>
      </c>
      <c r="BF805" t="str">
        <f t="shared" si="922"/>
        <v xml:space="preserve">3         </v>
      </c>
      <c r="BG805" t="str">
        <f t="shared" si="923"/>
        <v>Confirmado por laboratorio</v>
      </c>
      <c r="BH805" t="str">
        <f>"HOSPITAL DEPARTAMENTAL DE VILLAVICENCIO"</f>
        <v>HOSPITAL DEPARTAMENTAL DE VILLAVICENCIO</v>
      </c>
      <c r="BI805" t="str">
        <f t="shared" si="939"/>
        <v>COLOMBIA</v>
      </c>
      <c r="BJ805" t="str">
        <f t="shared" si="924"/>
        <v>CANCER INFANTIL</v>
      </c>
      <c r="BK805" t="str">
        <f>"META"</f>
        <v>META</v>
      </c>
      <c r="BL805" t="str">
        <f>"VILLAVICENCIO"</f>
        <v>VILLAVICENCIO</v>
      </c>
      <c r="BM805" t="str">
        <f t="shared" si="941"/>
        <v>COLOMBIA</v>
      </c>
      <c r="BN805" t="str">
        <f>"META"</f>
        <v>META</v>
      </c>
      <c r="BO805" t="str">
        <f>"VILLAVICENCIO"</f>
        <v>VILLAVICENCIO</v>
      </c>
      <c r="BP805" t="str">
        <f>"META"</f>
        <v>META</v>
      </c>
      <c r="BQ805" t="str">
        <f>"VILLAVICENCIO"</f>
        <v>VILLAVICENCIO</v>
      </c>
    </row>
    <row r="806" spans="1:69" x14ac:dyDescent="0.25">
      <c r="A806" t="str">
        <f>"7291755"</f>
        <v>7291755</v>
      </c>
      <c r="B806" t="str">
        <f t="shared" si="917"/>
        <v>459</v>
      </c>
      <c r="C806" t="str">
        <f>"31/05/2020 12:00:00 a. m."</f>
        <v>31/05/2020 12:00:00 a. m.</v>
      </c>
      <c r="D806" t="str">
        <f>"22"</f>
        <v>22</v>
      </c>
      <c r="E806" t="str">
        <f t="shared" si="918"/>
        <v>2020</v>
      </c>
      <c r="F806" t="str">
        <f>"5000100529"</f>
        <v>5000100529</v>
      </c>
      <c r="G806" t="str">
        <f t="shared" si="951"/>
        <v>01</v>
      </c>
      <c r="H806" t="str">
        <f>"15"</f>
        <v>15</v>
      </c>
      <c r="I806" t="str">
        <f t="shared" si="957"/>
        <v>1</v>
      </c>
      <c r="J806" t="str">
        <f>"M"</f>
        <v>M</v>
      </c>
      <c r="K806" t="str">
        <f t="shared" si="933"/>
        <v>170</v>
      </c>
      <c r="L806" t="str">
        <f>"50"</f>
        <v>50</v>
      </c>
      <c r="M806" t="str">
        <f t="shared" si="968"/>
        <v>001</v>
      </c>
      <c r="N806" t="str">
        <f t="shared" si="966"/>
        <v>1</v>
      </c>
      <c r="O806" t="str">
        <f t="shared" si="969"/>
        <v>9997</v>
      </c>
      <c r="P806" t="str">
        <f>"C"</f>
        <v>C</v>
      </c>
      <c r="Q806" t="str">
        <f>"CCFC55"</f>
        <v>CCFC55</v>
      </c>
      <c r="R806" t="str">
        <f t="shared" si="953"/>
        <v>6</v>
      </c>
      <c r="S806" t="str">
        <f>""</f>
        <v/>
      </c>
      <c r="T806" t="str">
        <f t="shared" si="962"/>
        <v xml:space="preserve">                                                                                                    </v>
      </c>
      <c r="U806" t="str">
        <f t="shared" si="970"/>
        <v xml:space="preserve">2         </v>
      </c>
      <c r="V806" t="str">
        <f t="shared" si="899"/>
        <v>2</v>
      </c>
      <c r="W806" t="str">
        <f t="shared" si="963"/>
        <v>2</v>
      </c>
      <c r="X806" t="str">
        <f t="shared" si="960"/>
        <v>2</v>
      </c>
      <c r="Y806" t="str">
        <f t="shared" si="964"/>
        <v>2</v>
      </c>
      <c r="Z806" t="str">
        <f t="shared" si="964"/>
        <v>2</v>
      </c>
      <c r="AA806" t="str">
        <f t="shared" si="919"/>
        <v xml:space="preserve">          </v>
      </c>
      <c r="AB806" t="str">
        <f t="shared" si="907"/>
        <v>2</v>
      </c>
      <c r="AC806" t="str">
        <f t="shared" si="908"/>
        <v>2</v>
      </c>
      <c r="AD806" t="str">
        <f t="shared" si="967"/>
        <v>2</v>
      </c>
      <c r="AE806" t="str">
        <f t="shared" si="967"/>
        <v>2</v>
      </c>
      <c r="AF806" t="str">
        <f t="shared" si="967"/>
        <v>2</v>
      </c>
      <c r="AG806" t="str">
        <f t="shared" si="967"/>
        <v>2</v>
      </c>
      <c r="AH806" t="str">
        <f t="shared" si="965"/>
        <v>1</v>
      </c>
      <c r="AI806" t="str">
        <f t="shared" si="975"/>
        <v xml:space="preserve">1         </v>
      </c>
      <c r="AJ806" t="str">
        <f t="shared" si="935"/>
        <v>170</v>
      </c>
      <c r="AK806" t="str">
        <f>"50"</f>
        <v>50</v>
      </c>
      <c r="AL806" t="str">
        <f t="shared" si="971"/>
        <v>001</v>
      </c>
      <c r="AM806" t="str">
        <f>"50"</f>
        <v>50</v>
      </c>
      <c r="AN806" t="str">
        <f>"50001"</f>
        <v>50001</v>
      </c>
      <c r="AO806" t="str">
        <f>"26/05/2020 12:00:00 a. m."</f>
        <v>26/05/2020 12:00:00 a. m.</v>
      </c>
      <c r="AP806" t="str">
        <f>"17/09/2019 12:00:00 a. m."</f>
        <v>17/09/2019 12:00:00 a. m.</v>
      </c>
      <c r="AQ806" t="str">
        <f>"3"</f>
        <v>3</v>
      </c>
      <c r="AR806" t="str">
        <f>"2"</f>
        <v>2</v>
      </c>
      <c r="AS806" t="str">
        <f>""</f>
        <v/>
      </c>
      <c r="AT806" t="str">
        <f t="shared" si="961"/>
        <v>1</v>
      </c>
      <c r="AU806" t="str">
        <f>""</f>
        <v/>
      </c>
      <c r="AV806" t="str">
        <f>"3"</f>
        <v>3</v>
      </c>
      <c r="AW806" t="str">
        <f>"26/04/2005 12:00:00 a. m."</f>
        <v>26/04/2005 12:00:00 a. m.</v>
      </c>
      <c r="AX806" t="str">
        <f>""</f>
        <v/>
      </c>
      <c r="AY806" t="str">
        <f t="shared" si="921"/>
        <v>30/04/2021 12:00:00 a. m.</v>
      </c>
      <c r="AZ806" t="str">
        <f>"29/11/2020 12:00:00 a. m."</f>
        <v>29/11/2020 12:00:00 a. m.</v>
      </c>
      <c r="BA806" t="str">
        <f>""</f>
        <v/>
      </c>
      <c r="BB806" t="str">
        <f>""</f>
        <v/>
      </c>
      <c r="BC806" t="str">
        <f>""</f>
        <v/>
      </c>
      <c r="BD806" t="str">
        <f t="shared" si="974"/>
        <v>1</v>
      </c>
      <c r="BE806" t="str">
        <f t="shared" si="974"/>
        <v>1</v>
      </c>
      <c r="BF806" t="str">
        <f t="shared" si="922"/>
        <v xml:space="preserve">3         </v>
      </c>
      <c r="BG806" t="str">
        <f t="shared" si="923"/>
        <v>Confirmado por laboratorio</v>
      </c>
      <c r="BH806" t="str">
        <f>"HOSPITAL DEPARTAMENTAL DE VILLAVICENCIO"</f>
        <v>HOSPITAL DEPARTAMENTAL DE VILLAVICENCIO</v>
      </c>
      <c r="BI806" t="str">
        <f t="shared" si="939"/>
        <v>COLOMBIA</v>
      </c>
      <c r="BJ806" t="str">
        <f t="shared" si="924"/>
        <v>CANCER INFANTIL</v>
      </c>
      <c r="BK806" t="str">
        <f>"META"</f>
        <v>META</v>
      </c>
      <c r="BL806" t="str">
        <f>"VILLAVICENCIO"</f>
        <v>VILLAVICENCIO</v>
      </c>
      <c r="BM806" t="str">
        <f t="shared" si="941"/>
        <v>COLOMBIA</v>
      </c>
      <c r="BN806" t="str">
        <f>"META"</f>
        <v>META</v>
      </c>
      <c r="BO806" t="str">
        <f>"VILLAVICENCIO"</f>
        <v>VILLAVICENCIO</v>
      </c>
      <c r="BP806" t="str">
        <f>"META"</f>
        <v>META</v>
      </c>
      <c r="BQ806" t="str">
        <f>"VILLAVICENCIO"</f>
        <v>VILLAVICENCIO</v>
      </c>
    </row>
    <row r="807" spans="1:69" x14ac:dyDescent="0.25">
      <c r="A807" t="str">
        <f>"7291761"</f>
        <v>7291761</v>
      </c>
      <c r="B807" t="str">
        <f t="shared" si="917"/>
        <v>459</v>
      </c>
      <c r="C807" t="str">
        <f>"27/08/2020 12:00:00 a. m."</f>
        <v>27/08/2020 12:00:00 a. m.</v>
      </c>
      <c r="D807" t="str">
        <f>"34"</f>
        <v>34</v>
      </c>
      <c r="E807" t="str">
        <f t="shared" si="918"/>
        <v>2020</v>
      </c>
      <c r="F807" t="str">
        <f>"5000100529"</f>
        <v>5000100529</v>
      </c>
      <c r="G807" t="str">
        <f t="shared" si="951"/>
        <v>01</v>
      </c>
      <c r="H807" t="str">
        <f>"11"</f>
        <v>11</v>
      </c>
      <c r="I807" t="str">
        <f t="shared" si="957"/>
        <v>1</v>
      </c>
      <c r="J807" t="str">
        <f>"M"</f>
        <v>M</v>
      </c>
      <c r="K807" t="str">
        <f t="shared" si="933"/>
        <v>170</v>
      </c>
      <c r="L807" t="str">
        <f>"50"</f>
        <v>50</v>
      </c>
      <c r="M807" t="str">
        <f t="shared" si="968"/>
        <v>001</v>
      </c>
      <c r="N807" t="str">
        <f t="shared" si="966"/>
        <v>1</v>
      </c>
      <c r="O807" t="str">
        <f t="shared" si="969"/>
        <v>9997</v>
      </c>
      <c r="P807" t="str">
        <f>"C"</f>
        <v>C</v>
      </c>
      <c r="Q807" t="str">
        <f>"EPS002"</f>
        <v>EPS002</v>
      </c>
      <c r="R807" t="str">
        <f t="shared" si="953"/>
        <v>6</v>
      </c>
      <c r="S807" t="str">
        <f>""</f>
        <v/>
      </c>
      <c r="T807" t="str">
        <f t="shared" si="962"/>
        <v xml:space="preserve">                                                                                                    </v>
      </c>
      <c r="U807" t="str">
        <f t="shared" si="970"/>
        <v xml:space="preserve">2         </v>
      </c>
      <c r="V807" t="str">
        <f t="shared" si="899"/>
        <v>2</v>
      </c>
      <c r="W807" t="str">
        <f t="shared" si="963"/>
        <v>2</v>
      </c>
      <c r="X807" t="str">
        <f t="shared" si="960"/>
        <v>2</v>
      </c>
      <c r="Y807" t="str">
        <f t="shared" si="964"/>
        <v>2</v>
      </c>
      <c r="Z807" t="str">
        <f t="shared" si="964"/>
        <v>2</v>
      </c>
      <c r="AA807" t="str">
        <f t="shared" si="919"/>
        <v xml:space="preserve">          </v>
      </c>
      <c r="AB807" t="str">
        <f t="shared" si="907"/>
        <v>2</v>
      </c>
      <c r="AC807" t="str">
        <f t="shared" si="908"/>
        <v>2</v>
      </c>
      <c r="AD807" t="str">
        <f t="shared" si="967"/>
        <v>2</v>
      </c>
      <c r="AE807" t="str">
        <f t="shared" si="967"/>
        <v>2</v>
      </c>
      <c r="AF807" t="str">
        <f t="shared" si="967"/>
        <v>2</v>
      </c>
      <c r="AG807" t="str">
        <f t="shared" si="967"/>
        <v>2</v>
      </c>
      <c r="AH807" t="str">
        <f t="shared" si="965"/>
        <v>1</v>
      </c>
      <c r="AI807" t="str">
        <f t="shared" si="975"/>
        <v xml:space="preserve">1         </v>
      </c>
      <c r="AJ807" t="str">
        <f t="shared" si="935"/>
        <v>170</v>
      </c>
      <c r="AK807" t="str">
        <f>"50"</f>
        <v>50</v>
      </c>
      <c r="AL807" t="str">
        <f t="shared" si="971"/>
        <v>001</v>
      </c>
      <c r="AM807" t="str">
        <f>"50"</f>
        <v>50</v>
      </c>
      <c r="AN807" t="str">
        <f>"50001"</f>
        <v>50001</v>
      </c>
      <c r="AO807" t="str">
        <f>"22/08/2020 12:00:00 a. m."</f>
        <v>22/08/2020 12:00:00 a. m.</v>
      </c>
      <c r="AP807" t="str">
        <f>"22/07/2020 12:00:00 a. m."</f>
        <v>22/07/2020 12:00:00 a. m.</v>
      </c>
      <c r="AQ807" t="str">
        <f>"2"</f>
        <v>2</v>
      </c>
      <c r="AR807" t="str">
        <f t="shared" ref="AR807:AR818" si="976">"1"</f>
        <v>1</v>
      </c>
      <c r="AS807" t="str">
        <f>"22/08/2020 12:00:00 a. m."</f>
        <v>22/08/2020 12:00:00 a. m.</v>
      </c>
      <c r="AT807" t="str">
        <f t="shared" si="961"/>
        <v>1</v>
      </c>
      <c r="AU807" t="str">
        <f>""</f>
        <v/>
      </c>
      <c r="AV807" t="str">
        <f>"3"</f>
        <v>3</v>
      </c>
      <c r="AW807" t="str">
        <f>"11/11/2008 12:00:00 a. m."</f>
        <v>11/11/2008 12:00:00 a. m.</v>
      </c>
      <c r="AX807" t="str">
        <f>""</f>
        <v/>
      </c>
      <c r="AY807" t="str">
        <f t="shared" si="921"/>
        <v>30/04/2021 12:00:00 a. m.</v>
      </c>
      <c r="AZ807" t="str">
        <f>"17/11/2020 12:00:00 a. m."</f>
        <v>17/11/2020 12:00:00 a. m.</v>
      </c>
      <c r="BA807" t="str">
        <f>""</f>
        <v/>
      </c>
      <c r="BB807" t="str">
        <f>""</f>
        <v/>
      </c>
      <c r="BC807" t="str">
        <f>""</f>
        <v/>
      </c>
      <c r="BD807" t="str">
        <f t="shared" si="974"/>
        <v>1</v>
      </c>
      <c r="BE807" t="str">
        <f t="shared" si="974"/>
        <v>1</v>
      </c>
      <c r="BF807" t="str">
        <f t="shared" si="922"/>
        <v xml:space="preserve">3         </v>
      </c>
      <c r="BG807" t="str">
        <f t="shared" si="923"/>
        <v>Confirmado por laboratorio</v>
      </c>
      <c r="BH807" t="str">
        <f>"HOSPITAL DEPARTAMENTAL DE VILLAVICENCIO"</f>
        <v>HOSPITAL DEPARTAMENTAL DE VILLAVICENCIO</v>
      </c>
      <c r="BI807" t="str">
        <f t="shared" si="939"/>
        <v>COLOMBIA</v>
      </c>
      <c r="BJ807" t="str">
        <f t="shared" si="924"/>
        <v>CANCER INFANTIL</v>
      </c>
      <c r="BK807" t="str">
        <f>"META"</f>
        <v>META</v>
      </c>
      <c r="BL807" t="str">
        <f>"VILLAVICENCIO"</f>
        <v>VILLAVICENCIO</v>
      </c>
      <c r="BM807" t="str">
        <f t="shared" si="941"/>
        <v>COLOMBIA</v>
      </c>
      <c r="BN807" t="str">
        <f>"META"</f>
        <v>META</v>
      </c>
      <c r="BO807" t="str">
        <f>"VILLAVICENCIO"</f>
        <v>VILLAVICENCIO</v>
      </c>
      <c r="BP807" t="str">
        <f>"META"</f>
        <v>META</v>
      </c>
      <c r="BQ807" t="str">
        <f>"VILLAVICENCIO"</f>
        <v>VILLAVICENCIO</v>
      </c>
    </row>
    <row r="808" spans="1:69" x14ac:dyDescent="0.25">
      <c r="A808" t="str">
        <f>"7291765"</f>
        <v>7291765</v>
      </c>
      <c r="B808" t="str">
        <f t="shared" si="917"/>
        <v>459</v>
      </c>
      <c r="C808" t="str">
        <f>"14/05/2020 12:00:00 a. m."</f>
        <v>14/05/2020 12:00:00 a. m.</v>
      </c>
      <c r="D808" t="str">
        <f>"20"</f>
        <v>20</v>
      </c>
      <c r="E808" t="str">
        <f t="shared" si="918"/>
        <v>2020</v>
      </c>
      <c r="F808" t="str">
        <f>"5000100529"</f>
        <v>5000100529</v>
      </c>
      <c r="G808" t="str">
        <f t="shared" si="951"/>
        <v>01</v>
      </c>
      <c r="H808" t="str">
        <f>"8"</f>
        <v>8</v>
      </c>
      <c r="I808" t="str">
        <f>"2"</f>
        <v>2</v>
      </c>
      <c r="J808" t="str">
        <f>"M"</f>
        <v>M</v>
      </c>
      <c r="K808" t="str">
        <f t="shared" si="933"/>
        <v>170</v>
      </c>
      <c r="L808" t="str">
        <f>"50"</f>
        <v>50</v>
      </c>
      <c r="M808" t="str">
        <f t="shared" si="968"/>
        <v>001</v>
      </c>
      <c r="N808" t="str">
        <f t="shared" si="966"/>
        <v>1</v>
      </c>
      <c r="O808" t="str">
        <f>"9999"</f>
        <v>9999</v>
      </c>
      <c r="P808" t="str">
        <f>"C"</f>
        <v>C</v>
      </c>
      <c r="Q808" t="str">
        <f>"EPS005"</f>
        <v>EPS005</v>
      </c>
      <c r="R808" t="str">
        <f t="shared" si="953"/>
        <v>6</v>
      </c>
      <c r="S808" t="str">
        <f>""</f>
        <v/>
      </c>
      <c r="T808" t="str">
        <f t="shared" si="962"/>
        <v xml:space="preserve">                                                                                                    </v>
      </c>
      <c r="U808" t="str">
        <f t="shared" si="970"/>
        <v xml:space="preserve">2         </v>
      </c>
      <c r="V808" t="str">
        <f t="shared" si="899"/>
        <v>2</v>
      </c>
      <c r="W808" t="str">
        <f t="shared" si="963"/>
        <v>2</v>
      </c>
      <c r="X808" t="str">
        <f t="shared" si="960"/>
        <v>2</v>
      </c>
      <c r="Y808" t="str">
        <f t="shared" si="964"/>
        <v>2</v>
      </c>
      <c r="Z808" t="str">
        <f t="shared" si="964"/>
        <v>2</v>
      </c>
      <c r="AA808" t="str">
        <f t="shared" si="919"/>
        <v xml:space="preserve">          </v>
      </c>
      <c r="AB808" t="str">
        <f t="shared" si="907"/>
        <v>2</v>
      </c>
      <c r="AC808" t="str">
        <f t="shared" si="908"/>
        <v>2</v>
      </c>
      <c r="AD808" t="str">
        <f t="shared" si="967"/>
        <v>2</v>
      </c>
      <c r="AE808" t="str">
        <f t="shared" si="967"/>
        <v>2</v>
      </c>
      <c r="AF808" t="str">
        <f t="shared" si="967"/>
        <v>2</v>
      </c>
      <c r="AG808" t="str">
        <f t="shared" si="967"/>
        <v>2</v>
      </c>
      <c r="AH808" t="str">
        <f t="shared" si="965"/>
        <v>1</v>
      </c>
      <c r="AI808" t="str">
        <f t="shared" si="975"/>
        <v xml:space="preserve">1         </v>
      </c>
      <c r="AJ808" t="str">
        <f t="shared" si="935"/>
        <v>170</v>
      </c>
      <c r="AK808" t="str">
        <f>"50"</f>
        <v>50</v>
      </c>
      <c r="AL808" t="str">
        <f t="shared" si="971"/>
        <v>001</v>
      </c>
      <c r="AM808" t="str">
        <f>"50"</f>
        <v>50</v>
      </c>
      <c r="AN808" t="str">
        <f>"50001"</f>
        <v>50001</v>
      </c>
      <c r="AO808" t="str">
        <f>"12/05/2020 12:00:00 a. m."</f>
        <v>12/05/2020 12:00:00 a. m.</v>
      </c>
      <c r="AP808" t="str">
        <f>"12/04/2020 12:00:00 a. m."</f>
        <v>12/04/2020 12:00:00 a. m.</v>
      </c>
      <c r="AQ808" t="str">
        <f>"2"</f>
        <v>2</v>
      </c>
      <c r="AR808" t="str">
        <f t="shared" si="976"/>
        <v>1</v>
      </c>
      <c r="AS808" t="str">
        <f>"12/05/2020 12:00:00 a. m."</f>
        <v>12/05/2020 12:00:00 a. m.</v>
      </c>
      <c r="AT808" t="str">
        <f>"2"</f>
        <v>2</v>
      </c>
      <c r="AU808" t="str">
        <f>"22/05/2020 12:00:00 a. m."</f>
        <v>22/05/2020 12:00:00 a. m.</v>
      </c>
      <c r="AV808" t="str">
        <f>"3"</f>
        <v>3</v>
      </c>
      <c r="AW808" t="str">
        <f>"20/08/2019 12:00:00 a. m."</f>
        <v>20/08/2019 12:00:00 a. m.</v>
      </c>
      <c r="AX808" t="str">
        <f>"C719"</f>
        <v>C719</v>
      </c>
      <c r="AY808" t="str">
        <f t="shared" si="921"/>
        <v>30/04/2021 12:00:00 a. m.</v>
      </c>
      <c r="AZ808" t="str">
        <f>"16/03/2021 12:00:00 a. m."</f>
        <v>16/03/2021 12:00:00 a. m.</v>
      </c>
      <c r="BA808" t="str">
        <f>""</f>
        <v/>
      </c>
      <c r="BB808" t="str">
        <f>""</f>
        <v/>
      </c>
      <c r="BC808" t="str">
        <f>""</f>
        <v/>
      </c>
      <c r="BD808" t="str">
        <f t="shared" si="974"/>
        <v>1</v>
      </c>
      <c r="BE808" t="str">
        <f t="shared" si="974"/>
        <v>1</v>
      </c>
      <c r="BF808" t="str">
        <f t="shared" si="922"/>
        <v xml:space="preserve">3         </v>
      </c>
      <c r="BG808" t="str">
        <f t="shared" si="923"/>
        <v>Confirmado por laboratorio</v>
      </c>
      <c r="BH808" t="str">
        <f>"HOSPITAL DEPARTAMENTAL DE VILLAVICENCIO"</f>
        <v>HOSPITAL DEPARTAMENTAL DE VILLAVICENCIO</v>
      </c>
      <c r="BI808" t="str">
        <f t="shared" si="939"/>
        <v>COLOMBIA</v>
      </c>
      <c r="BJ808" t="str">
        <f t="shared" si="924"/>
        <v>CANCER INFANTIL</v>
      </c>
      <c r="BK808" t="str">
        <f>"META"</f>
        <v>META</v>
      </c>
      <c r="BL808" t="str">
        <f>"VILLAVICENCIO"</f>
        <v>VILLAVICENCIO</v>
      </c>
      <c r="BM808" t="str">
        <f t="shared" si="941"/>
        <v>COLOMBIA</v>
      </c>
      <c r="BN808" t="str">
        <f>"META"</f>
        <v>META</v>
      </c>
      <c r="BO808" t="str">
        <f>"VILLAVICENCIO"</f>
        <v>VILLAVICENCIO</v>
      </c>
      <c r="BP808" t="str">
        <f>"META"</f>
        <v>META</v>
      </c>
      <c r="BQ808" t="str">
        <f>"VILLAVICENCIO"</f>
        <v>VILLAVICENCIO</v>
      </c>
    </row>
    <row r="809" spans="1:69" x14ac:dyDescent="0.25">
      <c r="A809" t="str">
        <f>"7291657"</f>
        <v>7291657</v>
      </c>
      <c r="B809" t="str">
        <f t="shared" si="917"/>
        <v>459</v>
      </c>
      <c r="C809" t="str">
        <f>"19/11/2020 12:00:00 a. m."</f>
        <v>19/11/2020 12:00:00 a. m.</v>
      </c>
      <c r="D809" t="str">
        <f>"47"</f>
        <v>47</v>
      </c>
      <c r="E809" t="str">
        <f t="shared" si="918"/>
        <v>2020</v>
      </c>
      <c r="F809" t="str">
        <f>"1100109111"</f>
        <v>1100109111</v>
      </c>
      <c r="G809" t="str">
        <f t="shared" si="951"/>
        <v>01</v>
      </c>
      <c r="H809" t="str">
        <f>"15"</f>
        <v>15</v>
      </c>
      <c r="I809" t="str">
        <f t="shared" ref="I809:I816" si="977">"1"</f>
        <v>1</v>
      </c>
      <c r="J809" t="str">
        <f>"M"</f>
        <v>M</v>
      </c>
      <c r="K809" t="str">
        <f t="shared" si="933"/>
        <v>170</v>
      </c>
      <c r="L809" t="str">
        <f>"25"</f>
        <v>25</v>
      </c>
      <c r="M809" t="str">
        <f>"214"</f>
        <v>214</v>
      </c>
      <c r="N809" t="str">
        <f t="shared" si="966"/>
        <v>1</v>
      </c>
      <c r="O809" t="str">
        <f>"9997"</f>
        <v>9997</v>
      </c>
      <c r="P809" t="str">
        <f>"C"</f>
        <v>C</v>
      </c>
      <c r="Q809" t="str">
        <f>"EPS008"</f>
        <v>EPS008</v>
      </c>
      <c r="R809" t="str">
        <f t="shared" si="953"/>
        <v>6</v>
      </c>
      <c r="S809" t="str">
        <f>""</f>
        <v/>
      </c>
      <c r="T809" t="str">
        <f t="shared" si="962"/>
        <v xml:space="preserve">                                                                                                    </v>
      </c>
      <c r="U809" t="str">
        <f t="shared" si="970"/>
        <v xml:space="preserve">2         </v>
      </c>
      <c r="V809" t="str">
        <f t="shared" si="899"/>
        <v>2</v>
      </c>
      <c r="W809" t="str">
        <f t="shared" si="963"/>
        <v>2</v>
      </c>
      <c r="X809" t="str">
        <f t="shared" si="960"/>
        <v>2</v>
      </c>
      <c r="Y809" t="str">
        <f t="shared" si="964"/>
        <v>2</v>
      </c>
      <c r="Z809" t="str">
        <f t="shared" si="964"/>
        <v>2</v>
      </c>
      <c r="AA809" t="str">
        <f t="shared" si="919"/>
        <v xml:space="preserve">          </v>
      </c>
      <c r="AB809" t="str">
        <f t="shared" si="907"/>
        <v>2</v>
      </c>
      <c r="AC809" t="str">
        <f t="shared" si="908"/>
        <v>2</v>
      </c>
      <c r="AD809" t="str">
        <f t="shared" si="967"/>
        <v>2</v>
      </c>
      <c r="AE809" t="str">
        <f t="shared" si="967"/>
        <v>2</v>
      </c>
      <c r="AF809" t="str">
        <f t="shared" si="967"/>
        <v>2</v>
      </c>
      <c r="AG809" t="str">
        <f t="shared" si="967"/>
        <v>2</v>
      </c>
      <c r="AH809" t="str">
        <f t="shared" si="965"/>
        <v>1</v>
      </c>
      <c r="AI809" t="str">
        <f t="shared" si="975"/>
        <v xml:space="preserve">1         </v>
      </c>
      <c r="AJ809" t="str">
        <f t="shared" si="935"/>
        <v>170</v>
      </c>
      <c r="AK809" t="str">
        <f>"25"</f>
        <v>25</v>
      </c>
      <c r="AL809" t="str">
        <f>"214"</f>
        <v>214</v>
      </c>
      <c r="AM809" t="str">
        <f>"11"</f>
        <v>11</v>
      </c>
      <c r="AN809" t="str">
        <f>"11001"</f>
        <v>11001</v>
      </c>
      <c r="AO809" t="str">
        <f>"19/11/2020 12:00:00 a. m."</f>
        <v>19/11/2020 12:00:00 a. m.</v>
      </c>
      <c r="AP809" t="str">
        <f>"28/08/2020 12:00:00 a. m."</f>
        <v>28/08/2020 12:00:00 a. m.</v>
      </c>
      <c r="AQ809" t="str">
        <f>"3"</f>
        <v>3</v>
      </c>
      <c r="AR809" t="str">
        <f t="shared" si="976"/>
        <v>1</v>
      </c>
      <c r="AS809" t="str">
        <f>"19/11/2020 12:00:00 a. m."</f>
        <v>19/11/2020 12:00:00 a. m.</v>
      </c>
      <c r="AT809" t="str">
        <f t="shared" ref="AT809:AT817" si="978">"1"</f>
        <v>1</v>
      </c>
      <c r="AU809" t="str">
        <f>""</f>
        <v/>
      </c>
      <c r="AV809" t="str">
        <f>"0"</f>
        <v>0</v>
      </c>
      <c r="AW809" t="str">
        <f>"5/02/2005 12:00:00 a. m."</f>
        <v>5/02/2005 12:00:00 a. m.</v>
      </c>
      <c r="AX809" t="str">
        <f>""</f>
        <v/>
      </c>
      <c r="AY809" t="str">
        <f t="shared" si="921"/>
        <v>30/04/2021 12:00:00 a. m.</v>
      </c>
      <c r="AZ809" t="str">
        <f>"23/11/2020 12:00:00 a. m."</f>
        <v>23/11/2020 12:00:00 a. m.</v>
      </c>
      <c r="BA809" t="str">
        <f>""</f>
        <v/>
      </c>
      <c r="BB809" t="str">
        <f>""</f>
        <v/>
      </c>
      <c r="BC809" t="str">
        <f>""</f>
        <v/>
      </c>
      <c r="BD809" t="str">
        <f t="shared" si="974"/>
        <v>1</v>
      </c>
      <c r="BE809" t="str">
        <f t="shared" si="974"/>
        <v>1</v>
      </c>
      <c r="BF809" t="str">
        <f t="shared" si="922"/>
        <v xml:space="preserve">3         </v>
      </c>
      <c r="BG809" t="str">
        <f t="shared" si="923"/>
        <v>Confirmado por laboratorio</v>
      </c>
      <c r="BH809" t="str">
        <f>"FUNDACION CARDIOINFANTIL INSTITUTO DE CARDIOLOGIA"</f>
        <v>FUNDACION CARDIOINFANTIL INSTITUTO DE CARDIOLOGIA</v>
      </c>
      <c r="BI809" t="str">
        <f t="shared" si="939"/>
        <v>COLOMBIA</v>
      </c>
      <c r="BJ809" t="str">
        <f t="shared" si="924"/>
        <v>CANCER INFANTIL</v>
      </c>
      <c r="BK809" t="str">
        <f>"CUNDINAMARCA"</f>
        <v>CUNDINAMARCA</v>
      </c>
      <c r="BL809" t="str">
        <f>"COTA"</f>
        <v>COTA</v>
      </c>
      <c r="BM809" t="str">
        <f t="shared" si="941"/>
        <v>COLOMBIA</v>
      </c>
      <c r="BN809" t="str">
        <f>"CUNDINAMARCA"</f>
        <v>CUNDINAMARCA</v>
      </c>
      <c r="BO809" t="str">
        <f>"COTA"</f>
        <v>COTA</v>
      </c>
      <c r="BP809" t="str">
        <f>"BOGOTA"</f>
        <v>BOGOTA</v>
      </c>
      <c r="BQ809" t="str">
        <f>"BOGOTA"</f>
        <v>BOGOTA</v>
      </c>
    </row>
    <row r="810" spans="1:69" x14ac:dyDescent="0.25">
      <c r="A810" t="str">
        <f>"7291612"</f>
        <v>7291612</v>
      </c>
      <c r="B810" t="str">
        <f t="shared" si="917"/>
        <v>459</v>
      </c>
      <c r="C810" t="str">
        <f>"10/07/2020 12:00:00 a. m."</f>
        <v>10/07/2020 12:00:00 a. m.</v>
      </c>
      <c r="D810" t="str">
        <f>"25"</f>
        <v>25</v>
      </c>
      <c r="E810" t="str">
        <f t="shared" si="918"/>
        <v>2020</v>
      </c>
      <c r="F810" t="str">
        <f>"6854704947"</f>
        <v>6854704947</v>
      </c>
      <c r="G810" t="str">
        <f t="shared" si="951"/>
        <v>01</v>
      </c>
      <c r="H810" t="str">
        <f>"6"</f>
        <v>6</v>
      </c>
      <c r="I810" t="str">
        <f t="shared" si="977"/>
        <v>1</v>
      </c>
      <c r="J810" t="str">
        <f>"F"</f>
        <v>F</v>
      </c>
      <c r="K810" t="str">
        <f t="shared" si="933"/>
        <v>170</v>
      </c>
      <c r="L810" t="str">
        <f>"20"</f>
        <v>20</v>
      </c>
      <c r="M810" t="str">
        <f>"710"</f>
        <v>710</v>
      </c>
      <c r="N810" t="str">
        <f t="shared" si="966"/>
        <v>1</v>
      </c>
      <c r="O810" t="str">
        <f>"9997"</f>
        <v>9997</v>
      </c>
      <c r="P810" t="str">
        <f>"C"</f>
        <v>C</v>
      </c>
      <c r="Q810" t="str">
        <f>"EPS041"</f>
        <v>EPS041</v>
      </c>
      <c r="R810" t="str">
        <f t="shared" si="953"/>
        <v>6</v>
      </c>
      <c r="S810" t="str">
        <f>""</f>
        <v/>
      </c>
      <c r="T810" t="str">
        <f t="shared" si="962"/>
        <v xml:space="preserve">                                                                                                    </v>
      </c>
      <c r="U810" t="str">
        <f t="shared" si="970"/>
        <v xml:space="preserve">2         </v>
      </c>
      <c r="V810" t="str">
        <f t="shared" si="899"/>
        <v>2</v>
      </c>
      <c r="W810" t="str">
        <f t="shared" si="963"/>
        <v>2</v>
      </c>
      <c r="X810" t="str">
        <f t="shared" si="960"/>
        <v>2</v>
      </c>
      <c r="Y810" t="str">
        <f t="shared" si="964"/>
        <v>2</v>
      </c>
      <c r="Z810" t="str">
        <f t="shared" si="964"/>
        <v>2</v>
      </c>
      <c r="AA810" t="str">
        <f t="shared" si="919"/>
        <v xml:space="preserve">          </v>
      </c>
      <c r="AB810" t="str">
        <f t="shared" si="907"/>
        <v>2</v>
      </c>
      <c r="AC810" t="str">
        <f t="shared" si="908"/>
        <v>2</v>
      </c>
      <c r="AD810" t="str">
        <f t="shared" si="967"/>
        <v>2</v>
      </c>
      <c r="AE810" t="str">
        <f t="shared" si="967"/>
        <v>2</v>
      </c>
      <c r="AF810" t="str">
        <f t="shared" si="967"/>
        <v>2</v>
      </c>
      <c r="AG810" t="str">
        <f t="shared" si="967"/>
        <v>2</v>
      </c>
      <c r="AH810" t="str">
        <f t="shared" si="965"/>
        <v>1</v>
      </c>
      <c r="AI810" t="str">
        <f t="shared" si="975"/>
        <v xml:space="preserve">1         </v>
      </c>
      <c r="AJ810" t="str">
        <f t="shared" si="935"/>
        <v>170</v>
      </c>
      <c r="AK810" t="str">
        <f>"20"</f>
        <v>20</v>
      </c>
      <c r="AL810" t="str">
        <f>"710"</f>
        <v>710</v>
      </c>
      <c r="AM810" t="str">
        <f>"68"</f>
        <v>68</v>
      </c>
      <c r="AN810" t="str">
        <f>"68547"</f>
        <v>68547</v>
      </c>
      <c r="AO810" t="str">
        <f>"14/06/2020 12:00:00 a. m."</f>
        <v>14/06/2020 12:00:00 a. m.</v>
      </c>
      <c r="AP810" t="str">
        <f>"25/05/2020 12:00:00 a. m."</f>
        <v>25/05/2020 12:00:00 a. m.</v>
      </c>
      <c r="AQ810" t="str">
        <f>"3"</f>
        <v>3</v>
      </c>
      <c r="AR810" t="str">
        <f t="shared" si="976"/>
        <v>1</v>
      </c>
      <c r="AS810" t="str">
        <f>"14/06/2020 12:00:00 a. m."</f>
        <v>14/06/2020 12:00:00 a. m.</v>
      </c>
      <c r="AT810" t="str">
        <f t="shared" si="978"/>
        <v>1</v>
      </c>
      <c r="AU810" t="str">
        <f>""</f>
        <v/>
      </c>
      <c r="AV810" t="str">
        <f>"3"</f>
        <v>3</v>
      </c>
      <c r="AW810" t="str">
        <f>"18/02/2014 12:00:00 a. m."</f>
        <v>18/02/2014 12:00:00 a. m.</v>
      </c>
      <c r="AX810" t="str">
        <f>""</f>
        <v/>
      </c>
      <c r="AY810" t="str">
        <f t="shared" si="921"/>
        <v>30/04/2021 12:00:00 a. m.</v>
      </c>
      <c r="AZ810" t="str">
        <f>"22/07/2020 12:00:00 a. m."</f>
        <v>22/07/2020 12:00:00 a. m.</v>
      </c>
      <c r="BA810" t="str">
        <f>""</f>
        <v/>
      </c>
      <c r="BB810" t="str">
        <f>""</f>
        <v/>
      </c>
      <c r="BC810" t="str">
        <f>""</f>
        <v/>
      </c>
      <c r="BD810" t="str">
        <f t="shared" si="974"/>
        <v>1</v>
      </c>
      <c r="BE810" t="str">
        <f t="shared" si="974"/>
        <v>1</v>
      </c>
      <c r="BF810" t="str">
        <f t="shared" si="922"/>
        <v xml:space="preserve">3         </v>
      </c>
      <c r="BG810" t="str">
        <f t="shared" si="923"/>
        <v>Confirmado por laboratorio</v>
      </c>
      <c r="BH810" t="str">
        <f>"HOSPITAL INTERNACIONAL DE COLOMBIA"</f>
        <v>HOSPITAL INTERNACIONAL DE COLOMBIA</v>
      </c>
      <c r="BI810" t="str">
        <f t="shared" si="939"/>
        <v>COLOMBIA</v>
      </c>
      <c r="BJ810" t="str">
        <f t="shared" si="924"/>
        <v>CANCER INFANTIL</v>
      </c>
      <c r="BK810" t="str">
        <f>"CESAR"</f>
        <v>CESAR</v>
      </c>
      <c r="BL810" t="str">
        <f>"SAN ALBERTO"</f>
        <v>SAN ALBERTO</v>
      </c>
      <c r="BM810" t="str">
        <f t="shared" si="941"/>
        <v>COLOMBIA</v>
      </c>
      <c r="BN810" t="str">
        <f>"CESAR"</f>
        <v>CESAR</v>
      </c>
      <c r="BO810" t="str">
        <f>"SAN ALBERTO"</f>
        <v>SAN ALBERTO</v>
      </c>
      <c r="BP810" t="str">
        <f>"SANTANDER"</f>
        <v>SANTANDER</v>
      </c>
      <c r="BQ810" t="str">
        <f>"PIEDECUESTA"</f>
        <v>PIEDECUESTA</v>
      </c>
    </row>
    <row r="811" spans="1:69" x14ac:dyDescent="0.25">
      <c r="A811" t="str">
        <f>"7291795"</f>
        <v>7291795</v>
      </c>
      <c r="B811" t="str">
        <f t="shared" si="917"/>
        <v>459</v>
      </c>
      <c r="C811" t="str">
        <f>"16/09/2020 12:00:00 a. m."</f>
        <v>16/09/2020 12:00:00 a. m.</v>
      </c>
      <c r="D811" t="str">
        <f>"38"</f>
        <v>38</v>
      </c>
      <c r="E811" t="str">
        <f t="shared" si="918"/>
        <v>2020</v>
      </c>
      <c r="F811" t="str">
        <f>"5200100283"</f>
        <v>5200100283</v>
      </c>
      <c r="G811" t="str">
        <f t="shared" si="951"/>
        <v>01</v>
      </c>
      <c r="H811" t="str">
        <f>"15"</f>
        <v>15</v>
      </c>
      <c r="I811" t="str">
        <f t="shared" si="977"/>
        <v>1</v>
      </c>
      <c r="J811" t="str">
        <f>"M"</f>
        <v>M</v>
      </c>
      <c r="K811" t="str">
        <f t="shared" si="933"/>
        <v>170</v>
      </c>
      <c r="L811" t="str">
        <f>"86"</f>
        <v>86</v>
      </c>
      <c r="M811" t="str">
        <f>"001"</f>
        <v>001</v>
      </c>
      <c r="N811" t="str">
        <f t="shared" si="966"/>
        <v>1</v>
      </c>
      <c r="O811" t="str">
        <f>"9997"</f>
        <v>9997</v>
      </c>
      <c r="P811" t="str">
        <f>"S"</f>
        <v>S</v>
      </c>
      <c r="Q811" t="str">
        <f>"ESS118"</f>
        <v>ESS118</v>
      </c>
      <c r="R811" t="str">
        <f t="shared" si="953"/>
        <v>6</v>
      </c>
      <c r="S811" t="str">
        <f>""</f>
        <v/>
      </c>
      <c r="T811" t="str">
        <f t="shared" si="962"/>
        <v xml:space="preserve">                                                                                                    </v>
      </c>
      <c r="U811" t="str">
        <f>"1         "</f>
        <v xml:space="preserve">1         </v>
      </c>
      <c r="V811" t="str">
        <f t="shared" si="899"/>
        <v>2</v>
      </c>
      <c r="W811" t="str">
        <f t="shared" si="963"/>
        <v>2</v>
      </c>
      <c r="X811" t="str">
        <f t="shared" si="960"/>
        <v>2</v>
      </c>
      <c r="Y811" t="str">
        <f t="shared" si="964"/>
        <v>2</v>
      </c>
      <c r="Z811" t="str">
        <f t="shared" si="964"/>
        <v>2</v>
      </c>
      <c r="AA811" t="str">
        <f t="shared" si="919"/>
        <v xml:space="preserve">          </v>
      </c>
      <c r="AB811" t="str">
        <f t="shared" si="907"/>
        <v>2</v>
      </c>
      <c r="AC811" t="str">
        <f t="shared" si="908"/>
        <v>2</v>
      </c>
      <c r="AD811" t="str">
        <f t="shared" si="967"/>
        <v>2</v>
      </c>
      <c r="AE811" t="str">
        <f t="shared" si="967"/>
        <v>2</v>
      </c>
      <c r="AF811" t="str">
        <f t="shared" si="967"/>
        <v>2</v>
      </c>
      <c r="AG811" t="str">
        <f t="shared" si="967"/>
        <v>2</v>
      </c>
      <c r="AH811" t="str">
        <f t="shared" si="965"/>
        <v>1</v>
      </c>
      <c r="AI811" t="str">
        <f t="shared" si="975"/>
        <v xml:space="preserve">1         </v>
      </c>
      <c r="AJ811" t="str">
        <f t="shared" si="935"/>
        <v>170</v>
      </c>
      <c r="AK811" t="str">
        <f>"86"</f>
        <v>86</v>
      </c>
      <c r="AL811" t="str">
        <f>"001"</f>
        <v>001</v>
      </c>
      <c r="AM811" t="str">
        <f>"52"</f>
        <v>52</v>
      </c>
      <c r="AN811" t="str">
        <f>"52001"</f>
        <v>52001</v>
      </c>
      <c r="AO811" t="str">
        <f>"15/09/2020 12:00:00 a. m."</f>
        <v>15/09/2020 12:00:00 a. m.</v>
      </c>
      <c r="AP811" t="str">
        <f>"1/04/2020 12:00:00 a. m."</f>
        <v>1/04/2020 12:00:00 a. m.</v>
      </c>
      <c r="AQ811" t="str">
        <f>"2"</f>
        <v>2</v>
      </c>
      <c r="AR811" t="str">
        <f t="shared" si="976"/>
        <v>1</v>
      </c>
      <c r="AS811" t="str">
        <f>"16/09/2020 12:00:00 a. m."</f>
        <v>16/09/2020 12:00:00 a. m.</v>
      </c>
      <c r="AT811" t="str">
        <f t="shared" si="978"/>
        <v>1</v>
      </c>
      <c r="AU811" t="str">
        <f>""</f>
        <v/>
      </c>
      <c r="AV811" t="str">
        <f>"3"</f>
        <v>3</v>
      </c>
      <c r="AW811" t="str">
        <f>"4/03/2005 12:00:00 a. m."</f>
        <v>4/03/2005 12:00:00 a. m.</v>
      </c>
      <c r="AX811" t="str">
        <f>""</f>
        <v/>
      </c>
      <c r="AY811" t="str">
        <f t="shared" si="921"/>
        <v>30/04/2021 12:00:00 a. m.</v>
      </c>
      <c r="AZ811" t="str">
        <f>"5/11/2020 12:00:00 a. m."</f>
        <v>5/11/2020 12:00:00 a. m.</v>
      </c>
      <c r="BA811" t="str">
        <f>""</f>
        <v/>
      </c>
      <c r="BB811" t="str">
        <f>""</f>
        <v/>
      </c>
      <c r="BC811" t="str">
        <f>""</f>
        <v/>
      </c>
      <c r="BD811" t="str">
        <f t="shared" si="974"/>
        <v>1</v>
      </c>
      <c r="BE811" t="str">
        <f t="shared" si="974"/>
        <v>1</v>
      </c>
      <c r="BF811" t="str">
        <f t="shared" si="922"/>
        <v xml:space="preserve">3         </v>
      </c>
      <c r="BG811" t="str">
        <f t="shared" si="923"/>
        <v>Confirmado por laboratorio</v>
      </c>
      <c r="BH811" t="str">
        <f>"HOSPITAL INFANTIL LOS ANGELES"</f>
        <v>HOSPITAL INFANTIL LOS ANGELES</v>
      </c>
      <c r="BI811" t="str">
        <f t="shared" si="939"/>
        <v>COLOMBIA</v>
      </c>
      <c r="BJ811" t="str">
        <f t="shared" si="924"/>
        <v>CANCER INFANTIL</v>
      </c>
      <c r="BK811" t="str">
        <f>"PUTUMAYO"</f>
        <v>PUTUMAYO</v>
      </c>
      <c r="BL811" t="str">
        <f>"MOCOA"</f>
        <v>MOCOA</v>
      </c>
      <c r="BM811" t="str">
        <f t="shared" si="941"/>
        <v>COLOMBIA</v>
      </c>
      <c r="BN811" t="str">
        <f>"PUTUMAYO"</f>
        <v>PUTUMAYO</v>
      </c>
      <c r="BO811" t="str">
        <f>"MOCOA"</f>
        <v>MOCOA</v>
      </c>
      <c r="BP811" t="str">
        <f>"NARIÑO"</f>
        <v>NARIÑO</v>
      </c>
      <c r="BQ811" t="str">
        <f>"PASTO"</f>
        <v>PASTO</v>
      </c>
    </row>
    <row r="812" spans="1:69" x14ac:dyDescent="0.25">
      <c r="A812" t="str">
        <f>"7291683"</f>
        <v>7291683</v>
      </c>
      <c r="B812" t="str">
        <f t="shared" si="917"/>
        <v>459</v>
      </c>
      <c r="C812" t="str">
        <f>"14/08/2020 12:00:00 a. m."</f>
        <v>14/08/2020 12:00:00 a. m.</v>
      </c>
      <c r="D812" t="str">
        <f>"33"</f>
        <v>33</v>
      </c>
      <c r="E812" t="str">
        <f t="shared" si="918"/>
        <v>2020</v>
      </c>
      <c r="F812" t="str">
        <f>"7600103799"</f>
        <v>7600103799</v>
      </c>
      <c r="G812" t="str">
        <f t="shared" si="951"/>
        <v>01</v>
      </c>
      <c r="H812" t="str">
        <f>"15"</f>
        <v>15</v>
      </c>
      <c r="I812" t="str">
        <f t="shared" si="977"/>
        <v>1</v>
      </c>
      <c r="J812" t="str">
        <f>"M"</f>
        <v>M</v>
      </c>
      <c r="K812" t="str">
        <f t="shared" si="933"/>
        <v>170</v>
      </c>
      <c r="L812" t="str">
        <f>"76"</f>
        <v>76</v>
      </c>
      <c r="M812" t="str">
        <f>"520"</f>
        <v>520</v>
      </c>
      <c r="N812" t="str">
        <f t="shared" si="966"/>
        <v>1</v>
      </c>
      <c r="O812" t="str">
        <f>"9997"</f>
        <v>9997</v>
      </c>
      <c r="P812" t="str">
        <f>"S"</f>
        <v>S</v>
      </c>
      <c r="Q812" t="str">
        <f>"ESS118"</f>
        <v>ESS118</v>
      </c>
      <c r="R812" t="str">
        <f t="shared" si="953"/>
        <v>6</v>
      </c>
      <c r="S812" t="str">
        <f>""</f>
        <v/>
      </c>
      <c r="T812" t="str">
        <f t="shared" si="962"/>
        <v xml:space="preserve">                                                                                                    </v>
      </c>
      <c r="U812" t="str">
        <f>"3         "</f>
        <v xml:space="preserve">3         </v>
      </c>
      <c r="V812" t="str">
        <f t="shared" si="899"/>
        <v>2</v>
      </c>
      <c r="W812" t="str">
        <f t="shared" si="963"/>
        <v>2</v>
      </c>
      <c r="X812" t="str">
        <f t="shared" si="960"/>
        <v>2</v>
      </c>
      <c r="Y812" t="str">
        <f t="shared" si="964"/>
        <v>2</v>
      </c>
      <c r="Z812" t="str">
        <f t="shared" si="964"/>
        <v>2</v>
      </c>
      <c r="AA812" t="str">
        <f t="shared" si="919"/>
        <v xml:space="preserve">          </v>
      </c>
      <c r="AB812" t="str">
        <f t="shared" si="907"/>
        <v>2</v>
      </c>
      <c r="AC812" t="str">
        <f t="shared" si="908"/>
        <v>2</v>
      </c>
      <c r="AD812" t="str">
        <f t="shared" si="967"/>
        <v>2</v>
      </c>
      <c r="AE812" t="str">
        <f t="shared" si="967"/>
        <v>2</v>
      </c>
      <c r="AF812" t="str">
        <f t="shared" si="967"/>
        <v>2</v>
      </c>
      <c r="AG812" t="str">
        <f t="shared" si="967"/>
        <v>2</v>
      </c>
      <c r="AH812" t="str">
        <f t="shared" si="965"/>
        <v>1</v>
      </c>
      <c r="AI812" t="str">
        <f t="shared" si="975"/>
        <v xml:space="preserve">1         </v>
      </c>
      <c r="AJ812" t="str">
        <f t="shared" si="935"/>
        <v>170</v>
      </c>
      <c r="AK812" t="str">
        <f>"76"</f>
        <v>76</v>
      </c>
      <c r="AL812" t="str">
        <f>"520"</f>
        <v>520</v>
      </c>
      <c r="AM812" t="str">
        <f>"76"</f>
        <v>76</v>
      </c>
      <c r="AN812" t="str">
        <f>"76001"</f>
        <v>76001</v>
      </c>
      <c r="AO812" t="str">
        <f>"13/08/2020 12:00:00 a. m."</f>
        <v>13/08/2020 12:00:00 a. m.</v>
      </c>
      <c r="AP812" t="str">
        <f>"1/12/2019 12:00:00 a. m."</f>
        <v>1/12/2019 12:00:00 a. m.</v>
      </c>
      <c r="AQ812" t="str">
        <f>"2"</f>
        <v>2</v>
      </c>
      <c r="AR812" t="str">
        <f t="shared" si="976"/>
        <v>1</v>
      </c>
      <c r="AS812" t="str">
        <f>"13/08/2020 12:00:00 a. m."</f>
        <v>13/08/2020 12:00:00 a. m.</v>
      </c>
      <c r="AT812" t="str">
        <f t="shared" si="978"/>
        <v>1</v>
      </c>
      <c r="AU812" t="str">
        <f>""</f>
        <v/>
      </c>
      <c r="AV812" t="str">
        <f>"3"</f>
        <v>3</v>
      </c>
      <c r="AW812" t="str">
        <f>"12/02/2005 12:00:00 a. m."</f>
        <v>12/02/2005 12:00:00 a. m.</v>
      </c>
      <c r="AX812" t="str">
        <f>""</f>
        <v/>
      </c>
      <c r="AY812" t="str">
        <f t="shared" si="921"/>
        <v>30/04/2021 12:00:00 a. m.</v>
      </c>
      <c r="AZ812" t="str">
        <f>"19/09/2020 12:00:00 a. m."</f>
        <v>19/09/2020 12:00:00 a. m.</v>
      </c>
      <c r="BA812" t="str">
        <f>""</f>
        <v/>
      </c>
      <c r="BB812" t="str">
        <f>""</f>
        <v/>
      </c>
      <c r="BC812" t="str">
        <f>""</f>
        <v/>
      </c>
      <c r="BD812" t="str">
        <f t="shared" si="974"/>
        <v>1</v>
      </c>
      <c r="BE812" t="str">
        <f t="shared" si="974"/>
        <v>1</v>
      </c>
      <c r="BF812" t="str">
        <f t="shared" si="922"/>
        <v xml:space="preserve">3         </v>
      </c>
      <c r="BG812" t="str">
        <f t="shared" si="923"/>
        <v>Confirmado por laboratorio</v>
      </c>
      <c r="BH812" t="str">
        <f>"HOSPITAL UNIVERSITARIO DEL VALLE EVARISTO GARCIA"</f>
        <v>HOSPITAL UNIVERSITARIO DEL VALLE EVARISTO GARCIA</v>
      </c>
      <c r="BI812" t="str">
        <f t="shared" si="939"/>
        <v>COLOMBIA</v>
      </c>
      <c r="BJ812" t="str">
        <f t="shared" si="924"/>
        <v>CANCER INFANTIL</v>
      </c>
      <c r="BK812" t="str">
        <f>"VALLE"</f>
        <v>VALLE</v>
      </c>
      <c r="BL812" t="str">
        <f>"PALMIRA"</f>
        <v>PALMIRA</v>
      </c>
      <c r="BM812" t="str">
        <f t="shared" si="941"/>
        <v>COLOMBIA</v>
      </c>
      <c r="BN812" t="str">
        <f>"VALLE"</f>
        <v>VALLE</v>
      </c>
      <c r="BO812" t="str">
        <f>"PALMIRA"</f>
        <v>PALMIRA</v>
      </c>
      <c r="BP812" t="str">
        <f>"VALLE"</f>
        <v>VALLE</v>
      </c>
      <c r="BQ812" t="str">
        <f>"CALI"</f>
        <v>CALI</v>
      </c>
    </row>
    <row r="813" spans="1:69" x14ac:dyDescent="0.25">
      <c r="A813" t="str">
        <f>"7291751"</f>
        <v>7291751</v>
      </c>
      <c r="B813" t="str">
        <f t="shared" si="917"/>
        <v>459</v>
      </c>
      <c r="C813" t="str">
        <f>"10/07/2020 12:00:00 a. m."</f>
        <v>10/07/2020 12:00:00 a. m.</v>
      </c>
      <c r="D813" t="str">
        <f>"27"</f>
        <v>27</v>
      </c>
      <c r="E813" t="str">
        <f t="shared" si="918"/>
        <v>2020</v>
      </c>
      <c r="F813" t="str">
        <f>"1100105681"</f>
        <v>1100105681</v>
      </c>
      <c r="G813" t="str">
        <f t="shared" si="951"/>
        <v>01</v>
      </c>
      <c r="H813" t="str">
        <f>"5"</f>
        <v>5</v>
      </c>
      <c r="I813" t="str">
        <f t="shared" si="977"/>
        <v>1</v>
      </c>
      <c r="J813" t="str">
        <f>"M"</f>
        <v>M</v>
      </c>
      <c r="K813" t="str">
        <f t="shared" si="933"/>
        <v>170</v>
      </c>
      <c r="L813" t="str">
        <f>"50"</f>
        <v>50</v>
      </c>
      <c r="M813" t="str">
        <f>"006"</f>
        <v>006</v>
      </c>
      <c r="N813" t="str">
        <f t="shared" si="966"/>
        <v>1</v>
      </c>
      <c r="O813" t="str">
        <f>"9999"</f>
        <v>9999</v>
      </c>
      <c r="P813" t="str">
        <f>"C"</f>
        <v>C</v>
      </c>
      <c r="Q813" t="str">
        <f>"EPS005"</f>
        <v>EPS005</v>
      </c>
      <c r="R813" t="str">
        <f t="shared" si="953"/>
        <v>6</v>
      </c>
      <c r="S813" t="str">
        <f>""</f>
        <v/>
      </c>
      <c r="T813" t="str">
        <f t="shared" si="962"/>
        <v xml:space="preserve">                                                                                                    </v>
      </c>
      <c r="U813" t="str">
        <f>"3         "</f>
        <v xml:space="preserve">3         </v>
      </c>
      <c r="V813" t="str">
        <f t="shared" si="899"/>
        <v>2</v>
      </c>
      <c r="W813" t="str">
        <f t="shared" si="963"/>
        <v>2</v>
      </c>
      <c r="X813" t="str">
        <f t="shared" si="960"/>
        <v>2</v>
      </c>
      <c r="Y813" t="str">
        <f t="shared" si="964"/>
        <v>2</v>
      </c>
      <c r="Z813" t="str">
        <f t="shared" si="964"/>
        <v>2</v>
      </c>
      <c r="AA813" t="str">
        <f t="shared" si="919"/>
        <v xml:space="preserve">          </v>
      </c>
      <c r="AB813" t="str">
        <f t="shared" si="907"/>
        <v>2</v>
      </c>
      <c r="AC813" t="str">
        <f t="shared" si="908"/>
        <v>2</v>
      </c>
      <c r="AD813" t="str">
        <f t="shared" si="967"/>
        <v>2</v>
      </c>
      <c r="AE813" t="str">
        <f t="shared" si="967"/>
        <v>2</v>
      </c>
      <c r="AF813" t="str">
        <f t="shared" si="967"/>
        <v>2</v>
      </c>
      <c r="AG813" t="str">
        <f t="shared" si="967"/>
        <v>2</v>
      </c>
      <c r="AH813" t="str">
        <f t="shared" si="965"/>
        <v>1</v>
      </c>
      <c r="AI813" t="str">
        <f>"2         "</f>
        <v xml:space="preserve">2         </v>
      </c>
      <c r="AJ813" t="str">
        <f t="shared" si="935"/>
        <v>170</v>
      </c>
      <c r="AK813" t="str">
        <f>"50"</f>
        <v>50</v>
      </c>
      <c r="AL813" t="str">
        <f>"006"</f>
        <v>006</v>
      </c>
      <c r="AM813" t="str">
        <f>"11"</f>
        <v>11</v>
      </c>
      <c r="AN813" t="str">
        <f>"11001"</f>
        <v>11001</v>
      </c>
      <c r="AO813" t="str">
        <f>"3/07/2020 12:00:00 a. m."</f>
        <v>3/07/2020 12:00:00 a. m.</v>
      </c>
      <c r="AP813" t="str">
        <f>"1/09/2019 12:00:00 a. m."</f>
        <v>1/09/2019 12:00:00 a. m.</v>
      </c>
      <c r="AQ813" t="str">
        <f>"3"</f>
        <v>3</v>
      </c>
      <c r="AR813" t="str">
        <f t="shared" si="976"/>
        <v>1</v>
      </c>
      <c r="AS813" t="str">
        <f>"3/07/2020 12:00:00 a. m."</f>
        <v>3/07/2020 12:00:00 a. m.</v>
      </c>
      <c r="AT813" t="str">
        <f t="shared" si="978"/>
        <v>1</v>
      </c>
      <c r="AU813" t="str">
        <f>""</f>
        <v/>
      </c>
      <c r="AV813" t="str">
        <f>"0"</f>
        <v>0</v>
      </c>
      <c r="AW813" t="str">
        <f>"19/06/2015 12:00:00 a. m."</f>
        <v>19/06/2015 12:00:00 a. m.</v>
      </c>
      <c r="AX813" t="str">
        <f>""</f>
        <v/>
      </c>
      <c r="AY813" t="str">
        <f t="shared" si="921"/>
        <v>30/04/2021 12:00:00 a. m.</v>
      </c>
      <c r="AZ813" t="str">
        <f>"24/09/2020 12:00:00 a. m."</f>
        <v>24/09/2020 12:00:00 a. m.</v>
      </c>
      <c r="BA813" t="str">
        <f>""</f>
        <v/>
      </c>
      <c r="BB813" t="str">
        <f>""</f>
        <v/>
      </c>
      <c r="BC813" t="str">
        <f>""</f>
        <v/>
      </c>
      <c r="BD813" t="str">
        <f t="shared" si="974"/>
        <v>1</v>
      </c>
      <c r="BE813" t="str">
        <f t="shared" si="974"/>
        <v>1</v>
      </c>
      <c r="BF813" t="str">
        <f t="shared" si="922"/>
        <v xml:space="preserve">3         </v>
      </c>
      <c r="BG813" t="str">
        <f t="shared" si="923"/>
        <v>Confirmado por laboratorio</v>
      </c>
      <c r="BH813" t="str">
        <f>"FUNDACION HOSPITAL DE LA MISERICORDIA"</f>
        <v>FUNDACION HOSPITAL DE LA MISERICORDIA</v>
      </c>
      <c r="BI813" t="str">
        <f t="shared" si="939"/>
        <v>COLOMBIA</v>
      </c>
      <c r="BJ813" t="str">
        <f t="shared" si="924"/>
        <v>CANCER INFANTIL</v>
      </c>
      <c r="BK813" t="str">
        <f>"META"</f>
        <v>META</v>
      </c>
      <c r="BL813" t="str">
        <f>"ACACIAS"</f>
        <v>ACACIAS</v>
      </c>
      <c r="BM813" t="str">
        <f t="shared" si="941"/>
        <v>COLOMBIA</v>
      </c>
      <c r="BN813" t="str">
        <f>"META"</f>
        <v>META</v>
      </c>
      <c r="BO813" t="str">
        <f>"ACACIAS"</f>
        <v>ACACIAS</v>
      </c>
      <c r="BP813" t="str">
        <f t="shared" ref="BP813:BQ816" si="979">"BOGOTA"</f>
        <v>BOGOTA</v>
      </c>
      <c r="BQ813" t="str">
        <f t="shared" si="979"/>
        <v>BOGOTA</v>
      </c>
    </row>
    <row r="814" spans="1:69" x14ac:dyDescent="0.25">
      <c r="A814" t="str">
        <f>"7291658"</f>
        <v>7291658</v>
      </c>
      <c r="B814" t="str">
        <f t="shared" si="917"/>
        <v>459</v>
      </c>
      <c r="C814" t="str">
        <f>"10/02/2020 12:00:00 a. m."</f>
        <v>10/02/2020 12:00:00 a. m.</v>
      </c>
      <c r="D814" t="str">
        <f>"02"</f>
        <v>02</v>
      </c>
      <c r="E814" t="str">
        <f t="shared" si="918"/>
        <v>2020</v>
      </c>
      <c r="F814" t="str">
        <f>"1100105681"</f>
        <v>1100105681</v>
      </c>
      <c r="G814" t="str">
        <f t="shared" si="951"/>
        <v>01</v>
      </c>
      <c r="H814" t="str">
        <f>"10"</f>
        <v>10</v>
      </c>
      <c r="I814" t="str">
        <f t="shared" si="977"/>
        <v>1</v>
      </c>
      <c r="J814" t="str">
        <f>"M"</f>
        <v>M</v>
      </c>
      <c r="K814" t="str">
        <f t="shared" si="933"/>
        <v>170</v>
      </c>
      <c r="L814" t="str">
        <f>"25"</f>
        <v>25</v>
      </c>
      <c r="M814" t="str">
        <f>"269"</f>
        <v>269</v>
      </c>
      <c r="N814" t="str">
        <f t="shared" si="966"/>
        <v>1</v>
      </c>
      <c r="O814" t="str">
        <f>"9997"</f>
        <v>9997</v>
      </c>
      <c r="P814" t="str">
        <f>"C"</f>
        <v>C</v>
      </c>
      <c r="Q814" t="str">
        <f>"EPS044"</f>
        <v>EPS044</v>
      </c>
      <c r="R814" t="str">
        <f t="shared" si="953"/>
        <v>6</v>
      </c>
      <c r="S814" t="str">
        <f>""</f>
        <v/>
      </c>
      <c r="T814" t="str">
        <f t="shared" si="962"/>
        <v xml:space="preserve">                                                                                                    </v>
      </c>
      <c r="U814" t="str">
        <f>"2         "</f>
        <v xml:space="preserve">2         </v>
      </c>
      <c r="V814" t="str">
        <f t="shared" si="899"/>
        <v>2</v>
      </c>
      <c r="W814" t="str">
        <f t="shared" si="963"/>
        <v>2</v>
      </c>
      <c r="X814" t="str">
        <f t="shared" si="960"/>
        <v>2</v>
      </c>
      <c r="Y814" t="str">
        <f t="shared" si="964"/>
        <v>2</v>
      </c>
      <c r="Z814" t="str">
        <f t="shared" si="964"/>
        <v>2</v>
      </c>
      <c r="AA814" t="str">
        <f t="shared" si="919"/>
        <v xml:space="preserve">          </v>
      </c>
      <c r="AB814" t="str">
        <f t="shared" si="907"/>
        <v>2</v>
      </c>
      <c r="AC814" t="str">
        <f t="shared" si="908"/>
        <v>2</v>
      </c>
      <c r="AD814" t="str">
        <f t="shared" si="967"/>
        <v>2</v>
      </c>
      <c r="AE814" t="str">
        <f t="shared" si="967"/>
        <v>2</v>
      </c>
      <c r="AF814" t="str">
        <f t="shared" si="967"/>
        <v>2</v>
      </c>
      <c r="AG814" t="str">
        <f t="shared" si="967"/>
        <v>2</v>
      </c>
      <c r="AH814" t="str">
        <f t="shared" si="965"/>
        <v>1</v>
      </c>
      <c r="AI814" t="str">
        <f>"2         "</f>
        <v xml:space="preserve">2         </v>
      </c>
      <c r="AJ814" t="str">
        <f t="shared" si="935"/>
        <v>170</v>
      </c>
      <c r="AK814" t="str">
        <f>"25"</f>
        <v>25</v>
      </c>
      <c r="AL814" t="str">
        <f>"269"</f>
        <v>269</v>
      </c>
      <c r="AM814" t="str">
        <f>"11"</f>
        <v>11</v>
      </c>
      <c r="AN814" t="str">
        <f>"11001"</f>
        <v>11001</v>
      </c>
      <c r="AO814" t="str">
        <f>"8/01/2020 12:00:00 a. m."</f>
        <v>8/01/2020 12:00:00 a. m.</v>
      </c>
      <c r="AP814" t="str">
        <f>"7/01/2020 12:00:00 a. m."</f>
        <v>7/01/2020 12:00:00 a. m.</v>
      </c>
      <c r="AQ814" t="str">
        <f>"3"</f>
        <v>3</v>
      </c>
      <c r="AR814" t="str">
        <f t="shared" si="976"/>
        <v>1</v>
      </c>
      <c r="AS814" t="str">
        <f>"8/01/2020 12:00:00 a. m."</f>
        <v>8/01/2020 12:00:00 a. m.</v>
      </c>
      <c r="AT814" t="str">
        <f t="shared" si="978"/>
        <v>1</v>
      </c>
      <c r="AU814" t="str">
        <f>""</f>
        <v/>
      </c>
      <c r="AV814" t="str">
        <f>"0"</f>
        <v>0</v>
      </c>
      <c r="AW814" t="str">
        <f>"28/04/2009 12:00:00 a. m."</f>
        <v>28/04/2009 12:00:00 a. m.</v>
      </c>
      <c r="AX814" t="str">
        <f>""</f>
        <v/>
      </c>
      <c r="AY814" t="str">
        <f t="shared" si="921"/>
        <v>30/04/2021 12:00:00 a. m.</v>
      </c>
      <c r="AZ814" t="str">
        <f>"17/03/2020 12:00:00 a. m."</f>
        <v>17/03/2020 12:00:00 a. m.</v>
      </c>
      <c r="BA814" t="str">
        <f>""</f>
        <v/>
      </c>
      <c r="BB814" t="str">
        <f>""</f>
        <v/>
      </c>
      <c r="BC814" t="str">
        <f>""</f>
        <v/>
      </c>
      <c r="BD814" t="str">
        <f t="shared" si="974"/>
        <v>1</v>
      </c>
      <c r="BE814" t="str">
        <f t="shared" si="974"/>
        <v>1</v>
      </c>
      <c r="BF814" t="str">
        <f t="shared" si="922"/>
        <v xml:space="preserve">3         </v>
      </c>
      <c r="BG814" t="str">
        <f t="shared" si="923"/>
        <v>Confirmado por laboratorio</v>
      </c>
      <c r="BH814" t="str">
        <f>"FUNDACION HOSPITAL DE LA MISERICORDIA"</f>
        <v>FUNDACION HOSPITAL DE LA MISERICORDIA</v>
      </c>
      <c r="BI814" t="str">
        <f t="shared" si="939"/>
        <v>COLOMBIA</v>
      </c>
      <c r="BJ814" t="str">
        <f t="shared" si="924"/>
        <v>CANCER INFANTIL</v>
      </c>
      <c r="BK814" t="str">
        <f>"CUNDINAMARCA"</f>
        <v>CUNDINAMARCA</v>
      </c>
      <c r="BL814" t="str">
        <f>"FACATATIVA"</f>
        <v>FACATATIVA</v>
      </c>
      <c r="BM814" t="str">
        <f t="shared" si="941"/>
        <v>COLOMBIA</v>
      </c>
      <c r="BN814" t="str">
        <f>"CUNDINAMARCA"</f>
        <v>CUNDINAMARCA</v>
      </c>
      <c r="BO814" t="str">
        <f>"FACATATIVA"</f>
        <v>FACATATIVA</v>
      </c>
      <c r="BP814" t="str">
        <f t="shared" si="979"/>
        <v>BOGOTA</v>
      </c>
      <c r="BQ814" t="str">
        <f t="shared" si="979"/>
        <v>BOGOTA</v>
      </c>
    </row>
    <row r="815" spans="1:69" x14ac:dyDescent="0.25">
      <c r="A815" t="str">
        <f>"7291678"</f>
        <v>7291678</v>
      </c>
      <c r="B815" t="str">
        <f t="shared" si="917"/>
        <v>459</v>
      </c>
      <c r="C815" t="str">
        <f>"27/07/2020 12:00:00 a. m."</f>
        <v>27/07/2020 12:00:00 a. m.</v>
      </c>
      <c r="D815" t="str">
        <f>"30"</f>
        <v>30</v>
      </c>
      <c r="E815" t="str">
        <f t="shared" si="918"/>
        <v>2020</v>
      </c>
      <c r="F815" t="str">
        <f>"1100108171"</f>
        <v>1100108171</v>
      </c>
      <c r="G815" t="str">
        <f>"02"</f>
        <v>02</v>
      </c>
      <c r="H815" t="str">
        <f>"11"</f>
        <v>11</v>
      </c>
      <c r="I815" t="str">
        <f t="shared" si="977"/>
        <v>1</v>
      </c>
      <c r="J815" t="str">
        <f>"F"</f>
        <v>F</v>
      </c>
      <c r="K815" t="str">
        <f t="shared" si="933"/>
        <v>170</v>
      </c>
      <c r="L815" t="str">
        <f>"25"</f>
        <v>25</v>
      </c>
      <c r="M815" t="str">
        <f>"430"</f>
        <v>430</v>
      </c>
      <c r="N815" t="str">
        <f t="shared" si="966"/>
        <v>1</v>
      </c>
      <c r="O815" t="str">
        <f>"9997"</f>
        <v>9997</v>
      </c>
      <c r="P815" t="str">
        <f>"C"</f>
        <v>C</v>
      </c>
      <c r="Q815" t="str">
        <f>"EPS017"</f>
        <v>EPS017</v>
      </c>
      <c r="R815" t="str">
        <f t="shared" si="953"/>
        <v>6</v>
      </c>
      <c r="S815" t="str">
        <f>""</f>
        <v/>
      </c>
      <c r="T815" t="str">
        <f t="shared" si="962"/>
        <v xml:space="preserve">                                                                                                    </v>
      </c>
      <c r="U815" t="str">
        <f>"1         "</f>
        <v xml:space="preserve">1         </v>
      </c>
      <c r="V815" t="str">
        <f t="shared" si="899"/>
        <v>2</v>
      </c>
      <c r="W815" t="str">
        <f t="shared" si="963"/>
        <v>2</v>
      </c>
      <c r="X815" t="str">
        <f t="shared" si="960"/>
        <v>2</v>
      </c>
      <c r="Y815" t="str">
        <f t="shared" si="964"/>
        <v>2</v>
      </c>
      <c r="Z815" t="str">
        <f t="shared" si="964"/>
        <v>2</v>
      </c>
      <c r="AA815" t="str">
        <f t="shared" si="919"/>
        <v xml:space="preserve">          </v>
      </c>
      <c r="AB815" t="str">
        <f t="shared" si="907"/>
        <v>2</v>
      </c>
      <c r="AC815" t="str">
        <f t="shared" si="908"/>
        <v>2</v>
      </c>
      <c r="AD815" t="str">
        <f t="shared" si="967"/>
        <v>2</v>
      </c>
      <c r="AE815" t="str">
        <f t="shared" si="967"/>
        <v>2</v>
      </c>
      <c r="AF815" t="str">
        <f t="shared" si="967"/>
        <v>2</v>
      </c>
      <c r="AG815" t="str">
        <f t="shared" si="967"/>
        <v>2</v>
      </c>
      <c r="AH815" t="str">
        <f t="shared" si="965"/>
        <v>1</v>
      </c>
      <c r="AI815" t="str">
        <f>"1         "</f>
        <v xml:space="preserve">1         </v>
      </c>
      <c r="AJ815" t="str">
        <f t="shared" si="935"/>
        <v>170</v>
      </c>
      <c r="AK815" t="str">
        <f>"25"</f>
        <v>25</v>
      </c>
      <c r="AL815" t="str">
        <f>"430"</f>
        <v>430</v>
      </c>
      <c r="AM815" t="str">
        <f>"11"</f>
        <v>11</v>
      </c>
      <c r="AN815" t="str">
        <f>"11001"</f>
        <v>11001</v>
      </c>
      <c r="AO815" t="str">
        <f>"25/07/2020 12:00:00 a. m."</f>
        <v>25/07/2020 12:00:00 a. m.</v>
      </c>
      <c r="AP815" t="str">
        <f>"24/07/2020 12:00:00 a. m."</f>
        <v>24/07/2020 12:00:00 a. m.</v>
      </c>
      <c r="AQ815" t="str">
        <f>"2"</f>
        <v>2</v>
      </c>
      <c r="AR815" t="str">
        <f t="shared" si="976"/>
        <v>1</v>
      </c>
      <c r="AS815" t="str">
        <f>"25/07/2020 12:00:00 a. m."</f>
        <v>25/07/2020 12:00:00 a. m.</v>
      </c>
      <c r="AT815" t="str">
        <f t="shared" si="978"/>
        <v>1</v>
      </c>
      <c r="AU815" t="str">
        <f>""</f>
        <v/>
      </c>
      <c r="AV815" t="str">
        <f>"3"</f>
        <v>3</v>
      </c>
      <c r="AW815" t="str">
        <f>"18/06/2009 12:00:00 a. m."</f>
        <v>18/06/2009 12:00:00 a. m.</v>
      </c>
      <c r="AX815" t="str">
        <f>""</f>
        <v/>
      </c>
      <c r="AY815" t="str">
        <f t="shared" si="921"/>
        <v>30/04/2021 12:00:00 a. m.</v>
      </c>
      <c r="AZ815" t="str">
        <f>"27/08/2020 12:00:00 a. m."</f>
        <v>27/08/2020 12:00:00 a. m.</v>
      </c>
      <c r="BA815" t="str">
        <f>""</f>
        <v/>
      </c>
      <c r="BB815" t="str">
        <f>""</f>
        <v/>
      </c>
      <c r="BC815" t="str">
        <f>""</f>
        <v/>
      </c>
      <c r="BD815" t="str">
        <f t="shared" si="974"/>
        <v>1</v>
      </c>
      <c r="BE815" t="str">
        <f t="shared" si="974"/>
        <v>1</v>
      </c>
      <c r="BF815" t="str">
        <f t="shared" si="922"/>
        <v xml:space="preserve">3         </v>
      </c>
      <c r="BG815" t="str">
        <f t="shared" si="923"/>
        <v>Confirmado por laboratorio</v>
      </c>
      <c r="BH815" t="str">
        <f>"CLINICA INFANTIL COLSUBSIDIO"</f>
        <v>CLINICA INFANTIL COLSUBSIDIO</v>
      </c>
      <c r="BI815" t="str">
        <f t="shared" si="939"/>
        <v>COLOMBIA</v>
      </c>
      <c r="BJ815" t="str">
        <f t="shared" si="924"/>
        <v>CANCER INFANTIL</v>
      </c>
      <c r="BK815" t="str">
        <f>"CUNDINAMARCA"</f>
        <v>CUNDINAMARCA</v>
      </c>
      <c r="BL815" t="str">
        <f>"MADRID"</f>
        <v>MADRID</v>
      </c>
      <c r="BM815" t="str">
        <f t="shared" si="941"/>
        <v>COLOMBIA</v>
      </c>
      <c r="BN815" t="str">
        <f>"CUNDINAMARCA"</f>
        <v>CUNDINAMARCA</v>
      </c>
      <c r="BO815" t="str">
        <f>"MADRID"</f>
        <v>MADRID</v>
      </c>
      <c r="BP815" t="str">
        <f t="shared" si="979"/>
        <v>BOGOTA</v>
      </c>
      <c r="BQ815" t="str">
        <f t="shared" si="979"/>
        <v>BOGOTA</v>
      </c>
    </row>
    <row r="816" spans="1:69" x14ac:dyDescent="0.25">
      <c r="A816" t="str">
        <f>"7278722"</f>
        <v>7278722</v>
      </c>
      <c r="B816" t="str">
        <f t="shared" si="917"/>
        <v>459</v>
      </c>
      <c r="C816" t="str">
        <f>"17/06/2020 12:00:00 a. m."</f>
        <v>17/06/2020 12:00:00 a. m.</v>
      </c>
      <c r="D816" t="str">
        <f>"23"</f>
        <v>23</v>
      </c>
      <c r="E816" t="str">
        <f t="shared" si="918"/>
        <v>2020</v>
      </c>
      <c r="F816" t="str">
        <f>"1100109186"</f>
        <v>1100109186</v>
      </c>
      <c r="G816" t="str">
        <f>"68"</f>
        <v>68</v>
      </c>
      <c r="H816" t="str">
        <f>"3"</f>
        <v>3</v>
      </c>
      <c r="I816" t="str">
        <f t="shared" si="977"/>
        <v>1</v>
      </c>
      <c r="J816" t="str">
        <f t="shared" ref="J816:J823" si="980">"M"</f>
        <v>M</v>
      </c>
      <c r="K816" t="str">
        <f t="shared" si="933"/>
        <v>170</v>
      </c>
      <c r="L816" t="str">
        <f>"11"</f>
        <v>11</v>
      </c>
      <c r="M816" t="str">
        <f t="shared" ref="M816:M827" si="981">"001"</f>
        <v>001</v>
      </c>
      <c r="N816" t="str">
        <f t="shared" si="966"/>
        <v>1</v>
      </c>
      <c r="O816" t="str">
        <f>"9999"</f>
        <v>9999</v>
      </c>
      <c r="P816" t="str">
        <f>"I"</f>
        <v>I</v>
      </c>
      <c r="Q816" t="str">
        <f>""</f>
        <v/>
      </c>
      <c r="R816" t="str">
        <f t="shared" si="953"/>
        <v>6</v>
      </c>
      <c r="S816" t="str">
        <f>""</f>
        <v/>
      </c>
      <c r="T816" t="str">
        <f t="shared" si="962"/>
        <v xml:space="preserve">                                                                                                    </v>
      </c>
      <c r="U816" t="str">
        <f>"4         "</f>
        <v xml:space="preserve">4         </v>
      </c>
      <c r="V816" t="str">
        <f t="shared" si="899"/>
        <v>2</v>
      </c>
      <c r="W816" t="str">
        <f t="shared" si="963"/>
        <v>2</v>
      </c>
      <c r="X816" t="str">
        <f t="shared" si="960"/>
        <v>2</v>
      </c>
      <c r="Y816" t="str">
        <f t="shared" si="964"/>
        <v>2</v>
      </c>
      <c r="Z816" t="str">
        <f t="shared" si="964"/>
        <v>2</v>
      </c>
      <c r="AA816" t="str">
        <f t="shared" si="919"/>
        <v xml:space="preserve">          </v>
      </c>
      <c r="AB816" t="str">
        <f t="shared" si="907"/>
        <v>2</v>
      </c>
      <c r="AC816" t="str">
        <f t="shared" si="908"/>
        <v>2</v>
      </c>
      <c r="AD816" t="str">
        <f t="shared" si="967"/>
        <v>2</v>
      </c>
      <c r="AE816" t="str">
        <f t="shared" si="967"/>
        <v>2</v>
      </c>
      <c r="AF816" t="str">
        <f t="shared" si="967"/>
        <v>2</v>
      </c>
      <c r="AG816" t="str">
        <f t="shared" si="967"/>
        <v>2</v>
      </c>
      <c r="AH816" t="str">
        <f t="shared" si="965"/>
        <v>1</v>
      </c>
      <c r="AI816" t="str">
        <f>"1         "</f>
        <v xml:space="preserve">1         </v>
      </c>
      <c r="AJ816" t="str">
        <f t="shared" si="935"/>
        <v>170</v>
      </c>
      <c r="AK816" t="str">
        <f>"11"</f>
        <v>11</v>
      </c>
      <c r="AL816" t="str">
        <f t="shared" ref="AL816:AL827" si="982">"001"</f>
        <v>001</v>
      </c>
      <c r="AM816" t="str">
        <f>"11"</f>
        <v>11</v>
      </c>
      <c r="AN816" t="str">
        <f>"11001"</f>
        <v>11001</v>
      </c>
      <c r="AO816" t="str">
        <f>"4/06/2020 12:00:00 a. m."</f>
        <v>4/06/2020 12:00:00 a. m.</v>
      </c>
      <c r="AP816" t="str">
        <f>"29/05/2020 12:00:00 a. m."</f>
        <v>29/05/2020 12:00:00 a. m.</v>
      </c>
      <c r="AQ816" t="str">
        <f>"2"</f>
        <v>2</v>
      </c>
      <c r="AR816" t="str">
        <f t="shared" si="976"/>
        <v>1</v>
      </c>
      <c r="AS816" t="str">
        <f>"4/06/2020 12:00:00 a. m."</f>
        <v>4/06/2020 12:00:00 a. m.</v>
      </c>
      <c r="AT816" t="str">
        <f t="shared" si="978"/>
        <v>1</v>
      </c>
      <c r="AU816" t="str">
        <f>""</f>
        <v/>
      </c>
      <c r="AV816" t="str">
        <f>"3"</f>
        <v>3</v>
      </c>
      <c r="AW816" t="str">
        <f>"4/01/2017 12:00:00 a. m."</f>
        <v>4/01/2017 12:00:00 a. m.</v>
      </c>
      <c r="AX816" t="str">
        <f>""</f>
        <v/>
      </c>
      <c r="AY816" t="str">
        <f t="shared" si="921"/>
        <v>30/04/2021 12:00:00 a. m.</v>
      </c>
      <c r="AZ816" t="str">
        <f>"7/07/2020 12:00:00 a. m."</f>
        <v>7/07/2020 12:00:00 a. m.</v>
      </c>
      <c r="BA816" t="str">
        <f>""</f>
        <v/>
      </c>
      <c r="BB816" t="str">
        <f>""</f>
        <v/>
      </c>
      <c r="BC816" t="str">
        <f>""</f>
        <v/>
      </c>
      <c r="BD816" t="str">
        <f t="shared" si="974"/>
        <v>1</v>
      </c>
      <c r="BE816" t="str">
        <f t="shared" si="974"/>
        <v>1</v>
      </c>
      <c r="BF816" t="str">
        <f t="shared" si="922"/>
        <v xml:space="preserve">3         </v>
      </c>
      <c r="BG816" t="str">
        <f t="shared" si="923"/>
        <v>Confirmado por laboratorio</v>
      </c>
      <c r="BH816" t="str">
        <f>"CLINICA INFANTIL SANTA MARIA DEL LAGO"</f>
        <v>CLINICA INFANTIL SANTA MARIA DEL LAGO</v>
      </c>
      <c r="BI816" t="str">
        <f t="shared" si="939"/>
        <v>COLOMBIA</v>
      </c>
      <c r="BJ816" t="str">
        <f t="shared" si="924"/>
        <v>CANCER INFANTIL</v>
      </c>
      <c r="BK816" t="str">
        <f>"BOGOTA"</f>
        <v>BOGOTA</v>
      </c>
      <c r="BL816" t="str">
        <f>"BOGOTA"</f>
        <v>BOGOTA</v>
      </c>
      <c r="BM816" t="str">
        <f t="shared" si="941"/>
        <v>COLOMBIA</v>
      </c>
      <c r="BN816" t="str">
        <f>"BOGOTA"</f>
        <v>BOGOTA</v>
      </c>
      <c r="BO816" t="str">
        <f>"BOGOTA"</f>
        <v>BOGOTA</v>
      </c>
      <c r="BP816" t="str">
        <f t="shared" si="979"/>
        <v>BOGOTA</v>
      </c>
      <c r="BQ816" t="str">
        <f t="shared" si="979"/>
        <v>BOGOTA</v>
      </c>
    </row>
    <row r="817" spans="1:69" x14ac:dyDescent="0.25">
      <c r="A817" t="str">
        <f>"7278795"</f>
        <v>7278795</v>
      </c>
      <c r="B817" t="str">
        <f t="shared" si="917"/>
        <v>459</v>
      </c>
      <c r="C817" t="str">
        <f>"15/02/2020 12:00:00 a. m."</f>
        <v>15/02/2020 12:00:00 a. m.</v>
      </c>
      <c r="D817" t="str">
        <f>"04"</f>
        <v>04</v>
      </c>
      <c r="E817" t="str">
        <f t="shared" si="918"/>
        <v>2020</v>
      </c>
      <c r="F817" t="str">
        <f>"7300101047"</f>
        <v>7300101047</v>
      </c>
      <c r="G817" t="str">
        <f t="shared" ref="G817:G823" si="983">"01"</f>
        <v>01</v>
      </c>
      <c r="H817" t="str">
        <f>"4"</f>
        <v>4</v>
      </c>
      <c r="I817" t="str">
        <f>"2"</f>
        <v>2</v>
      </c>
      <c r="J817" t="str">
        <f t="shared" si="980"/>
        <v>M</v>
      </c>
      <c r="K817" t="str">
        <f t="shared" si="933"/>
        <v>170</v>
      </c>
      <c r="L817" t="str">
        <f>"73"</f>
        <v>73</v>
      </c>
      <c r="M817" t="str">
        <f t="shared" si="981"/>
        <v>001</v>
      </c>
      <c r="N817" t="str">
        <f t="shared" si="966"/>
        <v>1</v>
      </c>
      <c r="O817" t="str">
        <f>"9999"</f>
        <v>9999</v>
      </c>
      <c r="P817" t="str">
        <f>"S"</f>
        <v>S</v>
      </c>
      <c r="Q817" t="str">
        <f>"ESS133"</f>
        <v>ESS133</v>
      </c>
      <c r="R817" t="str">
        <f t="shared" si="953"/>
        <v>6</v>
      </c>
      <c r="S817" t="str">
        <f>""</f>
        <v/>
      </c>
      <c r="T817" t="str">
        <f t="shared" si="962"/>
        <v xml:space="preserve">                                                                                                    </v>
      </c>
      <c r="U817" t="str">
        <f>"1         "</f>
        <v xml:space="preserve">1         </v>
      </c>
      <c r="V817" t="str">
        <f t="shared" si="899"/>
        <v>2</v>
      </c>
      <c r="W817" t="str">
        <f t="shared" si="963"/>
        <v>2</v>
      </c>
      <c r="X817" t="str">
        <f t="shared" si="960"/>
        <v>2</v>
      </c>
      <c r="Y817" t="str">
        <f t="shared" si="964"/>
        <v>2</v>
      </c>
      <c r="Z817" t="str">
        <f t="shared" si="964"/>
        <v>2</v>
      </c>
      <c r="AA817" t="str">
        <f t="shared" si="919"/>
        <v xml:space="preserve">          </v>
      </c>
      <c r="AB817" t="str">
        <f t="shared" si="907"/>
        <v>2</v>
      </c>
      <c r="AC817" t="str">
        <f t="shared" si="908"/>
        <v>2</v>
      </c>
      <c r="AD817" t="str">
        <f t="shared" si="967"/>
        <v>2</v>
      </c>
      <c r="AE817" t="str">
        <f t="shared" si="967"/>
        <v>2</v>
      </c>
      <c r="AF817" t="str">
        <f t="shared" si="967"/>
        <v>2</v>
      </c>
      <c r="AG817" t="str">
        <f t="shared" si="967"/>
        <v>2</v>
      </c>
      <c r="AH817" t="str">
        <f t="shared" si="965"/>
        <v>1</v>
      </c>
      <c r="AI817" t="str">
        <f>"1         "</f>
        <v xml:space="preserve">1         </v>
      </c>
      <c r="AJ817" t="str">
        <f t="shared" si="935"/>
        <v>170</v>
      </c>
      <c r="AK817" t="str">
        <f>"73"</f>
        <v>73</v>
      </c>
      <c r="AL817" t="str">
        <f t="shared" si="982"/>
        <v>001</v>
      </c>
      <c r="AM817" t="str">
        <f>"73"</f>
        <v>73</v>
      </c>
      <c r="AN817" t="str">
        <f>"73001"</f>
        <v>73001</v>
      </c>
      <c r="AO817" t="str">
        <f>"23/01/2020 12:00:00 a. m."</f>
        <v>23/01/2020 12:00:00 a. m.</v>
      </c>
      <c r="AP817" t="str">
        <f>"12/12/2019 12:00:00 a. m."</f>
        <v>12/12/2019 12:00:00 a. m.</v>
      </c>
      <c r="AQ817" t="str">
        <f>"3"</f>
        <v>3</v>
      </c>
      <c r="AR817" t="str">
        <f t="shared" si="976"/>
        <v>1</v>
      </c>
      <c r="AS817" t="str">
        <f>"23/01/2020 12:00:00 a. m."</f>
        <v>23/01/2020 12:00:00 a. m.</v>
      </c>
      <c r="AT817" t="str">
        <f t="shared" si="978"/>
        <v>1</v>
      </c>
      <c r="AU817" t="str">
        <f>""</f>
        <v/>
      </c>
      <c r="AV817" t="str">
        <f>"0"</f>
        <v>0</v>
      </c>
      <c r="AW817" t="str">
        <f>"25/09/2019 12:00:00 a. m."</f>
        <v>25/09/2019 12:00:00 a. m.</v>
      </c>
      <c r="AX817" t="str">
        <f>""</f>
        <v/>
      </c>
      <c r="AY817" t="str">
        <f t="shared" si="921"/>
        <v>30/04/2021 12:00:00 a. m.</v>
      </c>
      <c r="AZ817" t="str">
        <f>"17/02/2020 12:00:00 a. m."</f>
        <v>17/02/2020 12:00:00 a. m.</v>
      </c>
      <c r="BA817" t="str">
        <f>""</f>
        <v/>
      </c>
      <c r="BB817" t="str">
        <f>""</f>
        <v/>
      </c>
      <c r="BC817" t="str">
        <f>""</f>
        <v/>
      </c>
      <c r="BD817" t="str">
        <f t="shared" si="974"/>
        <v>1</v>
      </c>
      <c r="BE817" t="str">
        <f t="shared" si="974"/>
        <v>1</v>
      </c>
      <c r="BF817" t="str">
        <f t="shared" si="922"/>
        <v xml:space="preserve">3         </v>
      </c>
      <c r="BG817" t="str">
        <f t="shared" si="923"/>
        <v>Confirmado por laboratorio</v>
      </c>
      <c r="BH817" t="str">
        <f>"HOSPITAL FEDERICO LLERAS ACOSTA ESE SEDE LA FRANC"</f>
        <v>HOSPITAL FEDERICO LLERAS ACOSTA ESE SEDE LA FRANC</v>
      </c>
      <c r="BI817" t="str">
        <f t="shared" si="939"/>
        <v>COLOMBIA</v>
      </c>
      <c r="BJ817" t="str">
        <f t="shared" si="924"/>
        <v>CANCER INFANTIL</v>
      </c>
      <c r="BK817" t="str">
        <f>"TOLIMA"</f>
        <v>TOLIMA</v>
      </c>
      <c r="BL817" t="str">
        <f>"IBAGUE"</f>
        <v>IBAGUE</v>
      </c>
      <c r="BM817" t="str">
        <f t="shared" si="941"/>
        <v>COLOMBIA</v>
      </c>
      <c r="BN817" t="str">
        <f>"TOLIMA"</f>
        <v>TOLIMA</v>
      </c>
      <c r="BO817" t="str">
        <f>"IBAGUE"</f>
        <v>IBAGUE</v>
      </c>
      <c r="BP817" t="str">
        <f>"TOLIMA"</f>
        <v>TOLIMA</v>
      </c>
      <c r="BQ817" t="str">
        <f>"IBAGUE"</f>
        <v>IBAGUE</v>
      </c>
    </row>
    <row r="818" spans="1:69" x14ac:dyDescent="0.25">
      <c r="A818" t="str">
        <f>"7278822"</f>
        <v>7278822</v>
      </c>
      <c r="B818" t="str">
        <f t="shared" si="917"/>
        <v>459</v>
      </c>
      <c r="C818" t="str">
        <f>"27/05/2020 12:00:00 a. m."</f>
        <v>27/05/2020 12:00:00 a. m.</v>
      </c>
      <c r="D818" t="str">
        <f>"17"</f>
        <v>17</v>
      </c>
      <c r="E818" t="str">
        <f t="shared" si="918"/>
        <v>2020</v>
      </c>
      <c r="F818" t="str">
        <f>"1100116133"</f>
        <v>1100116133</v>
      </c>
      <c r="G818" t="str">
        <f t="shared" si="983"/>
        <v>01</v>
      </c>
      <c r="H818" t="str">
        <f>"6"</f>
        <v>6</v>
      </c>
      <c r="I818" t="str">
        <f t="shared" ref="I818:I849" si="984">"1"</f>
        <v>1</v>
      </c>
      <c r="J818" t="str">
        <f t="shared" si="980"/>
        <v>M</v>
      </c>
      <c r="K818" t="str">
        <f t="shared" si="933"/>
        <v>170</v>
      </c>
      <c r="L818" t="str">
        <f>"11"</f>
        <v>11</v>
      </c>
      <c r="M818" t="str">
        <f t="shared" si="981"/>
        <v>001</v>
      </c>
      <c r="N818" t="str">
        <f t="shared" si="966"/>
        <v>1</v>
      </c>
      <c r="O818" t="str">
        <f t="shared" ref="O818:O826" si="985">"9997"</f>
        <v>9997</v>
      </c>
      <c r="P818" t="str">
        <f>"C"</f>
        <v>C</v>
      </c>
      <c r="Q818" t="str">
        <f>"EPS037"</f>
        <v>EPS037</v>
      </c>
      <c r="R818" t="str">
        <f t="shared" si="953"/>
        <v>6</v>
      </c>
      <c r="S818" t="str">
        <f>""</f>
        <v/>
      </c>
      <c r="T818" t="str">
        <f t="shared" si="962"/>
        <v xml:space="preserve">                                                                                                    </v>
      </c>
      <c r="U818" t="str">
        <f>"2         "</f>
        <v xml:space="preserve">2         </v>
      </c>
      <c r="V818" t="str">
        <f t="shared" si="899"/>
        <v>2</v>
      </c>
      <c r="W818" t="str">
        <f t="shared" si="963"/>
        <v>2</v>
      </c>
      <c r="X818" t="str">
        <f t="shared" si="960"/>
        <v>2</v>
      </c>
      <c r="Y818" t="str">
        <f t="shared" si="964"/>
        <v>2</v>
      </c>
      <c r="Z818" t="str">
        <f t="shared" si="964"/>
        <v>2</v>
      </c>
      <c r="AA818" t="str">
        <f t="shared" si="919"/>
        <v xml:space="preserve">          </v>
      </c>
      <c r="AB818" t="str">
        <f t="shared" si="907"/>
        <v>2</v>
      </c>
      <c r="AC818" t="str">
        <f t="shared" si="908"/>
        <v>2</v>
      </c>
      <c r="AD818" t="str">
        <f t="shared" si="967"/>
        <v>2</v>
      </c>
      <c r="AE818" t="str">
        <f t="shared" si="967"/>
        <v>2</v>
      </c>
      <c r="AF818" t="str">
        <f t="shared" si="967"/>
        <v>2</v>
      </c>
      <c r="AG818" t="str">
        <f t="shared" si="967"/>
        <v>2</v>
      </c>
      <c r="AH818" t="str">
        <f t="shared" si="965"/>
        <v>1</v>
      </c>
      <c r="AI818" t="str">
        <f>"2         "</f>
        <v xml:space="preserve">2         </v>
      </c>
      <c r="AJ818" t="str">
        <f t="shared" si="935"/>
        <v>170</v>
      </c>
      <c r="AK818" t="str">
        <f>"11"</f>
        <v>11</v>
      </c>
      <c r="AL818" t="str">
        <f t="shared" si="982"/>
        <v>001</v>
      </c>
      <c r="AM818" t="str">
        <f>"11"</f>
        <v>11</v>
      </c>
      <c r="AN818" t="str">
        <f>"11001"</f>
        <v>11001</v>
      </c>
      <c r="AO818" t="str">
        <f>"19/04/2020 12:00:00 a. m."</f>
        <v>19/04/2020 12:00:00 a. m.</v>
      </c>
      <c r="AP818" t="str">
        <f>"1/04/2020 12:00:00 a. m."</f>
        <v>1/04/2020 12:00:00 a. m.</v>
      </c>
      <c r="AQ818" t="str">
        <f>"3"</f>
        <v>3</v>
      </c>
      <c r="AR818" t="str">
        <f t="shared" si="976"/>
        <v>1</v>
      </c>
      <c r="AS818" t="str">
        <f>"19/04/2020 12:00:00 a. m."</f>
        <v>19/04/2020 12:00:00 a. m.</v>
      </c>
      <c r="AT818" t="str">
        <f>"2"</f>
        <v>2</v>
      </c>
      <c r="AU818" t="str">
        <f>"24/05/2020 12:00:00 a. m."</f>
        <v>24/05/2020 12:00:00 a. m.</v>
      </c>
      <c r="AV818" t="str">
        <f>"3"</f>
        <v>3</v>
      </c>
      <c r="AW818" t="str">
        <f>"30/10/2013 12:00:00 a. m."</f>
        <v>30/10/2013 12:00:00 a. m.</v>
      </c>
      <c r="AX818" t="str">
        <f>"C910"</f>
        <v>C910</v>
      </c>
      <c r="AY818" t="str">
        <f t="shared" si="921"/>
        <v>30/04/2021 12:00:00 a. m.</v>
      </c>
      <c r="AZ818" t="str">
        <f>"22/07/2020 12:00:00 a. m."</f>
        <v>22/07/2020 12:00:00 a. m.</v>
      </c>
      <c r="BA818" t="str">
        <f>""</f>
        <v/>
      </c>
      <c r="BB818" t="str">
        <f>""</f>
        <v/>
      </c>
      <c r="BC818" t="str">
        <f>""</f>
        <v/>
      </c>
      <c r="BD818" t="str">
        <f t="shared" si="974"/>
        <v>1</v>
      </c>
      <c r="BE818" t="str">
        <f t="shared" si="974"/>
        <v>1</v>
      </c>
      <c r="BF818" t="str">
        <f t="shared" si="922"/>
        <v xml:space="preserve">3         </v>
      </c>
      <c r="BG818" t="str">
        <f t="shared" si="923"/>
        <v>Confirmado por laboratorio</v>
      </c>
      <c r="BH818" t="str">
        <f>"FUNDACION HOSPITAL INFANTIL UNIVERSITARIO DE SAN"</f>
        <v>FUNDACION HOSPITAL INFANTIL UNIVERSITARIO DE SAN</v>
      </c>
      <c r="BI818" t="str">
        <f t="shared" si="939"/>
        <v>COLOMBIA</v>
      </c>
      <c r="BJ818" t="str">
        <f t="shared" si="924"/>
        <v>CANCER INFANTIL</v>
      </c>
      <c r="BK818" t="str">
        <f>"BOGOTA"</f>
        <v>BOGOTA</v>
      </c>
      <c r="BL818" t="str">
        <f>"BOGOTA"</f>
        <v>BOGOTA</v>
      </c>
      <c r="BM818" t="str">
        <f t="shared" si="941"/>
        <v>COLOMBIA</v>
      </c>
      <c r="BN818" t="str">
        <f t="shared" ref="BN818:BQ819" si="986">"BOGOTA"</f>
        <v>BOGOTA</v>
      </c>
      <c r="BO818" t="str">
        <f t="shared" si="986"/>
        <v>BOGOTA</v>
      </c>
      <c r="BP818" t="str">
        <f t="shared" si="986"/>
        <v>BOGOTA</v>
      </c>
      <c r="BQ818" t="str">
        <f t="shared" si="986"/>
        <v>BOGOTA</v>
      </c>
    </row>
    <row r="819" spans="1:69" x14ac:dyDescent="0.25">
      <c r="A819" t="str">
        <f>"7278829"</f>
        <v>7278829</v>
      </c>
      <c r="B819" t="str">
        <f t="shared" si="917"/>
        <v>459</v>
      </c>
      <c r="C819" t="str">
        <f>"9/09/2020 12:00:00 a. m."</f>
        <v>9/09/2020 12:00:00 a. m.</v>
      </c>
      <c r="D819" t="str">
        <f>"36"</f>
        <v>36</v>
      </c>
      <c r="E819" t="str">
        <f t="shared" si="918"/>
        <v>2020</v>
      </c>
      <c r="F819" t="str">
        <f>"1100116133"</f>
        <v>1100116133</v>
      </c>
      <c r="G819" t="str">
        <f t="shared" si="983"/>
        <v>01</v>
      </c>
      <c r="H819" t="str">
        <f>"12"</f>
        <v>12</v>
      </c>
      <c r="I819" t="str">
        <f t="shared" si="984"/>
        <v>1</v>
      </c>
      <c r="J819" t="str">
        <f t="shared" si="980"/>
        <v>M</v>
      </c>
      <c r="K819" t="str">
        <f t="shared" si="933"/>
        <v>170</v>
      </c>
      <c r="L819" t="str">
        <f>"11"</f>
        <v>11</v>
      </c>
      <c r="M819" t="str">
        <f t="shared" si="981"/>
        <v>001</v>
      </c>
      <c r="N819" t="str">
        <f t="shared" si="966"/>
        <v>1</v>
      </c>
      <c r="O819" t="str">
        <f t="shared" si="985"/>
        <v>9997</v>
      </c>
      <c r="P819" t="str">
        <f>"C"</f>
        <v>C</v>
      </c>
      <c r="Q819" t="str">
        <f>"EPS037"</f>
        <v>EPS037</v>
      </c>
      <c r="R819" t="str">
        <f t="shared" si="953"/>
        <v>6</v>
      </c>
      <c r="S819" t="str">
        <f>""</f>
        <v/>
      </c>
      <c r="T819" t="str">
        <f t="shared" si="962"/>
        <v xml:space="preserve">                                                                                                    </v>
      </c>
      <c r="U819" t="str">
        <f>"3         "</f>
        <v xml:space="preserve">3         </v>
      </c>
      <c r="V819" t="str">
        <f t="shared" ref="V819:V882" si="987">"2"</f>
        <v>2</v>
      </c>
      <c r="W819" t="str">
        <f t="shared" si="963"/>
        <v>2</v>
      </c>
      <c r="X819" t="str">
        <f t="shared" si="960"/>
        <v>2</v>
      </c>
      <c r="Y819" t="str">
        <f t="shared" ref="Y819:Z838" si="988">"2"</f>
        <v>2</v>
      </c>
      <c r="Z819" t="str">
        <f t="shared" si="988"/>
        <v>2</v>
      </c>
      <c r="AA819" t="str">
        <f t="shared" si="919"/>
        <v xml:space="preserve">          </v>
      </c>
      <c r="AB819" t="str">
        <f t="shared" si="907"/>
        <v>2</v>
      </c>
      <c r="AC819" t="str">
        <f t="shared" si="908"/>
        <v>2</v>
      </c>
      <c r="AD819" t="str">
        <f t="shared" si="967"/>
        <v>2</v>
      </c>
      <c r="AE819" t="str">
        <f t="shared" si="967"/>
        <v>2</v>
      </c>
      <c r="AF819" t="str">
        <f t="shared" si="967"/>
        <v>2</v>
      </c>
      <c r="AG819" t="str">
        <f t="shared" si="967"/>
        <v>2</v>
      </c>
      <c r="AH819" t="str">
        <f t="shared" si="965"/>
        <v>1</v>
      </c>
      <c r="AI819" t="str">
        <f>"3         "</f>
        <v xml:space="preserve">3         </v>
      </c>
      <c r="AJ819" t="str">
        <f t="shared" si="935"/>
        <v>170</v>
      </c>
      <c r="AK819" t="str">
        <f>"11"</f>
        <v>11</v>
      </c>
      <c r="AL819" t="str">
        <f t="shared" si="982"/>
        <v>001</v>
      </c>
      <c r="AM819" t="str">
        <f>"11"</f>
        <v>11</v>
      </c>
      <c r="AN819" t="str">
        <f>"11001"</f>
        <v>11001</v>
      </c>
      <c r="AO819" t="str">
        <f>"4/09/2020 12:00:00 a. m."</f>
        <v>4/09/2020 12:00:00 a. m.</v>
      </c>
      <c r="AP819" t="str">
        <f>"4/09/2020 12:00:00 a. m."</f>
        <v>4/09/2020 12:00:00 a. m.</v>
      </c>
      <c r="AQ819" t="str">
        <f>"3"</f>
        <v>3</v>
      </c>
      <c r="AR819" t="str">
        <f>"2"</f>
        <v>2</v>
      </c>
      <c r="AS819" t="str">
        <f>""</f>
        <v/>
      </c>
      <c r="AT819" t="str">
        <f t="shared" ref="AT819:AT824" si="989">"1"</f>
        <v>1</v>
      </c>
      <c r="AU819" t="str">
        <f>""</f>
        <v/>
      </c>
      <c r="AV819" t="str">
        <f>"0"</f>
        <v>0</v>
      </c>
      <c r="AW819" t="str">
        <f>"26/04/2008 12:00:00 a. m."</f>
        <v>26/04/2008 12:00:00 a. m.</v>
      </c>
      <c r="AX819" t="str">
        <f>""</f>
        <v/>
      </c>
      <c r="AY819" t="str">
        <f t="shared" si="921"/>
        <v>30/04/2021 12:00:00 a. m.</v>
      </c>
      <c r="AZ819" t="str">
        <f>"10/09/2020 12:00:00 a. m."</f>
        <v>10/09/2020 12:00:00 a. m.</v>
      </c>
      <c r="BA819" t="str">
        <f>""</f>
        <v/>
      </c>
      <c r="BB819" t="str">
        <f>""</f>
        <v/>
      </c>
      <c r="BC819" t="str">
        <f>""</f>
        <v/>
      </c>
      <c r="BD819" t="str">
        <f t="shared" si="974"/>
        <v>1</v>
      </c>
      <c r="BE819" t="str">
        <f t="shared" si="974"/>
        <v>1</v>
      </c>
      <c r="BF819" t="str">
        <f t="shared" si="922"/>
        <v xml:space="preserve">3         </v>
      </c>
      <c r="BG819" t="str">
        <f t="shared" si="923"/>
        <v>Confirmado por laboratorio</v>
      </c>
      <c r="BH819" t="str">
        <f>"FUNDACION HOSPITAL INFANTIL UNIVERSITARIO DE SAN"</f>
        <v>FUNDACION HOSPITAL INFANTIL UNIVERSITARIO DE SAN</v>
      </c>
      <c r="BI819" t="str">
        <f t="shared" si="939"/>
        <v>COLOMBIA</v>
      </c>
      <c r="BJ819" t="str">
        <f t="shared" si="924"/>
        <v>CANCER INFANTIL</v>
      </c>
      <c r="BK819" t="str">
        <f>"BOGOTA"</f>
        <v>BOGOTA</v>
      </c>
      <c r="BL819" t="str">
        <f>"BOGOTA"</f>
        <v>BOGOTA</v>
      </c>
      <c r="BM819" t="str">
        <f t="shared" si="941"/>
        <v>COLOMBIA</v>
      </c>
      <c r="BN819" t="str">
        <f t="shared" si="986"/>
        <v>BOGOTA</v>
      </c>
      <c r="BO819" t="str">
        <f t="shared" si="986"/>
        <v>BOGOTA</v>
      </c>
      <c r="BP819" t="str">
        <f t="shared" si="986"/>
        <v>BOGOTA</v>
      </c>
      <c r="BQ819" t="str">
        <f t="shared" si="986"/>
        <v>BOGOTA</v>
      </c>
    </row>
    <row r="820" spans="1:69" x14ac:dyDescent="0.25">
      <c r="A820" t="str">
        <f>"7278899"</f>
        <v>7278899</v>
      </c>
      <c r="B820" t="str">
        <f t="shared" si="917"/>
        <v>459</v>
      </c>
      <c r="C820" t="str">
        <f>"9/11/2020 12:00:00 a. m."</f>
        <v>9/11/2020 12:00:00 a. m.</v>
      </c>
      <c r="D820" t="str">
        <f>"37"</f>
        <v>37</v>
      </c>
      <c r="E820" t="str">
        <f t="shared" si="918"/>
        <v>2020</v>
      </c>
      <c r="F820" t="str">
        <f>"7600103066"</f>
        <v>7600103066</v>
      </c>
      <c r="G820" t="str">
        <f t="shared" si="983"/>
        <v>01</v>
      </c>
      <c r="H820" t="str">
        <f>"7"</f>
        <v>7</v>
      </c>
      <c r="I820" t="str">
        <f t="shared" si="984"/>
        <v>1</v>
      </c>
      <c r="J820" t="str">
        <f t="shared" si="980"/>
        <v>M</v>
      </c>
      <c r="K820" t="str">
        <f t="shared" si="933"/>
        <v>170</v>
      </c>
      <c r="L820" t="str">
        <f>"19"</f>
        <v>19</v>
      </c>
      <c r="M820" t="str">
        <f t="shared" si="981"/>
        <v>001</v>
      </c>
      <c r="N820" t="str">
        <f t="shared" si="966"/>
        <v>1</v>
      </c>
      <c r="O820" t="str">
        <f t="shared" si="985"/>
        <v>9997</v>
      </c>
      <c r="P820" t="str">
        <f>"S"</f>
        <v>S</v>
      </c>
      <c r="Q820" t="str">
        <f>"ESS062"</f>
        <v>ESS062</v>
      </c>
      <c r="R820" t="str">
        <f t="shared" si="953"/>
        <v>6</v>
      </c>
      <c r="S820" t="str">
        <f>""</f>
        <v/>
      </c>
      <c r="T820" t="str">
        <f t="shared" si="962"/>
        <v xml:space="preserve">                                                                                                    </v>
      </c>
      <c r="U820" t="str">
        <f>"3         "</f>
        <v xml:space="preserve">3         </v>
      </c>
      <c r="V820" t="str">
        <f t="shared" si="987"/>
        <v>2</v>
      </c>
      <c r="W820" t="str">
        <f t="shared" si="963"/>
        <v>2</v>
      </c>
      <c r="X820" t="str">
        <f t="shared" si="960"/>
        <v>2</v>
      </c>
      <c r="Y820" t="str">
        <f t="shared" si="988"/>
        <v>2</v>
      </c>
      <c r="Z820" t="str">
        <f t="shared" si="988"/>
        <v>2</v>
      </c>
      <c r="AA820" t="str">
        <f t="shared" si="919"/>
        <v xml:space="preserve">          </v>
      </c>
      <c r="AB820" t="str">
        <f t="shared" si="907"/>
        <v>2</v>
      </c>
      <c r="AC820" t="str">
        <f t="shared" si="908"/>
        <v>2</v>
      </c>
      <c r="AD820" t="str">
        <f t="shared" ref="AD820:AG839" si="990">"2"</f>
        <v>2</v>
      </c>
      <c r="AE820" t="str">
        <f t="shared" si="990"/>
        <v>2</v>
      </c>
      <c r="AF820" t="str">
        <f t="shared" si="990"/>
        <v>2</v>
      </c>
      <c r="AG820" t="str">
        <f t="shared" si="990"/>
        <v>2</v>
      </c>
      <c r="AH820" t="str">
        <f t="shared" si="965"/>
        <v>1</v>
      </c>
      <c r="AI820" t="str">
        <f>"1         "</f>
        <v xml:space="preserve">1         </v>
      </c>
      <c r="AJ820" t="str">
        <f t="shared" si="935"/>
        <v>170</v>
      </c>
      <c r="AK820" t="str">
        <f>"19"</f>
        <v>19</v>
      </c>
      <c r="AL820" t="str">
        <f t="shared" si="982"/>
        <v>001</v>
      </c>
      <c r="AM820" t="str">
        <f>"76"</f>
        <v>76</v>
      </c>
      <c r="AN820" t="str">
        <f>"76001"</f>
        <v>76001</v>
      </c>
      <c r="AO820" t="str">
        <f>"7/09/2020 12:00:00 a. m."</f>
        <v>7/09/2020 12:00:00 a. m.</v>
      </c>
      <c r="AP820" t="str">
        <f>"12/08/2020 12:00:00 a. m."</f>
        <v>12/08/2020 12:00:00 a. m.</v>
      </c>
      <c r="AQ820" t="str">
        <f>"3"</f>
        <v>3</v>
      </c>
      <c r="AR820" t="str">
        <f>"2"</f>
        <v>2</v>
      </c>
      <c r="AS820" t="str">
        <f>""</f>
        <v/>
      </c>
      <c r="AT820" t="str">
        <f t="shared" si="989"/>
        <v>1</v>
      </c>
      <c r="AU820" t="str">
        <f>""</f>
        <v/>
      </c>
      <c r="AV820" t="str">
        <f>"3"</f>
        <v>3</v>
      </c>
      <c r="AW820" t="str">
        <f>"16/11/2012 12:00:00 a. m."</f>
        <v>16/11/2012 12:00:00 a. m.</v>
      </c>
      <c r="AX820" t="str">
        <f>""</f>
        <v/>
      </c>
      <c r="AY820" t="str">
        <f t="shared" si="921"/>
        <v>30/04/2021 12:00:00 a. m.</v>
      </c>
      <c r="AZ820" t="str">
        <f>"28/11/2020 12:00:00 a. m."</f>
        <v>28/11/2020 12:00:00 a. m.</v>
      </c>
      <c r="BA820" t="str">
        <f>""</f>
        <v/>
      </c>
      <c r="BB820" t="str">
        <f>""</f>
        <v/>
      </c>
      <c r="BC820" t="str">
        <f>""</f>
        <v/>
      </c>
      <c r="BD820" t="str">
        <f t="shared" si="974"/>
        <v>1</v>
      </c>
      <c r="BE820" t="str">
        <f t="shared" si="974"/>
        <v>1</v>
      </c>
      <c r="BF820" t="str">
        <f t="shared" si="922"/>
        <v xml:space="preserve">3         </v>
      </c>
      <c r="BG820" t="str">
        <f t="shared" si="923"/>
        <v>Confirmado por laboratorio</v>
      </c>
      <c r="BH820" t="str">
        <f>"CLINICA DE OCCIDENTE SA"</f>
        <v>CLINICA DE OCCIDENTE SA</v>
      </c>
      <c r="BI820" t="str">
        <f t="shared" si="939"/>
        <v>COLOMBIA</v>
      </c>
      <c r="BJ820" t="str">
        <f t="shared" si="924"/>
        <v>CANCER INFANTIL</v>
      </c>
      <c r="BK820" t="str">
        <f>"CAUCA"</f>
        <v>CAUCA</v>
      </c>
      <c r="BL820" t="str">
        <f>"POPAYAN"</f>
        <v>POPAYAN</v>
      </c>
      <c r="BM820" t="str">
        <f t="shared" si="941"/>
        <v>COLOMBIA</v>
      </c>
      <c r="BN820" t="str">
        <f>"CAUCA"</f>
        <v>CAUCA</v>
      </c>
      <c r="BO820" t="str">
        <f>"POPAYAN"</f>
        <v>POPAYAN</v>
      </c>
      <c r="BP820" t="str">
        <f>"VALLE"</f>
        <v>VALLE</v>
      </c>
      <c r="BQ820" t="str">
        <f>"CALI"</f>
        <v>CALI</v>
      </c>
    </row>
    <row r="821" spans="1:69" x14ac:dyDescent="0.25">
      <c r="A821" t="str">
        <f>"7278831"</f>
        <v>7278831</v>
      </c>
      <c r="B821" t="str">
        <f t="shared" si="917"/>
        <v>459</v>
      </c>
      <c r="C821" t="str">
        <f>"10/07/2020 12:00:00 a. m."</f>
        <v>10/07/2020 12:00:00 a. m.</v>
      </c>
      <c r="D821" t="str">
        <f>"21"</f>
        <v>21</v>
      </c>
      <c r="E821" t="str">
        <f t="shared" si="918"/>
        <v>2020</v>
      </c>
      <c r="F821" t="str">
        <f>"1100123118"</f>
        <v>1100123118</v>
      </c>
      <c r="G821" t="str">
        <f t="shared" si="983"/>
        <v>01</v>
      </c>
      <c r="H821" t="str">
        <f>"10"</f>
        <v>10</v>
      </c>
      <c r="I821" t="str">
        <f t="shared" si="984"/>
        <v>1</v>
      </c>
      <c r="J821" t="str">
        <f t="shared" si="980"/>
        <v>M</v>
      </c>
      <c r="K821" t="str">
        <f t="shared" si="933"/>
        <v>170</v>
      </c>
      <c r="L821" t="str">
        <f>"11"</f>
        <v>11</v>
      </c>
      <c r="M821" t="str">
        <f t="shared" si="981"/>
        <v>001</v>
      </c>
      <c r="N821" t="str">
        <f t="shared" si="966"/>
        <v>1</v>
      </c>
      <c r="O821" t="str">
        <f t="shared" si="985"/>
        <v>9997</v>
      </c>
      <c r="P821" t="str">
        <f>"P"</f>
        <v>P</v>
      </c>
      <c r="Q821" t="str">
        <f>"RES001"</f>
        <v>RES001</v>
      </c>
      <c r="R821" t="str">
        <f t="shared" ref="R821:R852" si="991">"6"</f>
        <v>6</v>
      </c>
      <c r="S821" t="str">
        <f>""</f>
        <v/>
      </c>
      <c r="T821" t="str">
        <f t="shared" si="962"/>
        <v xml:space="preserve">                                                                                                    </v>
      </c>
      <c r="U821" t="str">
        <f>"2         "</f>
        <v xml:space="preserve">2         </v>
      </c>
      <c r="V821" t="str">
        <f t="shared" si="987"/>
        <v>2</v>
      </c>
      <c r="W821" t="str">
        <f t="shared" si="963"/>
        <v>2</v>
      </c>
      <c r="X821" t="str">
        <f t="shared" si="960"/>
        <v>2</v>
      </c>
      <c r="Y821" t="str">
        <f t="shared" si="988"/>
        <v>2</v>
      </c>
      <c r="Z821" t="str">
        <f t="shared" si="988"/>
        <v>2</v>
      </c>
      <c r="AA821" t="str">
        <f t="shared" si="919"/>
        <v xml:space="preserve">          </v>
      </c>
      <c r="AB821" t="str">
        <f t="shared" si="907"/>
        <v>2</v>
      </c>
      <c r="AC821" t="str">
        <f t="shared" si="908"/>
        <v>2</v>
      </c>
      <c r="AD821" t="str">
        <f t="shared" si="990"/>
        <v>2</v>
      </c>
      <c r="AE821" t="str">
        <f t="shared" si="990"/>
        <v>2</v>
      </c>
      <c r="AF821" t="str">
        <f t="shared" si="990"/>
        <v>2</v>
      </c>
      <c r="AG821" t="str">
        <f t="shared" si="990"/>
        <v>2</v>
      </c>
      <c r="AH821" t="str">
        <f t="shared" si="965"/>
        <v>1</v>
      </c>
      <c r="AI821" t="str">
        <f>"1         "</f>
        <v xml:space="preserve">1         </v>
      </c>
      <c r="AJ821" t="str">
        <f t="shared" si="935"/>
        <v>170</v>
      </c>
      <c r="AK821" t="str">
        <f>"11"</f>
        <v>11</v>
      </c>
      <c r="AL821" t="str">
        <f t="shared" si="982"/>
        <v>001</v>
      </c>
      <c r="AM821" t="str">
        <f>"11"</f>
        <v>11</v>
      </c>
      <c r="AN821" t="str">
        <f>"11001"</f>
        <v>11001</v>
      </c>
      <c r="AO821" t="str">
        <f>"20/05/2020 12:00:00 a. m."</f>
        <v>20/05/2020 12:00:00 a. m.</v>
      </c>
      <c r="AP821" t="str">
        <f>"1/05/2020 12:00:00 a. m."</f>
        <v>1/05/2020 12:00:00 a. m.</v>
      </c>
      <c r="AQ821" t="str">
        <f>"2"</f>
        <v>2</v>
      </c>
      <c r="AR821" t="str">
        <f>"1"</f>
        <v>1</v>
      </c>
      <c r="AS821" t="str">
        <f>"20/05/2020 12:00:00 a. m."</f>
        <v>20/05/2020 12:00:00 a. m.</v>
      </c>
      <c r="AT821" t="str">
        <f t="shared" si="989"/>
        <v>1</v>
      </c>
      <c r="AU821" t="str">
        <f>""</f>
        <v/>
      </c>
      <c r="AV821" t="str">
        <f>"3"</f>
        <v>3</v>
      </c>
      <c r="AW821" t="str">
        <f>"12/04/2010 12:00:00 a. m."</f>
        <v>12/04/2010 12:00:00 a. m.</v>
      </c>
      <c r="AX821" t="str">
        <f>""</f>
        <v/>
      </c>
      <c r="AY821" t="str">
        <f t="shared" si="921"/>
        <v>30/04/2021 12:00:00 a. m.</v>
      </c>
      <c r="AZ821" t="str">
        <f>"19/08/2020 12:00:00 a. m."</f>
        <v>19/08/2020 12:00:00 a. m.</v>
      </c>
      <c r="BA821" t="str">
        <f>""</f>
        <v/>
      </c>
      <c r="BB821" t="str">
        <f>""</f>
        <v/>
      </c>
      <c r="BC821" t="str">
        <f>""</f>
        <v/>
      </c>
      <c r="BD821" t="str">
        <f t="shared" si="974"/>
        <v>1</v>
      </c>
      <c r="BE821" t="str">
        <f t="shared" si="974"/>
        <v>1</v>
      </c>
      <c r="BF821" t="str">
        <f t="shared" si="922"/>
        <v xml:space="preserve">3         </v>
      </c>
      <c r="BG821" t="str">
        <f t="shared" si="923"/>
        <v>Confirmado por laboratorio</v>
      </c>
      <c r="BH821" t="str">
        <f>"HOSPITAL CENTRAL POLICIA"</f>
        <v>HOSPITAL CENTRAL POLICIA</v>
      </c>
      <c r="BI821" t="str">
        <f t="shared" si="939"/>
        <v>COLOMBIA</v>
      </c>
      <c r="BJ821" t="str">
        <f t="shared" si="924"/>
        <v>CANCER INFANTIL</v>
      </c>
      <c r="BK821" t="str">
        <f t="shared" ref="BK821:BL823" si="992">"BOGOTA"</f>
        <v>BOGOTA</v>
      </c>
      <c r="BL821" t="str">
        <f t="shared" si="992"/>
        <v>BOGOTA</v>
      </c>
      <c r="BM821" t="str">
        <f t="shared" si="941"/>
        <v>COLOMBIA</v>
      </c>
      <c r="BN821" t="str">
        <f t="shared" ref="BN821:BQ823" si="993">"BOGOTA"</f>
        <v>BOGOTA</v>
      </c>
      <c r="BO821" t="str">
        <f t="shared" si="993"/>
        <v>BOGOTA</v>
      </c>
      <c r="BP821" t="str">
        <f t="shared" si="993"/>
        <v>BOGOTA</v>
      </c>
      <c r="BQ821" t="str">
        <f t="shared" si="993"/>
        <v>BOGOTA</v>
      </c>
    </row>
    <row r="822" spans="1:69" x14ac:dyDescent="0.25">
      <c r="A822" t="str">
        <f>"7279288"</f>
        <v>7279288</v>
      </c>
      <c r="B822" t="str">
        <f t="shared" si="917"/>
        <v>459</v>
      </c>
      <c r="C822" t="str">
        <f>"21/09/2020 12:00:00 a. m."</f>
        <v>21/09/2020 12:00:00 a. m.</v>
      </c>
      <c r="D822" t="str">
        <f>"20"</f>
        <v>20</v>
      </c>
      <c r="E822" t="str">
        <f t="shared" si="918"/>
        <v>2020</v>
      </c>
      <c r="F822" t="str">
        <f>"1100123118"</f>
        <v>1100123118</v>
      </c>
      <c r="G822" t="str">
        <f t="shared" si="983"/>
        <v>01</v>
      </c>
      <c r="H822" t="str">
        <f>"17"</f>
        <v>17</v>
      </c>
      <c r="I822" t="str">
        <f t="shared" si="984"/>
        <v>1</v>
      </c>
      <c r="J822" t="str">
        <f t="shared" si="980"/>
        <v>M</v>
      </c>
      <c r="K822" t="str">
        <f t="shared" si="933"/>
        <v>170</v>
      </c>
      <c r="L822" t="str">
        <f>"11"</f>
        <v>11</v>
      </c>
      <c r="M822" t="str">
        <f t="shared" si="981"/>
        <v>001</v>
      </c>
      <c r="N822" t="str">
        <f t="shared" si="966"/>
        <v>1</v>
      </c>
      <c r="O822" t="str">
        <f t="shared" si="985"/>
        <v>9997</v>
      </c>
      <c r="P822" t="str">
        <f>"P"</f>
        <v>P</v>
      </c>
      <c r="Q822" t="str">
        <f>"RES001"</f>
        <v>RES001</v>
      </c>
      <c r="R822" t="str">
        <f t="shared" si="991"/>
        <v>6</v>
      </c>
      <c r="S822" t="str">
        <f>""</f>
        <v/>
      </c>
      <c r="T822" t="str">
        <f t="shared" si="962"/>
        <v xml:space="preserve">                                                                                                    </v>
      </c>
      <c r="U822" t="str">
        <f>"2         "</f>
        <v xml:space="preserve">2         </v>
      </c>
      <c r="V822" t="str">
        <f t="shared" si="987"/>
        <v>2</v>
      </c>
      <c r="W822" t="str">
        <f t="shared" si="963"/>
        <v>2</v>
      </c>
      <c r="X822" t="str">
        <f t="shared" si="960"/>
        <v>2</v>
      </c>
      <c r="Y822" t="str">
        <f t="shared" si="988"/>
        <v>2</v>
      </c>
      <c r="Z822" t="str">
        <f t="shared" si="988"/>
        <v>2</v>
      </c>
      <c r="AA822" t="str">
        <f t="shared" si="919"/>
        <v xml:space="preserve">          </v>
      </c>
      <c r="AB822" t="str">
        <f t="shared" si="907"/>
        <v>2</v>
      </c>
      <c r="AC822" t="str">
        <f t="shared" si="908"/>
        <v>2</v>
      </c>
      <c r="AD822" t="str">
        <f t="shared" si="990"/>
        <v>2</v>
      </c>
      <c r="AE822" t="str">
        <f t="shared" si="990"/>
        <v>2</v>
      </c>
      <c r="AF822" t="str">
        <f t="shared" si="990"/>
        <v>2</v>
      </c>
      <c r="AG822" t="str">
        <f t="shared" si="990"/>
        <v>2</v>
      </c>
      <c r="AH822" t="str">
        <f t="shared" si="965"/>
        <v>1</v>
      </c>
      <c r="AI822" t="str">
        <f>"2         "</f>
        <v xml:space="preserve">2         </v>
      </c>
      <c r="AJ822" t="str">
        <f t="shared" si="935"/>
        <v>170</v>
      </c>
      <c r="AK822" t="str">
        <f>"11"</f>
        <v>11</v>
      </c>
      <c r="AL822" t="str">
        <f t="shared" si="982"/>
        <v>001</v>
      </c>
      <c r="AM822" t="str">
        <f>"11"</f>
        <v>11</v>
      </c>
      <c r="AN822" t="str">
        <f>"11001"</f>
        <v>11001</v>
      </c>
      <c r="AO822" t="str">
        <f>"13/05/2020 12:00:00 a. m."</f>
        <v>13/05/2020 12:00:00 a. m.</v>
      </c>
      <c r="AP822" t="str">
        <f>"3/05/2020 12:00:00 a. m."</f>
        <v>3/05/2020 12:00:00 a. m.</v>
      </c>
      <c r="AQ822" t="str">
        <f>"3"</f>
        <v>3</v>
      </c>
      <c r="AR822" t="str">
        <f>"2"</f>
        <v>2</v>
      </c>
      <c r="AS822" t="str">
        <f>""</f>
        <v/>
      </c>
      <c r="AT822" t="str">
        <f t="shared" si="989"/>
        <v>1</v>
      </c>
      <c r="AU822" t="str">
        <f>""</f>
        <v/>
      </c>
      <c r="AV822" t="str">
        <f>"0"</f>
        <v>0</v>
      </c>
      <c r="AW822" t="str">
        <f>"22/06/2003 12:00:00 a. m."</f>
        <v>22/06/2003 12:00:00 a. m.</v>
      </c>
      <c r="AX822" t="str">
        <f>""</f>
        <v/>
      </c>
      <c r="AY822" t="str">
        <f t="shared" si="921"/>
        <v>30/04/2021 12:00:00 a. m.</v>
      </c>
      <c r="AZ822" t="str">
        <f>"21/09/2020 12:00:00 a. m."</f>
        <v>21/09/2020 12:00:00 a. m.</v>
      </c>
      <c r="BA822" t="str">
        <f>""</f>
        <v/>
      </c>
      <c r="BB822" t="str">
        <f>""</f>
        <v/>
      </c>
      <c r="BC822" t="str">
        <f>""</f>
        <v/>
      </c>
      <c r="BD822" t="str">
        <f t="shared" ref="BD822:BE841" si="994">"1"</f>
        <v>1</v>
      </c>
      <c r="BE822" t="str">
        <f t="shared" si="994"/>
        <v>1</v>
      </c>
      <c r="BF822" t="str">
        <f t="shared" si="922"/>
        <v xml:space="preserve">3         </v>
      </c>
      <c r="BG822" t="str">
        <f t="shared" si="923"/>
        <v>Confirmado por laboratorio</v>
      </c>
      <c r="BH822" t="str">
        <f>"HOSPITAL CENTRAL POLICIA"</f>
        <v>HOSPITAL CENTRAL POLICIA</v>
      </c>
      <c r="BI822" t="str">
        <f t="shared" si="939"/>
        <v>COLOMBIA</v>
      </c>
      <c r="BJ822" t="str">
        <f t="shared" si="924"/>
        <v>CANCER INFANTIL</v>
      </c>
      <c r="BK822" t="str">
        <f t="shared" si="992"/>
        <v>BOGOTA</v>
      </c>
      <c r="BL822" t="str">
        <f t="shared" si="992"/>
        <v>BOGOTA</v>
      </c>
      <c r="BM822" t="str">
        <f t="shared" si="941"/>
        <v>COLOMBIA</v>
      </c>
      <c r="BN822" t="str">
        <f t="shared" si="993"/>
        <v>BOGOTA</v>
      </c>
      <c r="BO822" t="str">
        <f t="shared" si="993"/>
        <v>BOGOTA</v>
      </c>
      <c r="BP822" t="str">
        <f t="shared" si="993"/>
        <v>BOGOTA</v>
      </c>
      <c r="BQ822" t="str">
        <f t="shared" si="993"/>
        <v>BOGOTA</v>
      </c>
    </row>
    <row r="823" spans="1:69" x14ac:dyDescent="0.25">
      <c r="A823" t="str">
        <f>"7279271"</f>
        <v>7279271</v>
      </c>
      <c r="B823" t="str">
        <f t="shared" si="917"/>
        <v>459</v>
      </c>
      <c r="C823" t="str">
        <f>"21/09/2020 12:00:00 a. m."</f>
        <v>21/09/2020 12:00:00 a. m.</v>
      </c>
      <c r="D823" t="str">
        <f>"26"</f>
        <v>26</v>
      </c>
      <c r="E823" t="str">
        <f t="shared" si="918"/>
        <v>2020</v>
      </c>
      <c r="F823" t="str">
        <f>"1100123118"</f>
        <v>1100123118</v>
      </c>
      <c r="G823" t="str">
        <f t="shared" si="983"/>
        <v>01</v>
      </c>
      <c r="H823" t="str">
        <f>"7"</f>
        <v>7</v>
      </c>
      <c r="I823" t="str">
        <f t="shared" si="984"/>
        <v>1</v>
      </c>
      <c r="J823" t="str">
        <f t="shared" si="980"/>
        <v>M</v>
      </c>
      <c r="K823" t="str">
        <f t="shared" si="933"/>
        <v>170</v>
      </c>
      <c r="L823" t="str">
        <f>"11"</f>
        <v>11</v>
      </c>
      <c r="M823" t="str">
        <f t="shared" si="981"/>
        <v>001</v>
      </c>
      <c r="N823" t="str">
        <f t="shared" si="966"/>
        <v>1</v>
      </c>
      <c r="O823" t="str">
        <f t="shared" si="985"/>
        <v>9997</v>
      </c>
      <c r="P823" t="str">
        <f>"P"</f>
        <v>P</v>
      </c>
      <c r="Q823" t="str">
        <f>"RES001"</f>
        <v>RES001</v>
      </c>
      <c r="R823" t="str">
        <f t="shared" si="991"/>
        <v>6</v>
      </c>
      <c r="S823" t="str">
        <f>""</f>
        <v/>
      </c>
      <c r="T823" t="str">
        <f t="shared" si="962"/>
        <v xml:space="preserve">                                                                                                    </v>
      </c>
      <c r="U823" t="str">
        <f>"3         "</f>
        <v xml:space="preserve">3         </v>
      </c>
      <c r="V823" t="str">
        <f t="shared" si="987"/>
        <v>2</v>
      </c>
      <c r="W823" t="str">
        <f t="shared" si="963"/>
        <v>2</v>
      </c>
      <c r="X823" t="str">
        <f t="shared" si="960"/>
        <v>2</v>
      </c>
      <c r="Y823" t="str">
        <f t="shared" si="988"/>
        <v>2</v>
      </c>
      <c r="Z823" t="str">
        <f t="shared" si="988"/>
        <v>2</v>
      </c>
      <c r="AA823" t="str">
        <f t="shared" si="919"/>
        <v xml:space="preserve">          </v>
      </c>
      <c r="AB823" t="str">
        <f t="shared" si="907"/>
        <v>2</v>
      </c>
      <c r="AC823" t="str">
        <f t="shared" si="908"/>
        <v>2</v>
      </c>
      <c r="AD823" t="str">
        <f t="shared" si="990"/>
        <v>2</v>
      </c>
      <c r="AE823" t="str">
        <f t="shared" si="990"/>
        <v>2</v>
      </c>
      <c r="AF823" t="str">
        <f t="shared" si="990"/>
        <v>2</v>
      </c>
      <c r="AG823" t="str">
        <f t="shared" si="990"/>
        <v>2</v>
      </c>
      <c r="AH823" t="str">
        <f t="shared" si="965"/>
        <v>1</v>
      </c>
      <c r="AI823" t="str">
        <f>"2         "</f>
        <v xml:space="preserve">2         </v>
      </c>
      <c r="AJ823" t="str">
        <f t="shared" si="935"/>
        <v>170</v>
      </c>
      <c r="AK823" t="str">
        <f>"11"</f>
        <v>11</v>
      </c>
      <c r="AL823" t="str">
        <f t="shared" si="982"/>
        <v>001</v>
      </c>
      <c r="AM823" t="str">
        <f>"11"</f>
        <v>11</v>
      </c>
      <c r="AN823" t="str">
        <f>"11001"</f>
        <v>11001</v>
      </c>
      <c r="AO823" t="str">
        <f>"22/06/2020 12:00:00 a. m."</f>
        <v>22/06/2020 12:00:00 a. m.</v>
      </c>
      <c r="AP823" t="str">
        <f>"15/06/2020 12:00:00 a. m."</f>
        <v>15/06/2020 12:00:00 a. m.</v>
      </c>
      <c r="AQ823" t="str">
        <f>"3"</f>
        <v>3</v>
      </c>
      <c r="AR823" t="str">
        <f>"2"</f>
        <v>2</v>
      </c>
      <c r="AS823" t="str">
        <f>""</f>
        <v/>
      </c>
      <c r="AT823" t="str">
        <f t="shared" si="989"/>
        <v>1</v>
      </c>
      <c r="AU823" t="str">
        <f>""</f>
        <v/>
      </c>
      <c r="AV823" t="str">
        <f>"0"</f>
        <v>0</v>
      </c>
      <c r="AW823" t="str">
        <f>"3/10/2012 12:00:00 a. m."</f>
        <v>3/10/2012 12:00:00 a. m.</v>
      </c>
      <c r="AX823" t="str">
        <f>""</f>
        <v/>
      </c>
      <c r="AY823" t="str">
        <f t="shared" si="921"/>
        <v>30/04/2021 12:00:00 a. m.</v>
      </c>
      <c r="AZ823" t="str">
        <f>"21/09/2020 12:00:00 a. m."</f>
        <v>21/09/2020 12:00:00 a. m.</v>
      </c>
      <c r="BA823" t="str">
        <f>""</f>
        <v/>
      </c>
      <c r="BB823" t="str">
        <f>""</f>
        <v/>
      </c>
      <c r="BC823" t="str">
        <f>""</f>
        <v/>
      </c>
      <c r="BD823" t="str">
        <f t="shared" si="994"/>
        <v>1</v>
      </c>
      <c r="BE823" t="str">
        <f t="shared" si="994"/>
        <v>1</v>
      </c>
      <c r="BF823" t="str">
        <f t="shared" si="922"/>
        <v xml:space="preserve">3         </v>
      </c>
      <c r="BG823" t="str">
        <f t="shared" si="923"/>
        <v>Confirmado por laboratorio</v>
      </c>
      <c r="BH823" t="str">
        <f>"HOSPITAL CENTRAL POLICIA"</f>
        <v>HOSPITAL CENTRAL POLICIA</v>
      </c>
      <c r="BI823" t="str">
        <f t="shared" si="939"/>
        <v>COLOMBIA</v>
      </c>
      <c r="BJ823" t="str">
        <f t="shared" si="924"/>
        <v>CANCER INFANTIL</v>
      </c>
      <c r="BK823" t="str">
        <f t="shared" si="992"/>
        <v>BOGOTA</v>
      </c>
      <c r="BL823" t="str">
        <f t="shared" si="992"/>
        <v>BOGOTA</v>
      </c>
      <c r="BM823" t="str">
        <f t="shared" si="941"/>
        <v>COLOMBIA</v>
      </c>
      <c r="BN823" t="str">
        <f t="shared" si="993"/>
        <v>BOGOTA</v>
      </c>
      <c r="BO823" t="str">
        <f t="shared" si="993"/>
        <v>BOGOTA</v>
      </c>
      <c r="BP823" t="str">
        <f t="shared" si="993"/>
        <v>BOGOTA</v>
      </c>
      <c r="BQ823" t="str">
        <f t="shared" si="993"/>
        <v>BOGOTA</v>
      </c>
    </row>
    <row r="824" spans="1:69" x14ac:dyDescent="0.25">
      <c r="A824" t="str">
        <f>"7279178"</f>
        <v>7279178</v>
      </c>
      <c r="B824" t="str">
        <f t="shared" si="917"/>
        <v>459</v>
      </c>
      <c r="C824" t="str">
        <f>"5/03/2020 12:00:00 a. m."</f>
        <v>5/03/2020 12:00:00 a. m.</v>
      </c>
      <c r="D824" t="str">
        <f>"10"</f>
        <v>10</v>
      </c>
      <c r="E824" t="str">
        <f t="shared" si="918"/>
        <v>2020</v>
      </c>
      <c r="F824" t="str">
        <f>"7600110304"</f>
        <v>7600110304</v>
      </c>
      <c r="G824" t="str">
        <f>"04"</f>
        <v>04</v>
      </c>
      <c r="H824" t="str">
        <f>"12"</f>
        <v>12</v>
      </c>
      <c r="I824" t="str">
        <f t="shared" si="984"/>
        <v>1</v>
      </c>
      <c r="J824" t="str">
        <f>"F"</f>
        <v>F</v>
      </c>
      <c r="K824" t="str">
        <f t="shared" si="933"/>
        <v>170</v>
      </c>
      <c r="L824" t="str">
        <f>"76"</f>
        <v>76</v>
      </c>
      <c r="M824" t="str">
        <f t="shared" si="981"/>
        <v>001</v>
      </c>
      <c r="N824" t="str">
        <f t="shared" si="966"/>
        <v>1</v>
      </c>
      <c r="O824" t="str">
        <f t="shared" si="985"/>
        <v>9997</v>
      </c>
      <c r="P824" t="str">
        <f>"C"</f>
        <v>C</v>
      </c>
      <c r="Q824" t="str">
        <f>"EPS002"</f>
        <v>EPS002</v>
      </c>
      <c r="R824" t="str">
        <f t="shared" si="991"/>
        <v>6</v>
      </c>
      <c r="S824" t="str">
        <f>""</f>
        <v/>
      </c>
      <c r="T824" t="str">
        <f t="shared" si="962"/>
        <v xml:space="preserve">                                                                                                    </v>
      </c>
      <c r="U824" t="str">
        <f>"2         "</f>
        <v xml:space="preserve">2         </v>
      </c>
      <c r="V824" t="str">
        <f t="shared" si="987"/>
        <v>2</v>
      </c>
      <c r="W824" t="str">
        <f t="shared" si="963"/>
        <v>2</v>
      </c>
      <c r="X824" t="str">
        <f t="shared" si="960"/>
        <v>2</v>
      </c>
      <c r="Y824" t="str">
        <f t="shared" si="988"/>
        <v>2</v>
      </c>
      <c r="Z824" t="str">
        <f t="shared" si="988"/>
        <v>2</v>
      </c>
      <c r="AA824" t="str">
        <f t="shared" si="919"/>
        <v xml:space="preserve">          </v>
      </c>
      <c r="AB824" t="str">
        <f t="shared" si="907"/>
        <v>2</v>
      </c>
      <c r="AC824" t="str">
        <f t="shared" si="908"/>
        <v>2</v>
      </c>
      <c r="AD824" t="str">
        <f t="shared" si="990"/>
        <v>2</v>
      </c>
      <c r="AE824" t="str">
        <f t="shared" si="990"/>
        <v>2</v>
      </c>
      <c r="AF824" t="str">
        <f t="shared" si="990"/>
        <v>2</v>
      </c>
      <c r="AG824" t="str">
        <f t="shared" si="990"/>
        <v>2</v>
      </c>
      <c r="AH824" t="str">
        <f t="shared" si="965"/>
        <v>1</v>
      </c>
      <c r="AI824" t="str">
        <f>"1         "</f>
        <v xml:space="preserve">1         </v>
      </c>
      <c r="AJ824" t="str">
        <f t="shared" si="935"/>
        <v>170</v>
      </c>
      <c r="AK824" t="str">
        <f>"76"</f>
        <v>76</v>
      </c>
      <c r="AL824" t="str">
        <f t="shared" si="982"/>
        <v>001</v>
      </c>
      <c r="AM824" t="str">
        <f>"76"</f>
        <v>76</v>
      </c>
      <c r="AN824" t="str">
        <f>"76001"</f>
        <v>76001</v>
      </c>
      <c r="AO824" t="str">
        <f>"5/03/2020 12:00:00 a. m."</f>
        <v>5/03/2020 12:00:00 a. m.</v>
      </c>
      <c r="AP824" t="str">
        <f>"1/01/2015 12:00:00 a. m."</f>
        <v>1/01/2015 12:00:00 a. m.</v>
      </c>
      <c r="AQ824" t="str">
        <f>"2"</f>
        <v>2</v>
      </c>
      <c r="AR824" t="str">
        <f>"2"</f>
        <v>2</v>
      </c>
      <c r="AS824" t="str">
        <f>""</f>
        <v/>
      </c>
      <c r="AT824" t="str">
        <f t="shared" si="989"/>
        <v>1</v>
      </c>
      <c r="AU824" t="str">
        <f>""</f>
        <v/>
      </c>
      <c r="AV824" t="str">
        <f>"3"</f>
        <v>3</v>
      </c>
      <c r="AW824" t="str">
        <f>"9/11/2007 12:00:00 a. m."</f>
        <v>9/11/2007 12:00:00 a. m.</v>
      </c>
      <c r="AX824" t="str">
        <f>""</f>
        <v/>
      </c>
      <c r="AY824" t="str">
        <f t="shared" si="921"/>
        <v>30/04/2021 12:00:00 a. m.</v>
      </c>
      <c r="AZ824" t="str">
        <f>"17/03/2020 12:00:00 a. m."</f>
        <v>17/03/2020 12:00:00 a. m.</v>
      </c>
      <c r="BA824" t="str">
        <f>""</f>
        <v/>
      </c>
      <c r="BB824" t="str">
        <f>""</f>
        <v/>
      </c>
      <c r="BC824" t="str">
        <f>""</f>
        <v/>
      </c>
      <c r="BD824" t="str">
        <f t="shared" si="994"/>
        <v>1</v>
      </c>
      <c r="BE824" t="str">
        <f t="shared" si="994"/>
        <v>1</v>
      </c>
      <c r="BF824" t="str">
        <f t="shared" si="922"/>
        <v xml:space="preserve">3         </v>
      </c>
      <c r="BG824" t="str">
        <f t="shared" si="923"/>
        <v>Confirmado por laboratorio</v>
      </c>
      <c r="BH824" t="str">
        <f>"VIRREY SOLIS IPS VERSALLES"</f>
        <v>VIRREY SOLIS IPS VERSALLES</v>
      </c>
      <c r="BI824" t="str">
        <f t="shared" si="939"/>
        <v>COLOMBIA</v>
      </c>
      <c r="BJ824" t="str">
        <f t="shared" si="924"/>
        <v>CANCER INFANTIL</v>
      </c>
      <c r="BK824" t="str">
        <f>"VALLE"</f>
        <v>VALLE</v>
      </c>
      <c r="BL824" t="str">
        <f>"CALI"</f>
        <v>CALI</v>
      </c>
      <c r="BM824" t="str">
        <f t="shared" si="941"/>
        <v>COLOMBIA</v>
      </c>
      <c r="BN824" t="str">
        <f>"VALLE"</f>
        <v>VALLE</v>
      </c>
      <c r="BO824" t="str">
        <f>"CALI"</f>
        <v>CALI</v>
      </c>
      <c r="BP824" t="str">
        <f>"VALLE"</f>
        <v>VALLE</v>
      </c>
      <c r="BQ824" t="str">
        <f>"CALI"</f>
        <v>CALI</v>
      </c>
    </row>
    <row r="825" spans="1:69" x14ac:dyDescent="0.25">
      <c r="A825" t="str">
        <f>"7279134"</f>
        <v>7279134</v>
      </c>
      <c r="B825" t="str">
        <f t="shared" si="917"/>
        <v>459</v>
      </c>
      <c r="C825" t="str">
        <f>"5/02/2020 12:00:00 a. m."</f>
        <v>5/02/2020 12:00:00 a. m.</v>
      </c>
      <c r="D825" t="str">
        <f>"06"</f>
        <v>06</v>
      </c>
      <c r="E825" t="str">
        <f t="shared" si="918"/>
        <v>2020</v>
      </c>
      <c r="F825" t="str">
        <f>"1100109111"</f>
        <v>1100109111</v>
      </c>
      <c r="G825" t="str">
        <f t="shared" ref="G825:G841" si="995">"01"</f>
        <v>01</v>
      </c>
      <c r="H825" t="str">
        <f>"8"</f>
        <v>8</v>
      </c>
      <c r="I825" t="str">
        <f t="shared" si="984"/>
        <v>1</v>
      </c>
      <c r="J825" t="str">
        <f>"M"</f>
        <v>M</v>
      </c>
      <c r="K825" t="str">
        <f t="shared" si="933"/>
        <v>170</v>
      </c>
      <c r="L825" t="str">
        <f>"11"</f>
        <v>11</v>
      </c>
      <c r="M825" t="str">
        <f t="shared" si="981"/>
        <v>001</v>
      </c>
      <c r="N825" t="str">
        <f t="shared" si="966"/>
        <v>1</v>
      </c>
      <c r="O825" t="str">
        <f t="shared" si="985"/>
        <v>9997</v>
      </c>
      <c r="P825" t="str">
        <f>"C"</f>
        <v>C</v>
      </c>
      <c r="Q825" t="str">
        <f>"EPS008"</f>
        <v>EPS008</v>
      </c>
      <c r="R825" t="str">
        <f t="shared" si="991"/>
        <v>6</v>
      </c>
      <c r="S825" t="str">
        <f>""</f>
        <v/>
      </c>
      <c r="T825" t="str">
        <f t="shared" si="962"/>
        <v xml:space="preserve">                                                                                                    </v>
      </c>
      <c r="U825" t="str">
        <f>"2         "</f>
        <v xml:space="preserve">2         </v>
      </c>
      <c r="V825" t="str">
        <f t="shared" si="987"/>
        <v>2</v>
      </c>
      <c r="W825" t="str">
        <f t="shared" si="963"/>
        <v>2</v>
      </c>
      <c r="X825" t="str">
        <f t="shared" si="960"/>
        <v>2</v>
      </c>
      <c r="Y825" t="str">
        <f t="shared" si="988"/>
        <v>2</v>
      </c>
      <c r="Z825" t="str">
        <f t="shared" si="988"/>
        <v>2</v>
      </c>
      <c r="AA825" t="str">
        <f t="shared" si="919"/>
        <v xml:space="preserve">          </v>
      </c>
      <c r="AB825" t="str">
        <f t="shared" si="907"/>
        <v>2</v>
      </c>
      <c r="AC825" t="str">
        <f t="shared" si="908"/>
        <v>2</v>
      </c>
      <c r="AD825" t="str">
        <f t="shared" si="990"/>
        <v>2</v>
      </c>
      <c r="AE825" t="str">
        <f t="shared" si="990"/>
        <v>2</v>
      </c>
      <c r="AF825" t="str">
        <f t="shared" si="990"/>
        <v>2</v>
      </c>
      <c r="AG825" t="str">
        <f t="shared" si="990"/>
        <v>2</v>
      </c>
      <c r="AH825" t="str">
        <f t="shared" si="965"/>
        <v>1</v>
      </c>
      <c r="AI825" t="str">
        <f>"1         "</f>
        <v xml:space="preserve">1         </v>
      </c>
      <c r="AJ825" t="str">
        <f t="shared" si="935"/>
        <v>170</v>
      </c>
      <c r="AK825" t="str">
        <f>"11"</f>
        <v>11</v>
      </c>
      <c r="AL825" t="str">
        <f t="shared" si="982"/>
        <v>001</v>
      </c>
      <c r="AM825" t="str">
        <f>"11"</f>
        <v>11</v>
      </c>
      <c r="AN825" t="str">
        <f>"11001"</f>
        <v>11001</v>
      </c>
      <c r="AO825" t="str">
        <f>"3/02/2020 12:00:00 a. m."</f>
        <v>3/02/2020 12:00:00 a. m.</v>
      </c>
      <c r="AP825" t="str">
        <f>"10/01/2020 12:00:00 a. m."</f>
        <v>10/01/2020 12:00:00 a. m.</v>
      </c>
      <c r="AQ825" t="str">
        <f>"3"</f>
        <v>3</v>
      </c>
      <c r="AR825" t="str">
        <f t="shared" ref="AR825:AR832" si="996">"1"</f>
        <v>1</v>
      </c>
      <c r="AS825" t="str">
        <f>"3/02/2020 12:00:00 a. m."</f>
        <v>3/02/2020 12:00:00 a. m.</v>
      </c>
      <c r="AT825" t="str">
        <f>"2"</f>
        <v>2</v>
      </c>
      <c r="AU825" t="str">
        <f>"12/02/2021 12:00:00 a. m."</f>
        <v>12/02/2021 12:00:00 a. m.</v>
      </c>
      <c r="AV825" t="str">
        <f>"7"</f>
        <v>7</v>
      </c>
      <c r="AW825" t="str">
        <f>"22/04/2011 12:00:00 a. m."</f>
        <v>22/04/2011 12:00:00 a. m.</v>
      </c>
      <c r="AX825" t="str">
        <f>"C412"</f>
        <v>C412</v>
      </c>
      <c r="AY825" t="str">
        <f t="shared" si="921"/>
        <v>30/04/2021 12:00:00 a. m.</v>
      </c>
      <c r="AZ825" t="str">
        <f>"26/02/2021 12:00:00 a. m."</f>
        <v>26/02/2021 12:00:00 a. m.</v>
      </c>
      <c r="BA825" t="str">
        <f>""</f>
        <v/>
      </c>
      <c r="BB825" t="str">
        <f>""</f>
        <v/>
      </c>
      <c r="BC825" t="str">
        <f>""</f>
        <v/>
      </c>
      <c r="BD825" t="str">
        <f t="shared" si="994"/>
        <v>1</v>
      </c>
      <c r="BE825" t="str">
        <f t="shared" si="994"/>
        <v>1</v>
      </c>
      <c r="BF825" t="str">
        <f t="shared" si="922"/>
        <v xml:space="preserve">3         </v>
      </c>
      <c r="BG825" t="str">
        <f t="shared" si="923"/>
        <v>Confirmado por laboratorio</v>
      </c>
      <c r="BH825" t="str">
        <f>"FUNDACION CARDIOINFANTIL INSTITUTO DE CARDIOLOGIA"</f>
        <v>FUNDACION CARDIOINFANTIL INSTITUTO DE CARDIOLOGIA</v>
      </c>
      <c r="BI825" t="str">
        <f t="shared" si="939"/>
        <v>COLOMBIA</v>
      </c>
      <c r="BJ825" t="str">
        <f t="shared" si="924"/>
        <v>CANCER INFANTIL</v>
      </c>
      <c r="BK825" t="str">
        <f>"BOGOTA"</f>
        <v>BOGOTA</v>
      </c>
      <c r="BL825" t="str">
        <f>"BOGOTA"</f>
        <v>BOGOTA</v>
      </c>
      <c r="BM825" t="str">
        <f t="shared" si="941"/>
        <v>COLOMBIA</v>
      </c>
      <c r="BN825" t="str">
        <f t="shared" ref="BN825:BQ826" si="997">"BOGOTA"</f>
        <v>BOGOTA</v>
      </c>
      <c r="BO825" t="str">
        <f t="shared" si="997"/>
        <v>BOGOTA</v>
      </c>
      <c r="BP825" t="str">
        <f t="shared" si="997"/>
        <v>BOGOTA</v>
      </c>
      <c r="BQ825" t="str">
        <f t="shared" si="997"/>
        <v>BOGOTA</v>
      </c>
    </row>
    <row r="826" spans="1:69" x14ac:dyDescent="0.25">
      <c r="A826" t="str">
        <f>"7279221"</f>
        <v>7279221</v>
      </c>
      <c r="B826" t="str">
        <f t="shared" si="917"/>
        <v>459</v>
      </c>
      <c r="C826" t="str">
        <f>"16/08/2020 12:00:00 a. m."</f>
        <v>16/08/2020 12:00:00 a. m.</v>
      </c>
      <c r="D826" t="str">
        <f>"34"</f>
        <v>34</v>
      </c>
      <c r="E826" t="str">
        <f t="shared" si="918"/>
        <v>2020</v>
      </c>
      <c r="F826" t="str">
        <f>"1100125070"</f>
        <v>1100125070</v>
      </c>
      <c r="G826" t="str">
        <f t="shared" si="995"/>
        <v>01</v>
      </c>
      <c r="H826" t="str">
        <f>"11"</f>
        <v>11</v>
      </c>
      <c r="I826" t="str">
        <f t="shared" si="984"/>
        <v>1</v>
      </c>
      <c r="J826" t="str">
        <f>"M"</f>
        <v>M</v>
      </c>
      <c r="K826" t="str">
        <f t="shared" si="933"/>
        <v>170</v>
      </c>
      <c r="L826" t="str">
        <f>"11"</f>
        <v>11</v>
      </c>
      <c r="M826" t="str">
        <f t="shared" si="981"/>
        <v>001</v>
      </c>
      <c r="N826" t="str">
        <f t="shared" si="966"/>
        <v>1</v>
      </c>
      <c r="O826" t="str">
        <f t="shared" si="985"/>
        <v>9997</v>
      </c>
      <c r="P826" t="str">
        <f>"C"</f>
        <v>C</v>
      </c>
      <c r="Q826" t="str">
        <f>"EPS008"</f>
        <v>EPS008</v>
      </c>
      <c r="R826" t="str">
        <f t="shared" si="991"/>
        <v>6</v>
      </c>
      <c r="S826" t="str">
        <f>""</f>
        <v/>
      </c>
      <c r="T826" t="str">
        <f t="shared" si="962"/>
        <v xml:space="preserve">                                                                                                    </v>
      </c>
      <c r="U826" t="str">
        <f>"3         "</f>
        <v xml:space="preserve">3         </v>
      </c>
      <c r="V826" t="str">
        <f t="shared" si="987"/>
        <v>2</v>
      </c>
      <c r="W826" t="str">
        <f t="shared" si="963"/>
        <v>2</v>
      </c>
      <c r="X826" t="str">
        <f t="shared" si="960"/>
        <v>2</v>
      </c>
      <c r="Y826" t="str">
        <f t="shared" si="988"/>
        <v>2</v>
      </c>
      <c r="Z826" t="str">
        <f t="shared" si="988"/>
        <v>2</v>
      </c>
      <c r="AA826" t="str">
        <f t="shared" si="919"/>
        <v xml:space="preserve">          </v>
      </c>
      <c r="AB826" t="str">
        <f t="shared" si="907"/>
        <v>2</v>
      </c>
      <c r="AC826" t="str">
        <f t="shared" si="908"/>
        <v>2</v>
      </c>
      <c r="AD826" t="str">
        <f t="shared" si="990"/>
        <v>2</v>
      </c>
      <c r="AE826" t="str">
        <f t="shared" si="990"/>
        <v>2</v>
      </c>
      <c r="AF826" t="str">
        <f t="shared" si="990"/>
        <v>2</v>
      </c>
      <c r="AG826" t="str">
        <f t="shared" si="990"/>
        <v>2</v>
      </c>
      <c r="AH826" t="str">
        <f t="shared" si="965"/>
        <v>1</v>
      </c>
      <c r="AI826" t="str">
        <f>"1         "</f>
        <v xml:space="preserve">1         </v>
      </c>
      <c r="AJ826" t="str">
        <f t="shared" si="935"/>
        <v>170</v>
      </c>
      <c r="AK826" t="str">
        <f>"11"</f>
        <v>11</v>
      </c>
      <c r="AL826" t="str">
        <f t="shared" si="982"/>
        <v>001</v>
      </c>
      <c r="AM826" t="str">
        <f>"11"</f>
        <v>11</v>
      </c>
      <c r="AN826" t="str">
        <f>"11001"</f>
        <v>11001</v>
      </c>
      <c r="AO826" t="str">
        <f>"16/08/2020 12:00:00 a. m."</f>
        <v>16/08/2020 12:00:00 a. m.</v>
      </c>
      <c r="AP826" t="str">
        <f>"16/07/2020 12:00:00 a. m."</f>
        <v>16/07/2020 12:00:00 a. m.</v>
      </c>
      <c r="AQ826" t="str">
        <f>"2"</f>
        <v>2</v>
      </c>
      <c r="AR826" t="str">
        <f t="shared" si="996"/>
        <v>1</v>
      </c>
      <c r="AS826" t="str">
        <f>"16/08/2020 12:00:00 a. m."</f>
        <v>16/08/2020 12:00:00 a. m.</v>
      </c>
      <c r="AT826" t="str">
        <f t="shared" ref="AT826:AT851" si="998">"1"</f>
        <v>1</v>
      </c>
      <c r="AU826" t="str">
        <f>""</f>
        <v/>
      </c>
      <c r="AV826" t="str">
        <f>"3"</f>
        <v>3</v>
      </c>
      <c r="AW826" t="str">
        <f>"25/05/2009 12:00:00 a. m."</f>
        <v>25/05/2009 12:00:00 a. m.</v>
      </c>
      <c r="AX826" t="str">
        <f>""</f>
        <v/>
      </c>
      <c r="AY826" t="str">
        <f t="shared" si="921"/>
        <v>30/04/2021 12:00:00 a. m.</v>
      </c>
      <c r="AZ826" t="str">
        <f>"15/09/2020 12:00:00 a. m."</f>
        <v>15/09/2020 12:00:00 a. m.</v>
      </c>
      <c r="BA826" t="str">
        <f>""</f>
        <v/>
      </c>
      <c r="BB826" t="str">
        <f>""</f>
        <v/>
      </c>
      <c r="BC826" t="str">
        <f>""</f>
        <v/>
      </c>
      <c r="BD826" t="str">
        <f t="shared" si="994"/>
        <v>1</v>
      </c>
      <c r="BE826" t="str">
        <f t="shared" si="994"/>
        <v>1</v>
      </c>
      <c r="BF826" t="str">
        <f t="shared" si="922"/>
        <v xml:space="preserve">3         </v>
      </c>
      <c r="BG826" t="str">
        <f t="shared" si="923"/>
        <v>Confirmado por laboratorio</v>
      </c>
      <c r="BH826" t="str">
        <f>"ADMINISTRADORA CLINICA LA COLINA"</f>
        <v>ADMINISTRADORA CLINICA LA COLINA</v>
      </c>
      <c r="BI826" t="str">
        <f t="shared" si="939"/>
        <v>COLOMBIA</v>
      </c>
      <c r="BJ826" t="str">
        <f t="shared" si="924"/>
        <v>CANCER INFANTIL</v>
      </c>
      <c r="BK826" t="str">
        <f>"BOGOTA"</f>
        <v>BOGOTA</v>
      </c>
      <c r="BL826" t="str">
        <f>"BOGOTA"</f>
        <v>BOGOTA</v>
      </c>
      <c r="BM826" t="str">
        <f t="shared" si="941"/>
        <v>COLOMBIA</v>
      </c>
      <c r="BN826" t="str">
        <f t="shared" si="997"/>
        <v>BOGOTA</v>
      </c>
      <c r="BO826" t="str">
        <f t="shared" si="997"/>
        <v>BOGOTA</v>
      </c>
      <c r="BP826" t="str">
        <f t="shared" si="997"/>
        <v>BOGOTA</v>
      </c>
      <c r="BQ826" t="str">
        <f t="shared" si="997"/>
        <v>BOGOTA</v>
      </c>
    </row>
    <row r="827" spans="1:69" x14ac:dyDescent="0.25">
      <c r="A827" t="str">
        <f>"7279254"</f>
        <v>7279254</v>
      </c>
      <c r="B827" t="str">
        <f t="shared" si="917"/>
        <v>459</v>
      </c>
      <c r="C827" t="str">
        <f>"2/03/2020 12:00:00 a. m."</f>
        <v>2/03/2020 12:00:00 a. m.</v>
      </c>
      <c r="D827" t="str">
        <f>"06"</f>
        <v>06</v>
      </c>
      <c r="E827" t="str">
        <f t="shared" si="918"/>
        <v>2020</v>
      </c>
      <c r="F827" t="str">
        <f>"7600103799"</f>
        <v>7600103799</v>
      </c>
      <c r="G827" t="str">
        <f t="shared" si="995"/>
        <v>01</v>
      </c>
      <c r="H827" t="str">
        <f>"10"</f>
        <v>10</v>
      </c>
      <c r="I827" t="str">
        <f t="shared" si="984"/>
        <v>1</v>
      </c>
      <c r="J827" t="str">
        <f>"F"</f>
        <v>F</v>
      </c>
      <c r="K827" t="str">
        <f t="shared" si="933"/>
        <v>170</v>
      </c>
      <c r="L827" t="str">
        <f>"76"</f>
        <v>76</v>
      </c>
      <c r="M827" t="str">
        <f t="shared" si="981"/>
        <v>001</v>
      </c>
      <c r="N827" t="str">
        <f t="shared" si="966"/>
        <v>1</v>
      </c>
      <c r="O827" t="str">
        <f>"9999"</f>
        <v>9999</v>
      </c>
      <c r="P827" t="str">
        <f>"N"</f>
        <v>N</v>
      </c>
      <c r="Q827" t="str">
        <f>""</f>
        <v/>
      </c>
      <c r="R827" t="str">
        <f t="shared" si="991"/>
        <v>6</v>
      </c>
      <c r="S827" t="str">
        <f>""</f>
        <v/>
      </c>
      <c r="T827" t="str">
        <f t="shared" si="962"/>
        <v xml:space="preserve">                                                                                                    </v>
      </c>
      <c r="U827" t="str">
        <f>"          "</f>
        <v xml:space="preserve">          </v>
      </c>
      <c r="V827" t="str">
        <f t="shared" si="987"/>
        <v>2</v>
      </c>
      <c r="W827" t="str">
        <f t="shared" si="963"/>
        <v>2</v>
      </c>
      <c r="X827" t="str">
        <f t="shared" si="960"/>
        <v>2</v>
      </c>
      <c r="Y827" t="str">
        <f t="shared" si="988"/>
        <v>2</v>
      </c>
      <c r="Z827" t="str">
        <f t="shared" si="988"/>
        <v>2</v>
      </c>
      <c r="AA827" t="str">
        <f t="shared" si="919"/>
        <v xml:space="preserve">          </v>
      </c>
      <c r="AB827" t="str">
        <f t="shared" si="907"/>
        <v>2</v>
      </c>
      <c r="AC827" t="str">
        <f t="shared" si="908"/>
        <v>2</v>
      </c>
      <c r="AD827" t="str">
        <f t="shared" si="990"/>
        <v>2</v>
      </c>
      <c r="AE827" t="str">
        <f t="shared" si="990"/>
        <v>2</v>
      </c>
      <c r="AF827" t="str">
        <f t="shared" si="990"/>
        <v>2</v>
      </c>
      <c r="AG827" t="str">
        <f t="shared" si="990"/>
        <v>2</v>
      </c>
      <c r="AH827" t="str">
        <f t="shared" si="965"/>
        <v>1</v>
      </c>
      <c r="AI827" t="str">
        <f>"1         "</f>
        <v xml:space="preserve">1         </v>
      </c>
      <c r="AJ827" t="str">
        <f t="shared" si="935"/>
        <v>170</v>
      </c>
      <c r="AK827" t="str">
        <f>"76"</f>
        <v>76</v>
      </c>
      <c r="AL827" t="str">
        <f t="shared" si="982"/>
        <v>001</v>
      </c>
      <c r="AM827" t="str">
        <f>"76"</f>
        <v>76</v>
      </c>
      <c r="AN827" t="str">
        <f>"76001"</f>
        <v>76001</v>
      </c>
      <c r="AO827" t="str">
        <f>"8/02/2020 12:00:00 a. m."</f>
        <v>8/02/2020 12:00:00 a. m.</v>
      </c>
      <c r="AP827" t="str">
        <f>""</f>
        <v/>
      </c>
      <c r="AQ827" t="str">
        <f>"2"</f>
        <v>2</v>
      </c>
      <c r="AR827" t="str">
        <f t="shared" si="996"/>
        <v>1</v>
      </c>
      <c r="AS827" t="str">
        <f>"8/02/2020 12:00:00 a. m."</f>
        <v>8/02/2020 12:00:00 a. m.</v>
      </c>
      <c r="AT827" t="str">
        <f t="shared" si="998"/>
        <v>1</v>
      </c>
      <c r="AU827" t="str">
        <f>""</f>
        <v/>
      </c>
      <c r="AV827" t="str">
        <f>"3"</f>
        <v>3</v>
      </c>
      <c r="AW827" t="str">
        <f>"12/03/2009 12:00:00 a. m."</f>
        <v>12/03/2009 12:00:00 a. m.</v>
      </c>
      <c r="AX827" t="str">
        <f>""</f>
        <v/>
      </c>
      <c r="AY827" t="str">
        <f t="shared" si="921"/>
        <v>30/04/2021 12:00:00 a. m.</v>
      </c>
      <c r="AZ827" t="str">
        <f>"25/09/2020 12:00:00 a. m."</f>
        <v>25/09/2020 12:00:00 a. m.</v>
      </c>
      <c r="BA827" t="str">
        <f>""</f>
        <v/>
      </c>
      <c r="BB827" t="str">
        <f>""</f>
        <v/>
      </c>
      <c r="BC827" t="str">
        <f>""</f>
        <v/>
      </c>
      <c r="BD827" t="str">
        <f t="shared" si="994"/>
        <v>1</v>
      </c>
      <c r="BE827" t="str">
        <f t="shared" si="994"/>
        <v>1</v>
      </c>
      <c r="BF827" t="str">
        <f t="shared" si="922"/>
        <v xml:space="preserve">3         </v>
      </c>
      <c r="BG827" t="str">
        <f t="shared" si="923"/>
        <v>Confirmado por laboratorio</v>
      </c>
      <c r="BH827" t="str">
        <f>"HOSPITAL UNIVERSITARIO DEL VALLE EVARISTO GARCIA"</f>
        <v>HOSPITAL UNIVERSITARIO DEL VALLE EVARISTO GARCIA</v>
      </c>
      <c r="BI827" t="str">
        <f t="shared" si="939"/>
        <v>COLOMBIA</v>
      </c>
      <c r="BJ827" t="str">
        <f t="shared" si="924"/>
        <v>CANCER INFANTIL</v>
      </c>
      <c r="BK827" t="str">
        <f>"VALLE"</f>
        <v>VALLE</v>
      </c>
      <c r="BL827" t="str">
        <f>"CALI"</f>
        <v>CALI</v>
      </c>
      <c r="BM827" t="str">
        <f t="shared" si="941"/>
        <v>COLOMBIA</v>
      </c>
      <c r="BN827" t="str">
        <f>"VALLE"</f>
        <v>VALLE</v>
      </c>
      <c r="BO827" t="str">
        <f>"CALI"</f>
        <v>CALI</v>
      </c>
      <c r="BP827" t="str">
        <f>"VALLE"</f>
        <v>VALLE</v>
      </c>
      <c r="BQ827" t="str">
        <f>"CALI"</f>
        <v>CALI</v>
      </c>
    </row>
    <row r="828" spans="1:69" x14ac:dyDescent="0.25">
      <c r="A828" t="str">
        <f>"7279122"</f>
        <v>7279122</v>
      </c>
      <c r="B828" t="str">
        <f t="shared" si="917"/>
        <v>459</v>
      </c>
      <c r="C828" t="str">
        <f>"7/08/2020 12:00:00 a. m."</f>
        <v>7/08/2020 12:00:00 a. m.</v>
      </c>
      <c r="D828" t="str">
        <f>"31"</f>
        <v>31</v>
      </c>
      <c r="E828" t="str">
        <f t="shared" si="918"/>
        <v>2020</v>
      </c>
      <c r="F828" t="str">
        <f>"1100105681"</f>
        <v>1100105681</v>
      </c>
      <c r="G828" t="str">
        <f t="shared" si="995"/>
        <v>01</v>
      </c>
      <c r="H828" t="str">
        <f>"10"</f>
        <v>10</v>
      </c>
      <c r="I828" t="str">
        <f t="shared" si="984"/>
        <v>1</v>
      </c>
      <c r="J828" t="str">
        <f>"M"</f>
        <v>M</v>
      </c>
      <c r="K828" t="str">
        <f t="shared" si="933"/>
        <v>170</v>
      </c>
      <c r="L828" t="str">
        <f>"50"</f>
        <v>50</v>
      </c>
      <c r="M828" t="str">
        <f>"689"</f>
        <v>689</v>
      </c>
      <c r="N828" t="str">
        <f t="shared" si="966"/>
        <v>1</v>
      </c>
      <c r="O828" t="str">
        <f>"9997"</f>
        <v>9997</v>
      </c>
      <c r="P828" t="str">
        <f>"S"</f>
        <v>S</v>
      </c>
      <c r="Q828" t="str">
        <f>"EPSS44"</f>
        <v>EPSS44</v>
      </c>
      <c r="R828" t="str">
        <f t="shared" si="991"/>
        <v>6</v>
      </c>
      <c r="S828" t="str">
        <f>""</f>
        <v/>
      </c>
      <c r="T828" t="str">
        <f t="shared" si="962"/>
        <v xml:space="preserve">                                                                                                    </v>
      </c>
      <c r="U828" t="str">
        <f>"2         "</f>
        <v xml:space="preserve">2         </v>
      </c>
      <c r="V828" t="str">
        <f t="shared" si="987"/>
        <v>2</v>
      </c>
      <c r="W828" t="str">
        <f t="shared" si="963"/>
        <v>2</v>
      </c>
      <c r="X828" t="str">
        <f t="shared" si="960"/>
        <v>2</v>
      </c>
      <c r="Y828" t="str">
        <f t="shared" si="988"/>
        <v>2</v>
      </c>
      <c r="Z828" t="str">
        <f t="shared" si="988"/>
        <v>2</v>
      </c>
      <c r="AA828" t="str">
        <f t="shared" si="919"/>
        <v xml:space="preserve">          </v>
      </c>
      <c r="AB828" t="str">
        <f t="shared" ref="AB828:AB891" si="999">"2"</f>
        <v>2</v>
      </c>
      <c r="AC828" t="str">
        <f t="shared" si="908"/>
        <v>2</v>
      </c>
      <c r="AD828" t="str">
        <f t="shared" si="990"/>
        <v>2</v>
      </c>
      <c r="AE828" t="str">
        <f t="shared" si="990"/>
        <v>2</v>
      </c>
      <c r="AF828" t="str">
        <f t="shared" si="990"/>
        <v>2</v>
      </c>
      <c r="AG828" t="str">
        <f t="shared" si="990"/>
        <v>2</v>
      </c>
      <c r="AH828" t="str">
        <f t="shared" si="965"/>
        <v>1</v>
      </c>
      <c r="AI828" t="str">
        <f>"1         "</f>
        <v xml:space="preserve">1         </v>
      </c>
      <c r="AJ828" t="str">
        <f t="shared" si="935"/>
        <v>170</v>
      </c>
      <c r="AK828" t="str">
        <f>"50"</f>
        <v>50</v>
      </c>
      <c r="AL828" t="str">
        <f>"689"</f>
        <v>689</v>
      </c>
      <c r="AM828" t="str">
        <f>"11"</f>
        <v>11</v>
      </c>
      <c r="AN828" t="str">
        <f>"11001"</f>
        <v>11001</v>
      </c>
      <c r="AO828" t="str">
        <f>"30/07/2020 12:00:00 a. m."</f>
        <v>30/07/2020 12:00:00 a. m.</v>
      </c>
      <c r="AP828" t="str">
        <f>"30/06/2020 12:00:00 a. m."</f>
        <v>30/06/2020 12:00:00 a. m.</v>
      </c>
      <c r="AQ828" t="str">
        <f t="shared" ref="AQ828:AQ835" si="1000">"3"</f>
        <v>3</v>
      </c>
      <c r="AR828" t="str">
        <f t="shared" si="996"/>
        <v>1</v>
      </c>
      <c r="AS828" t="str">
        <f>"30/07/2020 12:00:00 a. m."</f>
        <v>30/07/2020 12:00:00 a. m.</v>
      </c>
      <c r="AT828" t="str">
        <f t="shared" si="998"/>
        <v>1</v>
      </c>
      <c r="AU828" t="str">
        <f>""</f>
        <v/>
      </c>
      <c r="AV828" t="str">
        <f>"0"</f>
        <v>0</v>
      </c>
      <c r="AW828" t="str">
        <f>""</f>
        <v/>
      </c>
      <c r="AX828" t="str">
        <f>""</f>
        <v/>
      </c>
      <c r="AY828" t="str">
        <f t="shared" si="921"/>
        <v>30/04/2021 12:00:00 a. m.</v>
      </c>
      <c r="AZ828" t="str">
        <f>"24/09/2020 12:00:00 a. m."</f>
        <v>24/09/2020 12:00:00 a. m.</v>
      </c>
      <c r="BA828" t="str">
        <f>""</f>
        <v/>
      </c>
      <c r="BB828" t="str">
        <f>""</f>
        <v/>
      </c>
      <c r="BC828" t="str">
        <f>""</f>
        <v/>
      </c>
      <c r="BD828" t="str">
        <f t="shared" si="994"/>
        <v>1</v>
      </c>
      <c r="BE828" t="str">
        <f t="shared" si="994"/>
        <v>1</v>
      </c>
      <c r="BF828" t="str">
        <f t="shared" si="922"/>
        <v xml:space="preserve">3         </v>
      </c>
      <c r="BG828" t="str">
        <f t="shared" si="923"/>
        <v>Confirmado por laboratorio</v>
      </c>
      <c r="BH828" t="str">
        <f>"FUNDACION HOSPITAL DE LA MISERICORDIA"</f>
        <v>FUNDACION HOSPITAL DE LA MISERICORDIA</v>
      </c>
      <c r="BI828" t="str">
        <f t="shared" si="939"/>
        <v>COLOMBIA</v>
      </c>
      <c r="BJ828" t="str">
        <f t="shared" si="924"/>
        <v>CANCER INFANTIL</v>
      </c>
      <c r="BK828" t="str">
        <f>"META"</f>
        <v>META</v>
      </c>
      <c r="BL828" t="str">
        <f>"SAN MARTIN"</f>
        <v>SAN MARTIN</v>
      </c>
      <c r="BM828" t="str">
        <f t="shared" si="941"/>
        <v>COLOMBIA</v>
      </c>
      <c r="BN828" t="str">
        <f>"META"</f>
        <v>META</v>
      </c>
      <c r="BO828" t="str">
        <f>"SAN MARTIN"</f>
        <v>SAN MARTIN</v>
      </c>
      <c r="BP828" t="str">
        <f>"BOGOTA"</f>
        <v>BOGOTA</v>
      </c>
      <c r="BQ828" t="str">
        <f>"BOGOTA"</f>
        <v>BOGOTA</v>
      </c>
    </row>
    <row r="829" spans="1:69" x14ac:dyDescent="0.25">
      <c r="A829" t="str">
        <f>"7291454"</f>
        <v>7291454</v>
      </c>
      <c r="B829" t="str">
        <f t="shared" si="917"/>
        <v>459</v>
      </c>
      <c r="C829" t="str">
        <f>"9/09/2020 12:00:00 a. m."</f>
        <v>9/09/2020 12:00:00 a. m.</v>
      </c>
      <c r="D829" t="str">
        <f>"07"</f>
        <v>07</v>
      </c>
      <c r="E829" t="str">
        <f t="shared" si="918"/>
        <v>2020</v>
      </c>
      <c r="F829" t="str">
        <f>"1100105681"</f>
        <v>1100105681</v>
      </c>
      <c r="G829" t="str">
        <f t="shared" si="995"/>
        <v>01</v>
      </c>
      <c r="H829" t="str">
        <f>"16"</f>
        <v>16</v>
      </c>
      <c r="I829" t="str">
        <f t="shared" si="984"/>
        <v>1</v>
      </c>
      <c r="J829" t="str">
        <f>"F"</f>
        <v>F</v>
      </c>
      <c r="K829" t="str">
        <f t="shared" si="933"/>
        <v>170</v>
      </c>
      <c r="L829" t="str">
        <f>"11"</f>
        <v>11</v>
      </c>
      <c r="M829" t="str">
        <f>"001"</f>
        <v>001</v>
      </c>
      <c r="N829" t="str">
        <f t="shared" si="966"/>
        <v>1</v>
      </c>
      <c r="O829" t="str">
        <f>"9997"</f>
        <v>9997</v>
      </c>
      <c r="P829" t="str">
        <f>"C"</f>
        <v>C</v>
      </c>
      <c r="Q829" t="str">
        <f>"EPS005"</f>
        <v>EPS005</v>
      </c>
      <c r="R829" t="str">
        <f t="shared" si="991"/>
        <v>6</v>
      </c>
      <c r="S829" t="str">
        <f>""</f>
        <v/>
      </c>
      <c r="T829" t="str">
        <f t="shared" si="962"/>
        <v xml:space="preserve">                                                                                                    </v>
      </c>
      <c r="U829" t="str">
        <f>"2         "</f>
        <v xml:space="preserve">2         </v>
      </c>
      <c r="V829" t="str">
        <f t="shared" si="987"/>
        <v>2</v>
      </c>
      <c r="W829" t="str">
        <f t="shared" si="963"/>
        <v>2</v>
      </c>
      <c r="X829" t="str">
        <f t="shared" si="960"/>
        <v>2</v>
      </c>
      <c r="Y829" t="str">
        <f t="shared" si="988"/>
        <v>2</v>
      </c>
      <c r="Z829" t="str">
        <f t="shared" si="988"/>
        <v>2</v>
      </c>
      <c r="AA829" t="str">
        <f t="shared" si="919"/>
        <v xml:space="preserve">          </v>
      </c>
      <c r="AB829" t="str">
        <f t="shared" si="999"/>
        <v>2</v>
      </c>
      <c r="AC829" t="str">
        <f t="shared" ref="AC829:AC892" si="1001">"2"</f>
        <v>2</v>
      </c>
      <c r="AD829" t="str">
        <f t="shared" si="990"/>
        <v>2</v>
      </c>
      <c r="AE829" t="str">
        <f t="shared" si="990"/>
        <v>2</v>
      </c>
      <c r="AF829" t="str">
        <f t="shared" si="990"/>
        <v>2</v>
      </c>
      <c r="AG829" t="str">
        <f t="shared" si="990"/>
        <v>2</v>
      </c>
      <c r="AH829" t="str">
        <f t="shared" si="965"/>
        <v>1</v>
      </c>
      <c r="AI829" t="str">
        <f>"2         "</f>
        <v xml:space="preserve">2         </v>
      </c>
      <c r="AJ829" t="str">
        <f t="shared" si="935"/>
        <v>170</v>
      </c>
      <c r="AK829" t="str">
        <f>"11"</f>
        <v>11</v>
      </c>
      <c r="AL829" t="str">
        <f>"001"</f>
        <v>001</v>
      </c>
      <c r="AM829" t="str">
        <f>"11"</f>
        <v>11</v>
      </c>
      <c r="AN829" t="str">
        <f>"11001"</f>
        <v>11001</v>
      </c>
      <c r="AO829" t="str">
        <f>"13/02/2020 12:00:00 a. m."</f>
        <v>13/02/2020 12:00:00 a. m.</v>
      </c>
      <c r="AP829" t="str">
        <f>"11/02/2020 12:00:00 a. m."</f>
        <v>11/02/2020 12:00:00 a. m.</v>
      </c>
      <c r="AQ829" t="str">
        <f t="shared" si="1000"/>
        <v>3</v>
      </c>
      <c r="AR829" t="str">
        <f t="shared" si="996"/>
        <v>1</v>
      </c>
      <c r="AS829" t="str">
        <f>"13/02/2020 12:00:00 a. m."</f>
        <v>13/02/2020 12:00:00 a. m.</v>
      </c>
      <c r="AT829" t="str">
        <f t="shared" si="998"/>
        <v>1</v>
      </c>
      <c r="AU829" t="str">
        <f>""</f>
        <v/>
      </c>
      <c r="AV829" t="str">
        <f>"0"</f>
        <v>0</v>
      </c>
      <c r="AW829" t="str">
        <f>"12/07/2004 12:00:00 a. m."</f>
        <v>12/07/2004 12:00:00 a. m.</v>
      </c>
      <c r="AX829" t="str">
        <f>""</f>
        <v/>
      </c>
      <c r="AY829" t="str">
        <f t="shared" si="921"/>
        <v>30/04/2021 12:00:00 a. m.</v>
      </c>
      <c r="AZ829" t="str">
        <f>"9/09/2020 12:00:00 a. m."</f>
        <v>9/09/2020 12:00:00 a. m.</v>
      </c>
      <c r="BA829" t="str">
        <f>""</f>
        <v/>
      </c>
      <c r="BB829" t="str">
        <f>""</f>
        <v/>
      </c>
      <c r="BC829" t="str">
        <f>""</f>
        <v/>
      </c>
      <c r="BD829" t="str">
        <f t="shared" si="994"/>
        <v>1</v>
      </c>
      <c r="BE829" t="str">
        <f t="shared" si="994"/>
        <v>1</v>
      </c>
      <c r="BF829" t="str">
        <f t="shared" si="922"/>
        <v xml:space="preserve">3         </v>
      </c>
      <c r="BG829" t="str">
        <f t="shared" si="923"/>
        <v>Confirmado por laboratorio</v>
      </c>
      <c r="BH829" t="str">
        <f>"FUNDACION HOSPITAL DE LA MISERICORDIA"</f>
        <v>FUNDACION HOSPITAL DE LA MISERICORDIA</v>
      </c>
      <c r="BI829" t="str">
        <f t="shared" si="939"/>
        <v>COLOMBIA</v>
      </c>
      <c r="BJ829" t="str">
        <f t="shared" si="924"/>
        <v>CANCER INFANTIL</v>
      </c>
      <c r="BK829" t="str">
        <f>"BOGOTA"</f>
        <v>BOGOTA</v>
      </c>
      <c r="BL829" t="str">
        <f>"BOGOTA"</f>
        <v>BOGOTA</v>
      </c>
      <c r="BM829" t="str">
        <f t="shared" si="941"/>
        <v>COLOMBIA</v>
      </c>
      <c r="BN829" t="str">
        <f>"BOGOTA"</f>
        <v>BOGOTA</v>
      </c>
      <c r="BO829" t="str">
        <f>"BOGOTA"</f>
        <v>BOGOTA</v>
      </c>
      <c r="BP829" t="str">
        <f>"BOGOTA"</f>
        <v>BOGOTA</v>
      </c>
      <c r="BQ829" t="str">
        <f>"BOGOTA"</f>
        <v>BOGOTA</v>
      </c>
    </row>
    <row r="830" spans="1:69" x14ac:dyDescent="0.25">
      <c r="A830" t="str">
        <f>"7291376"</f>
        <v>7291376</v>
      </c>
      <c r="B830" t="str">
        <f t="shared" si="917"/>
        <v>459</v>
      </c>
      <c r="C830" t="str">
        <f>"28/05/2020 12:00:00 a. m."</f>
        <v>28/05/2020 12:00:00 a. m.</v>
      </c>
      <c r="D830" t="str">
        <f>"21"</f>
        <v>21</v>
      </c>
      <c r="E830" t="str">
        <f t="shared" si="918"/>
        <v>2020</v>
      </c>
      <c r="F830" t="str">
        <f>"7600101111"</f>
        <v>7600101111</v>
      </c>
      <c r="G830" t="str">
        <f t="shared" si="995"/>
        <v>01</v>
      </c>
      <c r="H830" t="str">
        <f>"1"</f>
        <v>1</v>
      </c>
      <c r="I830" t="str">
        <f t="shared" si="984"/>
        <v>1</v>
      </c>
      <c r="J830" t="str">
        <f>"F"</f>
        <v>F</v>
      </c>
      <c r="K830" t="str">
        <f t="shared" si="933"/>
        <v>170</v>
      </c>
      <c r="L830" t="str">
        <f>"76"</f>
        <v>76</v>
      </c>
      <c r="M830" t="str">
        <f>"001"</f>
        <v>001</v>
      </c>
      <c r="N830" t="str">
        <f>"2"</f>
        <v>2</v>
      </c>
      <c r="O830" t="str">
        <f>"9999"</f>
        <v>9999</v>
      </c>
      <c r="P830" t="str">
        <f>"C"</f>
        <v>C</v>
      </c>
      <c r="Q830" t="str">
        <f>"EPS005"</f>
        <v>EPS005</v>
      </c>
      <c r="R830" t="str">
        <f t="shared" si="991"/>
        <v>6</v>
      </c>
      <c r="S830" t="str">
        <f>""</f>
        <v/>
      </c>
      <c r="T830" t="str">
        <f t="shared" ref="T830:T861" si="1002">"                                                                                                    "</f>
        <v xml:space="preserve">                                                                                                    </v>
      </c>
      <c r="U830" t="str">
        <f>"1         "</f>
        <v xml:space="preserve">1         </v>
      </c>
      <c r="V830" t="str">
        <f t="shared" si="987"/>
        <v>2</v>
      </c>
      <c r="W830" t="str">
        <f t="shared" si="963"/>
        <v>2</v>
      </c>
      <c r="X830" t="str">
        <f t="shared" si="960"/>
        <v>2</v>
      </c>
      <c r="Y830" t="str">
        <f t="shared" si="988"/>
        <v>2</v>
      </c>
      <c r="Z830" t="str">
        <f t="shared" si="988"/>
        <v>2</v>
      </c>
      <c r="AA830" t="str">
        <f t="shared" si="919"/>
        <v xml:space="preserve">          </v>
      </c>
      <c r="AB830" t="str">
        <f t="shared" si="999"/>
        <v>2</v>
      </c>
      <c r="AC830" t="str">
        <f t="shared" si="1001"/>
        <v>2</v>
      </c>
      <c r="AD830" t="str">
        <f t="shared" si="990"/>
        <v>2</v>
      </c>
      <c r="AE830" t="str">
        <f t="shared" si="990"/>
        <v>2</v>
      </c>
      <c r="AF830" t="str">
        <f t="shared" si="990"/>
        <v>2</v>
      </c>
      <c r="AG830" t="str">
        <f t="shared" si="990"/>
        <v>2</v>
      </c>
      <c r="AH830" t="str">
        <f t="shared" si="965"/>
        <v>1</v>
      </c>
      <c r="AI830" t="str">
        <f>"1         "</f>
        <v xml:space="preserve">1         </v>
      </c>
      <c r="AJ830" t="str">
        <f t="shared" si="935"/>
        <v>170</v>
      </c>
      <c r="AK830" t="str">
        <f>"76"</f>
        <v>76</v>
      </c>
      <c r="AL830" t="str">
        <f>"001"</f>
        <v>001</v>
      </c>
      <c r="AM830" t="str">
        <f>"76"</f>
        <v>76</v>
      </c>
      <c r="AN830" t="str">
        <f>"76001"</f>
        <v>76001</v>
      </c>
      <c r="AO830" t="str">
        <f>"21/05/2020 12:00:00 a. m."</f>
        <v>21/05/2020 12:00:00 a. m.</v>
      </c>
      <c r="AP830" t="str">
        <f>"21/04/2020 12:00:00 a. m."</f>
        <v>21/04/2020 12:00:00 a. m.</v>
      </c>
      <c r="AQ830" t="str">
        <f t="shared" si="1000"/>
        <v>3</v>
      </c>
      <c r="AR830" t="str">
        <f t="shared" si="996"/>
        <v>1</v>
      </c>
      <c r="AS830" t="str">
        <f>"21/05/2020 12:00:00 a. m."</f>
        <v>21/05/2020 12:00:00 a. m.</v>
      </c>
      <c r="AT830" t="str">
        <f t="shared" si="998"/>
        <v>1</v>
      </c>
      <c r="AU830" t="str">
        <f>""</f>
        <v/>
      </c>
      <c r="AV830" t="str">
        <f>"7"</f>
        <v>7</v>
      </c>
      <c r="AW830" t="str">
        <f>"15/11/2018 12:00:00 a. m."</f>
        <v>15/11/2018 12:00:00 a. m.</v>
      </c>
      <c r="AX830" t="str">
        <f>""</f>
        <v/>
      </c>
      <c r="AY830" t="str">
        <f t="shared" si="921"/>
        <v>30/04/2021 12:00:00 a. m.</v>
      </c>
      <c r="AZ830" t="str">
        <f>"20/01/2021 12:00:00 a. m."</f>
        <v>20/01/2021 12:00:00 a. m.</v>
      </c>
      <c r="BA830" t="str">
        <f>""</f>
        <v/>
      </c>
      <c r="BB830" t="str">
        <f>""</f>
        <v/>
      </c>
      <c r="BC830" t="str">
        <f>""</f>
        <v/>
      </c>
      <c r="BD830" t="str">
        <f t="shared" si="994"/>
        <v>1</v>
      </c>
      <c r="BE830" t="str">
        <f t="shared" si="994"/>
        <v>1</v>
      </c>
      <c r="BF830" t="str">
        <f t="shared" si="922"/>
        <v xml:space="preserve">3         </v>
      </c>
      <c r="BG830" t="str">
        <f t="shared" si="923"/>
        <v>Confirmado por laboratorio</v>
      </c>
      <c r="BH830" t="str">
        <f>"CENTRO MEDICO IMBANACO CMI"</f>
        <v>CENTRO MEDICO IMBANACO CMI</v>
      </c>
      <c r="BI830" t="str">
        <f t="shared" si="939"/>
        <v>COLOMBIA</v>
      </c>
      <c r="BJ830" t="str">
        <f t="shared" si="924"/>
        <v>CANCER INFANTIL</v>
      </c>
      <c r="BK830" t="str">
        <f>"VALLE"</f>
        <v>VALLE</v>
      </c>
      <c r="BL830" t="str">
        <f>"CALI"</f>
        <v>CALI</v>
      </c>
      <c r="BM830" t="str">
        <f t="shared" si="941"/>
        <v>COLOMBIA</v>
      </c>
      <c r="BN830" t="str">
        <f>"VALLE"</f>
        <v>VALLE</v>
      </c>
      <c r="BO830" t="str">
        <f>"CALI"</f>
        <v>CALI</v>
      </c>
      <c r="BP830" t="str">
        <f>"VALLE"</f>
        <v>VALLE</v>
      </c>
      <c r="BQ830" t="str">
        <f>"CALI"</f>
        <v>CALI</v>
      </c>
    </row>
    <row r="831" spans="1:69" x14ac:dyDescent="0.25">
      <c r="A831" t="str">
        <f>"7291384"</f>
        <v>7291384</v>
      </c>
      <c r="B831" t="str">
        <f t="shared" si="917"/>
        <v>459</v>
      </c>
      <c r="C831" t="str">
        <f>"21/02/2020 12:00:00 a. m."</f>
        <v>21/02/2020 12:00:00 a. m.</v>
      </c>
      <c r="D831" t="str">
        <f>"05"</f>
        <v>05</v>
      </c>
      <c r="E831" t="str">
        <f t="shared" si="918"/>
        <v>2020</v>
      </c>
      <c r="F831" t="str">
        <f>"7600101111"</f>
        <v>7600101111</v>
      </c>
      <c r="G831" t="str">
        <f t="shared" si="995"/>
        <v>01</v>
      </c>
      <c r="H831" t="str">
        <f>"3"</f>
        <v>3</v>
      </c>
      <c r="I831" t="str">
        <f t="shared" si="984"/>
        <v>1</v>
      </c>
      <c r="J831" t="str">
        <f>"M"</f>
        <v>M</v>
      </c>
      <c r="K831" t="str">
        <f t="shared" si="933"/>
        <v>170</v>
      </c>
      <c r="L831" t="str">
        <f>"76"</f>
        <v>76</v>
      </c>
      <c r="M831" t="str">
        <f>"001"</f>
        <v>001</v>
      </c>
      <c r="N831" t="str">
        <f>"1"</f>
        <v>1</v>
      </c>
      <c r="O831" t="str">
        <f>"9999"</f>
        <v>9999</v>
      </c>
      <c r="P831" t="str">
        <f>"C"</f>
        <v>C</v>
      </c>
      <c r="Q831" t="str">
        <f>"EMP021"</f>
        <v>EMP021</v>
      </c>
      <c r="R831" t="str">
        <f t="shared" si="991"/>
        <v>6</v>
      </c>
      <c r="S831" t="str">
        <f>""</f>
        <v/>
      </c>
      <c r="T831" t="str">
        <f t="shared" si="1002"/>
        <v xml:space="preserve">                                                                                                    </v>
      </c>
      <c r="U831" t="str">
        <f>"4         "</f>
        <v xml:space="preserve">4         </v>
      </c>
      <c r="V831" t="str">
        <f t="shared" si="987"/>
        <v>2</v>
      </c>
      <c r="W831" t="str">
        <f t="shared" ref="W831:W862" si="1003">"2"</f>
        <v>2</v>
      </c>
      <c r="X831" t="str">
        <f t="shared" si="960"/>
        <v>2</v>
      </c>
      <c r="Y831" t="str">
        <f t="shared" si="988"/>
        <v>2</v>
      </c>
      <c r="Z831" t="str">
        <f t="shared" si="988"/>
        <v>2</v>
      </c>
      <c r="AA831" t="str">
        <f t="shared" si="919"/>
        <v xml:space="preserve">          </v>
      </c>
      <c r="AB831" t="str">
        <f t="shared" si="999"/>
        <v>2</v>
      </c>
      <c r="AC831" t="str">
        <f t="shared" si="1001"/>
        <v>2</v>
      </c>
      <c r="AD831" t="str">
        <f t="shared" si="990"/>
        <v>2</v>
      </c>
      <c r="AE831" t="str">
        <f t="shared" si="990"/>
        <v>2</v>
      </c>
      <c r="AF831" t="str">
        <f t="shared" si="990"/>
        <v>2</v>
      </c>
      <c r="AG831" t="str">
        <f t="shared" si="990"/>
        <v>2</v>
      </c>
      <c r="AH831" t="str">
        <f t="shared" ref="AH831:AH862" si="1004">"1"</f>
        <v>1</v>
      </c>
      <c r="AI831" t="str">
        <f>"1         "</f>
        <v xml:space="preserve">1         </v>
      </c>
      <c r="AJ831" t="str">
        <f t="shared" si="935"/>
        <v>170</v>
      </c>
      <c r="AK831" t="str">
        <f>"76"</f>
        <v>76</v>
      </c>
      <c r="AL831" t="str">
        <f>"001"</f>
        <v>001</v>
      </c>
      <c r="AM831" t="str">
        <f>"76"</f>
        <v>76</v>
      </c>
      <c r="AN831" t="str">
        <f>"76001"</f>
        <v>76001</v>
      </c>
      <c r="AO831" t="str">
        <f>"30/01/2020 12:00:00 a. m."</f>
        <v>30/01/2020 12:00:00 a. m.</v>
      </c>
      <c r="AP831" t="str">
        <f>"30/12/2019 12:00:00 a. m."</f>
        <v>30/12/2019 12:00:00 a. m.</v>
      </c>
      <c r="AQ831" t="str">
        <f t="shared" si="1000"/>
        <v>3</v>
      </c>
      <c r="AR831" t="str">
        <f t="shared" si="996"/>
        <v>1</v>
      </c>
      <c r="AS831" t="str">
        <f>"30/01/2020 12:00:00 a. m."</f>
        <v>30/01/2020 12:00:00 a. m.</v>
      </c>
      <c r="AT831" t="str">
        <f t="shared" si="998"/>
        <v>1</v>
      </c>
      <c r="AU831" t="str">
        <f>""</f>
        <v/>
      </c>
      <c r="AV831" t="str">
        <f>"7"</f>
        <v>7</v>
      </c>
      <c r="AW831" t="str">
        <f>"29/07/2016 12:00:00 a. m."</f>
        <v>29/07/2016 12:00:00 a. m.</v>
      </c>
      <c r="AX831" t="str">
        <f>""</f>
        <v/>
      </c>
      <c r="AY831" t="str">
        <f t="shared" si="921"/>
        <v>30/04/2021 12:00:00 a. m.</v>
      </c>
      <c r="AZ831" t="str">
        <f>"20/01/2021 12:00:00 a. m."</f>
        <v>20/01/2021 12:00:00 a. m.</v>
      </c>
      <c r="BA831" t="str">
        <f>""</f>
        <v/>
      </c>
      <c r="BB831" t="str">
        <f>""</f>
        <v/>
      </c>
      <c r="BC831" t="str">
        <f>""</f>
        <v/>
      </c>
      <c r="BD831" t="str">
        <f t="shared" si="994"/>
        <v>1</v>
      </c>
      <c r="BE831" t="str">
        <f t="shared" si="994"/>
        <v>1</v>
      </c>
      <c r="BF831" t="str">
        <f t="shared" si="922"/>
        <v xml:space="preserve">3         </v>
      </c>
      <c r="BG831" t="str">
        <f t="shared" si="923"/>
        <v>Confirmado por laboratorio</v>
      </c>
      <c r="BH831" t="str">
        <f>"CENTRO MEDICO IMBANACO CMI"</f>
        <v>CENTRO MEDICO IMBANACO CMI</v>
      </c>
      <c r="BI831" t="str">
        <f t="shared" si="939"/>
        <v>COLOMBIA</v>
      </c>
      <c r="BJ831" t="str">
        <f t="shared" si="924"/>
        <v>CANCER INFANTIL</v>
      </c>
      <c r="BK831" t="str">
        <f>"VALLE"</f>
        <v>VALLE</v>
      </c>
      <c r="BL831" t="str">
        <f>"CALI"</f>
        <v>CALI</v>
      </c>
      <c r="BM831" t="str">
        <f t="shared" si="941"/>
        <v>COLOMBIA</v>
      </c>
      <c r="BN831" t="str">
        <f>"VALLE"</f>
        <v>VALLE</v>
      </c>
      <c r="BO831" t="str">
        <f>"CALI"</f>
        <v>CALI</v>
      </c>
      <c r="BP831" t="str">
        <f>"VALLE"</f>
        <v>VALLE</v>
      </c>
      <c r="BQ831" t="str">
        <f>"CALI"</f>
        <v>CALI</v>
      </c>
    </row>
    <row r="832" spans="1:69" x14ac:dyDescent="0.25">
      <c r="A832" t="str">
        <f>"7291679"</f>
        <v>7291679</v>
      </c>
      <c r="B832" t="str">
        <f t="shared" si="917"/>
        <v>459</v>
      </c>
      <c r="C832" t="str">
        <f>"31/01/2020 12:00:00 a. m."</f>
        <v>31/01/2020 12:00:00 a. m.</v>
      </c>
      <c r="D832" t="str">
        <f>"01"</f>
        <v>01</v>
      </c>
      <c r="E832" t="str">
        <f t="shared" si="918"/>
        <v>2020</v>
      </c>
      <c r="F832" t="str">
        <f>"1100105681"</f>
        <v>1100105681</v>
      </c>
      <c r="G832" t="str">
        <f t="shared" si="995"/>
        <v>01</v>
      </c>
      <c r="H832" t="str">
        <f>"4"</f>
        <v>4</v>
      </c>
      <c r="I832" t="str">
        <f t="shared" si="984"/>
        <v>1</v>
      </c>
      <c r="J832" t="str">
        <f>"M"</f>
        <v>M</v>
      </c>
      <c r="K832" t="str">
        <f t="shared" si="933"/>
        <v>170</v>
      </c>
      <c r="L832" t="str">
        <f>"25"</f>
        <v>25</v>
      </c>
      <c r="M832" t="str">
        <f>"430"</f>
        <v>430</v>
      </c>
      <c r="N832" t="str">
        <f>"1"</f>
        <v>1</v>
      </c>
      <c r="O832" t="str">
        <f>"9999"</f>
        <v>9999</v>
      </c>
      <c r="P832" t="str">
        <f>"S"</f>
        <v>S</v>
      </c>
      <c r="Q832" t="str">
        <f>"EPSS17"</f>
        <v>EPSS17</v>
      </c>
      <c r="R832" t="str">
        <f t="shared" si="991"/>
        <v>6</v>
      </c>
      <c r="S832" t="str">
        <f>""</f>
        <v/>
      </c>
      <c r="T832" t="str">
        <f t="shared" si="1002"/>
        <v xml:space="preserve">                                                                                                    </v>
      </c>
      <c r="U832" t="str">
        <f>"1         "</f>
        <v xml:space="preserve">1         </v>
      </c>
      <c r="V832" t="str">
        <f t="shared" si="987"/>
        <v>2</v>
      </c>
      <c r="W832" t="str">
        <f t="shared" si="1003"/>
        <v>2</v>
      </c>
      <c r="X832" t="str">
        <f t="shared" si="960"/>
        <v>2</v>
      </c>
      <c r="Y832" t="str">
        <f t="shared" si="988"/>
        <v>2</v>
      </c>
      <c r="Z832" t="str">
        <f t="shared" si="988"/>
        <v>2</v>
      </c>
      <c r="AA832" t="str">
        <f t="shared" si="919"/>
        <v xml:space="preserve">          </v>
      </c>
      <c r="AB832" t="str">
        <f t="shared" si="999"/>
        <v>2</v>
      </c>
      <c r="AC832" t="str">
        <f t="shared" si="1001"/>
        <v>2</v>
      </c>
      <c r="AD832" t="str">
        <f t="shared" si="990"/>
        <v>2</v>
      </c>
      <c r="AE832" t="str">
        <f t="shared" si="990"/>
        <v>2</v>
      </c>
      <c r="AF832" t="str">
        <f t="shared" si="990"/>
        <v>2</v>
      </c>
      <c r="AG832" t="str">
        <f t="shared" si="990"/>
        <v>2</v>
      </c>
      <c r="AH832" t="str">
        <f t="shared" si="1004"/>
        <v>1</v>
      </c>
      <c r="AI832" t="str">
        <f>"1         "</f>
        <v xml:space="preserve">1         </v>
      </c>
      <c r="AJ832" t="str">
        <f t="shared" si="935"/>
        <v>170</v>
      </c>
      <c r="AK832" t="str">
        <f>"25"</f>
        <v>25</v>
      </c>
      <c r="AL832" t="str">
        <f>"430"</f>
        <v>430</v>
      </c>
      <c r="AM832" t="str">
        <f>"11"</f>
        <v>11</v>
      </c>
      <c r="AN832" t="str">
        <f>"11001"</f>
        <v>11001</v>
      </c>
      <c r="AO832" t="str">
        <f>"1/01/2020 12:00:00 a. m."</f>
        <v>1/01/2020 12:00:00 a. m.</v>
      </c>
      <c r="AP832" t="str">
        <f>"1/09/2019 12:00:00 a. m."</f>
        <v>1/09/2019 12:00:00 a. m.</v>
      </c>
      <c r="AQ832" t="str">
        <f t="shared" si="1000"/>
        <v>3</v>
      </c>
      <c r="AR832" t="str">
        <f t="shared" si="996"/>
        <v>1</v>
      </c>
      <c r="AS832" t="str">
        <f>"1/01/2020 12:00:00 a. m."</f>
        <v>1/01/2020 12:00:00 a. m.</v>
      </c>
      <c r="AT832" t="str">
        <f t="shared" si="998"/>
        <v>1</v>
      </c>
      <c r="AU832" t="str">
        <f>""</f>
        <v/>
      </c>
      <c r="AV832" t="str">
        <f>"0"</f>
        <v>0</v>
      </c>
      <c r="AW832" t="str">
        <f>"25/02/2016 12:00:00 a. m."</f>
        <v>25/02/2016 12:00:00 a. m.</v>
      </c>
      <c r="AX832" t="str">
        <f>""</f>
        <v/>
      </c>
      <c r="AY832" t="str">
        <f t="shared" si="921"/>
        <v>30/04/2021 12:00:00 a. m.</v>
      </c>
      <c r="AZ832" t="str">
        <f>"2/12/2020 12:00:00 a. m."</f>
        <v>2/12/2020 12:00:00 a. m.</v>
      </c>
      <c r="BA832" t="str">
        <f>""</f>
        <v/>
      </c>
      <c r="BB832" t="str">
        <f>""</f>
        <v/>
      </c>
      <c r="BC832" t="str">
        <f>""</f>
        <v/>
      </c>
      <c r="BD832" t="str">
        <f t="shared" si="994"/>
        <v>1</v>
      </c>
      <c r="BE832" t="str">
        <f t="shared" si="994"/>
        <v>1</v>
      </c>
      <c r="BF832" t="str">
        <f t="shared" si="922"/>
        <v xml:space="preserve">3         </v>
      </c>
      <c r="BG832" t="str">
        <f t="shared" si="923"/>
        <v>Confirmado por laboratorio</v>
      </c>
      <c r="BH832" t="str">
        <f>"FUNDACION HOSPITAL DE LA MISERICORDIA"</f>
        <v>FUNDACION HOSPITAL DE LA MISERICORDIA</v>
      </c>
      <c r="BI832" t="str">
        <f t="shared" si="939"/>
        <v>COLOMBIA</v>
      </c>
      <c r="BJ832" t="str">
        <f t="shared" si="924"/>
        <v>CANCER INFANTIL</v>
      </c>
      <c r="BK832" t="str">
        <f>"CUNDINAMARCA"</f>
        <v>CUNDINAMARCA</v>
      </c>
      <c r="BL832" t="str">
        <f>"MADRID"</f>
        <v>MADRID</v>
      </c>
      <c r="BM832" t="str">
        <f t="shared" si="941"/>
        <v>COLOMBIA</v>
      </c>
      <c r="BN832" t="str">
        <f>"CUNDINAMARCA"</f>
        <v>CUNDINAMARCA</v>
      </c>
      <c r="BO832" t="str">
        <f>"MADRID"</f>
        <v>MADRID</v>
      </c>
      <c r="BP832" t="str">
        <f>"BOGOTA"</f>
        <v>BOGOTA</v>
      </c>
      <c r="BQ832" t="str">
        <f>"BOGOTA"</f>
        <v>BOGOTA</v>
      </c>
    </row>
    <row r="833" spans="1:69" x14ac:dyDescent="0.25">
      <c r="A833" t="str">
        <f>"7291803"</f>
        <v>7291803</v>
      </c>
      <c r="B833" t="str">
        <f t="shared" si="917"/>
        <v>459</v>
      </c>
      <c r="C833" t="str">
        <f>"5/02/2021 12:00:00 a. m."</f>
        <v>5/02/2021 12:00:00 a. m.</v>
      </c>
      <c r="D833" t="str">
        <f>"50"</f>
        <v>50</v>
      </c>
      <c r="E833" t="str">
        <f t="shared" si="918"/>
        <v>2020</v>
      </c>
      <c r="F833" t="str">
        <f>"5400100011"</f>
        <v>5400100011</v>
      </c>
      <c r="G833" t="str">
        <f t="shared" si="995"/>
        <v>01</v>
      </c>
      <c r="H833" t="str">
        <f>"16"</f>
        <v>16</v>
      </c>
      <c r="I833" t="str">
        <f t="shared" si="984"/>
        <v>1</v>
      </c>
      <c r="J833" t="str">
        <f>"M"</f>
        <v>M</v>
      </c>
      <c r="K833" t="str">
        <f t="shared" si="933"/>
        <v>170</v>
      </c>
      <c r="L833" t="str">
        <f>"54"</f>
        <v>54</v>
      </c>
      <c r="M833" t="str">
        <f>"874"</f>
        <v>874</v>
      </c>
      <c r="N833" t="str">
        <f>"1"</f>
        <v>1</v>
      </c>
      <c r="O833" t="str">
        <f>"9997"</f>
        <v>9997</v>
      </c>
      <c r="P833" t="str">
        <f>"S"</f>
        <v>S</v>
      </c>
      <c r="Q833" t="str">
        <f>"ESS133"</f>
        <v>ESS133</v>
      </c>
      <c r="R833" t="str">
        <f t="shared" si="991"/>
        <v>6</v>
      </c>
      <c r="S833" t="str">
        <f>""</f>
        <v/>
      </c>
      <c r="T833" t="str">
        <f t="shared" si="1002"/>
        <v xml:space="preserve">                                                                                                    </v>
      </c>
      <c r="U833" t="str">
        <f>"1         "</f>
        <v xml:space="preserve">1         </v>
      </c>
      <c r="V833" t="str">
        <f t="shared" si="987"/>
        <v>2</v>
      </c>
      <c r="W833" t="str">
        <f t="shared" si="1003"/>
        <v>2</v>
      </c>
      <c r="X833" t="str">
        <f t="shared" si="960"/>
        <v>2</v>
      </c>
      <c r="Y833" t="str">
        <f t="shared" si="988"/>
        <v>2</v>
      </c>
      <c r="Z833" t="str">
        <f t="shared" si="988"/>
        <v>2</v>
      </c>
      <c r="AA833" t="str">
        <f t="shared" si="919"/>
        <v xml:space="preserve">          </v>
      </c>
      <c r="AB833" t="str">
        <f t="shared" si="999"/>
        <v>2</v>
      </c>
      <c r="AC833" t="str">
        <f t="shared" si="1001"/>
        <v>2</v>
      </c>
      <c r="AD833" t="str">
        <f t="shared" si="990"/>
        <v>2</v>
      </c>
      <c r="AE833" t="str">
        <f t="shared" si="990"/>
        <v>2</v>
      </c>
      <c r="AF833" t="str">
        <f t="shared" si="990"/>
        <v>2</v>
      </c>
      <c r="AG833" t="str">
        <f t="shared" si="990"/>
        <v>2</v>
      </c>
      <c r="AH833" t="str">
        <f t="shared" si="1004"/>
        <v>1</v>
      </c>
      <c r="AI833" t="str">
        <f>"1         "</f>
        <v xml:space="preserve">1         </v>
      </c>
      <c r="AJ833" t="str">
        <f t="shared" si="935"/>
        <v>170</v>
      </c>
      <c r="AK833" t="str">
        <f>"54"</f>
        <v>54</v>
      </c>
      <c r="AL833" t="str">
        <f>"874"</f>
        <v>874</v>
      </c>
      <c r="AM833" t="str">
        <f>"54"</f>
        <v>54</v>
      </c>
      <c r="AN833" t="str">
        <f>"54001"</f>
        <v>54001</v>
      </c>
      <c r="AO833" t="str">
        <f>"11/12/2020 12:00:00 a. m."</f>
        <v>11/12/2020 12:00:00 a. m.</v>
      </c>
      <c r="AP833" t="str">
        <f>"22/09/2020 12:00:00 a. m."</f>
        <v>22/09/2020 12:00:00 a. m.</v>
      </c>
      <c r="AQ833" t="str">
        <f t="shared" si="1000"/>
        <v>3</v>
      </c>
      <c r="AR833" t="str">
        <f>"2"</f>
        <v>2</v>
      </c>
      <c r="AS833" t="str">
        <f>""</f>
        <v/>
      </c>
      <c r="AT833" t="str">
        <f t="shared" si="998"/>
        <v>1</v>
      </c>
      <c r="AU833" t="str">
        <f>""</f>
        <v/>
      </c>
      <c r="AV833" t="str">
        <f>"0"</f>
        <v>0</v>
      </c>
      <c r="AW833" t="str">
        <f>"5/07/2004 12:00:00 a. m."</f>
        <v>5/07/2004 12:00:00 a. m.</v>
      </c>
      <c r="AX833" t="str">
        <f>""</f>
        <v/>
      </c>
      <c r="AY833" t="str">
        <f t="shared" si="921"/>
        <v>30/04/2021 12:00:00 a. m.</v>
      </c>
      <c r="AZ833" t="str">
        <f>"6/02/2021 12:00:00 a. m."</f>
        <v>6/02/2021 12:00:00 a. m.</v>
      </c>
      <c r="BA833" t="str">
        <f>""</f>
        <v/>
      </c>
      <c r="BB833" t="str">
        <f>""</f>
        <v/>
      </c>
      <c r="BC833" t="str">
        <f>""</f>
        <v/>
      </c>
      <c r="BD833" t="str">
        <f t="shared" si="994"/>
        <v>1</v>
      </c>
      <c r="BE833" t="str">
        <f t="shared" si="994"/>
        <v>1</v>
      </c>
      <c r="BF833" t="str">
        <f t="shared" si="922"/>
        <v xml:space="preserve">3         </v>
      </c>
      <c r="BG833" t="str">
        <f t="shared" si="923"/>
        <v>Confirmado por laboratorio</v>
      </c>
      <c r="BH833" t="str">
        <f>"CLINICA DE CANCEROLOGIA DEL NORTE DE SANTANDER LTD"</f>
        <v>CLINICA DE CANCEROLOGIA DEL NORTE DE SANTANDER LTD</v>
      </c>
      <c r="BI833" t="str">
        <f t="shared" si="939"/>
        <v>COLOMBIA</v>
      </c>
      <c r="BJ833" t="str">
        <f t="shared" si="924"/>
        <v>CANCER INFANTIL</v>
      </c>
      <c r="BK833" t="str">
        <f>"NORTE SANTANDER"</f>
        <v>NORTE SANTANDER</v>
      </c>
      <c r="BL833" t="str">
        <f>"VILLA DEL ROSARIO"</f>
        <v>VILLA DEL ROSARIO</v>
      </c>
      <c r="BM833" t="str">
        <f t="shared" si="941"/>
        <v>COLOMBIA</v>
      </c>
      <c r="BN833" t="str">
        <f>"NORTE SANTANDER"</f>
        <v>NORTE SANTANDER</v>
      </c>
      <c r="BO833" t="str">
        <f>"VILLA DEL ROSARIO"</f>
        <v>VILLA DEL ROSARIO</v>
      </c>
      <c r="BP833" t="str">
        <f>"NORTE SANTANDER"</f>
        <v>NORTE SANTANDER</v>
      </c>
      <c r="BQ833" t="str">
        <f>"CUCUTA"</f>
        <v>CUCUTA</v>
      </c>
    </row>
    <row r="834" spans="1:69" x14ac:dyDescent="0.25">
      <c r="A834" t="str">
        <f>"7291644"</f>
        <v>7291644</v>
      </c>
      <c r="B834" t="str">
        <f t="shared" ref="B834:B897" si="1005">"459"</f>
        <v>459</v>
      </c>
      <c r="C834" t="str">
        <f>"15/12/2020 12:00:00 a. m."</f>
        <v>15/12/2020 12:00:00 a. m.</v>
      </c>
      <c r="D834" t="str">
        <f>"42"</f>
        <v>42</v>
      </c>
      <c r="E834" t="str">
        <f t="shared" ref="E834:E897" si="1006">"2020"</f>
        <v>2020</v>
      </c>
      <c r="F834" t="str">
        <f>"1100105681"</f>
        <v>1100105681</v>
      </c>
      <c r="G834" t="str">
        <f t="shared" si="995"/>
        <v>01</v>
      </c>
      <c r="H834" t="str">
        <f>"1"</f>
        <v>1</v>
      </c>
      <c r="I834" t="str">
        <f t="shared" si="984"/>
        <v>1</v>
      </c>
      <c r="J834" t="str">
        <f>"M"</f>
        <v>M</v>
      </c>
      <c r="K834" t="str">
        <f t="shared" si="933"/>
        <v>170</v>
      </c>
      <c r="L834" t="str">
        <f>"25"</f>
        <v>25</v>
      </c>
      <c r="M834" t="str">
        <f>"269"</f>
        <v>269</v>
      </c>
      <c r="N834" t="str">
        <f>"1"</f>
        <v>1</v>
      </c>
      <c r="O834" t="str">
        <f>"9999"</f>
        <v>9999</v>
      </c>
      <c r="P834" t="str">
        <f>"C"</f>
        <v>C</v>
      </c>
      <c r="Q834" t="str">
        <f>"EPS017"</f>
        <v>EPS017</v>
      </c>
      <c r="R834" t="str">
        <f t="shared" si="991"/>
        <v>6</v>
      </c>
      <c r="S834" t="str">
        <f>""</f>
        <v/>
      </c>
      <c r="T834" t="str">
        <f t="shared" si="1002"/>
        <v xml:space="preserve">                                                                                                    </v>
      </c>
      <c r="U834" t="str">
        <f>"2         "</f>
        <v xml:space="preserve">2         </v>
      </c>
      <c r="V834" t="str">
        <f t="shared" si="987"/>
        <v>2</v>
      </c>
      <c r="W834" t="str">
        <f t="shared" si="1003"/>
        <v>2</v>
      </c>
      <c r="X834" t="str">
        <f t="shared" si="960"/>
        <v>2</v>
      </c>
      <c r="Y834" t="str">
        <f t="shared" si="988"/>
        <v>2</v>
      </c>
      <c r="Z834" t="str">
        <f t="shared" si="988"/>
        <v>2</v>
      </c>
      <c r="AA834" t="str">
        <f t="shared" ref="AA834:AA897" si="1007">"          "</f>
        <v xml:space="preserve">          </v>
      </c>
      <c r="AB834" t="str">
        <f t="shared" si="999"/>
        <v>2</v>
      </c>
      <c r="AC834" t="str">
        <f t="shared" si="1001"/>
        <v>2</v>
      </c>
      <c r="AD834" t="str">
        <f t="shared" si="990"/>
        <v>2</v>
      </c>
      <c r="AE834" t="str">
        <f t="shared" si="990"/>
        <v>2</v>
      </c>
      <c r="AF834" t="str">
        <f t="shared" si="990"/>
        <v>2</v>
      </c>
      <c r="AG834" t="str">
        <f t="shared" si="990"/>
        <v>2</v>
      </c>
      <c r="AH834" t="str">
        <f t="shared" si="1004"/>
        <v>1</v>
      </c>
      <c r="AI834" t="str">
        <f>"2         "</f>
        <v xml:space="preserve">2         </v>
      </c>
      <c r="AJ834" t="str">
        <f t="shared" si="935"/>
        <v>170</v>
      </c>
      <c r="AK834" t="str">
        <f>"25"</f>
        <v>25</v>
      </c>
      <c r="AL834" t="str">
        <f>"269"</f>
        <v>269</v>
      </c>
      <c r="AM834" t="str">
        <f>"11"</f>
        <v>11</v>
      </c>
      <c r="AN834" t="str">
        <f>"11001"</f>
        <v>11001</v>
      </c>
      <c r="AO834" t="str">
        <f>"14/10/2020 12:00:00 a. m."</f>
        <v>14/10/2020 12:00:00 a. m.</v>
      </c>
      <c r="AP834" t="str">
        <f>"14/06/2020 12:00:00 a. m."</f>
        <v>14/06/2020 12:00:00 a. m.</v>
      </c>
      <c r="AQ834" t="str">
        <f t="shared" si="1000"/>
        <v>3</v>
      </c>
      <c r="AR834" t="str">
        <f t="shared" ref="AR834:AR839" si="1008">"1"</f>
        <v>1</v>
      </c>
      <c r="AS834" t="str">
        <f>"14/10/2020 12:00:00 a. m."</f>
        <v>14/10/2020 12:00:00 a. m.</v>
      </c>
      <c r="AT834" t="str">
        <f t="shared" si="998"/>
        <v>1</v>
      </c>
      <c r="AU834" t="str">
        <f>""</f>
        <v/>
      </c>
      <c r="AV834" t="str">
        <f>"0"</f>
        <v>0</v>
      </c>
      <c r="AW834" t="str">
        <f>"9/02/2019 12:00:00 a. m."</f>
        <v>9/02/2019 12:00:00 a. m.</v>
      </c>
      <c r="AX834" t="str">
        <f>""</f>
        <v/>
      </c>
      <c r="AY834" t="str">
        <f t="shared" ref="AY834:AY897" si="1009">"30/04/2021 12:00:00 a. m."</f>
        <v>30/04/2021 12:00:00 a. m.</v>
      </c>
      <c r="AZ834" t="str">
        <f>"15/12/2020 12:00:00 a. m."</f>
        <v>15/12/2020 12:00:00 a. m.</v>
      </c>
      <c r="BA834" t="str">
        <f>""</f>
        <v/>
      </c>
      <c r="BB834" t="str">
        <f>""</f>
        <v/>
      </c>
      <c r="BC834" t="str">
        <f>""</f>
        <v/>
      </c>
      <c r="BD834" t="str">
        <f t="shared" si="994"/>
        <v>1</v>
      </c>
      <c r="BE834" t="str">
        <f t="shared" si="994"/>
        <v>1</v>
      </c>
      <c r="BF834" t="str">
        <f t="shared" ref="BF834:BF897" si="1010">"3         "</f>
        <v xml:space="preserve">3         </v>
      </c>
      <c r="BG834" t="str">
        <f t="shared" ref="BG834:BG897" si="1011">"Confirmado por laboratorio"</f>
        <v>Confirmado por laboratorio</v>
      </c>
      <c r="BH834" t="str">
        <f>"FUNDACION HOSPITAL DE LA MISERICORDIA"</f>
        <v>FUNDACION HOSPITAL DE LA MISERICORDIA</v>
      </c>
      <c r="BI834" t="str">
        <f t="shared" si="939"/>
        <v>COLOMBIA</v>
      </c>
      <c r="BJ834" t="str">
        <f t="shared" ref="BJ834:BJ897" si="1012">"CANCER INFANTIL"</f>
        <v>CANCER INFANTIL</v>
      </c>
      <c r="BK834" t="str">
        <f>"CUNDINAMARCA"</f>
        <v>CUNDINAMARCA</v>
      </c>
      <c r="BL834" t="str">
        <f>"FACATATIVA"</f>
        <v>FACATATIVA</v>
      </c>
      <c r="BM834" t="str">
        <f t="shared" si="941"/>
        <v>COLOMBIA</v>
      </c>
      <c r="BN834" t="str">
        <f>"CUNDINAMARCA"</f>
        <v>CUNDINAMARCA</v>
      </c>
      <c r="BO834" t="str">
        <f>"FACATATIVA"</f>
        <v>FACATATIVA</v>
      </c>
      <c r="BP834" t="str">
        <f>"BOGOTA"</f>
        <v>BOGOTA</v>
      </c>
      <c r="BQ834" t="str">
        <f>"BOGOTA"</f>
        <v>BOGOTA</v>
      </c>
    </row>
    <row r="835" spans="1:69" x14ac:dyDescent="0.25">
      <c r="A835" t="str">
        <f>"7291604"</f>
        <v>7291604</v>
      </c>
      <c r="B835" t="str">
        <f t="shared" si="1005"/>
        <v>459</v>
      </c>
      <c r="C835" t="str">
        <f>"9/11/2020 12:00:00 a. m."</f>
        <v>9/11/2020 12:00:00 a. m.</v>
      </c>
      <c r="D835" t="str">
        <f>"17"</f>
        <v>17</v>
      </c>
      <c r="E835" t="str">
        <f t="shared" si="1006"/>
        <v>2020</v>
      </c>
      <c r="F835" t="str">
        <f>"2300100949"</f>
        <v>2300100949</v>
      </c>
      <c r="G835" t="str">
        <f t="shared" si="995"/>
        <v>01</v>
      </c>
      <c r="H835" t="str">
        <f>"17"</f>
        <v>17</v>
      </c>
      <c r="I835" t="str">
        <f t="shared" si="984"/>
        <v>1</v>
      </c>
      <c r="J835" t="str">
        <f>"F"</f>
        <v>F</v>
      </c>
      <c r="K835" t="str">
        <f t="shared" si="933"/>
        <v>170</v>
      </c>
      <c r="L835" t="str">
        <f>"23"</f>
        <v>23</v>
      </c>
      <c r="M835" t="str">
        <f>"555"</f>
        <v>555</v>
      </c>
      <c r="N835" t="str">
        <f>"3"</f>
        <v>3</v>
      </c>
      <c r="O835" t="str">
        <f>"9997"</f>
        <v>9997</v>
      </c>
      <c r="P835" t="str">
        <f>"S"</f>
        <v>S</v>
      </c>
      <c r="Q835" t="str">
        <f>"ESS133"</f>
        <v>ESS133</v>
      </c>
      <c r="R835" t="str">
        <f t="shared" si="991"/>
        <v>6</v>
      </c>
      <c r="S835" t="str">
        <f>""</f>
        <v/>
      </c>
      <c r="T835" t="str">
        <f t="shared" si="1002"/>
        <v xml:space="preserve">                                                                                                    </v>
      </c>
      <c r="U835" t="str">
        <f>"1         "</f>
        <v xml:space="preserve">1         </v>
      </c>
      <c r="V835" t="str">
        <f t="shared" si="987"/>
        <v>2</v>
      </c>
      <c r="W835" t="str">
        <f t="shared" si="1003"/>
        <v>2</v>
      </c>
      <c r="X835" t="str">
        <f t="shared" si="960"/>
        <v>2</v>
      </c>
      <c r="Y835" t="str">
        <f t="shared" si="988"/>
        <v>2</v>
      </c>
      <c r="Z835" t="str">
        <f t="shared" si="988"/>
        <v>2</v>
      </c>
      <c r="AA835" t="str">
        <f t="shared" si="1007"/>
        <v xml:space="preserve">          </v>
      </c>
      <c r="AB835" t="str">
        <f t="shared" si="999"/>
        <v>2</v>
      </c>
      <c r="AC835" t="str">
        <f t="shared" si="1001"/>
        <v>2</v>
      </c>
      <c r="AD835" t="str">
        <f t="shared" si="990"/>
        <v>2</v>
      </c>
      <c r="AE835" t="str">
        <f t="shared" si="990"/>
        <v>2</v>
      </c>
      <c r="AF835" t="str">
        <f t="shared" si="990"/>
        <v>2</v>
      </c>
      <c r="AG835" t="str">
        <f t="shared" si="990"/>
        <v>2</v>
      </c>
      <c r="AH835" t="str">
        <f t="shared" si="1004"/>
        <v>1</v>
      </c>
      <c r="AI835" t="str">
        <f>"2         "</f>
        <v xml:space="preserve">2         </v>
      </c>
      <c r="AJ835" t="str">
        <f t="shared" si="935"/>
        <v>170</v>
      </c>
      <c r="AK835" t="str">
        <f>"23"</f>
        <v>23</v>
      </c>
      <c r="AL835" t="str">
        <f>"555"</f>
        <v>555</v>
      </c>
      <c r="AM835" t="str">
        <f>"23"</f>
        <v>23</v>
      </c>
      <c r="AN835" t="str">
        <f>"23001"</f>
        <v>23001</v>
      </c>
      <c r="AO835" t="str">
        <f>"24/04/2020 12:00:00 a. m."</f>
        <v>24/04/2020 12:00:00 a. m.</v>
      </c>
      <c r="AP835" t="str">
        <f>"24/12/2019 12:00:00 a. m."</f>
        <v>24/12/2019 12:00:00 a. m.</v>
      </c>
      <c r="AQ835" t="str">
        <f t="shared" si="1000"/>
        <v>3</v>
      </c>
      <c r="AR835" t="str">
        <f t="shared" si="1008"/>
        <v>1</v>
      </c>
      <c r="AS835" t="str">
        <f>"24/04/2020 12:00:00 a. m."</f>
        <v>24/04/2020 12:00:00 a. m.</v>
      </c>
      <c r="AT835" t="str">
        <f t="shared" si="998"/>
        <v>1</v>
      </c>
      <c r="AU835" t="str">
        <f>""</f>
        <v/>
      </c>
      <c r="AV835" t="str">
        <f>"7"</f>
        <v>7</v>
      </c>
      <c r="AW835" t="str">
        <f>"9/02/2003 12:00:00 a. m."</f>
        <v>9/02/2003 12:00:00 a. m.</v>
      </c>
      <c r="AX835" t="str">
        <f>""</f>
        <v/>
      </c>
      <c r="AY835" t="str">
        <f t="shared" si="1009"/>
        <v>30/04/2021 12:00:00 a. m.</v>
      </c>
      <c r="AZ835" t="str">
        <f>"4/12/2020 12:00:00 a. m."</f>
        <v>4/12/2020 12:00:00 a. m.</v>
      </c>
      <c r="BA835" t="str">
        <f>""</f>
        <v/>
      </c>
      <c r="BB835" t="str">
        <f>""</f>
        <v/>
      </c>
      <c r="BC835" t="str">
        <f>""</f>
        <v/>
      </c>
      <c r="BD835" t="str">
        <f t="shared" si="994"/>
        <v>1</v>
      </c>
      <c r="BE835" t="str">
        <f t="shared" si="994"/>
        <v>1</v>
      </c>
      <c r="BF835" t="str">
        <f t="shared" si="1010"/>
        <v xml:space="preserve">3         </v>
      </c>
      <c r="BG835" t="str">
        <f t="shared" si="1011"/>
        <v>Confirmado por laboratorio</v>
      </c>
      <c r="BH835" t="str">
        <f>"ONCOMEDICA S A"</f>
        <v>ONCOMEDICA S A</v>
      </c>
      <c r="BI835" t="str">
        <f t="shared" si="939"/>
        <v>COLOMBIA</v>
      </c>
      <c r="BJ835" t="str">
        <f t="shared" si="1012"/>
        <v>CANCER INFANTIL</v>
      </c>
      <c r="BK835" t="str">
        <f>"CORDOBA"</f>
        <v>CORDOBA</v>
      </c>
      <c r="BL835" t="str">
        <f>"PLANETA RICA"</f>
        <v>PLANETA RICA</v>
      </c>
      <c r="BM835" t="str">
        <f t="shared" si="941"/>
        <v>COLOMBIA</v>
      </c>
      <c r="BN835" t="str">
        <f>"CORDOBA"</f>
        <v>CORDOBA</v>
      </c>
      <c r="BO835" t="str">
        <f>"PLANETA RICA"</f>
        <v>PLANETA RICA</v>
      </c>
      <c r="BP835" t="str">
        <f>"CORDOBA"</f>
        <v>CORDOBA</v>
      </c>
      <c r="BQ835" t="str">
        <f>"MONTERIA"</f>
        <v>MONTERIA</v>
      </c>
    </row>
    <row r="836" spans="1:69" x14ac:dyDescent="0.25">
      <c r="A836" t="str">
        <f>"7291621"</f>
        <v>7291621</v>
      </c>
      <c r="B836" t="str">
        <f t="shared" si="1005"/>
        <v>459</v>
      </c>
      <c r="C836" t="str">
        <f>"27/02/2020 12:00:00 a. m."</f>
        <v>27/02/2020 12:00:00 a. m.</v>
      </c>
      <c r="D836" t="str">
        <f>"08"</f>
        <v>08</v>
      </c>
      <c r="E836" t="str">
        <f t="shared" si="1006"/>
        <v>2020</v>
      </c>
      <c r="F836" t="str">
        <f>"2300100949"</f>
        <v>2300100949</v>
      </c>
      <c r="G836" t="str">
        <f t="shared" si="995"/>
        <v>01</v>
      </c>
      <c r="H836" t="str">
        <f>"10"</f>
        <v>10</v>
      </c>
      <c r="I836" t="str">
        <f t="shared" si="984"/>
        <v>1</v>
      </c>
      <c r="J836" t="str">
        <f>"F"</f>
        <v>F</v>
      </c>
      <c r="K836" t="str">
        <f t="shared" si="933"/>
        <v>170</v>
      </c>
      <c r="L836" t="str">
        <f>"23"</f>
        <v>23</v>
      </c>
      <c r="M836" t="str">
        <f>"555"</f>
        <v>555</v>
      </c>
      <c r="N836" t="str">
        <f t="shared" ref="N836:N843" si="1013">"1"</f>
        <v>1</v>
      </c>
      <c r="O836" t="str">
        <f>"9997"</f>
        <v>9997</v>
      </c>
      <c r="P836" t="str">
        <f>"S"</f>
        <v>S</v>
      </c>
      <c r="Q836" t="str">
        <f>"ESS207"</f>
        <v>ESS207</v>
      </c>
      <c r="R836" t="str">
        <f t="shared" si="991"/>
        <v>6</v>
      </c>
      <c r="S836" t="str">
        <f>""</f>
        <v/>
      </c>
      <c r="T836" t="str">
        <f t="shared" si="1002"/>
        <v xml:space="preserve">                                                                                                    </v>
      </c>
      <c r="U836" t="str">
        <f>"1         "</f>
        <v xml:space="preserve">1         </v>
      </c>
      <c r="V836" t="str">
        <f t="shared" si="987"/>
        <v>2</v>
      </c>
      <c r="W836" t="str">
        <f t="shared" si="1003"/>
        <v>2</v>
      </c>
      <c r="X836" t="str">
        <f t="shared" si="960"/>
        <v>2</v>
      </c>
      <c r="Y836" t="str">
        <f t="shared" si="988"/>
        <v>2</v>
      </c>
      <c r="Z836" t="str">
        <f t="shared" si="988"/>
        <v>2</v>
      </c>
      <c r="AA836" t="str">
        <f t="shared" si="1007"/>
        <v xml:space="preserve">          </v>
      </c>
      <c r="AB836" t="str">
        <f t="shared" si="999"/>
        <v>2</v>
      </c>
      <c r="AC836" t="str">
        <f t="shared" si="1001"/>
        <v>2</v>
      </c>
      <c r="AD836" t="str">
        <f t="shared" si="990"/>
        <v>2</v>
      </c>
      <c r="AE836" t="str">
        <f t="shared" si="990"/>
        <v>2</v>
      </c>
      <c r="AF836" t="str">
        <f t="shared" si="990"/>
        <v>2</v>
      </c>
      <c r="AG836" t="str">
        <f t="shared" si="990"/>
        <v>2</v>
      </c>
      <c r="AH836" t="str">
        <f t="shared" si="1004"/>
        <v>1</v>
      </c>
      <c r="AI836" t="str">
        <f>"2         "</f>
        <v xml:space="preserve">2         </v>
      </c>
      <c r="AJ836" t="str">
        <f t="shared" si="935"/>
        <v>170</v>
      </c>
      <c r="AK836" t="str">
        <f>"23"</f>
        <v>23</v>
      </c>
      <c r="AL836" t="str">
        <f>"555"</f>
        <v>555</v>
      </c>
      <c r="AM836" t="str">
        <f>"23"</f>
        <v>23</v>
      </c>
      <c r="AN836" t="str">
        <f>"23001"</f>
        <v>23001</v>
      </c>
      <c r="AO836" t="str">
        <f>"21/02/2020 12:00:00 a. m."</f>
        <v>21/02/2020 12:00:00 a. m.</v>
      </c>
      <c r="AP836" t="str">
        <f>"3/02/2020 12:00:00 a. m."</f>
        <v>3/02/2020 12:00:00 a. m.</v>
      </c>
      <c r="AQ836" t="str">
        <f>"2"</f>
        <v>2</v>
      </c>
      <c r="AR836" t="str">
        <f t="shared" si="1008"/>
        <v>1</v>
      </c>
      <c r="AS836" t="str">
        <f>"21/02/2020 12:00:00 a. m."</f>
        <v>21/02/2020 12:00:00 a. m.</v>
      </c>
      <c r="AT836" t="str">
        <f t="shared" si="998"/>
        <v>1</v>
      </c>
      <c r="AU836" t="str">
        <f>""</f>
        <v/>
      </c>
      <c r="AV836" t="str">
        <f>"3"</f>
        <v>3</v>
      </c>
      <c r="AW836" t="str">
        <f>"5/06/2009 12:00:00 a. m."</f>
        <v>5/06/2009 12:00:00 a. m.</v>
      </c>
      <c r="AX836" t="str">
        <f>""</f>
        <v/>
      </c>
      <c r="AY836" t="str">
        <f t="shared" si="1009"/>
        <v>30/04/2021 12:00:00 a. m.</v>
      </c>
      <c r="AZ836" t="str">
        <f>"18/03/2020 12:00:00 a. m."</f>
        <v>18/03/2020 12:00:00 a. m.</v>
      </c>
      <c r="BA836" t="str">
        <f>""</f>
        <v/>
      </c>
      <c r="BB836" t="str">
        <f>""</f>
        <v/>
      </c>
      <c r="BC836" t="str">
        <f>""</f>
        <v/>
      </c>
      <c r="BD836" t="str">
        <f t="shared" si="994"/>
        <v>1</v>
      </c>
      <c r="BE836" t="str">
        <f t="shared" si="994"/>
        <v>1</v>
      </c>
      <c r="BF836" t="str">
        <f t="shared" si="1010"/>
        <v xml:space="preserve">3         </v>
      </c>
      <c r="BG836" t="str">
        <f t="shared" si="1011"/>
        <v>Confirmado por laboratorio</v>
      </c>
      <c r="BH836" t="str">
        <f>"ONCOMEDICA S A"</f>
        <v>ONCOMEDICA S A</v>
      </c>
      <c r="BI836" t="str">
        <f t="shared" si="939"/>
        <v>COLOMBIA</v>
      </c>
      <c r="BJ836" t="str">
        <f t="shared" si="1012"/>
        <v>CANCER INFANTIL</v>
      </c>
      <c r="BK836" t="str">
        <f>"CORDOBA"</f>
        <v>CORDOBA</v>
      </c>
      <c r="BL836" t="str">
        <f>"PLANETA RICA"</f>
        <v>PLANETA RICA</v>
      </c>
      <c r="BM836" t="str">
        <f t="shared" si="941"/>
        <v>COLOMBIA</v>
      </c>
      <c r="BN836" t="str">
        <f>"CORDOBA"</f>
        <v>CORDOBA</v>
      </c>
      <c r="BO836" t="str">
        <f>"PLANETA RICA"</f>
        <v>PLANETA RICA</v>
      </c>
      <c r="BP836" t="str">
        <f>"CORDOBA"</f>
        <v>CORDOBA</v>
      </c>
      <c r="BQ836" t="str">
        <f>"MONTERIA"</f>
        <v>MONTERIA</v>
      </c>
    </row>
    <row r="837" spans="1:69" x14ac:dyDescent="0.25">
      <c r="A837" t="str">
        <f>"7291680"</f>
        <v>7291680</v>
      </c>
      <c r="B837" t="str">
        <f t="shared" si="1005"/>
        <v>459</v>
      </c>
      <c r="C837" t="str">
        <f>"18/11/2020 12:00:00 a. m."</f>
        <v>18/11/2020 12:00:00 a. m.</v>
      </c>
      <c r="D837" t="str">
        <f>"46"</f>
        <v>46</v>
      </c>
      <c r="E837" t="str">
        <f t="shared" si="1006"/>
        <v>2020</v>
      </c>
      <c r="F837" t="str">
        <f>"7600102870"</f>
        <v>7600102870</v>
      </c>
      <c r="G837" t="str">
        <f t="shared" si="995"/>
        <v>01</v>
      </c>
      <c r="H837" t="str">
        <f>"4"</f>
        <v>4</v>
      </c>
      <c r="I837" t="str">
        <f t="shared" si="984"/>
        <v>1</v>
      </c>
      <c r="J837" t="str">
        <f>"F"</f>
        <v>F</v>
      </c>
      <c r="K837" t="str">
        <f t="shared" si="933"/>
        <v>170</v>
      </c>
      <c r="L837" t="str">
        <f>"76"</f>
        <v>76</v>
      </c>
      <c r="M837" t="str">
        <f>"520"</f>
        <v>520</v>
      </c>
      <c r="N837" t="str">
        <f t="shared" si="1013"/>
        <v>1</v>
      </c>
      <c r="O837" t="str">
        <f>"9999"</f>
        <v>9999</v>
      </c>
      <c r="P837" t="str">
        <f>"S"</f>
        <v>S</v>
      </c>
      <c r="Q837" t="str">
        <f>"ESS118"</f>
        <v>ESS118</v>
      </c>
      <c r="R837" t="str">
        <f t="shared" si="991"/>
        <v>6</v>
      </c>
      <c r="S837" t="str">
        <f>""</f>
        <v/>
      </c>
      <c r="T837" t="str">
        <f t="shared" si="1002"/>
        <v xml:space="preserve">                                                                                                    </v>
      </c>
      <c r="U837" t="str">
        <f>"          "</f>
        <v xml:space="preserve">          </v>
      </c>
      <c r="V837" t="str">
        <f t="shared" si="987"/>
        <v>2</v>
      </c>
      <c r="W837" t="str">
        <f t="shared" si="1003"/>
        <v>2</v>
      </c>
      <c r="X837" t="str">
        <f t="shared" si="960"/>
        <v>2</v>
      </c>
      <c r="Y837" t="str">
        <f t="shared" si="988"/>
        <v>2</v>
      </c>
      <c r="Z837" t="str">
        <f t="shared" si="988"/>
        <v>2</v>
      </c>
      <c r="AA837" t="str">
        <f t="shared" si="1007"/>
        <v xml:space="preserve">          </v>
      </c>
      <c r="AB837" t="str">
        <f t="shared" si="999"/>
        <v>2</v>
      </c>
      <c r="AC837" t="str">
        <f t="shared" si="1001"/>
        <v>2</v>
      </c>
      <c r="AD837" t="str">
        <f t="shared" si="990"/>
        <v>2</v>
      </c>
      <c r="AE837" t="str">
        <f t="shared" si="990"/>
        <v>2</v>
      </c>
      <c r="AF837" t="str">
        <f t="shared" si="990"/>
        <v>2</v>
      </c>
      <c r="AG837" t="str">
        <f t="shared" si="990"/>
        <v>2</v>
      </c>
      <c r="AH837" t="str">
        <f t="shared" si="1004"/>
        <v>1</v>
      </c>
      <c r="AI837" t="str">
        <f t="shared" ref="AI837:AI842" si="1014">"1         "</f>
        <v xml:space="preserve">1         </v>
      </c>
      <c r="AJ837" t="str">
        <f t="shared" si="935"/>
        <v>170</v>
      </c>
      <c r="AK837" t="str">
        <f>"76"</f>
        <v>76</v>
      </c>
      <c r="AL837" t="str">
        <f>"520"</f>
        <v>520</v>
      </c>
      <c r="AM837" t="str">
        <f>"76"</f>
        <v>76</v>
      </c>
      <c r="AN837" t="str">
        <f>"76001"</f>
        <v>76001</v>
      </c>
      <c r="AO837" t="str">
        <f>"12/11/2020 12:00:00 a. m."</f>
        <v>12/11/2020 12:00:00 a. m.</v>
      </c>
      <c r="AP837" t="str">
        <f>"1/08/2020 12:00:00 a. m."</f>
        <v>1/08/2020 12:00:00 a. m.</v>
      </c>
      <c r="AQ837" t="str">
        <f>"3"</f>
        <v>3</v>
      </c>
      <c r="AR837" t="str">
        <f t="shared" si="1008"/>
        <v>1</v>
      </c>
      <c r="AS837" t="str">
        <f>"12/11/2020 12:00:00 a. m."</f>
        <v>12/11/2020 12:00:00 a. m.</v>
      </c>
      <c r="AT837" t="str">
        <f t="shared" si="998"/>
        <v>1</v>
      </c>
      <c r="AU837" t="str">
        <f>""</f>
        <v/>
      </c>
      <c r="AV837" t="str">
        <f>"3"</f>
        <v>3</v>
      </c>
      <c r="AW837" t="str">
        <f>"15/08/2016 12:00:00 a. m."</f>
        <v>15/08/2016 12:00:00 a. m.</v>
      </c>
      <c r="AX837" t="str">
        <f>""</f>
        <v/>
      </c>
      <c r="AY837" t="str">
        <f t="shared" si="1009"/>
        <v>30/04/2021 12:00:00 a. m.</v>
      </c>
      <c r="AZ837" t="str">
        <f>"18/02/2021 12:00:00 a. m."</f>
        <v>18/02/2021 12:00:00 a. m.</v>
      </c>
      <c r="BA837" t="str">
        <f>""</f>
        <v/>
      </c>
      <c r="BB837" t="str">
        <f>""</f>
        <v/>
      </c>
      <c r="BC837" t="str">
        <f>""</f>
        <v/>
      </c>
      <c r="BD837" t="str">
        <f t="shared" si="994"/>
        <v>1</v>
      </c>
      <c r="BE837" t="str">
        <f t="shared" si="994"/>
        <v>1</v>
      </c>
      <c r="BF837" t="str">
        <f t="shared" si="1010"/>
        <v xml:space="preserve">3         </v>
      </c>
      <c r="BG837" t="str">
        <f t="shared" si="1011"/>
        <v>Confirmado por laboratorio</v>
      </c>
      <c r="BH837" t="str">
        <f>"FUNDACION VALLE DEL LILI"</f>
        <v>FUNDACION VALLE DEL LILI</v>
      </c>
      <c r="BI837" t="str">
        <f t="shared" si="939"/>
        <v>COLOMBIA</v>
      </c>
      <c r="BJ837" t="str">
        <f t="shared" si="1012"/>
        <v>CANCER INFANTIL</v>
      </c>
      <c r="BK837" t="str">
        <f>"VALLE"</f>
        <v>VALLE</v>
      </c>
      <c r="BL837" t="str">
        <f>"PALMIRA"</f>
        <v>PALMIRA</v>
      </c>
      <c r="BM837" t="str">
        <f t="shared" si="941"/>
        <v>COLOMBIA</v>
      </c>
      <c r="BN837" t="str">
        <f>"VALLE"</f>
        <v>VALLE</v>
      </c>
      <c r="BO837" t="str">
        <f>"PALMIRA"</f>
        <v>PALMIRA</v>
      </c>
      <c r="BP837" t="str">
        <f>"VALLE"</f>
        <v>VALLE</v>
      </c>
      <c r="BQ837" t="str">
        <f>"CALI"</f>
        <v>CALI</v>
      </c>
    </row>
    <row r="838" spans="1:69" x14ac:dyDescent="0.25">
      <c r="A838" t="str">
        <f>"7291342"</f>
        <v>7291342</v>
      </c>
      <c r="B838" t="str">
        <f t="shared" si="1005"/>
        <v>459</v>
      </c>
      <c r="C838" t="str">
        <f>"28/05/2020 12:00:00 a. m."</f>
        <v>28/05/2020 12:00:00 a. m.</v>
      </c>
      <c r="D838" t="str">
        <f>"14"</f>
        <v>14</v>
      </c>
      <c r="E838" t="str">
        <f t="shared" si="1006"/>
        <v>2020</v>
      </c>
      <c r="F838" t="str">
        <f>"7600101111"</f>
        <v>7600101111</v>
      </c>
      <c r="G838" t="str">
        <f t="shared" si="995"/>
        <v>01</v>
      </c>
      <c r="H838" t="str">
        <f>"12"</f>
        <v>12</v>
      </c>
      <c r="I838" t="str">
        <f t="shared" si="984"/>
        <v>1</v>
      </c>
      <c r="J838" t="str">
        <f>"F"</f>
        <v>F</v>
      </c>
      <c r="K838" t="str">
        <f t="shared" si="933"/>
        <v>170</v>
      </c>
      <c r="L838" t="str">
        <f>"76"</f>
        <v>76</v>
      </c>
      <c r="M838" t="str">
        <f>"001"</f>
        <v>001</v>
      </c>
      <c r="N838" t="str">
        <f t="shared" si="1013"/>
        <v>1</v>
      </c>
      <c r="O838" t="str">
        <f>"9999"</f>
        <v>9999</v>
      </c>
      <c r="P838" t="str">
        <f>"C"</f>
        <v>C</v>
      </c>
      <c r="Q838" t="str">
        <f>"EPS012"</f>
        <v>EPS012</v>
      </c>
      <c r="R838" t="str">
        <f t="shared" si="991"/>
        <v>6</v>
      </c>
      <c r="S838" t="str">
        <f>""</f>
        <v/>
      </c>
      <c r="T838" t="str">
        <f t="shared" si="1002"/>
        <v xml:space="preserve">                                                                                                    </v>
      </c>
      <c r="U838" t="str">
        <f>"3         "</f>
        <v xml:space="preserve">3         </v>
      </c>
      <c r="V838" t="str">
        <f t="shared" si="987"/>
        <v>2</v>
      </c>
      <c r="W838" t="str">
        <f t="shared" si="1003"/>
        <v>2</v>
      </c>
      <c r="X838" t="str">
        <f t="shared" si="960"/>
        <v>2</v>
      </c>
      <c r="Y838" t="str">
        <f t="shared" si="988"/>
        <v>2</v>
      </c>
      <c r="Z838" t="str">
        <f t="shared" si="988"/>
        <v>2</v>
      </c>
      <c r="AA838" t="str">
        <f t="shared" si="1007"/>
        <v xml:space="preserve">          </v>
      </c>
      <c r="AB838" t="str">
        <f t="shared" si="999"/>
        <v>2</v>
      </c>
      <c r="AC838" t="str">
        <f t="shared" si="1001"/>
        <v>2</v>
      </c>
      <c r="AD838" t="str">
        <f t="shared" si="990"/>
        <v>2</v>
      </c>
      <c r="AE838" t="str">
        <f t="shared" si="990"/>
        <v>2</v>
      </c>
      <c r="AF838" t="str">
        <f t="shared" si="990"/>
        <v>2</v>
      </c>
      <c r="AG838" t="str">
        <f t="shared" si="990"/>
        <v>2</v>
      </c>
      <c r="AH838" t="str">
        <f t="shared" si="1004"/>
        <v>1</v>
      </c>
      <c r="AI838" t="str">
        <f t="shared" si="1014"/>
        <v xml:space="preserve">1         </v>
      </c>
      <c r="AJ838" t="str">
        <f t="shared" si="935"/>
        <v>170</v>
      </c>
      <c r="AK838" t="str">
        <f>"76"</f>
        <v>76</v>
      </c>
      <c r="AL838" t="str">
        <f>"001"</f>
        <v>001</v>
      </c>
      <c r="AM838" t="str">
        <f>"76"</f>
        <v>76</v>
      </c>
      <c r="AN838" t="str">
        <f>"76001"</f>
        <v>76001</v>
      </c>
      <c r="AO838" t="str">
        <f>"30/03/2020 12:00:00 a. m."</f>
        <v>30/03/2020 12:00:00 a. m.</v>
      </c>
      <c r="AP838" t="str">
        <f>"23/03/2020 12:00:00 a. m."</f>
        <v>23/03/2020 12:00:00 a. m.</v>
      </c>
      <c r="AQ838" t="str">
        <f>"3"</f>
        <v>3</v>
      </c>
      <c r="AR838" t="str">
        <f t="shared" si="1008"/>
        <v>1</v>
      </c>
      <c r="AS838" t="str">
        <f>"30/03/2020 12:00:00 a. m."</f>
        <v>30/03/2020 12:00:00 a. m.</v>
      </c>
      <c r="AT838" t="str">
        <f t="shared" si="998"/>
        <v>1</v>
      </c>
      <c r="AU838" t="str">
        <f>""</f>
        <v/>
      </c>
      <c r="AV838" t="str">
        <f>"0"</f>
        <v>0</v>
      </c>
      <c r="AW838" t="str">
        <f>"15/11/2007 12:00:00 a. m."</f>
        <v>15/11/2007 12:00:00 a. m.</v>
      </c>
      <c r="AX838" t="str">
        <f>""</f>
        <v/>
      </c>
      <c r="AY838" t="str">
        <f t="shared" si="1009"/>
        <v>30/04/2021 12:00:00 a. m.</v>
      </c>
      <c r="AZ838" t="str">
        <f>"28/05/2020 12:00:00 a. m."</f>
        <v>28/05/2020 12:00:00 a. m.</v>
      </c>
      <c r="BA838" t="str">
        <f>""</f>
        <v/>
      </c>
      <c r="BB838" t="str">
        <f>""</f>
        <v/>
      </c>
      <c r="BC838" t="str">
        <f>""</f>
        <v/>
      </c>
      <c r="BD838" t="str">
        <f t="shared" si="994"/>
        <v>1</v>
      </c>
      <c r="BE838" t="str">
        <f t="shared" si="994"/>
        <v>1</v>
      </c>
      <c r="BF838" t="str">
        <f t="shared" si="1010"/>
        <v xml:space="preserve">3         </v>
      </c>
      <c r="BG838" t="str">
        <f t="shared" si="1011"/>
        <v>Confirmado por laboratorio</v>
      </c>
      <c r="BH838" t="str">
        <f>"CENTRO MEDICO IMBANACO CMI"</f>
        <v>CENTRO MEDICO IMBANACO CMI</v>
      </c>
      <c r="BI838" t="str">
        <f t="shared" si="939"/>
        <v>COLOMBIA</v>
      </c>
      <c r="BJ838" t="str">
        <f t="shared" si="1012"/>
        <v>CANCER INFANTIL</v>
      </c>
      <c r="BK838" t="str">
        <f>"VALLE"</f>
        <v>VALLE</v>
      </c>
      <c r="BL838" t="str">
        <f>"CALI"</f>
        <v>CALI</v>
      </c>
      <c r="BM838" t="str">
        <f t="shared" si="941"/>
        <v>COLOMBIA</v>
      </c>
      <c r="BN838" t="str">
        <f>"VALLE"</f>
        <v>VALLE</v>
      </c>
      <c r="BO838" t="str">
        <f>"CALI"</f>
        <v>CALI</v>
      </c>
      <c r="BP838" t="str">
        <f>"VALLE"</f>
        <v>VALLE</v>
      </c>
      <c r="BQ838" t="str">
        <f>"CALI"</f>
        <v>CALI</v>
      </c>
    </row>
    <row r="839" spans="1:69" x14ac:dyDescent="0.25">
      <c r="A839" t="str">
        <f>"7291343"</f>
        <v>7291343</v>
      </c>
      <c r="B839" t="str">
        <f t="shared" si="1005"/>
        <v>459</v>
      </c>
      <c r="C839" t="str">
        <f>"1/03/2021 12:00:00 a. m."</f>
        <v>1/03/2021 12:00:00 a. m.</v>
      </c>
      <c r="D839" t="str">
        <f>"45"</f>
        <v>45</v>
      </c>
      <c r="E839" t="str">
        <f t="shared" si="1006"/>
        <v>2020</v>
      </c>
      <c r="F839" t="str">
        <f>"7600101111"</f>
        <v>7600101111</v>
      </c>
      <c r="G839" t="str">
        <f t="shared" si="995"/>
        <v>01</v>
      </c>
      <c r="H839" t="str">
        <f>"11"</f>
        <v>11</v>
      </c>
      <c r="I839" t="str">
        <f t="shared" si="984"/>
        <v>1</v>
      </c>
      <c r="J839" t="str">
        <f>"F"</f>
        <v>F</v>
      </c>
      <c r="K839" t="str">
        <f t="shared" si="933"/>
        <v>170</v>
      </c>
      <c r="L839" t="str">
        <f>"76"</f>
        <v>76</v>
      </c>
      <c r="M839" t="str">
        <f>"001"</f>
        <v>001</v>
      </c>
      <c r="N839" t="str">
        <f t="shared" si="1013"/>
        <v>1</v>
      </c>
      <c r="O839" t="str">
        <f>"9997"</f>
        <v>9997</v>
      </c>
      <c r="P839" t="str">
        <f>"C"</f>
        <v>C</v>
      </c>
      <c r="Q839" t="str">
        <f>"EMP021"</f>
        <v>EMP021</v>
      </c>
      <c r="R839" t="str">
        <f t="shared" si="991"/>
        <v>6</v>
      </c>
      <c r="S839" t="str">
        <f>""</f>
        <v/>
      </c>
      <c r="T839" t="str">
        <f t="shared" si="1002"/>
        <v xml:space="preserve">                                                                                                    </v>
      </c>
      <c r="U839" t="str">
        <f>"          "</f>
        <v xml:space="preserve">          </v>
      </c>
      <c r="V839" t="str">
        <f t="shared" si="987"/>
        <v>2</v>
      </c>
      <c r="W839" t="str">
        <f t="shared" si="1003"/>
        <v>2</v>
      </c>
      <c r="X839" t="str">
        <f t="shared" si="960"/>
        <v>2</v>
      </c>
      <c r="Y839" t="str">
        <f t="shared" ref="Y839:Z858" si="1015">"2"</f>
        <v>2</v>
      </c>
      <c r="Z839" t="str">
        <f t="shared" si="1015"/>
        <v>2</v>
      </c>
      <c r="AA839" t="str">
        <f t="shared" si="1007"/>
        <v xml:space="preserve">          </v>
      </c>
      <c r="AB839" t="str">
        <f t="shared" si="999"/>
        <v>2</v>
      </c>
      <c r="AC839" t="str">
        <f t="shared" si="1001"/>
        <v>2</v>
      </c>
      <c r="AD839" t="str">
        <f t="shared" si="990"/>
        <v>2</v>
      </c>
      <c r="AE839" t="str">
        <f t="shared" si="990"/>
        <v>2</v>
      </c>
      <c r="AF839" t="str">
        <f t="shared" si="990"/>
        <v>2</v>
      </c>
      <c r="AG839" t="str">
        <f t="shared" si="990"/>
        <v>2</v>
      </c>
      <c r="AH839" t="str">
        <f t="shared" si="1004"/>
        <v>1</v>
      </c>
      <c r="AI839" t="str">
        <f t="shared" si="1014"/>
        <v xml:space="preserve">1         </v>
      </c>
      <c r="AJ839" t="str">
        <f t="shared" si="935"/>
        <v>170</v>
      </c>
      <c r="AK839" t="str">
        <f>"76"</f>
        <v>76</v>
      </c>
      <c r="AL839" t="str">
        <f>"001"</f>
        <v>001</v>
      </c>
      <c r="AM839" t="str">
        <f>"76"</f>
        <v>76</v>
      </c>
      <c r="AN839" t="str">
        <f>"76001"</f>
        <v>76001</v>
      </c>
      <c r="AO839" t="str">
        <f>"3/11/2020 12:00:00 a. m."</f>
        <v>3/11/2020 12:00:00 a. m.</v>
      </c>
      <c r="AP839" t="str">
        <f>"1/11/2020 12:00:00 a. m."</f>
        <v>1/11/2020 12:00:00 a. m.</v>
      </c>
      <c r="AQ839" t="str">
        <f>"3"</f>
        <v>3</v>
      </c>
      <c r="AR839" t="str">
        <f t="shared" si="1008"/>
        <v>1</v>
      </c>
      <c r="AS839" t="str">
        <f>"4/11/2020 12:00:00 a. m."</f>
        <v>4/11/2020 12:00:00 a. m.</v>
      </c>
      <c r="AT839" t="str">
        <f t="shared" si="998"/>
        <v>1</v>
      </c>
      <c r="AU839" t="str">
        <f>""</f>
        <v/>
      </c>
      <c r="AV839" t="str">
        <f>"0"</f>
        <v>0</v>
      </c>
      <c r="AW839" t="str">
        <f>"3/04/2009 12:00:00 a. m."</f>
        <v>3/04/2009 12:00:00 a. m.</v>
      </c>
      <c r="AX839" t="str">
        <f>""</f>
        <v/>
      </c>
      <c r="AY839" t="str">
        <f t="shared" si="1009"/>
        <v>30/04/2021 12:00:00 a. m.</v>
      </c>
      <c r="AZ839" t="str">
        <f>"1/03/2021 12:00:00 a. m."</f>
        <v>1/03/2021 12:00:00 a. m.</v>
      </c>
      <c r="BA839" t="str">
        <f>""</f>
        <v/>
      </c>
      <c r="BB839" t="str">
        <f>""</f>
        <v/>
      </c>
      <c r="BC839" t="str">
        <f>""</f>
        <v/>
      </c>
      <c r="BD839" t="str">
        <f t="shared" si="994"/>
        <v>1</v>
      </c>
      <c r="BE839" t="str">
        <f t="shared" si="994"/>
        <v>1</v>
      </c>
      <c r="BF839" t="str">
        <f t="shared" si="1010"/>
        <v xml:space="preserve">3         </v>
      </c>
      <c r="BG839" t="str">
        <f t="shared" si="1011"/>
        <v>Confirmado por laboratorio</v>
      </c>
      <c r="BH839" t="str">
        <f>"CENTRO MEDICO IMBANACO CMI"</f>
        <v>CENTRO MEDICO IMBANACO CMI</v>
      </c>
      <c r="BI839" t="str">
        <f t="shared" si="939"/>
        <v>COLOMBIA</v>
      </c>
      <c r="BJ839" t="str">
        <f t="shared" si="1012"/>
        <v>CANCER INFANTIL</v>
      </c>
      <c r="BK839" t="str">
        <f>"VALLE"</f>
        <v>VALLE</v>
      </c>
      <c r="BL839" t="str">
        <f>"CALI"</f>
        <v>CALI</v>
      </c>
      <c r="BM839" t="str">
        <f t="shared" si="941"/>
        <v>COLOMBIA</v>
      </c>
      <c r="BN839" t="str">
        <f>"VALLE"</f>
        <v>VALLE</v>
      </c>
      <c r="BO839" t="str">
        <f>"CALI"</f>
        <v>CALI</v>
      </c>
      <c r="BP839" t="str">
        <f>"VALLE"</f>
        <v>VALLE</v>
      </c>
      <c r="BQ839" t="str">
        <f>"CALI"</f>
        <v>CALI</v>
      </c>
    </row>
    <row r="840" spans="1:69" x14ac:dyDescent="0.25">
      <c r="A840" t="str">
        <f>"7291348"</f>
        <v>7291348</v>
      </c>
      <c r="B840" t="str">
        <f t="shared" si="1005"/>
        <v>459</v>
      </c>
      <c r="C840" t="str">
        <f>"30/03/2020 12:00:00 a. m."</f>
        <v>30/03/2020 12:00:00 a. m.</v>
      </c>
      <c r="D840" t="str">
        <f>"13"</f>
        <v>13</v>
      </c>
      <c r="E840" t="str">
        <f t="shared" si="1006"/>
        <v>2020</v>
      </c>
      <c r="F840" t="str">
        <f>"7600102870"</f>
        <v>7600102870</v>
      </c>
      <c r="G840" t="str">
        <f t="shared" si="995"/>
        <v>01</v>
      </c>
      <c r="H840" t="str">
        <f>"16"</f>
        <v>16</v>
      </c>
      <c r="I840" t="str">
        <f t="shared" si="984"/>
        <v>1</v>
      </c>
      <c r="J840" t="str">
        <f>"M"</f>
        <v>M</v>
      </c>
      <c r="K840" t="str">
        <f t="shared" si="933"/>
        <v>170</v>
      </c>
      <c r="L840" t="str">
        <f>"76"</f>
        <v>76</v>
      </c>
      <c r="M840" t="str">
        <f>"001"</f>
        <v>001</v>
      </c>
      <c r="N840" t="str">
        <f t="shared" si="1013"/>
        <v>1</v>
      </c>
      <c r="O840" t="str">
        <f>"9999"</f>
        <v>9999</v>
      </c>
      <c r="P840" t="str">
        <f>"C"</f>
        <v>C</v>
      </c>
      <c r="Q840" t="str">
        <f>"EPS018"</f>
        <v>EPS018</v>
      </c>
      <c r="R840" t="str">
        <f t="shared" si="991"/>
        <v>6</v>
      </c>
      <c r="S840" t="str">
        <f>""</f>
        <v/>
      </c>
      <c r="T840" t="str">
        <f t="shared" si="1002"/>
        <v xml:space="preserve">                                                                                                    </v>
      </c>
      <c r="U840" t="str">
        <f>"          "</f>
        <v xml:space="preserve">          </v>
      </c>
      <c r="V840" t="str">
        <f t="shared" si="987"/>
        <v>2</v>
      </c>
      <c r="W840" t="str">
        <f t="shared" si="1003"/>
        <v>2</v>
      </c>
      <c r="X840" t="str">
        <f t="shared" si="960"/>
        <v>2</v>
      </c>
      <c r="Y840" t="str">
        <f t="shared" si="1015"/>
        <v>2</v>
      </c>
      <c r="Z840" t="str">
        <f t="shared" si="1015"/>
        <v>2</v>
      </c>
      <c r="AA840" t="str">
        <f t="shared" si="1007"/>
        <v xml:space="preserve">          </v>
      </c>
      <c r="AB840" t="str">
        <f t="shared" si="999"/>
        <v>2</v>
      </c>
      <c r="AC840" t="str">
        <f t="shared" si="1001"/>
        <v>2</v>
      </c>
      <c r="AD840" t="str">
        <f t="shared" ref="AD840:AG859" si="1016">"2"</f>
        <v>2</v>
      </c>
      <c r="AE840" t="str">
        <f t="shared" si="1016"/>
        <v>2</v>
      </c>
      <c r="AF840" t="str">
        <f t="shared" si="1016"/>
        <v>2</v>
      </c>
      <c r="AG840" t="str">
        <f t="shared" si="1016"/>
        <v>2</v>
      </c>
      <c r="AH840" t="str">
        <f t="shared" si="1004"/>
        <v>1</v>
      </c>
      <c r="AI840" t="str">
        <f t="shared" si="1014"/>
        <v xml:space="preserve">1         </v>
      </c>
      <c r="AJ840" t="str">
        <f t="shared" si="935"/>
        <v>170</v>
      </c>
      <c r="AK840" t="str">
        <f>"76"</f>
        <v>76</v>
      </c>
      <c r="AL840" t="str">
        <f>"001"</f>
        <v>001</v>
      </c>
      <c r="AM840" t="str">
        <f>"76"</f>
        <v>76</v>
      </c>
      <c r="AN840" t="str">
        <f>"76001"</f>
        <v>76001</v>
      </c>
      <c r="AO840" t="str">
        <f>"24/03/2020 12:00:00 a. m."</f>
        <v>24/03/2020 12:00:00 a. m.</v>
      </c>
      <c r="AP840" t="str">
        <f>"10/03/2020 12:00:00 a. m."</f>
        <v>10/03/2020 12:00:00 a. m.</v>
      </c>
      <c r="AQ840" t="str">
        <f>"3"</f>
        <v>3</v>
      </c>
      <c r="AR840" t="str">
        <f>"2"</f>
        <v>2</v>
      </c>
      <c r="AS840" t="str">
        <f>""</f>
        <v/>
      </c>
      <c r="AT840" t="str">
        <f t="shared" si="998"/>
        <v>1</v>
      </c>
      <c r="AU840" t="str">
        <f>""</f>
        <v/>
      </c>
      <c r="AV840" t="str">
        <f>"3"</f>
        <v>3</v>
      </c>
      <c r="AW840" t="str">
        <f>"22/01/2004 12:00:00 a. m."</f>
        <v>22/01/2004 12:00:00 a. m.</v>
      </c>
      <c r="AX840" t="str">
        <f>""</f>
        <v/>
      </c>
      <c r="AY840" t="str">
        <f t="shared" si="1009"/>
        <v>30/04/2021 12:00:00 a. m.</v>
      </c>
      <c r="AZ840" t="str">
        <f>"14/08/2020 12:00:00 a. m."</f>
        <v>14/08/2020 12:00:00 a. m.</v>
      </c>
      <c r="BA840" t="str">
        <f>""</f>
        <v/>
      </c>
      <c r="BB840" t="str">
        <f>""</f>
        <v/>
      </c>
      <c r="BC840" t="str">
        <f>""</f>
        <v/>
      </c>
      <c r="BD840" t="str">
        <f t="shared" si="994"/>
        <v>1</v>
      </c>
      <c r="BE840" t="str">
        <f t="shared" si="994"/>
        <v>1</v>
      </c>
      <c r="BF840" t="str">
        <f t="shared" si="1010"/>
        <v xml:space="preserve">3         </v>
      </c>
      <c r="BG840" t="str">
        <f t="shared" si="1011"/>
        <v>Confirmado por laboratorio</v>
      </c>
      <c r="BH840" t="str">
        <f>"FUNDACION VALLE DEL LILI"</f>
        <v>FUNDACION VALLE DEL LILI</v>
      </c>
      <c r="BI840" t="str">
        <f t="shared" si="939"/>
        <v>COLOMBIA</v>
      </c>
      <c r="BJ840" t="str">
        <f t="shared" si="1012"/>
        <v>CANCER INFANTIL</v>
      </c>
      <c r="BK840" t="str">
        <f>"VALLE"</f>
        <v>VALLE</v>
      </c>
      <c r="BL840" t="str">
        <f>"CALI"</f>
        <v>CALI</v>
      </c>
      <c r="BM840" t="str">
        <f t="shared" si="941"/>
        <v>COLOMBIA</v>
      </c>
      <c r="BN840" t="str">
        <f>"VALLE"</f>
        <v>VALLE</v>
      </c>
      <c r="BO840" t="str">
        <f>"CALI"</f>
        <v>CALI</v>
      </c>
      <c r="BP840" t="str">
        <f>"VALLE"</f>
        <v>VALLE</v>
      </c>
      <c r="BQ840" t="str">
        <f>"CALI"</f>
        <v>CALI</v>
      </c>
    </row>
    <row r="841" spans="1:69" x14ac:dyDescent="0.25">
      <c r="A841" t="str">
        <f>"7291351"</f>
        <v>7291351</v>
      </c>
      <c r="B841" t="str">
        <f t="shared" si="1005"/>
        <v>459</v>
      </c>
      <c r="C841" t="str">
        <f>"11/09/2020 12:00:00 a. m."</f>
        <v>11/09/2020 12:00:00 a. m.</v>
      </c>
      <c r="D841" t="str">
        <f>"36"</f>
        <v>36</v>
      </c>
      <c r="E841" t="str">
        <f t="shared" si="1006"/>
        <v>2020</v>
      </c>
      <c r="F841" t="str">
        <f>"7300101047"</f>
        <v>7300101047</v>
      </c>
      <c r="G841" t="str">
        <f t="shared" si="995"/>
        <v>01</v>
      </c>
      <c r="H841" t="str">
        <f>"10"</f>
        <v>10</v>
      </c>
      <c r="I841" t="str">
        <f t="shared" si="984"/>
        <v>1</v>
      </c>
      <c r="J841" t="str">
        <f>"M"</f>
        <v>M</v>
      </c>
      <c r="K841" t="str">
        <f t="shared" ref="K841:K904" si="1017">"170"</f>
        <v>170</v>
      </c>
      <c r="L841" t="str">
        <f>"73"</f>
        <v>73</v>
      </c>
      <c r="M841" t="str">
        <f>"001"</f>
        <v>001</v>
      </c>
      <c r="N841" t="str">
        <f t="shared" si="1013"/>
        <v>1</v>
      </c>
      <c r="O841" t="str">
        <f>"9997"</f>
        <v>9997</v>
      </c>
      <c r="P841" t="str">
        <f>"S"</f>
        <v>S</v>
      </c>
      <c r="Q841" t="str">
        <f>"ESS091"</f>
        <v>ESS091</v>
      </c>
      <c r="R841" t="str">
        <f t="shared" si="991"/>
        <v>6</v>
      </c>
      <c r="S841" t="str">
        <f>""</f>
        <v/>
      </c>
      <c r="T841" t="str">
        <f t="shared" si="1002"/>
        <v xml:space="preserve">                                                                                                    </v>
      </c>
      <c r="U841" t="str">
        <f>"1         "</f>
        <v xml:space="preserve">1         </v>
      </c>
      <c r="V841" t="str">
        <f t="shared" si="987"/>
        <v>2</v>
      </c>
      <c r="W841" t="str">
        <f t="shared" si="1003"/>
        <v>2</v>
      </c>
      <c r="X841" t="str">
        <f t="shared" si="960"/>
        <v>2</v>
      </c>
      <c r="Y841" t="str">
        <f t="shared" si="1015"/>
        <v>2</v>
      </c>
      <c r="Z841" t="str">
        <f t="shared" si="1015"/>
        <v>2</v>
      </c>
      <c r="AA841" t="str">
        <f t="shared" si="1007"/>
        <v xml:space="preserve">          </v>
      </c>
      <c r="AB841" t="str">
        <f t="shared" si="999"/>
        <v>2</v>
      </c>
      <c r="AC841" t="str">
        <f t="shared" si="1001"/>
        <v>2</v>
      </c>
      <c r="AD841" t="str">
        <f t="shared" si="1016"/>
        <v>2</v>
      </c>
      <c r="AE841" t="str">
        <f t="shared" si="1016"/>
        <v>2</v>
      </c>
      <c r="AF841" t="str">
        <f t="shared" si="1016"/>
        <v>2</v>
      </c>
      <c r="AG841" t="str">
        <f t="shared" si="1016"/>
        <v>2</v>
      </c>
      <c r="AH841" t="str">
        <f t="shared" si="1004"/>
        <v>1</v>
      </c>
      <c r="AI841" t="str">
        <f t="shared" si="1014"/>
        <v xml:space="preserve">1         </v>
      </c>
      <c r="AJ841" t="str">
        <f t="shared" ref="AJ841:AJ904" si="1018">"170"</f>
        <v>170</v>
      </c>
      <c r="AK841" t="str">
        <f>"73"</f>
        <v>73</v>
      </c>
      <c r="AL841" t="str">
        <f>"001"</f>
        <v>001</v>
      </c>
      <c r="AM841" t="str">
        <f>"73"</f>
        <v>73</v>
      </c>
      <c r="AN841" t="str">
        <f>"73001"</f>
        <v>73001</v>
      </c>
      <c r="AO841" t="str">
        <f>"5/09/2020 12:00:00 a. m."</f>
        <v>5/09/2020 12:00:00 a. m.</v>
      </c>
      <c r="AP841" t="str">
        <f>"1/07/2020 12:00:00 a. m."</f>
        <v>1/07/2020 12:00:00 a. m.</v>
      </c>
      <c r="AQ841" t="str">
        <f>"2"</f>
        <v>2</v>
      </c>
      <c r="AR841" t="str">
        <f t="shared" ref="AR841:AR850" si="1019">"1"</f>
        <v>1</v>
      </c>
      <c r="AS841" t="str">
        <f>"5/09/2020 12:00:00 a. m."</f>
        <v>5/09/2020 12:00:00 a. m.</v>
      </c>
      <c r="AT841" t="str">
        <f t="shared" si="998"/>
        <v>1</v>
      </c>
      <c r="AU841" t="str">
        <f>""</f>
        <v/>
      </c>
      <c r="AV841" t="str">
        <f>"3"</f>
        <v>3</v>
      </c>
      <c r="AW841" t="str">
        <f>"6/12/2009 12:00:00 a. m."</f>
        <v>6/12/2009 12:00:00 a. m.</v>
      </c>
      <c r="AX841" t="str">
        <f>""</f>
        <v/>
      </c>
      <c r="AY841" t="str">
        <f t="shared" si="1009"/>
        <v>30/04/2021 12:00:00 a. m.</v>
      </c>
      <c r="AZ841" t="str">
        <f>"6/04/2021 12:00:00 a. m."</f>
        <v>6/04/2021 12:00:00 a. m.</v>
      </c>
      <c r="BA841" t="str">
        <f>""</f>
        <v/>
      </c>
      <c r="BB841" t="str">
        <f>""</f>
        <v/>
      </c>
      <c r="BC841" t="str">
        <f>""</f>
        <v/>
      </c>
      <c r="BD841" t="str">
        <f t="shared" si="994"/>
        <v>1</v>
      </c>
      <c r="BE841" t="str">
        <f t="shared" si="994"/>
        <v>1</v>
      </c>
      <c r="BF841" t="str">
        <f t="shared" si="1010"/>
        <v xml:space="preserve">3         </v>
      </c>
      <c r="BG841" t="str">
        <f t="shared" si="1011"/>
        <v>Confirmado por laboratorio</v>
      </c>
      <c r="BH841" t="str">
        <f>"HOSPITAL FEDERICO LLERAS ACOSTA ESE SEDE LA FRANC"</f>
        <v>HOSPITAL FEDERICO LLERAS ACOSTA ESE SEDE LA FRANC</v>
      </c>
      <c r="BI841" t="str">
        <f t="shared" ref="BI841:BI904" si="1020">"COLOMBIA"</f>
        <v>COLOMBIA</v>
      </c>
      <c r="BJ841" t="str">
        <f t="shared" si="1012"/>
        <v>CANCER INFANTIL</v>
      </c>
      <c r="BK841" t="str">
        <f>"TOLIMA"</f>
        <v>TOLIMA</v>
      </c>
      <c r="BL841" t="str">
        <f>"IBAGUE"</f>
        <v>IBAGUE</v>
      </c>
      <c r="BM841" t="str">
        <f t="shared" ref="BM841:BM904" si="1021">"COLOMBIA"</f>
        <v>COLOMBIA</v>
      </c>
      <c r="BN841" t="str">
        <f>"TOLIMA"</f>
        <v>TOLIMA</v>
      </c>
      <c r="BO841" t="str">
        <f>"IBAGUE"</f>
        <v>IBAGUE</v>
      </c>
      <c r="BP841" t="str">
        <f>"TOLIMA"</f>
        <v>TOLIMA</v>
      </c>
      <c r="BQ841" t="str">
        <f>"IBAGUE"</f>
        <v>IBAGUE</v>
      </c>
    </row>
    <row r="842" spans="1:69" x14ac:dyDescent="0.25">
      <c r="A842" t="str">
        <f>"7291616"</f>
        <v>7291616</v>
      </c>
      <c r="B842" t="str">
        <f t="shared" si="1005"/>
        <v>459</v>
      </c>
      <c r="C842" t="str">
        <f>"21/09/2020 12:00:00 a. m."</f>
        <v>21/09/2020 12:00:00 a. m.</v>
      </c>
      <c r="D842" t="str">
        <f>"38"</f>
        <v>38</v>
      </c>
      <c r="E842" t="str">
        <f t="shared" si="1006"/>
        <v>2020</v>
      </c>
      <c r="F842" t="str">
        <f>"1100116338"</f>
        <v>1100116338</v>
      </c>
      <c r="G842" t="str">
        <f>"83"</f>
        <v>83</v>
      </c>
      <c r="H842" t="str">
        <f>"14"</f>
        <v>14</v>
      </c>
      <c r="I842" t="str">
        <f t="shared" si="984"/>
        <v>1</v>
      </c>
      <c r="J842" t="str">
        <f>"F"</f>
        <v>F</v>
      </c>
      <c r="K842" t="str">
        <f t="shared" si="1017"/>
        <v>170</v>
      </c>
      <c r="L842" t="str">
        <f>"54"</f>
        <v>54</v>
      </c>
      <c r="M842" t="str">
        <f>"498"</f>
        <v>498</v>
      </c>
      <c r="N842" t="str">
        <f t="shared" si="1013"/>
        <v>1</v>
      </c>
      <c r="O842" t="str">
        <f>"9997"</f>
        <v>9997</v>
      </c>
      <c r="P842" t="str">
        <f>"P"</f>
        <v>P</v>
      </c>
      <c r="Q842" t="str">
        <f>"RES003"</f>
        <v>RES003</v>
      </c>
      <c r="R842" t="str">
        <f t="shared" si="991"/>
        <v>6</v>
      </c>
      <c r="S842" t="str">
        <f>""</f>
        <v/>
      </c>
      <c r="T842" t="str">
        <f t="shared" si="1002"/>
        <v xml:space="preserve">                                                                                                    </v>
      </c>
      <c r="U842" t="str">
        <f>"3         "</f>
        <v xml:space="preserve">3         </v>
      </c>
      <c r="V842" t="str">
        <f t="shared" si="987"/>
        <v>2</v>
      </c>
      <c r="W842" t="str">
        <f t="shared" si="1003"/>
        <v>2</v>
      </c>
      <c r="X842" t="str">
        <f t="shared" si="960"/>
        <v>2</v>
      </c>
      <c r="Y842" t="str">
        <f t="shared" si="1015"/>
        <v>2</v>
      </c>
      <c r="Z842" t="str">
        <f t="shared" si="1015"/>
        <v>2</v>
      </c>
      <c r="AA842" t="str">
        <f t="shared" si="1007"/>
        <v xml:space="preserve">          </v>
      </c>
      <c r="AB842" t="str">
        <f t="shared" si="999"/>
        <v>2</v>
      </c>
      <c r="AC842" t="str">
        <f t="shared" si="1001"/>
        <v>2</v>
      </c>
      <c r="AD842" t="str">
        <f t="shared" si="1016"/>
        <v>2</v>
      </c>
      <c r="AE842" t="str">
        <f t="shared" si="1016"/>
        <v>2</v>
      </c>
      <c r="AF842" t="str">
        <f t="shared" si="1016"/>
        <v>2</v>
      </c>
      <c r="AG842" t="str">
        <f t="shared" si="1016"/>
        <v>2</v>
      </c>
      <c r="AH842" t="str">
        <f t="shared" si="1004"/>
        <v>1</v>
      </c>
      <c r="AI842" t="str">
        <f t="shared" si="1014"/>
        <v xml:space="preserve">1         </v>
      </c>
      <c r="AJ842" t="str">
        <f t="shared" si="1018"/>
        <v>170</v>
      </c>
      <c r="AK842" t="str">
        <f>"54"</f>
        <v>54</v>
      </c>
      <c r="AL842" t="str">
        <f>"498"</f>
        <v>498</v>
      </c>
      <c r="AM842" t="str">
        <f>"11"</f>
        <v>11</v>
      </c>
      <c r="AN842" t="str">
        <f>"11001"</f>
        <v>11001</v>
      </c>
      <c r="AO842" t="str">
        <f>"17/09/2020 12:00:00 a. m."</f>
        <v>17/09/2020 12:00:00 a. m.</v>
      </c>
      <c r="AP842" t="str">
        <f>"12/06/2020 12:00:00 a. m."</f>
        <v>12/06/2020 12:00:00 a. m.</v>
      </c>
      <c r="AQ842" t="str">
        <f>"2"</f>
        <v>2</v>
      </c>
      <c r="AR842" t="str">
        <f t="shared" si="1019"/>
        <v>1</v>
      </c>
      <c r="AS842" t="str">
        <f>"17/09/2020 12:00:00 a. m."</f>
        <v>17/09/2020 12:00:00 a. m.</v>
      </c>
      <c r="AT842" t="str">
        <f t="shared" si="998"/>
        <v>1</v>
      </c>
      <c r="AU842" t="str">
        <f>""</f>
        <v/>
      </c>
      <c r="AV842" t="str">
        <f>"3"</f>
        <v>3</v>
      </c>
      <c r="AW842" t="str">
        <f>"5/08/2006 12:00:00 a. m."</f>
        <v>5/08/2006 12:00:00 a. m.</v>
      </c>
      <c r="AX842" t="str">
        <f>""</f>
        <v/>
      </c>
      <c r="AY842" t="str">
        <f t="shared" si="1009"/>
        <v>30/04/2021 12:00:00 a. m.</v>
      </c>
      <c r="AZ842" t="str">
        <f>"10/10/2020 12:00:00 a. m."</f>
        <v>10/10/2020 12:00:00 a. m.</v>
      </c>
      <c r="BA842" t="str">
        <f>""</f>
        <v/>
      </c>
      <c r="BB842" t="str">
        <f>""</f>
        <v/>
      </c>
      <c r="BC842" t="str">
        <f>""</f>
        <v/>
      </c>
      <c r="BD842" t="str">
        <f t="shared" ref="BD842:BE861" si="1022">"1"</f>
        <v>1</v>
      </c>
      <c r="BE842" t="str">
        <f t="shared" si="1022"/>
        <v>1</v>
      </c>
      <c r="BF842" t="str">
        <f t="shared" si="1010"/>
        <v xml:space="preserve">3         </v>
      </c>
      <c r="BG842" t="str">
        <f t="shared" si="1011"/>
        <v>Confirmado por laboratorio</v>
      </c>
      <c r="BH842" t="str">
        <f>"HOSPITAL MILITAR CENTRAL CHAPINERO"</f>
        <v>HOSPITAL MILITAR CENTRAL CHAPINERO</v>
      </c>
      <c r="BI842" t="str">
        <f t="shared" si="1020"/>
        <v>COLOMBIA</v>
      </c>
      <c r="BJ842" t="str">
        <f t="shared" si="1012"/>
        <v>CANCER INFANTIL</v>
      </c>
      <c r="BK842" t="str">
        <f>"NORTE SANTANDER"</f>
        <v>NORTE SANTANDER</v>
      </c>
      <c r="BL842" t="str">
        <f>"OCAÑA"</f>
        <v>OCAÑA</v>
      </c>
      <c r="BM842" t="str">
        <f t="shared" si="1021"/>
        <v>COLOMBIA</v>
      </c>
      <c r="BN842" t="str">
        <f>"NORTE SANTANDER"</f>
        <v>NORTE SANTANDER</v>
      </c>
      <c r="BO842" t="str">
        <f>"OCAÑA"</f>
        <v>OCAÑA</v>
      </c>
      <c r="BP842" t="str">
        <f t="shared" ref="BP842:BQ844" si="1023">"BOGOTA"</f>
        <v>BOGOTA</v>
      </c>
      <c r="BQ842" t="str">
        <f t="shared" si="1023"/>
        <v>BOGOTA</v>
      </c>
    </row>
    <row r="843" spans="1:69" x14ac:dyDescent="0.25">
      <c r="A843" t="str">
        <f>"7291758"</f>
        <v>7291758</v>
      </c>
      <c r="B843" t="str">
        <f t="shared" si="1005"/>
        <v>459</v>
      </c>
      <c r="C843" t="str">
        <f>"29/05/2020 12:00:00 a. m."</f>
        <v>29/05/2020 12:00:00 a. m.</v>
      </c>
      <c r="D843" t="str">
        <f>"20"</f>
        <v>20</v>
      </c>
      <c r="E843" t="str">
        <f t="shared" si="1006"/>
        <v>2020</v>
      </c>
      <c r="F843" t="str">
        <f>"1100105681"</f>
        <v>1100105681</v>
      </c>
      <c r="G843" t="str">
        <f t="shared" ref="G843:G858" si="1024">"01"</f>
        <v>01</v>
      </c>
      <c r="H843" t="str">
        <f>"13"</f>
        <v>13</v>
      </c>
      <c r="I843" t="str">
        <f t="shared" si="984"/>
        <v>1</v>
      </c>
      <c r="J843" t="str">
        <f>"F"</f>
        <v>F</v>
      </c>
      <c r="K843" t="str">
        <f t="shared" si="1017"/>
        <v>170</v>
      </c>
      <c r="L843" t="str">
        <f>"50"</f>
        <v>50</v>
      </c>
      <c r="M843" t="str">
        <f>"001"</f>
        <v>001</v>
      </c>
      <c r="N843" t="str">
        <f t="shared" si="1013"/>
        <v>1</v>
      </c>
      <c r="O843" t="str">
        <f>"9997"</f>
        <v>9997</v>
      </c>
      <c r="P843" t="str">
        <f>"C"</f>
        <v>C</v>
      </c>
      <c r="Q843" t="str">
        <f>"EPS017"</f>
        <v>EPS017</v>
      </c>
      <c r="R843" t="str">
        <f t="shared" si="991"/>
        <v>6</v>
      </c>
      <c r="S843" t="str">
        <f>""</f>
        <v/>
      </c>
      <c r="T843" t="str">
        <f t="shared" si="1002"/>
        <v xml:space="preserve">                                                                                                    </v>
      </c>
      <c r="U843" t="str">
        <f>"2         "</f>
        <v xml:space="preserve">2         </v>
      </c>
      <c r="V843" t="str">
        <f t="shared" si="987"/>
        <v>2</v>
      </c>
      <c r="W843" t="str">
        <f t="shared" si="1003"/>
        <v>2</v>
      </c>
      <c r="X843" t="str">
        <f t="shared" si="960"/>
        <v>2</v>
      </c>
      <c r="Y843" t="str">
        <f t="shared" si="1015"/>
        <v>2</v>
      </c>
      <c r="Z843" t="str">
        <f t="shared" si="1015"/>
        <v>2</v>
      </c>
      <c r="AA843" t="str">
        <f t="shared" si="1007"/>
        <v xml:space="preserve">          </v>
      </c>
      <c r="AB843" t="str">
        <f t="shared" si="999"/>
        <v>2</v>
      </c>
      <c r="AC843" t="str">
        <f t="shared" si="1001"/>
        <v>2</v>
      </c>
      <c r="AD843" t="str">
        <f t="shared" si="1016"/>
        <v>2</v>
      </c>
      <c r="AE843" t="str">
        <f t="shared" si="1016"/>
        <v>2</v>
      </c>
      <c r="AF843" t="str">
        <f t="shared" si="1016"/>
        <v>2</v>
      </c>
      <c r="AG843" t="str">
        <f t="shared" si="1016"/>
        <v>2</v>
      </c>
      <c r="AH843" t="str">
        <f t="shared" si="1004"/>
        <v>1</v>
      </c>
      <c r="AI843" t="str">
        <f>"2         "</f>
        <v xml:space="preserve">2         </v>
      </c>
      <c r="AJ843" t="str">
        <f t="shared" si="1018"/>
        <v>170</v>
      </c>
      <c r="AK843" t="str">
        <f>"50"</f>
        <v>50</v>
      </c>
      <c r="AL843" t="str">
        <f>"001"</f>
        <v>001</v>
      </c>
      <c r="AM843" t="str">
        <f>"11"</f>
        <v>11</v>
      </c>
      <c r="AN843" t="str">
        <f>"11001"</f>
        <v>11001</v>
      </c>
      <c r="AO843" t="str">
        <f>"16/05/2020 12:00:00 a. m."</f>
        <v>16/05/2020 12:00:00 a. m.</v>
      </c>
      <c r="AP843" t="str">
        <f>"16/02/2020 12:00:00 a. m."</f>
        <v>16/02/2020 12:00:00 a. m.</v>
      </c>
      <c r="AQ843" t="str">
        <f>"3"</f>
        <v>3</v>
      </c>
      <c r="AR843" t="str">
        <f t="shared" si="1019"/>
        <v>1</v>
      </c>
      <c r="AS843" t="str">
        <f>"16/05/2020 12:00:00 a. m."</f>
        <v>16/05/2020 12:00:00 a. m.</v>
      </c>
      <c r="AT843" t="str">
        <f t="shared" si="998"/>
        <v>1</v>
      </c>
      <c r="AU843" t="str">
        <f>""</f>
        <v/>
      </c>
      <c r="AV843" t="str">
        <f>"0"</f>
        <v>0</v>
      </c>
      <c r="AW843" t="str">
        <f>"13/05/2007 12:00:00 a. m."</f>
        <v>13/05/2007 12:00:00 a. m.</v>
      </c>
      <c r="AX843" t="str">
        <f>""</f>
        <v/>
      </c>
      <c r="AY843" t="str">
        <f t="shared" si="1009"/>
        <v>30/04/2021 12:00:00 a. m.</v>
      </c>
      <c r="AZ843" t="str">
        <f>"4/08/2020 12:00:00 a. m."</f>
        <v>4/08/2020 12:00:00 a. m.</v>
      </c>
      <c r="BA843" t="str">
        <f>""</f>
        <v/>
      </c>
      <c r="BB843" t="str">
        <f>""</f>
        <v/>
      </c>
      <c r="BC843" t="str">
        <f>""</f>
        <v/>
      </c>
      <c r="BD843" t="str">
        <f t="shared" si="1022"/>
        <v>1</v>
      </c>
      <c r="BE843" t="str">
        <f t="shared" si="1022"/>
        <v>1</v>
      </c>
      <c r="BF843" t="str">
        <f t="shared" si="1010"/>
        <v xml:space="preserve">3         </v>
      </c>
      <c r="BG843" t="str">
        <f t="shared" si="1011"/>
        <v>Confirmado por laboratorio</v>
      </c>
      <c r="BH843" t="str">
        <f>"FUNDACION HOSPITAL DE LA MISERICORDIA"</f>
        <v>FUNDACION HOSPITAL DE LA MISERICORDIA</v>
      </c>
      <c r="BI843" t="str">
        <f t="shared" si="1020"/>
        <v>COLOMBIA</v>
      </c>
      <c r="BJ843" t="str">
        <f t="shared" si="1012"/>
        <v>CANCER INFANTIL</v>
      </c>
      <c r="BK843" t="str">
        <f>"META"</f>
        <v>META</v>
      </c>
      <c r="BL843" t="str">
        <f>"VILLAVICENCIO"</f>
        <v>VILLAVICENCIO</v>
      </c>
      <c r="BM843" t="str">
        <f t="shared" si="1021"/>
        <v>COLOMBIA</v>
      </c>
      <c r="BN843" t="str">
        <f>"META"</f>
        <v>META</v>
      </c>
      <c r="BO843" t="str">
        <f>"VILLAVICENCIO"</f>
        <v>VILLAVICENCIO</v>
      </c>
      <c r="BP843" t="str">
        <f t="shared" si="1023"/>
        <v>BOGOTA</v>
      </c>
      <c r="BQ843" t="str">
        <f t="shared" si="1023"/>
        <v>BOGOTA</v>
      </c>
    </row>
    <row r="844" spans="1:69" x14ac:dyDescent="0.25">
      <c r="A844" t="str">
        <f>"7291662"</f>
        <v>7291662</v>
      </c>
      <c r="B844" t="str">
        <f t="shared" si="1005"/>
        <v>459</v>
      </c>
      <c r="C844" t="str">
        <f>"4/12/2020 12:00:00 a. m."</f>
        <v>4/12/2020 12:00:00 a. m.</v>
      </c>
      <c r="D844" t="str">
        <f>"49"</f>
        <v>49</v>
      </c>
      <c r="E844" t="str">
        <f t="shared" si="1006"/>
        <v>2020</v>
      </c>
      <c r="F844" t="str">
        <f>"1100105681"</f>
        <v>1100105681</v>
      </c>
      <c r="G844" t="str">
        <f t="shared" si="1024"/>
        <v>01</v>
      </c>
      <c r="H844" t="str">
        <f>"13"</f>
        <v>13</v>
      </c>
      <c r="I844" t="str">
        <f t="shared" si="984"/>
        <v>1</v>
      </c>
      <c r="J844" t="str">
        <f>"M"</f>
        <v>M</v>
      </c>
      <c r="K844" t="str">
        <f t="shared" si="1017"/>
        <v>170</v>
      </c>
      <c r="L844" t="str">
        <f>"25"</f>
        <v>25</v>
      </c>
      <c r="M844" t="str">
        <f>"148"</f>
        <v>148</v>
      </c>
      <c r="N844" t="str">
        <f>"3"</f>
        <v>3</v>
      </c>
      <c r="O844" t="str">
        <f>"9997"</f>
        <v>9997</v>
      </c>
      <c r="P844" t="str">
        <f>"S"</f>
        <v>S</v>
      </c>
      <c r="Q844" t="str">
        <f>"ESS091"</f>
        <v>ESS091</v>
      </c>
      <c r="R844" t="str">
        <f t="shared" si="991"/>
        <v>6</v>
      </c>
      <c r="S844" t="str">
        <f>""</f>
        <v/>
      </c>
      <c r="T844" t="str">
        <f t="shared" si="1002"/>
        <v xml:space="preserve">                                                                                                    </v>
      </c>
      <c r="U844" t="str">
        <f>"2         "</f>
        <v xml:space="preserve">2         </v>
      </c>
      <c r="V844" t="str">
        <f t="shared" si="987"/>
        <v>2</v>
      </c>
      <c r="W844" t="str">
        <f t="shared" si="1003"/>
        <v>2</v>
      </c>
      <c r="X844" t="str">
        <f t="shared" si="960"/>
        <v>2</v>
      </c>
      <c r="Y844" t="str">
        <f t="shared" si="1015"/>
        <v>2</v>
      </c>
      <c r="Z844" t="str">
        <f t="shared" si="1015"/>
        <v>2</v>
      </c>
      <c r="AA844" t="str">
        <f t="shared" si="1007"/>
        <v xml:space="preserve">          </v>
      </c>
      <c r="AB844" t="str">
        <f t="shared" si="999"/>
        <v>2</v>
      </c>
      <c r="AC844" t="str">
        <f t="shared" si="1001"/>
        <v>2</v>
      </c>
      <c r="AD844" t="str">
        <f t="shared" si="1016"/>
        <v>2</v>
      </c>
      <c r="AE844" t="str">
        <f t="shared" si="1016"/>
        <v>2</v>
      </c>
      <c r="AF844" t="str">
        <f t="shared" si="1016"/>
        <v>2</v>
      </c>
      <c r="AG844" t="str">
        <f t="shared" si="1016"/>
        <v>2</v>
      </c>
      <c r="AH844" t="str">
        <f t="shared" si="1004"/>
        <v>1</v>
      </c>
      <c r="AI844" t="str">
        <f t="shared" ref="AI844:AI857" si="1025">"1         "</f>
        <v xml:space="preserve">1         </v>
      </c>
      <c r="AJ844" t="str">
        <f t="shared" si="1018"/>
        <v>170</v>
      </c>
      <c r="AK844" t="str">
        <f>"25"</f>
        <v>25</v>
      </c>
      <c r="AL844" t="str">
        <f>"148"</f>
        <v>148</v>
      </c>
      <c r="AM844" t="str">
        <f>"11"</f>
        <v>11</v>
      </c>
      <c r="AN844" t="str">
        <f>"11001"</f>
        <v>11001</v>
      </c>
      <c r="AO844" t="str">
        <f>"4/12/2020 12:00:00 a. m."</f>
        <v>4/12/2020 12:00:00 a. m.</v>
      </c>
      <c r="AP844" t="str">
        <f>"3/12/2020 12:00:00 a. m."</f>
        <v>3/12/2020 12:00:00 a. m.</v>
      </c>
      <c r="AQ844" t="str">
        <f>"3"</f>
        <v>3</v>
      </c>
      <c r="AR844" t="str">
        <f t="shared" si="1019"/>
        <v>1</v>
      </c>
      <c r="AS844" t="str">
        <f>"4/12/2020 12:00:00 a. m."</f>
        <v>4/12/2020 12:00:00 a. m.</v>
      </c>
      <c r="AT844" t="str">
        <f t="shared" si="998"/>
        <v>1</v>
      </c>
      <c r="AU844" t="str">
        <f>""</f>
        <v/>
      </c>
      <c r="AV844" t="str">
        <f>"0"</f>
        <v>0</v>
      </c>
      <c r="AW844" t="str">
        <f>"24/08/2007 12:00:00 a. m."</f>
        <v>24/08/2007 12:00:00 a. m.</v>
      </c>
      <c r="AX844" t="str">
        <f>""</f>
        <v/>
      </c>
      <c r="AY844" t="str">
        <f t="shared" si="1009"/>
        <v>30/04/2021 12:00:00 a. m.</v>
      </c>
      <c r="AZ844" t="str">
        <f>"19/03/2021 12:00:00 a. m."</f>
        <v>19/03/2021 12:00:00 a. m.</v>
      </c>
      <c r="BA844" t="str">
        <f>""</f>
        <v/>
      </c>
      <c r="BB844" t="str">
        <f>""</f>
        <v/>
      </c>
      <c r="BC844" t="str">
        <f>""</f>
        <v/>
      </c>
      <c r="BD844" t="str">
        <f t="shared" si="1022"/>
        <v>1</v>
      </c>
      <c r="BE844" t="str">
        <f t="shared" si="1022"/>
        <v>1</v>
      </c>
      <c r="BF844" t="str">
        <f t="shared" si="1010"/>
        <v xml:space="preserve">3         </v>
      </c>
      <c r="BG844" t="str">
        <f t="shared" si="1011"/>
        <v>Confirmado por laboratorio</v>
      </c>
      <c r="BH844" t="str">
        <f>"FUNDACION HOSPITAL DE LA MISERICORDIA"</f>
        <v>FUNDACION HOSPITAL DE LA MISERICORDIA</v>
      </c>
      <c r="BI844" t="str">
        <f t="shared" si="1020"/>
        <v>COLOMBIA</v>
      </c>
      <c r="BJ844" t="str">
        <f t="shared" si="1012"/>
        <v>CANCER INFANTIL</v>
      </c>
      <c r="BK844" t="str">
        <f>"CUNDINAMARCA"</f>
        <v>CUNDINAMARCA</v>
      </c>
      <c r="BL844" t="str">
        <f>"CAPARRAPI"</f>
        <v>CAPARRAPI</v>
      </c>
      <c r="BM844" t="str">
        <f t="shared" si="1021"/>
        <v>COLOMBIA</v>
      </c>
      <c r="BN844" t="str">
        <f>"CUNDINAMARCA"</f>
        <v>CUNDINAMARCA</v>
      </c>
      <c r="BO844" t="str">
        <f>"CAPARRAPI"</f>
        <v>CAPARRAPI</v>
      </c>
      <c r="BP844" t="str">
        <f t="shared" si="1023"/>
        <v>BOGOTA</v>
      </c>
      <c r="BQ844" t="str">
        <f t="shared" si="1023"/>
        <v>BOGOTA</v>
      </c>
    </row>
    <row r="845" spans="1:69" x14ac:dyDescent="0.25">
      <c r="A845" t="str">
        <f>"7291385"</f>
        <v>7291385</v>
      </c>
      <c r="B845" t="str">
        <f t="shared" si="1005"/>
        <v>459</v>
      </c>
      <c r="C845" t="str">
        <f>"14/08/2020 12:00:00 a. m."</f>
        <v>14/08/2020 12:00:00 a. m.</v>
      </c>
      <c r="D845" t="str">
        <f>"33"</f>
        <v>33</v>
      </c>
      <c r="E845" t="str">
        <f t="shared" si="1006"/>
        <v>2020</v>
      </c>
      <c r="F845" t="str">
        <f>"7600102870"</f>
        <v>7600102870</v>
      </c>
      <c r="G845" t="str">
        <f t="shared" si="1024"/>
        <v>01</v>
      </c>
      <c r="H845" t="str">
        <f>"12"</f>
        <v>12</v>
      </c>
      <c r="I845" t="str">
        <f t="shared" si="984"/>
        <v>1</v>
      </c>
      <c r="J845" t="str">
        <f>"F"</f>
        <v>F</v>
      </c>
      <c r="K845" t="str">
        <f t="shared" si="1017"/>
        <v>170</v>
      </c>
      <c r="L845" t="str">
        <f>"76"</f>
        <v>76</v>
      </c>
      <c r="M845" t="str">
        <f t="shared" ref="M845:M851" si="1026">"001"</f>
        <v>001</v>
      </c>
      <c r="N845" t="str">
        <f t="shared" ref="N845:N855" si="1027">"1"</f>
        <v>1</v>
      </c>
      <c r="O845" t="str">
        <f>"9999"</f>
        <v>9999</v>
      </c>
      <c r="P845" t="str">
        <f>"C"</f>
        <v>C</v>
      </c>
      <c r="Q845" t="str">
        <f>"EPS010"</f>
        <v>EPS010</v>
      </c>
      <c r="R845" t="str">
        <f t="shared" si="991"/>
        <v>6</v>
      </c>
      <c r="S845" t="str">
        <f>""</f>
        <v/>
      </c>
      <c r="T845" t="str">
        <f t="shared" si="1002"/>
        <v xml:space="preserve">                                                                                                    </v>
      </c>
      <c r="U845" t="str">
        <f>"          "</f>
        <v xml:space="preserve">          </v>
      </c>
      <c r="V845" t="str">
        <f t="shared" si="987"/>
        <v>2</v>
      </c>
      <c r="W845" t="str">
        <f t="shared" si="1003"/>
        <v>2</v>
      </c>
      <c r="X845" t="str">
        <f t="shared" si="960"/>
        <v>2</v>
      </c>
      <c r="Y845" t="str">
        <f t="shared" si="1015"/>
        <v>2</v>
      </c>
      <c r="Z845" t="str">
        <f t="shared" si="1015"/>
        <v>2</v>
      </c>
      <c r="AA845" t="str">
        <f t="shared" si="1007"/>
        <v xml:space="preserve">          </v>
      </c>
      <c r="AB845" t="str">
        <f t="shared" si="999"/>
        <v>2</v>
      </c>
      <c r="AC845" t="str">
        <f t="shared" si="1001"/>
        <v>2</v>
      </c>
      <c r="AD845" t="str">
        <f t="shared" si="1016"/>
        <v>2</v>
      </c>
      <c r="AE845" t="str">
        <f t="shared" si="1016"/>
        <v>2</v>
      </c>
      <c r="AF845" t="str">
        <f t="shared" si="1016"/>
        <v>2</v>
      </c>
      <c r="AG845" t="str">
        <f t="shared" si="1016"/>
        <v>2</v>
      </c>
      <c r="AH845" t="str">
        <f t="shared" si="1004"/>
        <v>1</v>
      </c>
      <c r="AI845" t="str">
        <f t="shared" si="1025"/>
        <v xml:space="preserve">1         </v>
      </c>
      <c r="AJ845" t="str">
        <f t="shared" si="1018"/>
        <v>170</v>
      </c>
      <c r="AK845" t="str">
        <f>"76"</f>
        <v>76</v>
      </c>
      <c r="AL845" t="str">
        <f t="shared" ref="AL845:AL851" si="1028">"001"</f>
        <v>001</v>
      </c>
      <c r="AM845" t="str">
        <f>"76"</f>
        <v>76</v>
      </c>
      <c r="AN845" t="str">
        <f>"76001"</f>
        <v>76001</v>
      </c>
      <c r="AO845" t="str">
        <f>"11/08/2020 12:00:00 a. m."</f>
        <v>11/08/2020 12:00:00 a. m.</v>
      </c>
      <c r="AP845" t="str">
        <f>"28/07/2020 12:00:00 a. m."</f>
        <v>28/07/2020 12:00:00 a. m.</v>
      </c>
      <c r="AQ845" t="str">
        <f>"2"</f>
        <v>2</v>
      </c>
      <c r="AR845" t="str">
        <f t="shared" si="1019"/>
        <v>1</v>
      </c>
      <c r="AS845" t="str">
        <f>"11/08/2020 12:00:00 a. m."</f>
        <v>11/08/2020 12:00:00 a. m.</v>
      </c>
      <c r="AT845" t="str">
        <f t="shared" si="998"/>
        <v>1</v>
      </c>
      <c r="AU845" t="str">
        <f>""</f>
        <v/>
      </c>
      <c r="AV845" t="str">
        <f>"3"</f>
        <v>3</v>
      </c>
      <c r="AW845" t="str">
        <f>"28/09/2007 12:00:00 a. m."</f>
        <v>28/09/2007 12:00:00 a. m.</v>
      </c>
      <c r="AX845" t="str">
        <f>""</f>
        <v/>
      </c>
      <c r="AY845" t="str">
        <f t="shared" si="1009"/>
        <v>30/04/2021 12:00:00 a. m.</v>
      </c>
      <c r="AZ845" t="str">
        <f>"27/08/2020 12:00:00 a. m."</f>
        <v>27/08/2020 12:00:00 a. m.</v>
      </c>
      <c r="BA845" t="str">
        <f>""</f>
        <v/>
      </c>
      <c r="BB845" t="str">
        <f>""</f>
        <v/>
      </c>
      <c r="BC845" t="str">
        <f>""</f>
        <v/>
      </c>
      <c r="BD845" t="str">
        <f t="shared" si="1022"/>
        <v>1</v>
      </c>
      <c r="BE845" t="str">
        <f t="shared" si="1022"/>
        <v>1</v>
      </c>
      <c r="BF845" t="str">
        <f t="shared" si="1010"/>
        <v xml:space="preserve">3         </v>
      </c>
      <c r="BG845" t="str">
        <f t="shared" si="1011"/>
        <v>Confirmado por laboratorio</v>
      </c>
      <c r="BH845" t="str">
        <f>"FUNDACION VALLE DEL LILI"</f>
        <v>FUNDACION VALLE DEL LILI</v>
      </c>
      <c r="BI845" t="str">
        <f t="shared" si="1020"/>
        <v>COLOMBIA</v>
      </c>
      <c r="BJ845" t="str">
        <f t="shared" si="1012"/>
        <v>CANCER INFANTIL</v>
      </c>
      <c r="BK845" t="str">
        <f>"VALLE"</f>
        <v>VALLE</v>
      </c>
      <c r="BL845" t="str">
        <f>"CALI"</f>
        <v>CALI</v>
      </c>
      <c r="BM845" t="str">
        <f t="shared" si="1021"/>
        <v>COLOMBIA</v>
      </c>
      <c r="BN845" t="str">
        <f>"VALLE"</f>
        <v>VALLE</v>
      </c>
      <c r="BO845" t="str">
        <f>"CALI"</f>
        <v>CALI</v>
      </c>
      <c r="BP845" t="str">
        <f>"VALLE"</f>
        <v>VALLE</v>
      </c>
      <c r="BQ845" t="str">
        <f>"CALI"</f>
        <v>CALI</v>
      </c>
    </row>
    <row r="846" spans="1:69" x14ac:dyDescent="0.25">
      <c r="A846" t="str">
        <f>"7291469"</f>
        <v>7291469</v>
      </c>
      <c r="B846" t="str">
        <f t="shared" si="1005"/>
        <v>459</v>
      </c>
      <c r="C846" t="str">
        <f>"20/04/2020 12:00:00 a. m."</f>
        <v>20/04/2020 12:00:00 a. m.</v>
      </c>
      <c r="D846" t="str">
        <f>"15"</f>
        <v>15</v>
      </c>
      <c r="E846" t="str">
        <f t="shared" si="1006"/>
        <v>2020</v>
      </c>
      <c r="F846" t="str">
        <f>"1100105681"</f>
        <v>1100105681</v>
      </c>
      <c r="G846" t="str">
        <f t="shared" si="1024"/>
        <v>01</v>
      </c>
      <c r="H846" t="str">
        <f>"5"</f>
        <v>5</v>
      </c>
      <c r="I846" t="str">
        <f t="shared" si="984"/>
        <v>1</v>
      </c>
      <c r="J846" t="str">
        <f t="shared" ref="J846:J857" si="1029">"M"</f>
        <v>M</v>
      </c>
      <c r="K846" t="str">
        <f t="shared" si="1017"/>
        <v>170</v>
      </c>
      <c r="L846" t="str">
        <f>"11"</f>
        <v>11</v>
      </c>
      <c r="M846" t="str">
        <f t="shared" si="1026"/>
        <v>001</v>
      </c>
      <c r="N846" t="str">
        <f t="shared" si="1027"/>
        <v>1</v>
      </c>
      <c r="O846" t="str">
        <f>"9997"</f>
        <v>9997</v>
      </c>
      <c r="P846" t="str">
        <f>"C"</f>
        <v>C</v>
      </c>
      <c r="Q846" t="str">
        <f>"EPS008"</f>
        <v>EPS008</v>
      </c>
      <c r="R846" t="str">
        <f t="shared" si="991"/>
        <v>6</v>
      </c>
      <c r="S846" t="str">
        <f>""</f>
        <v/>
      </c>
      <c r="T846" t="str">
        <f t="shared" si="1002"/>
        <v xml:space="preserve">                                                                                                    </v>
      </c>
      <c r="U846" t="str">
        <f>"2         "</f>
        <v xml:space="preserve">2         </v>
      </c>
      <c r="V846" t="str">
        <f t="shared" si="987"/>
        <v>2</v>
      </c>
      <c r="W846" t="str">
        <f t="shared" si="1003"/>
        <v>2</v>
      </c>
      <c r="X846" t="str">
        <f t="shared" si="960"/>
        <v>2</v>
      </c>
      <c r="Y846" t="str">
        <f t="shared" si="1015"/>
        <v>2</v>
      </c>
      <c r="Z846" t="str">
        <f t="shared" si="1015"/>
        <v>2</v>
      </c>
      <c r="AA846" t="str">
        <f t="shared" si="1007"/>
        <v xml:space="preserve">          </v>
      </c>
      <c r="AB846" t="str">
        <f t="shared" si="999"/>
        <v>2</v>
      </c>
      <c r="AC846" t="str">
        <f t="shared" si="1001"/>
        <v>2</v>
      </c>
      <c r="AD846" t="str">
        <f t="shared" si="1016"/>
        <v>2</v>
      </c>
      <c r="AE846" t="str">
        <f t="shared" si="1016"/>
        <v>2</v>
      </c>
      <c r="AF846" t="str">
        <f t="shared" si="1016"/>
        <v>2</v>
      </c>
      <c r="AG846" t="str">
        <f t="shared" si="1016"/>
        <v>2</v>
      </c>
      <c r="AH846" t="str">
        <f t="shared" si="1004"/>
        <v>1</v>
      </c>
      <c r="AI846" t="str">
        <f t="shared" si="1025"/>
        <v xml:space="preserve">1         </v>
      </c>
      <c r="AJ846" t="str">
        <f t="shared" si="1018"/>
        <v>170</v>
      </c>
      <c r="AK846" t="str">
        <f>"11"</f>
        <v>11</v>
      </c>
      <c r="AL846" t="str">
        <f t="shared" si="1028"/>
        <v>001</v>
      </c>
      <c r="AM846" t="str">
        <f>"11"</f>
        <v>11</v>
      </c>
      <c r="AN846" t="str">
        <f>"11001"</f>
        <v>11001</v>
      </c>
      <c r="AO846" t="str">
        <f>"6/04/2020 12:00:00 a. m."</f>
        <v>6/04/2020 12:00:00 a. m.</v>
      </c>
      <c r="AP846" t="str">
        <f>"6/04/2020 12:00:00 a. m."</f>
        <v>6/04/2020 12:00:00 a. m.</v>
      </c>
      <c r="AQ846" t="str">
        <f>"3"</f>
        <v>3</v>
      </c>
      <c r="AR846" t="str">
        <f t="shared" si="1019"/>
        <v>1</v>
      </c>
      <c r="AS846" t="str">
        <f>"6/04/2020 12:00:00 a. m."</f>
        <v>6/04/2020 12:00:00 a. m.</v>
      </c>
      <c r="AT846" t="str">
        <f t="shared" si="998"/>
        <v>1</v>
      </c>
      <c r="AU846" t="str">
        <f>""</f>
        <v/>
      </c>
      <c r="AV846" t="str">
        <f>"0"</f>
        <v>0</v>
      </c>
      <c r="AW846" t="str">
        <f>"17/02/2015 12:00:00 a. m."</f>
        <v>17/02/2015 12:00:00 a. m.</v>
      </c>
      <c r="AX846" t="str">
        <f>""</f>
        <v/>
      </c>
      <c r="AY846" t="str">
        <f t="shared" si="1009"/>
        <v>30/04/2021 12:00:00 a. m.</v>
      </c>
      <c r="AZ846" t="str">
        <f>"15/07/2020 12:00:00 a. m."</f>
        <v>15/07/2020 12:00:00 a. m.</v>
      </c>
      <c r="BA846" t="str">
        <f>""</f>
        <v/>
      </c>
      <c r="BB846" t="str">
        <f>""</f>
        <v/>
      </c>
      <c r="BC846" t="str">
        <f>""</f>
        <v/>
      </c>
      <c r="BD846" t="str">
        <f t="shared" si="1022"/>
        <v>1</v>
      </c>
      <c r="BE846" t="str">
        <f t="shared" si="1022"/>
        <v>1</v>
      </c>
      <c r="BF846" t="str">
        <f t="shared" si="1010"/>
        <v xml:space="preserve">3         </v>
      </c>
      <c r="BG846" t="str">
        <f t="shared" si="1011"/>
        <v>Confirmado por laboratorio</v>
      </c>
      <c r="BH846" t="str">
        <f>"FUNDACION HOSPITAL DE LA MISERICORDIA"</f>
        <v>FUNDACION HOSPITAL DE LA MISERICORDIA</v>
      </c>
      <c r="BI846" t="str">
        <f t="shared" si="1020"/>
        <v>COLOMBIA</v>
      </c>
      <c r="BJ846" t="str">
        <f t="shared" si="1012"/>
        <v>CANCER INFANTIL</v>
      </c>
      <c r="BK846" t="str">
        <f>"BOGOTA"</f>
        <v>BOGOTA</v>
      </c>
      <c r="BL846" t="str">
        <f>"BOGOTA"</f>
        <v>BOGOTA</v>
      </c>
      <c r="BM846" t="str">
        <f t="shared" si="1021"/>
        <v>COLOMBIA</v>
      </c>
      <c r="BN846" t="str">
        <f t="shared" ref="BN846:BQ847" si="1030">"BOGOTA"</f>
        <v>BOGOTA</v>
      </c>
      <c r="BO846" t="str">
        <f t="shared" si="1030"/>
        <v>BOGOTA</v>
      </c>
      <c r="BP846" t="str">
        <f t="shared" si="1030"/>
        <v>BOGOTA</v>
      </c>
      <c r="BQ846" t="str">
        <f t="shared" si="1030"/>
        <v>BOGOTA</v>
      </c>
    </row>
    <row r="847" spans="1:69" x14ac:dyDescent="0.25">
      <c r="A847" t="str">
        <f>"7291470"</f>
        <v>7291470</v>
      </c>
      <c r="B847" t="str">
        <f t="shared" si="1005"/>
        <v>459</v>
      </c>
      <c r="C847" t="str">
        <f>"28/11/2020 12:00:00 a. m."</f>
        <v>28/11/2020 12:00:00 a. m.</v>
      </c>
      <c r="D847" t="str">
        <f>"48"</f>
        <v>48</v>
      </c>
      <c r="E847" t="str">
        <f t="shared" si="1006"/>
        <v>2020</v>
      </c>
      <c r="F847" t="str">
        <f>"1100105681"</f>
        <v>1100105681</v>
      </c>
      <c r="G847" t="str">
        <f t="shared" si="1024"/>
        <v>01</v>
      </c>
      <c r="H847" t="str">
        <f>"3"</f>
        <v>3</v>
      </c>
      <c r="I847" t="str">
        <f t="shared" si="984"/>
        <v>1</v>
      </c>
      <c r="J847" t="str">
        <f t="shared" si="1029"/>
        <v>M</v>
      </c>
      <c r="K847" t="str">
        <f t="shared" si="1017"/>
        <v>170</v>
      </c>
      <c r="L847" t="str">
        <f>"11"</f>
        <v>11</v>
      </c>
      <c r="M847" t="str">
        <f t="shared" si="1026"/>
        <v>001</v>
      </c>
      <c r="N847" t="str">
        <f t="shared" si="1027"/>
        <v>1</v>
      </c>
      <c r="O847" t="str">
        <f>"9999"</f>
        <v>9999</v>
      </c>
      <c r="P847" t="str">
        <f>"S"</f>
        <v>S</v>
      </c>
      <c r="Q847" t="str">
        <f>"EPSS34"</f>
        <v>EPSS34</v>
      </c>
      <c r="R847" t="str">
        <f t="shared" si="991"/>
        <v>6</v>
      </c>
      <c r="S847" t="str">
        <f>""</f>
        <v/>
      </c>
      <c r="T847" t="str">
        <f t="shared" si="1002"/>
        <v xml:space="preserve">                                                                                                    </v>
      </c>
      <c r="U847" t="str">
        <f>"1         "</f>
        <v xml:space="preserve">1         </v>
      </c>
      <c r="V847" t="str">
        <f t="shared" si="987"/>
        <v>2</v>
      </c>
      <c r="W847" t="str">
        <f t="shared" si="1003"/>
        <v>2</v>
      </c>
      <c r="X847" t="str">
        <f t="shared" si="960"/>
        <v>2</v>
      </c>
      <c r="Y847" t="str">
        <f t="shared" si="1015"/>
        <v>2</v>
      </c>
      <c r="Z847" t="str">
        <f t="shared" si="1015"/>
        <v>2</v>
      </c>
      <c r="AA847" t="str">
        <f t="shared" si="1007"/>
        <v xml:space="preserve">          </v>
      </c>
      <c r="AB847" t="str">
        <f t="shared" si="999"/>
        <v>2</v>
      </c>
      <c r="AC847" t="str">
        <f t="shared" si="1001"/>
        <v>2</v>
      </c>
      <c r="AD847" t="str">
        <f t="shared" si="1016"/>
        <v>2</v>
      </c>
      <c r="AE847" t="str">
        <f t="shared" si="1016"/>
        <v>2</v>
      </c>
      <c r="AF847" t="str">
        <f t="shared" si="1016"/>
        <v>2</v>
      </c>
      <c r="AG847" t="str">
        <f t="shared" si="1016"/>
        <v>2</v>
      </c>
      <c r="AH847" t="str">
        <f t="shared" si="1004"/>
        <v>1</v>
      </c>
      <c r="AI847" t="str">
        <f t="shared" si="1025"/>
        <v xml:space="preserve">1         </v>
      </c>
      <c r="AJ847" t="str">
        <f t="shared" si="1018"/>
        <v>170</v>
      </c>
      <c r="AK847" t="str">
        <f>"11"</f>
        <v>11</v>
      </c>
      <c r="AL847" t="str">
        <f t="shared" si="1028"/>
        <v>001</v>
      </c>
      <c r="AM847" t="str">
        <f>"11"</f>
        <v>11</v>
      </c>
      <c r="AN847" t="str">
        <f>"11001"</f>
        <v>11001</v>
      </c>
      <c r="AO847" t="str">
        <f>"28/11/2020 12:00:00 a. m."</f>
        <v>28/11/2020 12:00:00 a. m.</v>
      </c>
      <c r="AP847" t="str">
        <f>"23/11/2020 12:00:00 a. m."</f>
        <v>23/11/2020 12:00:00 a. m.</v>
      </c>
      <c r="AQ847" t="str">
        <f>"3"</f>
        <v>3</v>
      </c>
      <c r="AR847" t="str">
        <f t="shared" si="1019"/>
        <v>1</v>
      </c>
      <c r="AS847" t="str">
        <f>"28/11/2020 12:00:00 a. m."</f>
        <v>28/11/2020 12:00:00 a. m.</v>
      </c>
      <c r="AT847" t="str">
        <f t="shared" si="998"/>
        <v>1</v>
      </c>
      <c r="AU847" t="str">
        <f>""</f>
        <v/>
      </c>
      <c r="AV847" t="str">
        <f>"0"</f>
        <v>0</v>
      </c>
      <c r="AW847" t="str">
        <f>"13/02/2017 12:00:00 a. m."</f>
        <v>13/02/2017 12:00:00 a. m.</v>
      </c>
      <c r="AX847" t="str">
        <f>""</f>
        <v/>
      </c>
      <c r="AY847" t="str">
        <f t="shared" si="1009"/>
        <v>30/04/2021 12:00:00 a. m.</v>
      </c>
      <c r="AZ847" t="str">
        <f>"10/01/2021 12:00:00 a. m."</f>
        <v>10/01/2021 12:00:00 a. m.</v>
      </c>
      <c r="BA847" t="str">
        <f>""</f>
        <v/>
      </c>
      <c r="BB847" t="str">
        <f>""</f>
        <v/>
      </c>
      <c r="BC847" t="str">
        <f>""</f>
        <v/>
      </c>
      <c r="BD847" t="str">
        <f t="shared" si="1022"/>
        <v>1</v>
      </c>
      <c r="BE847" t="str">
        <f t="shared" si="1022"/>
        <v>1</v>
      </c>
      <c r="BF847" t="str">
        <f t="shared" si="1010"/>
        <v xml:space="preserve">3         </v>
      </c>
      <c r="BG847" t="str">
        <f t="shared" si="1011"/>
        <v>Confirmado por laboratorio</v>
      </c>
      <c r="BH847" t="str">
        <f>"FUNDACION HOSPITAL DE LA MISERICORDIA"</f>
        <v>FUNDACION HOSPITAL DE LA MISERICORDIA</v>
      </c>
      <c r="BI847" t="str">
        <f t="shared" si="1020"/>
        <v>COLOMBIA</v>
      </c>
      <c r="BJ847" t="str">
        <f t="shared" si="1012"/>
        <v>CANCER INFANTIL</v>
      </c>
      <c r="BK847" t="str">
        <f>"BOGOTA"</f>
        <v>BOGOTA</v>
      </c>
      <c r="BL847" t="str">
        <f>"BOGOTA"</f>
        <v>BOGOTA</v>
      </c>
      <c r="BM847" t="str">
        <f t="shared" si="1021"/>
        <v>COLOMBIA</v>
      </c>
      <c r="BN847" t="str">
        <f t="shared" si="1030"/>
        <v>BOGOTA</v>
      </c>
      <c r="BO847" t="str">
        <f t="shared" si="1030"/>
        <v>BOGOTA</v>
      </c>
      <c r="BP847" t="str">
        <f t="shared" si="1030"/>
        <v>BOGOTA</v>
      </c>
      <c r="BQ847" t="str">
        <f t="shared" si="1030"/>
        <v>BOGOTA</v>
      </c>
    </row>
    <row r="848" spans="1:69" x14ac:dyDescent="0.25">
      <c r="A848" t="str">
        <f>"7291387"</f>
        <v>7291387</v>
      </c>
      <c r="B848" t="str">
        <f t="shared" si="1005"/>
        <v>459</v>
      </c>
      <c r="C848" t="str">
        <f>"16/10/2020 12:00:00 a. m."</f>
        <v>16/10/2020 12:00:00 a. m.</v>
      </c>
      <c r="D848" t="str">
        <f>"41"</f>
        <v>41</v>
      </c>
      <c r="E848" t="str">
        <f t="shared" si="1006"/>
        <v>2020</v>
      </c>
      <c r="F848" t="str">
        <f>"7600102870"</f>
        <v>7600102870</v>
      </c>
      <c r="G848" t="str">
        <f t="shared" si="1024"/>
        <v>01</v>
      </c>
      <c r="H848" t="str">
        <f>"16"</f>
        <v>16</v>
      </c>
      <c r="I848" t="str">
        <f t="shared" si="984"/>
        <v>1</v>
      </c>
      <c r="J848" t="str">
        <f t="shared" si="1029"/>
        <v>M</v>
      </c>
      <c r="K848" t="str">
        <f t="shared" si="1017"/>
        <v>170</v>
      </c>
      <c r="L848" t="str">
        <f>"76"</f>
        <v>76</v>
      </c>
      <c r="M848" t="str">
        <f t="shared" si="1026"/>
        <v>001</v>
      </c>
      <c r="N848" t="str">
        <f t="shared" si="1027"/>
        <v>1</v>
      </c>
      <c r="O848" t="str">
        <f>"9999"</f>
        <v>9999</v>
      </c>
      <c r="P848" t="str">
        <f>"C"</f>
        <v>C</v>
      </c>
      <c r="Q848" t="str">
        <f>"EPS018"</f>
        <v>EPS018</v>
      </c>
      <c r="R848" t="str">
        <f t="shared" si="991"/>
        <v>6</v>
      </c>
      <c r="S848" t="str">
        <f>""</f>
        <v/>
      </c>
      <c r="T848" t="str">
        <f t="shared" si="1002"/>
        <v xml:space="preserve">                                                                                                    </v>
      </c>
      <c r="U848" t="str">
        <f>"          "</f>
        <v xml:space="preserve">          </v>
      </c>
      <c r="V848" t="str">
        <f t="shared" si="987"/>
        <v>2</v>
      </c>
      <c r="W848" t="str">
        <f t="shared" si="1003"/>
        <v>2</v>
      </c>
      <c r="X848" t="str">
        <f t="shared" si="960"/>
        <v>2</v>
      </c>
      <c r="Y848" t="str">
        <f t="shared" si="1015"/>
        <v>2</v>
      </c>
      <c r="Z848" t="str">
        <f t="shared" si="1015"/>
        <v>2</v>
      </c>
      <c r="AA848" t="str">
        <f t="shared" si="1007"/>
        <v xml:space="preserve">          </v>
      </c>
      <c r="AB848" t="str">
        <f t="shared" si="999"/>
        <v>2</v>
      </c>
      <c r="AC848" t="str">
        <f t="shared" si="1001"/>
        <v>2</v>
      </c>
      <c r="AD848" t="str">
        <f t="shared" si="1016"/>
        <v>2</v>
      </c>
      <c r="AE848" t="str">
        <f t="shared" si="1016"/>
        <v>2</v>
      </c>
      <c r="AF848" t="str">
        <f t="shared" si="1016"/>
        <v>2</v>
      </c>
      <c r="AG848" t="str">
        <f t="shared" si="1016"/>
        <v>2</v>
      </c>
      <c r="AH848" t="str">
        <f t="shared" si="1004"/>
        <v>1</v>
      </c>
      <c r="AI848" t="str">
        <f t="shared" si="1025"/>
        <v xml:space="preserve">1         </v>
      </c>
      <c r="AJ848" t="str">
        <f t="shared" si="1018"/>
        <v>170</v>
      </c>
      <c r="AK848" t="str">
        <f>"76"</f>
        <v>76</v>
      </c>
      <c r="AL848" t="str">
        <f t="shared" si="1028"/>
        <v>001</v>
      </c>
      <c r="AM848" t="str">
        <f>"76"</f>
        <v>76</v>
      </c>
      <c r="AN848" t="str">
        <f>"76001"</f>
        <v>76001</v>
      </c>
      <c r="AO848" t="str">
        <f>"8/10/2020 12:00:00 a. m."</f>
        <v>8/10/2020 12:00:00 a. m.</v>
      </c>
      <c r="AP848" t="str">
        <f>"8/06/2020 12:00:00 a. m."</f>
        <v>8/06/2020 12:00:00 a. m.</v>
      </c>
      <c r="AQ848" t="str">
        <f>"2"</f>
        <v>2</v>
      </c>
      <c r="AR848" t="str">
        <f t="shared" si="1019"/>
        <v>1</v>
      </c>
      <c r="AS848" t="str">
        <f>"8/10/2020 12:00:00 a. m."</f>
        <v>8/10/2020 12:00:00 a. m.</v>
      </c>
      <c r="AT848" t="str">
        <f t="shared" si="998"/>
        <v>1</v>
      </c>
      <c r="AU848" t="str">
        <f>""</f>
        <v/>
      </c>
      <c r="AV848" t="str">
        <f>"3"</f>
        <v>3</v>
      </c>
      <c r="AW848" t="str">
        <f>"29/12/2003 12:00:00 a. m."</f>
        <v>29/12/2003 12:00:00 a. m.</v>
      </c>
      <c r="AX848" t="str">
        <f>""</f>
        <v/>
      </c>
      <c r="AY848" t="str">
        <f t="shared" si="1009"/>
        <v>30/04/2021 12:00:00 a. m.</v>
      </c>
      <c r="AZ848" t="str">
        <f>"28/10/2020 12:00:00 a. m."</f>
        <v>28/10/2020 12:00:00 a. m.</v>
      </c>
      <c r="BA848" t="str">
        <f>""</f>
        <v/>
      </c>
      <c r="BB848" t="str">
        <f>""</f>
        <v/>
      </c>
      <c r="BC848" t="str">
        <f>""</f>
        <v/>
      </c>
      <c r="BD848" t="str">
        <f t="shared" si="1022"/>
        <v>1</v>
      </c>
      <c r="BE848" t="str">
        <f t="shared" si="1022"/>
        <v>1</v>
      </c>
      <c r="BF848" t="str">
        <f t="shared" si="1010"/>
        <v xml:space="preserve">3         </v>
      </c>
      <c r="BG848" t="str">
        <f t="shared" si="1011"/>
        <v>Confirmado por laboratorio</v>
      </c>
      <c r="BH848" t="str">
        <f>"FUNDACION VALLE DEL LILI"</f>
        <v>FUNDACION VALLE DEL LILI</v>
      </c>
      <c r="BI848" t="str">
        <f t="shared" si="1020"/>
        <v>COLOMBIA</v>
      </c>
      <c r="BJ848" t="str">
        <f t="shared" si="1012"/>
        <v>CANCER INFANTIL</v>
      </c>
      <c r="BK848" t="str">
        <f>"VALLE"</f>
        <v>VALLE</v>
      </c>
      <c r="BL848" t="str">
        <f>"CALI"</f>
        <v>CALI</v>
      </c>
      <c r="BM848" t="str">
        <f t="shared" si="1021"/>
        <v>COLOMBIA</v>
      </c>
      <c r="BN848" t="str">
        <f>"VALLE"</f>
        <v>VALLE</v>
      </c>
      <c r="BO848" t="str">
        <f>"CALI"</f>
        <v>CALI</v>
      </c>
      <c r="BP848" t="str">
        <f>"VALLE"</f>
        <v>VALLE</v>
      </c>
      <c r="BQ848" t="str">
        <f>"CALI"</f>
        <v>CALI</v>
      </c>
    </row>
    <row r="849" spans="1:69" x14ac:dyDescent="0.25">
      <c r="A849" t="str">
        <f>"7291472"</f>
        <v>7291472</v>
      </c>
      <c r="B849" t="str">
        <f t="shared" si="1005"/>
        <v>459</v>
      </c>
      <c r="C849" t="str">
        <f>"20/01/2020 12:00:00 a. m."</f>
        <v>20/01/2020 12:00:00 a. m.</v>
      </c>
      <c r="D849" t="str">
        <f>"01"</f>
        <v>01</v>
      </c>
      <c r="E849" t="str">
        <f t="shared" si="1006"/>
        <v>2020</v>
      </c>
      <c r="F849" t="str">
        <f>"1100105681"</f>
        <v>1100105681</v>
      </c>
      <c r="G849" t="str">
        <f t="shared" si="1024"/>
        <v>01</v>
      </c>
      <c r="H849" t="str">
        <f>"3"</f>
        <v>3</v>
      </c>
      <c r="I849" t="str">
        <f t="shared" si="984"/>
        <v>1</v>
      </c>
      <c r="J849" t="str">
        <f t="shared" si="1029"/>
        <v>M</v>
      </c>
      <c r="K849" t="str">
        <f t="shared" si="1017"/>
        <v>170</v>
      </c>
      <c r="L849" t="str">
        <f>"11"</f>
        <v>11</v>
      </c>
      <c r="M849" t="str">
        <f t="shared" si="1026"/>
        <v>001</v>
      </c>
      <c r="N849" t="str">
        <f t="shared" si="1027"/>
        <v>1</v>
      </c>
      <c r="O849" t="str">
        <f>"9999"</f>
        <v>9999</v>
      </c>
      <c r="P849" t="str">
        <f>"C"</f>
        <v>C</v>
      </c>
      <c r="Q849" t="str">
        <f>"EPS008"</f>
        <v>EPS008</v>
      </c>
      <c r="R849" t="str">
        <f t="shared" si="991"/>
        <v>6</v>
      </c>
      <c r="S849" t="str">
        <f>""</f>
        <v/>
      </c>
      <c r="T849" t="str">
        <f t="shared" si="1002"/>
        <v xml:space="preserve">                                                                                                    </v>
      </c>
      <c r="U849" t="str">
        <f>"2         "</f>
        <v xml:space="preserve">2         </v>
      </c>
      <c r="V849" t="str">
        <f t="shared" si="987"/>
        <v>2</v>
      </c>
      <c r="W849" t="str">
        <f t="shared" si="1003"/>
        <v>2</v>
      </c>
      <c r="X849" t="str">
        <f t="shared" si="960"/>
        <v>2</v>
      </c>
      <c r="Y849" t="str">
        <f t="shared" si="1015"/>
        <v>2</v>
      </c>
      <c r="Z849" t="str">
        <f t="shared" si="1015"/>
        <v>2</v>
      </c>
      <c r="AA849" t="str">
        <f t="shared" si="1007"/>
        <v xml:space="preserve">          </v>
      </c>
      <c r="AB849" t="str">
        <f t="shared" si="999"/>
        <v>2</v>
      </c>
      <c r="AC849" t="str">
        <f t="shared" si="1001"/>
        <v>2</v>
      </c>
      <c r="AD849" t="str">
        <f t="shared" si="1016"/>
        <v>2</v>
      </c>
      <c r="AE849" t="str">
        <f t="shared" si="1016"/>
        <v>2</v>
      </c>
      <c r="AF849" t="str">
        <f t="shared" si="1016"/>
        <v>2</v>
      </c>
      <c r="AG849" t="str">
        <f t="shared" si="1016"/>
        <v>2</v>
      </c>
      <c r="AH849" t="str">
        <f t="shared" si="1004"/>
        <v>1</v>
      </c>
      <c r="AI849" t="str">
        <f t="shared" si="1025"/>
        <v xml:space="preserve">1         </v>
      </c>
      <c r="AJ849" t="str">
        <f t="shared" si="1018"/>
        <v>170</v>
      </c>
      <c r="AK849" t="str">
        <f>"11"</f>
        <v>11</v>
      </c>
      <c r="AL849" t="str">
        <f t="shared" si="1028"/>
        <v>001</v>
      </c>
      <c r="AM849" t="str">
        <f>"11"</f>
        <v>11</v>
      </c>
      <c r="AN849" t="str">
        <f>"11001"</f>
        <v>11001</v>
      </c>
      <c r="AO849" t="str">
        <f>"2/01/2020 12:00:00 a. m."</f>
        <v>2/01/2020 12:00:00 a. m.</v>
      </c>
      <c r="AP849" t="str">
        <f>"1/01/2020 12:00:00 a. m."</f>
        <v>1/01/2020 12:00:00 a. m.</v>
      </c>
      <c r="AQ849" t="str">
        <f>"3"</f>
        <v>3</v>
      </c>
      <c r="AR849" t="str">
        <f t="shared" si="1019"/>
        <v>1</v>
      </c>
      <c r="AS849" t="str">
        <f>"2/01/2020 12:00:00 a. m."</f>
        <v>2/01/2020 12:00:00 a. m.</v>
      </c>
      <c r="AT849" t="str">
        <f t="shared" si="998"/>
        <v>1</v>
      </c>
      <c r="AU849" t="str">
        <f>""</f>
        <v/>
      </c>
      <c r="AV849" t="str">
        <f>"0"</f>
        <v>0</v>
      </c>
      <c r="AW849" t="str">
        <f>"1/05/2016 12:00:00 a. m."</f>
        <v>1/05/2016 12:00:00 a. m.</v>
      </c>
      <c r="AX849" t="str">
        <f>""</f>
        <v/>
      </c>
      <c r="AY849" t="str">
        <f t="shared" si="1009"/>
        <v>30/04/2021 12:00:00 a. m.</v>
      </c>
      <c r="AZ849" t="str">
        <f>"12/02/2020 12:00:00 a. m."</f>
        <v>12/02/2020 12:00:00 a. m.</v>
      </c>
      <c r="BA849" t="str">
        <f>""</f>
        <v/>
      </c>
      <c r="BB849" t="str">
        <f>""</f>
        <v/>
      </c>
      <c r="BC849" t="str">
        <f>""</f>
        <v/>
      </c>
      <c r="BD849" t="str">
        <f t="shared" si="1022"/>
        <v>1</v>
      </c>
      <c r="BE849" t="str">
        <f t="shared" si="1022"/>
        <v>1</v>
      </c>
      <c r="BF849" t="str">
        <f t="shared" si="1010"/>
        <v xml:space="preserve">3         </v>
      </c>
      <c r="BG849" t="str">
        <f t="shared" si="1011"/>
        <v>Confirmado por laboratorio</v>
      </c>
      <c r="BH849" t="str">
        <f>"FUNDACION HOSPITAL DE LA MISERICORDIA"</f>
        <v>FUNDACION HOSPITAL DE LA MISERICORDIA</v>
      </c>
      <c r="BI849" t="str">
        <f t="shared" si="1020"/>
        <v>COLOMBIA</v>
      </c>
      <c r="BJ849" t="str">
        <f t="shared" si="1012"/>
        <v>CANCER INFANTIL</v>
      </c>
      <c r="BK849" t="str">
        <f t="shared" ref="BK849:BL851" si="1031">"BOGOTA"</f>
        <v>BOGOTA</v>
      </c>
      <c r="BL849" t="str">
        <f t="shared" si="1031"/>
        <v>BOGOTA</v>
      </c>
      <c r="BM849" t="str">
        <f t="shared" si="1021"/>
        <v>COLOMBIA</v>
      </c>
      <c r="BN849" t="str">
        <f t="shared" ref="BN849:BQ851" si="1032">"BOGOTA"</f>
        <v>BOGOTA</v>
      </c>
      <c r="BO849" t="str">
        <f t="shared" si="1032"/>
        <v>BOGOTA</v>
      </c>
      <c r="BP849" t="str">
        <f t="shared" si="1032"/>
        <v>BOGOTA</v>
      </c>
      <c r="BQ849" t="str">
        <f t="shared" si="1032"/>
        <v>BOGOTA</v>
      </c>
    </row>
    <row r="850" spans="1:69" x14ac:dyDescent="0.25">
      <c r="A850" t="str">
        <f>"7291474"</f>
        <v>7291474</v>
      </c>
      <c r="B850" t="str">
        <f t="shared" si="1005"/>
        <v>459</v>
      </c>
      <c r="C850" t="str">
        <f>"15/09/2020 12:00:00 a. m."</f>
        <v>15/09/2020 12:00:00 a. m.</v>
      </c>
      <c r="D850" t="str">
        <f>"24"</f>
        <v>24</v>
      </c>
      <c r="E850" t="str">
        <f t="shared" si="1006"/>
        <v>2020</v>
      </c>
      <c r="F850" t="str">
        <f>"1100105681"</f>
        <v>1100105681</v>
      </c>
      <c r="G850" t="str">
        <f t="shared" si="1024"/>
        <v>01</v>
      </c>
      <c r="H850" t="str">
        <f>"16"</f>
        <v>16</v>
      </c>
      <c r="I850" t="str">
        <f t="shared" ref="I850:I878" si="1033">"1"</f>
        <v>1</v>
      </c>
      <c r="J850" t="str">
        <f t="shared" si="1029"/>
        <v>M</v>
      </c>
      <c r="K850" t="str">
        <f t="shared" si="1017"/>
        <v>170</v>
      </c>
      <c r="L850" t="str">
        <f>"11"</f>
        <v>11</v>
      </c>
      <c r="M850" t="str">
        <f t="shared" si="1026"/>
        <v>001</v>
      </c>
      <c r="N850" t="str">
        <f t="shared" si="1027"/>
        <v>1</v>
      </c>
      <c r="O850" t="str">
        <f>"9997"</f>
        <v>9997</v>
      </c>
      <c r="P850" t="str">
        <f>"C"</f>
        <v>C</v>
      </c>
      <c r="Q850" t="str">
        <f>"EPS005"</f>
        <v>EPS005</v>
      </c>
      <c r="R850" t="str">
        <f t="shared" si="991"/>
        <v>6</v>
      </c>
      <c r="S850" t="str">
        <f>""</f>
        <v/>
      </c>
      <c r="T850" t="str">
        <f t="shared" si="1002"/>
        <v xml:space="preserve">                                                                                                    </v>
      </c>
      <c r="U850" t="str">
        <f>"2         "</f>
        <v xml:space="preserve">2         </v>
      </c>
      <c r="V850" t="str">
        <f t="shared" si="987"/>
        <v>2</v>
      </c>
      <c r="W850" t="str">
        <f t="shared" si="1003"/>
        <v>2</v>
      </c>
      <c r="X850" t="str">
        <f t="shared" si="960"/>
        <v>2</v>
      </c>
      <c r="Y850" t="str">
        <f t="shared" si="1015"/>
        <v>2</v>
      </c>
      <c r="Z850" t="str">
        <f t="shared" si="1015"/>
        <v>2</v>
      </c>
      <c r="AA850" t="str">
        <f t="shared" si="1007"/>
        <v xml:space="preserve">          </v>
      </c>
      <c r="AB850" t="str">
        <f t="shared" si="999"/>
        <v>2</v>
      </c>
      <c r="AC850" t="str">
        <f t="shared" si="1001"/>
        <v>2</v>
      </c>
      <c r="AD850" t="str">
        <f t="shared" si="1016"/>
        <v>2</v>
      </c>
      <c r="AE850" t="str">
        <f t="shared" si="1016"/>
        <v>2</v>
      </c>
      <c r="AF850" t="str">
        <f t="shared" si="1016"/>
        <v>2</v>
      </c>
      <c r="AG850" t="str">
        <f t="shared" si="1016"/>
        <v>2</v>
      </c>
      <c r="AH850" t="str">
        <f t="shared" si="1004"/>
        <v>1</v>
      </c>
      <c r="AI850" t="str">
        <f t="shared" si="1025"/>
        <v xml:space="preserve">1         </v>
      </c>
      <c r="AJ850" t="str">
        <f t="shared" si="1018"/>
        <v>170</v>
      </c>
      <c r="AK850" t="str">
        <f>"11"</f>
        <v>11</v>
      </c>
      <c r="AL850" t="str">
        <f t="shared" si="1028"/>
        <v>001</v>
      </c>
      <c r="AM850" t="str">
        <f>"11"</f>
        <v>11</v>
      </c>
      <c r="AN850" t="str">
        <f>"11001"</f>
        <v>11001</v>
      </c>
      <c r="AO850" t="str">
        <f>"13/06/2020 12:00:00 a. m."</f>
        <v>13/06/2020 12:00:00 a. m.</v>
      </c>
      <c r="AP850" t="str">
        <f>"13/04/2020 12:00:00 a. m."</f>
        <v>13/04/2020 12:00:00 a. m.</v>
      </c>
      <c r="AQ850" t="str">
        <f>"3"</f>
        <v>3</v>
      </c>
      <c r="AR850" t="str">
        <f t="shared" si="1019"/>
        <v>1</v>
      </c>
      <c r="AS850" t="str">
        <f>"16/06/2020 12:00:00 a. m."</f>
        <v>16/06/2020 12:00:00 a. m.</v>
      </c>
      <c r="AT850" t="str">
        <f t="shared" si="998"/>
        <v>1</v>
      </c>
      <c r="AU850" t="str">
        <f>""</f>
        <v/>
      </c>
      <c r="AV850" t="str">
        <f>"0"</f>
        <v>0</v>
      </c>
      <c r="AW850" t="str">
        <f>"23/05/2004 12:00:00 a. m."</f>
        <v>23/05/2004 12:00:00 a. m.</v>
      </c>
      <c r="AX850" t="str">
        <f>""</f>
        <v/>
      </c>
      <c r="AY850" t="str">
        <f t="shared" si="1009"/>
        <v>30/04/2021 12:00:00 a. m.</v>
      </c>
      <c r="AZ850" t="str">
        <f>"15/09/2020 12:00:00 a. m."</f>
        <v>15/09/2020 12:00:00 a. m.</v>
      </c>
      <c r="BA850" t="str">
        <f>""</f>
        <v/>
      </c>
      <c r="BB850" t="str">
        <f>""</f>
        <v/>
      </c>
      <c r="BC850" t="str">
        <f>""</f>
        <v/>
      </c>
      <c r="BD850" t="str">
        <f t="shared" si="1022"/>
        <v>1</v>
      </c>
      <c r="BE850" t="str">
        <f t="shared" si="1022"/>
        <v>1</v>
      </c>
      <c r="BF850" t="str">
        <f t="shared" si="1010"/>
        <v xml:space="preserve">3         </v>
      </c>
      <c r="BG850" t="str">
        <f t="shared" si="1011"/>
        <v>Confirmado por laboratorio</v>
      </c>
      <c r="BH850" t="str">
        <f>"FUNDACION HOSPITAL DE LA MISERICORDIA"</f>
        <v>FUNDACION HOSPITAL DE LA MISERICORDIA</v>
      </c>
      <c r="BI850" t="str">
        <f t="shared" si="1020"/>
        <v>COLOMBIA</v>
      </c>
      <c r="BJ850" t="str">
        <f t="shared" si="1012"/>
        <v>CANCER INFANTIL</v>
      </c>
      <c r="BK850" t="str">
        <f t="shared" si="1031"/>
        <v>BOGOTA</v>
      </c>
      <c r="BL850" t="str">
        <f t="shared" si="1031"/>
        <v>BOGOTA</v>
      </c>
      <c r="BM850" t="str">
        <f t="shared" si="1021"/>
        <v>COLOMBIA</v>
      </c>
      <c r="BN850" t="str">
        <f t="shared" si="1032"/>
        <v>BOGOTA</v>
      </c>
      <c r="BO850" t="str">
        <f t="shared" si="1032"/>
        <v>BOGOTA</v>
      </c>
      <c r="BP850" t="str">
        <f t="shared" si="1032"/>
        <v>BOGOTA</v>
      </c>
      <c r="BQ850" t="str">
        <f t="shared" si="1032"/>
        <v>BOGOTA</v>
      </c>
    </row>
    <row r="851" spans="1:69" x14ac:dyDescent="0.25">
      <c r="A851" t="str">
        <f>"7278721"</f>
        <v>7278721</v>
      </c>
      <c r="B851" t="str">
        <f t="shared" si="1005"/>
        <v>459</v>
      </c>
      <c r="C851" t="str">
        <f>"17/02/2020 12:00:00 a. m."</f>
        <v>17/02/2020 12:00:00 a. m.</v>
      </c>
      <c r="D851" t="str">
        <f>"07"</f>
        <v>07</v>
      </c>
      <c r="E851" t="str">
        <f t="shared" si="1006"/>
        <v>2020</v>
      </c>
      <c r="F851" t="str">
        <f>"1100106065"</f>
        <v>1100106065</v>
      </c>
      <c r="G851" t="str">
        <f t="shared" si="1024"/>
        <v>01</v>
      </c>
      <c r="H851" t="str">
        <f>"2"</f>
        <v>2</v>
      </c>
      <c r="I851" t="str">
        <f t="shared" si="1033"/>
        <v>1</v>
      </c>
      <c r="J851" t="str">
        <f t="shared" si="1029"/>
        <v>M</v>
      </c>
      <c r="K851" t="str">
        <f t="shared" si="1017"/>
        <v>170</v>
      </c>
      <c r="L851" t="str">
        <f>"11"</f>
        <v>11</v>
      </c>
      <c r="M851" t="str">
        <f t="shared" si="1026"/>
        <v>001</v>
      </c>
      <c r="N851" t="str">
        <f t="shared" si="1027"/>
        <v>1</v>
      </c>
      <c r="O851" t="str">
        <f>"9999"</f>
        <v>9999</v>
      </c>
      <c r="P851" t="str">
        <f>"S"</f>
        <v>S</v>
      </c>
      <c r="Q851" t="str">
        <f>"EPSS34"</f>
        <v>EPSS34</v>
      </c>
      <c r="R851" t="str">
        <f t="shared" si="991"/>
        <v>6</v>
      </c>
      <c r="S851" t="str">
        <f>""</f>
        <v/>
      </c>
      <c r="T851" t="str">
        <f t="shared" si="1002"/>
        <v xml:space="preserve">                                                                                                    </v>
      </c>
      <c r="U851" t="str">
        <f>"2         "</f>
        <v xml:space="preserve">2         </v>
      </c>
      <c r="V851" t="str">
        <f t="shared" si="987"/>
        <v>2</v>
      </c>
      <c r="W851" t="str">
        <f t="shared" si="1003"/>
        <v>2</v>
      </c>
      <c r="X851" t="str">
        <f t="shared" si="960"/>
        <v>2</v>
      </c>
      <c r="Y851" t="str">
        <f t="shared" si="1015"/>
        <v>2</v>
      </c>
      <c r="Z851" t="str">
        <f t="shared" si="1015"/>
        <v>2</v>
      </c>
      <c r="AA851" t="str">
        <f t="shared" si="1007"/>
        <v xml:space="preserve">          </v>
      </c>
      <c r="AB851" t="str">
        <f t="shared" si="999"/>
        <v>2</v>
      </c>
      <c r="AC851" t="str">
        <f t="shared" si="1001"/>
        <v>2</v>
      </c>
      <c r="AD851" t="str">
        <f t="shared" si="1016"/>
        <v>2</v>
      </c>
      <c r="AE851" t="str">
        <f t="shared" si="1016"/>
        <v>2</v>
      </c>
      <c r="AF851" t="str">
        <f t="shared" si="1016"/>
        <v>2</v>
      </c>
      <c r="AG851" t="str">
        <f t="shared" si="1016"/>
        <v>2</v>
      </c>
      <c r="AH851" t="str">
        <f t="shared" si="1004"/>
        <v>1</v>
      </c>
      <c r="AI851" t="str">
        <f t="shared" si="1025"/>
        <v xml:space="preserve">1         </v>
      </c>
      <c r="AJ851" t="str">
        <f t="shared" si="1018"/>
        <v>170</v>
      </c>
      <c r="AK851" t="str">
        <f>"11"</f>
        <v>11</v>
      </c>
      <c r="AL851" t="str">
        <f t="shared" si="1028"/>
        <v>001</v>
      </c>
      <c r="AM851" t="str">
        <f>"11"</f>
        <v>11</v>
      </c>
      <c r="AN851" t="str">
        <f>"11001"</f>
        <v>11001</v>
      </c>
      <c r="AO851" t="str">
        <f>"10/02/2020 12:00:00 a. m."</f>
        <v>10/02/2020 12:00:00 a. m.</v>
      </c>
      <c r="AP851" t="str">
        <f>"1/11/2019 12:00:00 a. m."</f>
        <v>1/11/2019 12:00:00 a. m.</v>
      </c>
      <c r="AQ851" t="str">
        <f>"2"</f>
        <v>2</v>
      </c>
      <c r="AR851" t="str">
        <f>"2"</f>
        <v>2</v>
      </c>
      <c r="AS851" t="str">
        <f>""</f>
        <v/>
      </c>
      <c r="AT851" t="str">
        <f t="shared" si="998"/>
        <v>1</v>
      </c>
      <c r="AU851" t="str">
        <f>""</f>
        <v/>
      </c>
      <c r="AV851" t="str">
        <f>"3"</f>
        <v>3</v>
      </c>
      <c r="AW851" t="str">
        <f>"14/10/2017 12:00:00 a. m."</f>
        <v>14/10/2017 12:00:00 a. m.</v>
      </c>
      <c r="AX851" t="str">
        <f>""</f>
        <v/>
      </c>
      <c r="AY851" t="str">
        <f t="shared" si="1009"/>
        <v>30/04/2021 12:00:00 a. m.</v>
      </c>
      <c r="AZ851" t="str">
        <f>"13/03/2020 12:00:00 a. m."</f>
        <v>13/03/2020 12:00:00 a. m.</v>
      </c>
      <c r="BA851" t="str">
        <f>""</f>
        <v/>
      </c>
      <c r="BB851" t="str">
        <f>""</f>
        <v/>
      </c>
      <c r="BC851" t="str">
        <f>""</f>
        <v/>
      </c>
      <c r="BD851" t="str">
        <f t="shared" si="1022"/>
        <v>1</v>
      </c>
      <c r="BE851" t="str">
        <f t="shared" si="1022"/>
        <v>1</v>
      </c>
      <c r="BF851" t="str">
        <f t="shared" si="1010"/>
        <v xml:space="preserve">3         </v>
      </c>
      <c r="BG851" t="str">
        <f t="shared" si="1011"/>
        <v>Confirmado por laboratorio</v>
      </c>
      <c r="BH851" t="str">
        <f>"ESE INSTITUTO NACIONAL DE CANCEROLOGIA"</f>
        <v>ESE INSTITUTO NACIONAL DE CANCEROLOGIA</v>
      </c>
      <c r="BI851" t="str">
        <f t="shared" si="1020"/>
        <v>COLOMBIA</v>
      </c>
      <c r="BJ851" t="str">
        <f t="shared" si="1012"/>
        <v>CANCER INFANTIL</v>
      </c>
      <c r="BK851" t="str">
        <f t="shared" si="1031"/>
        <v>BOGOTA</v>
      </c>
      <c r="BL851" t="str">
        <f t="shared" si="1031"/>
        <v>BOGOTA</v>
      </c>
      <c r="BM851" t="str">
        <f t="shared" si="1021"/>
        <v>COLOMBIA</v>
      </c>
      <c r="BN851" t="str">
        <f t="shared" si="1032"/>
        <v>BOGOTA</v>
      </c>
      <c r="BO851" t="str">
        <f t="shared" si="1032"/>
        <v>BOGOTA</v>
      </c>
      <c r="BP851" t="str">
        <f t="shared" si="1032"/>
        <v>BOGOTA</v>
      </c>
      <c r="BQ851" t="str">
        <f t="shared" si="1032"/>
        <v>BOGOTA</v>
      </c>
    </row>
    <row r="852" spans="1:69" x14ac:dyDescent="0.25">
      <c r="A852" t="str">
        <f>"7278959"</f>
        <v>7278959</v>
      </c>
      <c r="B852" t="str">
        <f t="shared" si="1005"/>
        <v>459</v>
      </c>
      <c r="C852" t="str">
        <f>"18/03/2020 12:00:00 a. m."</f>
        <v>18/03/2020 12:00:00 a. m.</v>
      </c>
      <c r="D852" t="str">
        <f>"12"</f>
        <v>12</v>
      </c>
      <c r="E852" t="str">
        <f t="shared" si="1006"/>
        <v>2020</v>
      </c>
      <c r="F852" t="str">
        <f>"5200100283"</f>
        <v>5200100283</v>
      </c>
      <c r="G852" t="str">
        <f t="shared" si="1024"/>
        <v>01</v>
      </c>
      <c r="H852" t="str">
        <f>"14"</f>
        <v>14</v>
      </c>
      <c r="I852" t="str">
        <f t="shared" si="1033"/>
        <v>1</v>
      </c>
      <c r="J852" t="str">
        <f t="shared" si="1029"/>
        <v>M</v>
      </c>
      <c r="K852" t="str">
        <f t="shared" si="1017"/>
        <v>170</v>
      </c>
      <c r="L852" t="str">
        <f>"52"</f>
        <v>52</v>
      </c>
      <c r="M852" t="str">
        <f>"356"</f>
        <v>356</v>
      </c>
      <c r="N852" t="str">
        <f t="shared" si="1027"/>
        <v>1</v>
      </c>
      <c r="O852" t="str">
        <f>"9997"</f>
        <v>9997</v>
      </c>
      <c r="P852" t="str">
        <f>"N"</f>
        <v>N</v>
      </c>
      <c r="Q852" t="str">
        <f>""</f>
        <v/>
      </c>
      <c r="R852" t="str">
        <f t="shared" si="991"/>
        <v>6</v>
      </c>
      <c r="S852" t="str">
        <f>""</f>
        <v/>
      </c>
      <c r="T852" t="str">
        <f t="shared" si="1002"/>
        <v xml:space="preserve">                                                                                                    </v>
      </c>
      <c r="U852" t="str">
        <f>"1         "</f>
        <v xml:space="preserve">1         </v>
      </c>
      <c r="V852" t="str">
        <f t="shared" si="987"/>
        <v>2</v>
      </c>
      <c r="W852" t="str">
        <f t="shared" si="1003"/>
        <v>2</v>
      </c>
      <c r="X852" t="str">
        <f t="shared" si="960"/>
        <v>2</v>
      </c>
      <c r="Y852" t="str">
        <f t="shared" si="1015"/>
        <v>2</v>
      </c>
      <c r="Z852" t="str">
        <f t="shared" si="1015"/>
        <v>2</v>
      </c>
      <c r="AA852" t="str">
        <f t="shared" si="1007"/>
        <v xml:space="preserve">          </v>
      </c>
      <c r="AB852" t="str">
        <f t="shared" si="999"/>
        <v>2</v>
      </c>
      <c r="AC852" t="str">
        <f t="shared" si="1001"/>
        <v>2</v>
      </c>
      <c r="AD852" t="str">
        <f t="shared" si="1016"/>
        <v>2</v>
      </c>
      <c r="AE852" t="str">
        <f t="shared" si="1016"/>
        <v>2</v>
      </c>
      <c r="AF852" t="str">
        <f t="shared" si="1016"/>
        <v>2</v>
      </c>
      <c r="AG852" t="str">
        <f t="shared" si="1016"/>
        <v>2</v>
      </c>
      <c r="AH852" t="str">
        <f t="shared" si="1004"/>
        <v>1</v>
      </c>
      <c r="AI852" t="str">
        <f t="shared" si="1025"/>
        <v xml:space="preserve">1         </v>
      </c>
      <c r="AJ852" t="str">
        <f t="shared" si="1018"/>
        <v>170</v>
      </c>
      <c r="AK852" t="str">
        <f>"52"</f>
        <v>52</v>
      </c>
      <c r="AL852" t="str">
        <f>"356"</f>
        <v>356</v>
      </c>
      <c r="AM852" t="str">
        <f>"52"</f>
        <v>52</v>
      </c>
      <c r="AN852" t="str">
        <f>"52001"</f>
        <v>52001</v>
      </c>
      <c r="AO852" t="str">
        <f>"15/03/2020 12:00:00 a. m."</f>
        <v>15/03/2020 12:00:00 a. m.</v>
      </c>
      <c r="AP852" t="str">
        <f>"15/02/2020 12:00:00 a. m."</f>
        <v>15/02/2020 12:00:00 a. m.</v>
      </c>
      <c r="AQ852" t="str">
        <f>"2"</f>
        <v>2</v>
      </c>
      <c r="AR852" t="str">
        <f>"1"</f>
        <v>1</v>
      </c>
      <c r="AS852" t="str">
        <f>"15/03/2020 12:00:00 a. m."</f>
        <v>15/03/2020 12:00:00 a. m.</v>
      </c>
      <c r="AT852" t="str">
        <f>"2"</f>
        <v>2</v>
      </c>
      <c r="AU852" t="str">
        <f>"19/03/2020 12:00:00 a. m."</f>
        <v>19/03/2020 12:00:00 a. m.</v>
      </c>
      <c r="AV852" t="str">
        <f>"3"</f>
        <v>3</v>
      </c>
      <c r="AW852" t="str">
        <f>"3/08/2005 12:00:00 a. m."</f>
        <v>3/08/2005 12:00:00 a. m.</v>
      </c>
      <c r="AX852" t="str">
        <f>"9999"</f>
        <v>9999</v>
      </c>
      <c r="AY852" t="str">
        <f t="shared" si="1009"/>
        <v>30/04/2021 12:00:00 a. m.</v>
      </c>
      <c r="AZ852" t="str">
        <f>"16/07/2020 12:00:00 a. m."</f>
        <v>16/07/2020 12:00:00 a. m.</v>
      </c>
      <c r="BA852" t="str">
        <f>""</f>
        <v/>
      </c>
      <c r="BB852" t="str">
        <f>""</f>
        <v/>
      </c>
      <c r="BC852" t="str">
        <f>""</f>
        <v/>
      </c>
      <c r="BD852" t="str">
        <f t="shared" si="1022"/>
        <v>1</v>
      </c>
      <c r="BE852" t="str">
        <f t="shared" si="1022"/>
        <v>1</v>
      </c>
      <c r="BF852" t="str">
        <f t="shared" si="1010"/>
        <v xml:space="preserve">3         </v>
      </c>
      <c r="BG852" t="str">
        <f t="shared" si="1011"/>
        <v>Confirmado por laboratorio</v>
      </c>
      <c r="BH852" t="str">
        <f>"HOSPITAL INFANTIL LOS ANGELES"</f>
        <v>HOSPITAL INFANTIL LOS ANGELES</v>
      </c>
      <c r="BI852" t="str">
        <f t="shared" si="1020"/>
        <v>COLOMBIA</v>
      </c>
      <c r="BJ852" t="str">
        <f t="shared" si="1012"/>
        <v>CANCER INFANTIL</v>
      </c>
      <c r="BK852" t="str">
        <f>"NARIÑO"</f>
        <v>NARIÑO</v>
      </c>
      <c r="BL852" t="str">
        <f>"IPIALES"</f>
        <v>IPIALES</v>
      </c>
      <c r="BM852" t="str">
        <f t="shared" si="1021"/>
        <v>COLOMBIA</v>
      </c>
      <c r="BN852" t="str">
        <f>"NARIÑO"</f>
        <v>NARIÑO</v>
      </c>
      <c r="BO852" t="str">
        <f>"IPIALES"</f>
        <v>IPIALES</v>
      </c>
      <c r="BP852" t="str">
        <f>"NARIÑO"</f>
        <v>NARIÑO</v>
      </c>
      <c r="BQ852" t="str">
        <f>"PASTO"</f>
        <v>PASTO</v>
      </c>
    </row>
    <row r="853" spans="1:69" x14ac:dyDescent="0.25">
      <c r="A853" t="str">
        <f>"7278807"</f>
        <v>7278807</v>
      </c>
      <c r="B853" t="str">
        <f t="shared" si="1005"/>
        <v>459</v>
      </c>
      <c r="C853" t="str">
        <f>"27/05/2020 12:00:00 a. m."</f>
        <v>27/05/2020 12:00:00 a. m.</v>
      </c>
      <c r="D853" t="str">
        <f>"22"</f>
        <v>22</v>
      </c>
      <c r="E853" t="str">
        <f t="shared" si="1006"/>
        <v>2020</v>
      </c>
      <c r="F853" t="str">
        <f>"0500102104"</f>
        <v>0500102104</v>
      </c>
      <c r="G853" t="str">
        <f t="shared" si="1024"/>
        <v>01</v>
      </c>
      <c r="H853" t="str">
        <f>"12"</f>
        <v>12</v>
      </c>
      <c r="I853" t="str">
        <f t="shared" si="1033"/>
        <v>1</v>
      </c>
      <c r="J853" t="str">
        <f t="shared" si="1029"/>
        <v>M</v>
      </c>
      <c r="K853" t="str">
        <f t="shared" si="1017"/>
        <v>170</v>
      </c>
      <c r="L853" t="str">
        <f>"05"</f>
        <v>05</v>
      </c>
      <c r="M853" t="str">
        <f>"318"</f>
        <v>318</v>
      </c>
      <c r="N853" t="str">
        <f t="shared" si="1027"/>
        <v>1</v>
      </c>
      <c r="O853" t="str">
        <f>"9999"</f>
        <v>9999</v>
      </c>
      <c r="P853" t="str">
        <f>"C"</f>
        <v>C</v>
      </c>
      <c r="Q853" t="str">
        <f>"EPS010"</f>
        <v>EPS010</v>
      </c>
      <c r="R853" t="str">
        <f t="shared" ref="R853:R875" si="1034">"6"</f>
        <v>6</v>
      </c>
      <c r="S853" t="str">
        <f>""</f>
        <v/>
      </c>
      <c r="T853" t="str">
        <f t="shared" si="1002"/>
        <v xml:space="preserve">                                                                                                    </v>
      </c>
      <c r="U853" t="str">
        <f>"2         "</f>
        <v xml:space="preserve">2         </v>
      </c>
      <c r="V853" t="str">
        <f t="shared" si="987"/>
        <v>2</v>
      </c>
      <c r="W853" t="str">
        <f t="shared" si="1003"/>
        <v>2</v>
      </c>
      <c r="X853" t="str">
        <f t="shared" si="960"/>
        <v>2</v>
      </c>
      <c r="Y853" t="str">
        <f t="shared" si="1015"/>
        <v>2</v>
      </c>
      <c r="Z853" t="str">
        <f t="shared" si="1015"/>
        <v>2</v>
      </c>
      <c r="AA853" t="str">
        <f t="shared" si="1007"/>
        <v xml:space="preserve">          </v>
      </c>
      <c r="AB853" t="str">
        <f t="shared" si="999"/>
        <v>2</v>
      </c>
      <c r="AC853" t="str">
        <f t="shared" si="1001"/>
        <v>2</v>
      </c>
      <c r="AD853" t="str">
        <f t="shared" si="1016"/>
        <v>2</v>
      </c>
      <c r="AE853" t="str">
        <f t="shared" si="1016"/>
        <v>2</v>
      </c>
      <c r="AF853" t="str">
        <f t="shared" si="1016"/>
        <v>2</v>
      </c>
      <c r="AG853" t="str">
        <f t="shared" si="1016"/>
        <v>2</v>
      </c>
      <c r="AH853" t="str">
        <f t="shared" si="1004"/>
        <v>1</v>
      </c>
      <c r="AI853" t="str">
        <f t="shared" si="1025"/>
        <v xml:space="preserve">1         </v>
      </c>
      <c r="AJ853" t="str">
        <f t="shared" si="1018"/>
        <v>170</v>
      </c>
      <c r="AK853" t="str">
        <f>"05"</f>
        <v>05</v>
      </c>
      <c r="AL853" t="str">
        <f>"318"</f>
        <v>318</v>
      </c>
      <c r="AM853" t="str">
        <f>"05"</f>
        <v>05</v>
      </c>
      <c r="AN853" t="str">
        <f>"05001"</f>
        <v>05001</v>
      </c>
      <c r="AO853" t="str">
        <f>"27/05/2020 12:00:00 a. m."</f>
        <v>27/05/2020 12:00:00 a. m.</v>
      </c>
      <c r="AP853" t="str">
        <f>"27/12/2019 12:00:00 a. m."</f>
        <v>27/12/2019 12:00:00 a. m.</v>
      </c>
      <c r="AQ853" t="str">
        <f>"3"</f>
        <v>3</v>
      </c>
      <c r="AR853" t="str">
        <f>"2"</f>
        <v>2</v>
      </c>
      <c r="AS853" t="str">
        <f>""</f>
        <v/>
      </c>
      <c r="AT853" t="str">
        <f t="shared" ref="AT853:AT873" si="1035">"1"</f>
        <v>1</v>
      </c>
      <c r="AU853" t="str">
        <f>""</f>
        <v/>
      </c>
      <c r="AV853" t="str">
        <f>"0"</f>
        <v>0</v>
      </c>
      <c r="AW853" t="str">
        <f>"30/11/2007 12:00:00 a. m."</f>
        <v>30/11/2007 12:00:00 a. m.</v>
      </c>
      <c r="AX853" t="str">
        <f>""</f>
        <v/>
      </c>
      <c r="AY853" t="str">
        <f t="shared" si="1009"/>
        <v>30/04/2021 12:00:00 a. m.</v>
      </c>
      <c r="AZ853" t="str">
        <f>"2/06/2020 12:00:00 a. m."</f>
        <v>2/06/2020 12:00:00 a. m.</v>
      </c>
      <c r="BA853" t="str">
        <f>""</f>
        <v/>
      </c>
      <c r="BB853" t="str">
        <f>""</f>
        <v/>
      </c>
      <c r="BC853" t="str">
        <f>""</f>
        <v/>
      </c>
      <c r="BD853" t="str">
        <f t="shared" si="1022"/>
        <v>1</v>
      </c>
      <c r="BE853" t="str">
        <f t="shared" si="1022"/>
        <v>1</v>
      </c>
      <c r="BF853" t="str">
        <f t="shared" si="1010"/>
        <v xml:space="preserve">3         </v>
      </c>
      <c r="BG853" t="str">
        <f t="shared" si="1011"/>
        <v>Confirmado por laboratorio</v>
      </c>
      <c r="BH853" t="str">
        <f>"HOSPITAL PABLO TOBON URIBE"</f>
        <v>HOSPITAL PABLO TOBON URIBE</v>
      </c>
      <c r="BI853" t="str">
        <f t="shared" si="1020"/>
        <v>COLOMBIA</v>
      </c>
      <c r="BJ853" t="str">
        <f t="shared" si="1012"/>
        <v>CANCER INFANTIL</v>
      </c>
      <c r="BK853" t="str">
        <f>"ANTIOQUIA"</f>
        <v>ANTIOQUIA</v>
      </c>
      <c r="BL853" t="str">
        <f>"GUARNE"</f>
        <v>GUARNE</v>
      </c>
      <c r="BM853" t="str">
        <f t="shared" si="1021"/>
        <v>COLOMBIA</v>
      </c>
      <c r="BN853" t="str">
        <f>"ANTIOQUIA"</f>
        <v>ANTIOQUIA</v>
      </c>
      <c r="BO853" t="str">
        <f>"GUARNE"</f>
        <v>GUARNE</v>
      </c>
      <c r="BP853" t="str">
        <f>"ANTIOQUIA"</f>
        <v>ANTIOQUIA</v>
      </c>
      <c r="BQ853" t="str">
        <f>"MEDELLIN"</f>
        <v>MEDELLIN</v>
      </c>
    </row>
    <row r="854" spans="1:69" x14ac:dyDescent="0.25">
      <c r="A854" t="str">
        <f>"7285410"</f>
        <v>7285410</v>
      </c>
      <c r="B854" t="str">
        <f t="shared" si="1005"/>
        <v>459</v>
      </c>
      <c r="C854" t="str">
        <f>"23/01/2020 12:00:00 a. m."</f>
        <v>23/01/2020 12:00:00 a. m.</v>
      </c>
      <c r="D854" t="str">
        <f>"02"</f>
        <v>02</v>
      </c>
      <c r="E854" t="str">
        <f t="shared" si="1006"/>
        <v>2020</v>
      </c>
      <c r="F854" t="str">
        <f>"0500102175"</f>
        <v>0500102175</v>
      </c>
      <c r="G854" t="str">
        <f t="shared" si="1024"/>
        <v>01</v>
      </c>
      <c r="H854" t="str">
        <f>"11"</f>
        <v>11</v>
      </c>
      <c r="I854" t="str">
        <f t="shared" si="1033"/>
        <v>1</v>
      </c>
      <c r="J854" t="str">
        <f t="shared" si="1029"/>
        <v>M</v>
      </c>
      <c r="K854" t="str">
        <f t="shared" si="1017"/>
        <v>170</v>
      </c>
      <c r="L854" t="str">
        <f>"05"</f>
        <v>05</v>
      </c>
      <c r="M854" t="str">
        <f>"001"</f>
        <v>001</v>
      </c>
      <c r="N854" t="str">
        <f t="shared" si="1027"/>
        <v>1</v>
      </c>
      <c r="O854" t="str">
        <f>"9997"</f>
        <v>9997</v>
      </c>
      <c r="P854" t="str">
        <f>"C"</f>
        <v>C</v>
      </c>
      <c r="Q854" t="str">
        <f>"EPS010"</f>
        <v>EPS010</v>
      </c>
      <c r="R854" t="str">
        <f t="shared" si="1034"/>
        <v>6</v>
      </c>
      <c r="S854" t="str">
        <f>""</f>
        <v/>
      </c>
      <c r="T854" t="str">
        <f t="shared" si="1002"/>
        <v xml:space="preserve">                                                                                                    </v>
      </c>
      <c r="U854" t="str">
        <f>"4         "</f>
        <v xml:space="preserve">4         </v>
      </c>
      <c r="V854" t="str">
        <f t="shared" si="987"/>
        <v>2</v>
      </c>
      <c r="W854" t="str">
        <f t="shared" si="1003"/>
        <v>2</v>
      </c>
      <c r="X854" t="str">
        <f t="shared" si="960"/>
        <v>2</v>
      </c>
      <c r="Y854" t="str">
        <f t="shared" si="1015"/>
        <v>2</v>
      </c>
      <c r="Z854" t="str">
        <f t="shared" si="1015"/>
        <v>2</v>
      </c>
      <c r="AA854" t="str">
        <f t="shared" si="1007"/>
        <v xml:space="preserve">          </v>
      </c>
      <c r="AB854" t="str">
        <f t="shared" si="999"/>
        <v>2</v>
      </c>
      <c r="AC854" t="str">
        <f t="shared" si="1001"/>
        <v>2</v>
      </c>
      <c r="AD854" t="str">
        <f t="shared" si="1016"/>
        <v>2</v>
      </c>
      <c r="AE854" t="str">
        <f t="shared" si="1016"/>
        <v>2</v>
      </c>
      <c r="AF854" t="str">
        <f t="shared" si="1016"/>
        <v>2</v>
      </c>
      <c r="AG854" t="str">
        <f t="shared" si="1016"/>
        <v>2</v>
      </c>
      <c r="AH854" t="str">
        <f t="shared" si="1004"/>
        <v>1</v>
      </c>
      <c r="AI854" t="str">
        <f t="shared" si="1025"/>
        <v xml:space="preserve">1         </v>
      </c>
      <c r="AJ854" t="str">
        <f t="shared" si="1018"/>
        <v>170</v>
      </c>
      <c r="AK854" t="str">
        <f>"05"</f>
        <v>05</v>
      </c>
      <c r="AL854" t="str">
        <f>"001"</f>
        <v>001</v>
      </c>
      <c r="AM854" t="str">
        <f>"05"</f>
        <v>05</v>
      </c>
      <c r="AN854" t="str">
        <f>"05001"</f>
        <v>05001</v>
      </c>
      <c r="AO854" t="str">
        <f>"11/01/2020 12:00:00 a. m."</f>
        <v>11/01/2020 12:00:00 a. m.</v>
      </c>
      <c r="AP854" t="str">
        <f>"11/01/2020 12:00:00 a. m."</f>
        <v>11/01/2020 12:00:00 a. m.</v>
      </c>
      <c r="AQ854" t="str">
        <f>"3"</f>
        <v>3</v>
      </c>
      <c r="AR854" t="str">
        <f>"1"</f>
        <v>1</v>
      </c>
      <c r="AS854" t="str">
        <f>"16/01/2020 12:00:00 a. m."</f>
        <v>16/01/2020 12:00:00 a. m.</v>
      </c>
      <c r="AT854" t="str">
        <f t="shared" si="1035"/>
        <v>1</v>
      </c>
      <c r="AU854" t="str">
        <f>""</f>
        <v/>
      </c>
      <c r="AV854" t="str">
        <f>"0"</f>
        <v>0</v>
      </c>
      <c r="AW854" t="str">
        <f>"1/02/2008 12:00:00 a. m."</f>
        <v>1/02/2008 12:00:00 a. m.</v>
      </c>
      <c r="AX854" t="str">
        <f>""</f>
        <v/>
      </c>
      <c r="AY854" t="str">
        <f t="shared" si="1009"/>
        <v>30/04/2021 12:00:00 a. m.</v>
      </c>
      <c r="AZ854" t="str">
        <f>"23/01/2020 12:00:00 a. m."</f>
        <v>23/01/2020 12:00:00 a. m.</v>
      </c>
      <c r="BA854" t="str">
        <f>""</f>
        <v/>
      </c>
      <c r="BB854" t="str">
        <f>""</f>
        <v/>
      </c>
      <c r="BC854" t="str">
        <f>""</f>
        <v/>
      </c>
      <c r="BD854" t="str">
        <f t="shared" si="1022"/>
        <v>1</v>
      </c>
      <c r="BE854" t="str">
        <f t="shared" si="1022"/>
        <v>1</v>
      </c>
      <c r="BF854" t="str">
        <f t="shared" si="1010"/>
        <v xml:space="preserve">3         </v>
      </c>
      <c r="BG854" t="str">
        <f t="shared" si="1011"/>
        <v>Confirmado por laboratorio</v>
      </c>
      <c r="BH854" t="str">
        <f>"FUNDACION HOSPITALARIA SAN VICENTE DE PAUL"</f>
        <v>FUNDACION HOSPITALARIA SAN VICENTE DE PAUL</v>
      </c>
      <c r="BI854" t="str">
        <f t="shared" si="1020"/>
        <v>COLOMBIA</v>
      </c>
      <c r="BJ854" t="str">
        <f t="shared" si="1012"/>
        <v>CANCER INFANTIL</v>
      </c>
      <c r="BK854" t="str">
        <f>"ANTIOQUIA"</f>
        <v>ANTIOQUIA</v>
      </c>
      <c r="BL854" t="str">
        <f>"MEDELLIN"</f>
        <v>MEDELLIN</v>
      </c>
      <c r="BM854" t="str">
        <f t="shared" si="1021"/>
        <v>COLOMBIA</v>
      </c>
      <c r="BN854" t="str">
        <f>"ANTIOQUIA"</f>
        <v>ANTIOQUIA</v>
      </c>
      <c r="BO854" t="str">
        <f>"MEDELLIN"</f>
        <v>MEDELLIN</v>
      </c>
      <c r="BP854" t="str">
        <f>"ANTIOQUIA"</f>
        <v>ANTIOQUIA</v>
      </c>
      <c r="BQ854" t="str">
        <f>"MEDELLIN"</f>
        <v>MEDELLIN</v>
      </c>
    </row>
    <row r="855" spans="1:69" x14ac:dyDescent="0.25">
      <c r="A855" t="str">
        <f>"7285414"</f>
        <v>7285414</v>
      </c>
      <c r="B855" t="str">
        <f t="shared" si="1005"/>
        <v>459</v>
      </c>
      <c r="C855" t="str">
        <f>"3/11/2020 12:00:00 a. m."</f>
        <v>3/11/2020 12:00:00 a. m.</v>
      </c>
      <c r="D855" t="str">
        <f>"21"</f>
        <v>21</v>
      </c>
      <c r="E855" t="str">
        <f t="shared" si="1006"/>
        <v>2020</v>
      </c>
      <c r="F855" t="str">
        <f>"0500102175"</f>
        <v>0500102175</v>
      </c>
      <c r="G855" t="str">
        <f t="shared" si="1024"/>
        <v>01</v>
      </c>
      <c r="H855" t="str">
        <f>"13"</f>
        <v>13</v>
      </c>
      <c r="I855" t="str">
        <f t="shared" si="1033"/>
        <v>1</v>
      </c>
      <c r="J855" t="str">
        <f t="shared" si="1029"/>
        <v>M</v>
      </c>
      <c r="K855" t="str">
        <f t="shared" si="1017"/>
        <v>170</v>
      </c>
      <c r="L855" t="str">
        <f>"05"</f>
        <v>05</v>
      </c>
      <c r="M855" t="str">
        <f>"631"</f>
        <v>631</v>
      </c>
      <c r="N855" t="str">
        <f t="shared" si="1027"/>
        <v>1</v>
      </c>
      <c r="O855" t="str">
        <f>"9997"</f>
        <v>9997</v>
      </c>
      <c r="P855" t="str">
        <f>"C"</f>
        <v>C</v>
      </c>
      <c r="Q855" t="str">
        <f>"EPS010"</f>
        <v>EPS010</v>
      </c>
      <c r="R855" t="str">
        <f t="shared" si="1034"/>
        <v>6</v>
      </c>
      <c r="S855" t="str">
        <f>""</f>
        <v/>
      </c>
      <c r="T855" t="str">
        <f t="shared" si="1002"/>
        <v xml:space="preserve">                                                                                                    </v>
      </c>
      <c r="U855" t="str">
        <f>"3         "</f>
        <v xml:space="preserve">3         </v>
      </c>
      <c r="V855" t="str">
        <f t="shared" si="987"/>
        <v>2</v>
      </c>
      <c r="W855" t="str">
        <f t="shared" si="1003"/>
        <v>2</v>
      </c>
      <c r="X855" t="str">
        <f t="shared" si="960"/>
        <v>2</v>
      </c>
      <c r="Y855" t="str">
        <f t="shared" si="1015"/>
        <v>2</v>
      </c>
      <c r="Z855" t="str">
        <f t="shared" si="1015"/>
        <v>2</v>
      </c>
      <c r="AA855" t="str">
        <f t="shared" si="1007"/>
        <v xml:space="preserve">          </v>
      </c>
      <c r="AB855" t="str">
        <f t="shared" si="999"/>
        <v>2</v>
      </c>
      <c r="AC855" t="str">
        <f t="shared" si="1001"/>
        <v>2</v>
      </c>
      <c r="AD855" t="str">
        <f t="shared" si="1016"/>
        <v>2</v>
      </c>
      <c r="AE855" t="str">
        <f t="shared" si="1016"/>
        <v>2</v>
      </c>
      <c r="AF855" t="str">
        <f t="shared" si="1016"/>
        <v>2</v>
      </c>
      <c r="AG855" t="str">
        <f t="shared" si="1016"/>
        <v>2</v>
      </c>
      <c r="AH855" t="str">
        <f t="shared" si="1004"/>
        <v>1</v>
      </c>
      <c r="AI855" t="str">
        <f t="shared" si="1025"/>
        <v xml:space="preserve">1         </v>
      </c>
      <c r="AJ855" t="str">
        <f t="shared" si="1018"/>
        <v>170</v>
      </c>
      <c r="AK855" t="str">
        <f>"05"</f>
        <v>05</v>
      </c>
      <c r="AL855" t="str">
        <f>"631"</f>
        <v>631</v>
      </c>
      <c r="AM855" t="str">
        <f>"05"</f>
        <v>05</v>
      </c>
      <c r="AN855" t="str">
        <f>"05001"</f>
        <v>05001</v>
      </c>
      <c r="AO855" t="str">
        <f>"19/05/2020 12:00:00 a. m."</f>
        <v>19/05/2020 12:00:00 a. m.</v>
      </c>
      <c r="AP855" t="str">
        <f>"1/02/2020 12:00:00 a. m."</f>
        <v>1/02/2020 12:00:00 a. m.</v>
      </c>
      <c r="AQ855" t="str">
        <f>"3"</f>
        <v>3</v>
      </c>
      <c r="AR855" t="str">
        <f>"1"</f>
        <v>1</v>
      </c>
      <c r="AS855" t="str">
        <f>"9/06/2020 12:00:00 a. m."</f>
        <v>9/06/2020 12:00:00 a. m.</v>
      </c>
      <c r="AT855" t="str">
        <f t="shared" si="1035"/>
        <v>1</v>
      </c>
      <c r="AU855" t="str">
        <f>""</f>
        <v/>
      </c>
      <c r="AV855" t="str">
        <f>"0"</f>
        <v>0</v>
      </c>
      <c r="AW855" t="str">
        <f>"16/05/2007 12:00:00 a. m."</f>
        <v>16/05/2007 12:00:00 a. m.</v>
      </c>
      <c r="AX855" t="str">
        <f>""</f>
        <v/>
      </c>
      <c r="AY855" t="str">
        <f t="shared" si="1009"/>
        <v>30/04/2021 12:00:00 a. m.</v>
      </c>
      <c r="AZ855" t="str">
        <f>"3/11/2020 12:00:00 a. m."</f>
        <v>3/11/2020 12:00:00 a. m.</v>
      </c>
      <c r="BA855" t="str">
        <f>""</f>
        <v/>
      </c>
      <c r="BB855" t="str">
        <f>""</f>
        <v/>
      </c>
      <c r="BC855" t="str">
        <f>""</f>
        <v/>
      </c>
      <c r="BD855" t="str">
        <f t="shared" si="1022"/>
        <v>1</v>
      </c>
      <c r="BE855" t="str">
        <f t="shared" si="1022"/>
        <v>1</v>
      </c>
      <c r="BF855" t="str">
        <f t="shared" si="1010"/>
        <v xml:space="preserve">3         </v>
      </c>
      <c r="BG855" t="str">
        <f t="shared" si="1011"/>
        <v>Confirmado por laboratorio</v>
      </c>
      <c r="BH855" t="str">
        <f>"FUNDACION HOSPITALARIA SAN VICENTE DE PAUL"</f>
        <v>FUNDACION HOSPITALARIA SAN VICENTE DE PAUL</v>
      </c>
      <c r="BI855" t="str">
        <f t="shared" si="1020"/>
        <v>COLOMBIA</v>
      </c>
      <c r="BJ855" t="str">
        <f t="shared" si="1012"/>
        <v>CANCER INFANTIL</v>
      </c>
      <c r="BK855" t="str">
        <f>"ANTIOQUIA"</f>
        <v>ANTIOQUIA</v>
      </c>
      <c r="BL855" t="str">
        <f>"SABANETA"</f>
        <v>SABANETA</v>
      </c>
      <c r="BM855" t="str">
        <f t="shared" si="1021"/>
        <v>COLOMBIA</v>
      </c>
      <c r="BN855" t="str">
        <f>"ANTIOQUIA"</f>
        <v>ANTIOQUIA</v>
      </c>
      <c r="BO855" t="str">
        <f>"SABANETA"</f>
        <v>SABANETA</v>
      </c>
      <c r="BP855" t="str">
        <f>"ANTIOQUIA"</f>
        <v>ANTIOQUIA</v>
      </c>
      <c r="BQ855" t="str">
        <f>"MEDELLIN"</f>
        <v>MEDELLIN</v>
      </c>
    </row>
    <row r="856" spans="1:69" x14ac:dyDescent="0.25">
      <c r="A856" t="str">
        <f>"7285444"</f>
        <v>7285444</v>
      </c>
      <c r="B856" t="str">
        <f t="shared" si="1005"/>
        <v>459</v>
      </c>
      <c r="C856" t="str">
        <f>"21/12/2020 12:00:00 a. m."</f>
        <v>21/12/2020 12:00:00 a. m.</v>
      </c>
      <c r="D856" t="str">
        <f>"51"</f>
        <v>51</v>
      </c>
      <c r="E856" t="str">
        <f t="shared" si="1006"/>
        <v>2020</v>
      </c>
      <c r="F856" t="str">
        <f>"5200100283"</f>
        <v>5200100283</v>
      </c>
      <c r="G856" t="str">
        <f t="shared" si="1024"/>
        <v>01</v>
      </c>
      <c r="H856" t="str">
        <f>"4"</f>
        <v>4</v>
      </c>
      <c r="I856" t="str">
        <f t="shared" si="1033"/>
        <v>1</v>
      </c>
      <c r="J856" t="str">
        <f t="shared" si="1029"/>
        <v>M</v>
      </c>
      <c r="K856" t="str">
        <f t="shared" si="1017"/>
        <v>170</v>
      </c>
      <c r="L856" t="str">
        <f>"52"</f>
        <v>52</v>
      </c>
      <c r="M856" t="str">
        <f>"254"</f>
        <v>254</v>
      </c>
      <c r="N856" t="str">
        <f>"3"</f>
        <v>3</v>
      </c>
      <c r="O856" t="str">
        <f>"9999"</f>
        <v>9999</v>
      </c>
      <c r="P856" t="str">
        <f>"S"</f>
        <v>S</v>
      </c>
      <c r="Q856" t="str">
        <f>"CCF027"</f>
        <v>CCF027</v>
      </c>
      <c r="R856" t="str">
        <f t="shared" si="1034"/>
        <v>6</v>
      </c>
      <c r="S856" t="str">
        <f>""</f>
        <v/>
      </c>
      <c r="T856" t="str">
        <f t="shared" si="1002"/>
        <v xml:space="preserve">                                                                                                    </v>
      </c>
      <c r="U856" t="str">
        <f>"1         "</f>
        <v xml:space="preserve">1         </v>
      </c>
      <c r="V856" t="str">
        <f t="shared" si="987"/>
        <v>2</v>
      </c>
      <c r="W856" t="str">
        <f t="shared" si="1003"/>
        <v>2</v>
      </c>
      <c r="X856" t="str">
        <f t="shared" si="960"/>
        <v>2</v>
      </c>
      <c r="Y856" t="str">
        <f t="shared" si="1015"/>
        <v>2</v>
      </c>
      <c r="Z856" t="str">
        <f t="shared" si="1015"/>
        <v>2</v>
      </c>
      <c r="AA856" t="str">
        <f t="shared" si="1007"/>
        <v xml:space="preserve">          </v>
      </c>
      <c r="AB856" t="str">
        <f t="shared" si="999"/>
        <v>2</v>
      </c>
      <c r="AC856" t="str">
        <f t="shared" si="1001"/>
        <v>2</v>
      </c>
      <c r="AD856" t="str">
        <f t="shared" si="1016"/>
        <v>2</v>
      </c>
      <c r="AE856" t="str">
        <f t="shared" si="1016"/>
        <v>2</v>
      </c>
      <c r="AF856" t="str">
        <f t="shared" si="1016"/>
        <v>2</v>
      </c>
      <c r="AG856" t="str">
        <f t="shared" si="1016"/>
        <v>2</v>
      </c>
      <c r="AH856" t="str">
        <f t="shared" si="1004"/>
        <v>1</v>
      </c>
      <c r="AI856" t="str">
        <f t="shared" si="1025"/>
        <v xml:space="preserve">1         </v>
      </c>
      <c r="AJ856" t="str">
        <f t="shared" si="1018"/>
        <v>170</v>
      </c>
      <c r="AK856" t="str">
        <f>"52"</f>
        <v>52</v>
      </c>
      <c r="AL856" t="str">
        <f>"254"</f>
        <v>254</v>
      </c>
      <c r="AM856" t="str">
        <f>"52"</f>
        <v>52</v>
      </c>
      <c r="AN856" t="str">
        <f>"52001"</f>
        <v>52001</v>
      </c>
      <c r="AO856" t="str">
        <f>"15/12/2020 12:00:00 a. m."</f>
        <v>15/12/2020 12:00:00 a. m.</v>
      </c>
      <c r="AP856" t="str">
        <f>"15/09/2020 12:00:00 a. m."</f>
        <v>15/09/2020 12:00:00 a. m.</v>
      </c>
      <c r="AQ856" t="str">
        <f>"2"</f>
        <v>2</v>
      </c>
      <c r="AR856" t="str">
        <f>"1"</f>
        <v>1</v>
      </c>
      <c r="AS856" t="str">
        <f>"15/12/2020 12:00:00 a. m."</f>
        <v>15/12/2020 12:00:00 a. m.</v>
      </c>
      <c r="AT856" t="str">
        <f t="shared" si="1035"/>
        <v>1</v>
      </c>
      <c r="AU856" t="str">
        <f>""</f>
        <v/>
      </c>
      <c r="AV856" t="str">
        <f>"3"</f>
        <v>3</v>
      </c>
      <c r="AW856" t="str">
        <f>"20/01/2016 12:00:00 a. m."</f>
        <v>20/01/2016 12:00:00 a. m.</v>
      </c>
      <c r="AX856" t="str">
        <f>""</f>
        <v/>
      </c>
      <c r="AY856" t="str">
        <f t="shared" si="1009"/>
        <v>30/04/2021 12:00:00 a. m.</v>
      </c>
      <c r="AZ856" t="str">
        <f>"16/02/2021 12:00:00 a. m."</f>
        <v>16/02/2021 12:00:00 a. m.</v>
      </c>
      <c r="BA856" t="str">
        <f>""</f>
        <v/>
      </c>
      <c r="BB856" t="str">
        <f>""</f>
        <v/>
      </c>
      <c r="BC856" t="str">
        <f>""</f>
        <v/>
      </c>
      <c r="BD856" t="str">
        <f t="shared" si="1022"/>
        <v>1</v>
      </c>
      <c r="BE856" t="str">
        <f t="shared" si="1022"/>
        <v>1</v>
      </c>
      <c r="BF856" t="str">
        <f t="shared" si="1010"/>
        <v xml:space="preserve">3         </v>
      </c>
      <c r="BG856" t="str">
        <f t="shared" si="1011"/>
        <v>Confirmado por laboratorio</v>
      </c>
      <c r="BH856" t="str">
        <f>"HOSPITAL INFANTIL LOS ANGELES"</f>
        <v>HOSPITAL INFANTIL LOS ANGELES</v>
      </c>
      <c r="BI856" t="str">
        <f t="shared" si="1020"/>
        <v>COLOMBIA</v>
      </c>
      <c r="BJ856" t="str">
        <f t="shared" si="1012"/>
        <v>CANCER INFANTIL</v>
      </c>
      <c r="BK856" t="str">
        <f>"NARIÑO"</f>
        <v>NARIÑO</v>
      </c>
      <c r="BL856" t="str">
        <f>"EL PEÑOL"</f>
        <v>EL PEÑOL</v>
      </c>
      <c r="BM856" t="str">
        <f t="shared" si="1021"/>
        <v>COLOMBIA</v>
      </c>
      <c r="BN856" t="str">
        <f>"NARIÑO"</f>
        <v>NARIÑO</v>
      </c>
      <c r="BO856" t="str">
        <f>"EL PEÑOL"</f>
        <v>EL PEÑOL</v>
      </c>
      <c r="BP856" t="str">
        <f>"NARIÑO"</f>
        <v>NARIÑO</v>
      </c>
      <c r="BQ856" t="str">
        <f>"PASTO"</f>
        <v>PASTO</v>
      </c>
    </row>
    <row r="857" spans="1:69" x14ac:dyDescent="0.25">
      <c r="A857" t="str">
        <f>"7285597"</f>
        <v>7285597</v>
      </c>
      <c r="B857" t="str">
        <f t="shared" si="1005"/>
        <v>459</v>
      </c>
      <c r="C857" t="str">
        <f>"15/10/2020 12:00:00 a. m."</f>
        <v>15/10/2020 12:00:00 a. m.</v>
      </c>
      <c r="D857" t="str">
        <f>"42"</f>
        <v>42</v>
      </c>
      <c r="E857" t="str">
        <f t="shared" si="1006"/>
        <v>2020</v>
      </c>
      <c r="F857" t="str">
        <f>"1100106065"</f>
        <v>1100106065</v>
      </c>
      <c r="G857" t="str">
        <f t="shared" si="1024"/>
        <v>01</v>
      </c>
      <c r="H857" t="str">
        <f>"17"</f>
        <v>17</v>
      </c>
      <c r="I857" t="str">
        <f t="shared" si="1033"/>
        <v>1</v>
      </c>
      <c r="J857" t="str">
        <f t="shared" si="1029"/>
        <v>M</v>
      </c>
      <c r="K857" t="str">
        <f t="shared" si="1017"/>
        <v>170</v>
      </c>
      <c r="L857" t="str">
        <f>"11"</f>
        <v>11</v>
      </c>
      <c r="M857" t="str">
        <f>"001"</f>
        <v>001</v>
      </c>
      <c r="N857" t="str">
        <f t="shared" ref="N857:N867" si="1036">"1"</f>
        <v>1</v>
      </c>
      <c r="O857" t="str">
        <f t="shared" ref="O857:O862" si="1037">"9997"</f>
        <v>9997</v>
      </c>
      <c r="P857" t="str">
        <f>"S"</f>
        <v>S</v>
      </c>
      <c r="Q857" t="str">
        <f>"EPSS44"</f>
        <v>EPSS44</v>
      </c>
      <c r="R857" t="str">
        <f t="shared" si="1034"/>
        <v>6</v>
      </c>
      <c r="S857" t="str">
        <f>""</f>
        <v/>
      </c>
      <c r="T857" t="str">
        <f t="shared" si="1002"/>
        <v xml:space="preserve">                                                                                                    </v>
      </c>
      <c r="U857" t="str">
        <f>"3         "</f>
        <v xml:space="preserve">3         </v>
      </c>
      <c r="V857" t="str">
        <f t="shared" si="987"/>
        <v>2</v>
      </c>
      <c r="W857" t="str">
        <f t="shared" si="1003"/>
        <v>2</v>
      </c>
      <c r="X857" t="str">
        <f t="shared" si="960"/>
        <v>2</v>
      </c>
      <c r="Y857" t="str">
        <f t="shared" si="1015"/>
        <v>2</v>
      </c>
      <c r="Z857" t="str">
        <f t="shared" si="1015"/>
        <v>2</v>
      </c>
      <c r="AA857" t="str">
        <f t="shared" si="1007"/>
        <v xml:space="preserve">          </v>
      </c>
      <c r="AB857" t="str">
        <f t="shared" si="999"/>
        <v>2</v>
      </c>
      <c r="AC857" t="str">
        <f t="shared" si="1001"/>
        <v>2</v>
      </c>
      <c r="AD857" t="str">
        <f t="shared" si="1016"/>
        <v>2</v>
      </c>
      <c r="AE857" t="str">
        <f t="shared" si="1016"/>
        <v>2</v>
      </c>
      <c r="AF857" t="str">
        <f t="shared" si="1016"/>
        <v>2</v>
      </c>
      <c r="AG857" t="str">
        <f t="shared" si="1016"/>
        <v>2</v>
      </c>
      <c r="AH857" t="str">
        <f t="shared" si="1004"/>
        <v>1</v>
      </c>
      <c r="AI857" t="str">
        <f t="shared" si="1025"/>
        <v xml:space="preserve">1         </v>
      </c>
      <c r="AJ857" t="str">
        <f t="shared" si="1018"/>
        <v>170</v>
      </c>
      <c r="AK857" t="str">
        <f>"11"</f>
        <v>11</v>
      </c>
      <c r="AL857" t="str">
        <f>"001"</f>
        <v>001</v>
      </c>
      <c r="AM857" t="str">
        <f t="shared" ref="AM857:AM862" si="1038">"11"</f>
        <v>11</v>
      </c>
      <c r="AN857" t="str">
        <f t="shared" ref="AN857:AN862" si="1039">"11001"</f>
        <v>11001</v>
      </c>
      <c r="AO857" t="str">
        <f>"15/10/2020 12:00:00 a. m."</f>
        <v>15/10/2020 12:00:00 a. m.</v>
      </c>
      <c r="AP857" t="str">
        <f>"1/09/2020 12:00:00 a. m."</f>
        <v>1/09/2020 12:00:00 a. m.</v>
      </c>
      <c r="AQ857" t="str">
        <f t="shared" ref="AQ857:AQ867" si="1040">"3"</f>
        <v>3</v>
      </c>
      <c r="AR857" t="str">
        <f>"1"</f>
        <v>1</v>
      </c>
      <c r="AS857" t="str">
        <f>"15/10/2020 12:00:00 a. m."</f>
        <v>15/10/2020 12:00:00 a. m.</v>
      </c>
      <c r="AT857" t="str">
        <f t="shared" si="1035"/>
        <v>1</v>
      </c>
      <c r="AU857" t="str">
        <f>""</f>
        <v/>
      </c>
      <c r="AV857" t="str">
        <f>"0"</f>
        <v>0</v>
      </c>
      <c r="AW857" t="str">
        <f>"31/08/2003 12:00:00 a. m."</f>
        <v>31/08/2003 12:00:00 a. m.</v>
      </c>
      <c r="AX857" t="str">
        <f>""</f>
        <v/>
      </c>
      <c r="AY857" t="str">
        <f t="shared" si="1009"/>
        <v>30/04/2021 12:00:00 a. m.</v>
      </c>
      <c r="AZ857" t="str">
        <f>"19/10/2020 12:00:00 a. m."</f>
        <v>19/10/2020 12:00:00 a. m.</v>
      </c>
      <c r="BA857" t="str">
        <f>""</f>
        <v/>
      </c>
      <c r="BB857" t="str">
        <f>""</f>
        <v/>
      </c>
      <c r="BC857" t="str">
        <f>""</f>
        <v/>
      </c>
      <c r="BD857" t="str">
        <f t="shared" si="1022"/>
        <v>1</v>
      </c>
      <c r="BE857" t="str">
        <f t="shared" si="1022"/>
        <v>1</v>
      </c>
      <c r="BF857" t="str">
        <f t="shared" si="1010"/>
        <v xml:space="preserve">3         </v>
      </c>
      <c r="BG857" t="str">
        <f t="shared" si="1011"/>
        <v>Confirmado por laboratorio</v>
      </c>
      <c r="BH857" t="str">
        <f>"ESE INSTITUTO NACIONAL DE CANCEROLOGIA"</f>
        <v>ESE INSTITUTO NACIONAL DE CANCEROLOGIA</v>
      </c>
      <c r="BI857" t="str">
        <f t="shared" si="1020"/>
        <v>COLOMBIA</v>
      </c>
      <c r="BJ857" t="str">
        <f t="shared" si="1012"/>
        <v>CANCER INFANTIL</v>
      </c>
      <c r="BK857" t="str">
        <f t="shared" ref="BK857:BL860" si="1041">"BOGOTA"</f>
        <v>BOGOTA</v>
      </c>
      <c r="BL857" t="str">
        <f t="shared" si="1041"/>
        <v>BOGOTA</v>
      </c>
      <c r="BM857" t="str">
        <f t="shared" si="1021"/>
        <v>COLOMBIA</v>
      </c>
      <c r="BN857" t="str">
        <f t="shared" ref="BN857:BQ860" si="1042">"BOGOTA"</f>
        <v>BOGOTA</v>
      </c>
      <c r="BO857" t="str">
        <f t="shared" si="1042"/>
        <v>BOGOTA</v>
      </c>
      <c r="BP857" t="str">
        <f t="shared" si="1042"/>
        <v>BOGOTA</v>
      </c>
      <c r="BQ857" t="str">
        <f t="shared" si="1042"/>
        <v>BOGOTA</v>
      </c>
    </row>
    <row r="858" spans="1:69" x14ac:dyDescent="0.25">
      <c r="A858" t="str">
        <f>"7285669"</f>
        <v>7285669</v>
      </c>
      <c r="B858" t="str">
        <f t="shared" si="1005"/>
        <v>459</v>
      </c>
      <c r="C858" t="str">
        <f>"23/09/2020 12:00:00 a. m."</f>
        <v>23/09/2020 12:00:00 a. m.</v>
      </c>
      <c r="D858" t="str">
        <f>"32"</f>
        <v>32</v>
      </c>
      <c r="E858" t="str">
        <f t="shared" si="1006"/>
        <v>2020</v>
      </c>
      <c r="F858" t="str">
        <f>"1100116133"</f>
        <v>1100116133</v>
      </c>
      <c r="G858" t="str">
        <f t="shared" si="1024"/>
        <v>01</v>
      </c>
      <c r="H858" t="str">
        <f>"14"</f>
        <v>14</v>
      </c>
      <c r="I858" t="str">
        <f t="shared" si="1033"/>
        <v>1</v>
      </c>
      <c r="J858" t="str">
        <f>"F"</f>
        <v>F</v>
      </c>
      <c r="K858" t="str">
        <f t="shared" si="1017"/>
        <v>170</v>
      </c>
      <c r="L858" t="str">
        <f>"11"</f>
        <v>11</v>
      </c>
      <c r="M858" t="str">
        <f>"001"</f>
        <v>001</v>
      </c>
      <c r="N858" t="str">
        <f t="shared" si="1036"/>
        <v>1</v>
      </c>
      <c r="O858" t="str">
        <f t="shared" si="1037"/>
        <v>9997</v>
      </c>
      <c r="P858" t="str">
        <f>"C"</f>
        <v>C</v>
      </c>
      <c r="Q858" t="str">
        <f>"EPS008"</f>
        <v>EPS008</v>
      </c>
      <c r="R858" t="str">
        <f t="shared" si="1034"/>
        <v>6</v>
      </c>
      <c r="S858" t="str">
        <f>""</f>
        <v/>
      </c>
      <c r="T858" t="str">
        <f t="shared" si="1002"/>
        <v xml:space="preserve">                                                                                                    </v>
      </c>
      <c r="U858" t="str">
        <f t="shared" ref="U858:U865" si="1043">"2         "</f>
        <v xml:space="preserve">2         </v>
      </c>
      <c r="V858" t="str">
        <f t="shared" si="987"/>
        <v>2</v>
      </c>
      <c r="W858" t="str">
        <f t="shared" si="1003"/>
        <v>2</v>
      </c>
      <c r="X858" t="str">
        <f t="shared" ref="X858:X921" si="1044">"2"</f>
        <v>2</v>
      </c>
      <c r="Y858" t="str">
        <f t="shared" si="1015"/>
        <v>2</v>
      </c>
      <c r="Z858" t="str">
        <f t="shared" si="1015"/>
        <v>2</v>
      </c>
      <c r="AA858" t="str">
        <f t="shared" si="1007"/>
        <v xml:space="preserve">          </v>
      </c>
      <c r="AB858" t="str">
        <f t="shared" si="999"/>
        <v>2</v>
      </c>
      <c r="AC858" t="str">
        <f t="shared" si="1001"/>
        <v>2</v>
      </c>
      <c r="AD858" t="str">
        <f t="shared" si="1016"/>
        <v>2</v>
      </c>
      <c r="AE858" t="str">
        <f t="shared" si="1016"/>
        <v>2</v>
      </c>
      <c r="AF858" t="str">
        <f t="shared" si="1016"/>
        <v>2</v>
      </c>
      <c r="AG858" t="str">
        <f t="shared" si="1016"/>
        <v>2</v>
      </c>
      <c r="AH858" t="str">
        <f t="shared" si="1004"/>
        <v>1</v>
      </c>
      <c r="AI858" t="str">
        <f>"2         "</f>
        <v xml:space="preserve">2         </v>
      </c>
      <c r="AJ858" t="str">
        <f t="shared" si="1018"/>
        <v>170</v>
      </c>
      <c r="AK858" t="str">
        <f>"11"</f>
        <v>11</v>
      </c>
      <c r="AL858" t="str">
        <f>"001"</f>
        <v>001</v>
      </c>
      <c r="AM858" t="str">
        <f t="shared" si="1038"/>
        <v>11</v>
      </c>
      <c r="AN858" t="str">
        <f t="shared" si="1039"/>
        <v>11001</v>
      </c>
      <c r="AO858" t="str">
        <f>"6/08/2020 12:00:00 a. m."</f>
        <v>6/08/2020 12:00:00 a. m.</v>
      </c>
      <c r="AP858" t="str">
        <f>"23/07/2020 12:00:00 a. m."</f>
        <v>23/07/2020 12:00:00 a. m.</v>
      </c>
      <c r="AQ858" t="str">
        <f t="shared" si="1040"/>
        <v>3</v>
      </c>
      <c r="AR858" t="str">
        <f>"2"</f>
        <v>2</v>
      </c>
      <c r="AS858" t="str">
        <f>""</f>
        <v/>
      </c>
      <c r="AT858" t="str">
        <f t="shared" si="1035"/>
        <v>1</v>
      </c>
      <c r="AU858" t="str">
        <f>""</f>
        <v/>
      </c>
      <c r="AV858" t="str">
        <f>"7"</f>
        <v>7</v>
      </c>
      <c r="AW858" t="str">
        <f>"14/05/2006 12:00:00 a. m."</f>
        <v>14/05/2006 12:00:00 a. m.</v>
      </c>
      <c r="AX858" t="str">
        <f>""</f>
        <v/>
      </c>
      <c r="AY858" t="str">
        <f t="shared" si="1009"/>
        <v>30/04/2021 12:00:00 a. m.</v>
      </c>
      <c r="AZ858" t="str">
        <f>"23/11/2020 12:00:00 a. m."</f>
        <v>23/11/2020 12:00:00 a. m.</v>
      </c>
      <c r="BA858" t="str">
        <f>""</f>
        <v/>
      </c>
      <c r="BB858" t="str">
        <f>""</f>
        <v/>
      </c>
      <c r="BC858" t="str">
        <f>""</f>
        <v/>
      </c>
      <c r="BD858" t="str">
        <f t="shared" si="1022"/>
        <v>1</v>
      </c>
      <c r="BE858" t="str">
        <f t="shared" si="1022"/>
        <v>1</v>
      </c>
      <c r="BF858" t="str">
        <f t="shared" si="1010"/>
        <v xml:space="preserve">3         </v>
      </c>
      <c r="BG858" t="str">
        <f t="shared" si="1011"/>
        <v>Confirmado por laboratorio</v>
      </c>
      <c r="BH858" t="str">
        <f>"FUNDACION HOSPITAL INFANTIL UNIVERSITARIO DE SAN"</f>
        <v>FUNDACION HOSPITAL INFANTIL UNIVERSITARIO DE SAN</v>
      </c>
      <c r="BI858" t="str">
        <f t="shared" si="1020"/>
        <v>COLOMBIA</v>
      </c>
      <c r="BJ858" t="str">
        <f t="shared" si="1012"/>
        <v>CANCER INFANTIL</v>
      </c>
      <c r="BK858" t="str">
        <f t="shared" si="1041"/>
        <v>BOGOTA</v>
      </c>
      <c r="BL858" t="str">
        <f t="shared" si="1041"/>
        <v>BOGOTA</v>
      </c>
      <c r="BM858" t="str">
        <f t="shared" si="1021"/>
        <v>COLOMBIA</v>
      </c>
      <c r="BN858" t="str">
        <f t="shared" si="1042"/>
        <v>BOGOTA</v>
      </c>
      <c r="BO858" t="str">
        <f t="shared" si="1042"/>
        <v>BOGOTA</v>
      </c>
      <c r="BP858" t="str">
        <f t="shared" si="1042"/>
        <v>BOGOTA</v>
      </c>
      <c r="BQ858" t="str">
        <f t="shared" si="1042"/>
        <v>BOGOTA</v>
      </c>
    </row>
    <row r="859" spans="1:69" x14ac:dyDescent="0.25">
      <c r="A859" t="str">
        <f>"7285582"</f>
        <v>7285582</v>
      </c>
      <c r="B859" t="str">
        <f t="shared" si="1005"/>
        <v>459</v>
      </c>
      <c r="C859" t="str">
        <f>"9/05/2020 12:00:00 a. m."</f>
        <v>9/05/2020 12:00:00 a. m.</v>
      </c>
      <c r="D859" t="str">
        <f>"16"</f>
        <v>16</v>
      </c>
      <c r="E859" t="str">
        <f t="shared" si="1006"/>
        <v>2020</v>
      </c>
      <c r="F859" t="str">
        <f>"1100109523"</f>
        <v>1100109523</v>
      </c>
      <c r="G859" t="str">
        <f>"14"</f>
        <v>14</v>
      </c>
      <c r="H859" t="str">
        <f>"16"</f>
        <v>16</v>
      </c>
      <c r="I859" t="str">
        <f t="shared" si="1033"/>
        <v>1</v>
      </c>
      <c r="J859" t="str">
        <f>"M"</f>
        <v>M</v>
      </c>
      <c r="K859" t="str">
        <f t="shared" si="1017"/>
        <v>170</v>
      </c>
      <c r="L859" t="str">
        <f>"11"</f>
        <v>11</v>
      </c>
      <c r="M859" t="str">
        <f>"001"</f>
        <v>001</v>
      </c>
      <c r="N859" t="str">
        <f t="shared" si="1036"/>
        <v>1</v>
      </c>
      <c r="O859" t="str">
        <f t="shared" si="1037"/>
        <v>9997</v>
      </c>
      <c r="P859" t="str">
        <f>"C"</f>
        <v>C</v>
      </c>
      <c r="Q859" t="str">
        <f>"EPS002"</f>
        <v>EPS002</v>
      </c>
      <c r="R859" t="str">
        <f t="shared" si="1034"/>
        <v>6</v>
      </c>
      <c r="S859" t="str">
        <f>""</f>
        <v/>
      </c>
      <c r="T859" t="str">
        <f t="shared" si="1002"/>
        <v xml:space="preserve">                                                                                                    </v>
      </c>
      <c r="U859" t="str">
        <f t="shared" si="1043"/>
        <v xml:space="preserve">2         </v>
      </c>
      <c r="V859" t="str">
        <f t="shared" si="987"/>
        <v>2</v>
      </c>
      <c r="W859" t="str">
        <f t="shared" si="1003"/>
        <v>2</v>
      </c>
      <c r="X859" t="str">
        <f t="shared" si="1044"/>
        <v>2</v>
      </c>
      <c r="Y859" t="str">
        <f t="shared" ref="Y859:Z878" si="1045">"2"</f>
        <v>2</v>
      </c>
      <c r="Z859" t="str">
        <f t="shared" si="1045"/>
        <v>2</v>
      </c>
      <c r="AA859" t="str">
        <f t="shared" si="1007"/>
        <v xml:space="preserve">          </v>
      </c>
      <c r="AB859" t="str">
        <f t="shared" si="999"/>
        <v>2</v>
      </c>
      <c r="AC859" t="str">
        <f t="shared" si="1001"/>
        <v>2</v>
      </c>
      <c r="AD859" t="str">
        <f t="shared" si="1016"/>
        <v>2</v>
      </c>
      <c r="AE859" t="str">
        <f t="shared" si="1016"/>
        <v>2</v>
      </c>
      <c r="AF859" t="str">
        <f t="shared" si="1016"/>
        <v>2</v>
      </c>
      <c r="AG859" t="str">
        <f t="shared" si="1016"/>
        <v>2</v>
      </c>
      <c r="AH859" t="str">
        <f t="shared" si="1004"/>
        <v>1</v>
      </c>
      <c r="AI859" t="str">
        <f>"2         "</f>
        <v xml:space="preserve">2         </v>
      </c>
      <c r="AJ859" t="str">
        <f t="shared" si="1018"/>
        <v>170</v>
      </c>
      <c r="AK859" t="str">
        <f>"11"</f>
        <v>11</v>
      </c>
      <c r="AL859" t="str">
        <f>"001"</f>
        <v>001</v>
      </c>
      <c r="AM859" t="str">
        <f t="shared" si="1038"/>
        <v>11</v>
      </c>
      <c r="AN859" t="str">
        <f t="shared" si="1039"/>
        <v>11001</v>
      </c>
      <c r="AO859" t="str">
        <f>"15/04/2020 12:00:00 a. m."</f>
        <v>15/04/2020 12:00:00 a. m.</v>
      </c>
      <c r="AP859" t="str">
        <f>"20/02/2020 12:00:00 a. m."</f>
        <v>20/02/2020 12:00:00 a. m.</v>
      </c>
      <c r="AQ859" t="str">
        <f t="shared" si="1040"/>
        <v>3</v>
      </c>
      <c r="AR859" t="str">
        <f>"2"</f>
        <v>2</v>
      </c>
      <c r="AS859" t="str">
        <f>""</f>
        <v/>
      </c>
      <c r="AT859" t="str">
        <f t="shared" si="1035"/>
        <v>1</v>
      </c>
      <c r="AU859" t="str">
        <f>""</f>
        <v/>
      </c>
      <c r="AV859" t="str">
        <f>"7"</f>
        <v>7</v>
      </c>
      <c r="AW859" t="str">
        <f>"15/09/2003 12:00:00 a. m."</f>
        <v>15/09/2003 12:00:00 a. m.</v>
      </c>
      <c r="AX859" t="str">
        <f>""</f>
        <v/>
      </c>
      <c r="AY859" t="str">
        <f t="shared" si="1009"/>
        <v>30/04/2021 12:00:00 a. m.</v>
      </c>
      <c r="AZ859" t="str">
        <f>"6/01/2021 12:00:00 a. m."</f>
        <v>6/01/2021 12:00:00 a. m.</v>
      </c>
      <c r="BA859" t="str">
        <f>""</f>
        <v/>
      </c>
      <c r="BB859" t="str">
        <f>""</f>
        <v/>
      </c>
      <c r="BC859" t="str">
        <f>""</f>
        <v/>
      </c>
      <c r="BD859" t="str">
        <f t="shared" si="1022"/>
        <v>1</v>
      </c>
      <c r="BE859" t="str">
        <f t="shared" si="1022"/>
        <v>1</v>
      </c>
      <c r="BF859" t="str">
        <f t="shared" si="1010"/>
        <v xml:space="preserve">3         </v>
      </c>
      <c r="BG859" t="str">
        <f t="shared" si="1011"/>
        <v>Confirmado por laboratorio</v>
      </c>
      <c r="BH859" t="str">
        <f>"VIRREY SOLIS IPS AUTOPISTA NORTE CALLE 162 - USAQU"</f>
        <v>VIRREY SOLIS IPS AUTOPISTA NORTE CALLE 162 - USAQU</v>
      </c>
      <c r="BI859" t="str">
        <f t="shared" si="1020"/>
        <v>COLOMBIA</v>
      </c>
      <c r="BJ859" t="str">
        <f t="shared" si="1012"/>
        <v>CANCER INFANTIL</v>
      </c>
      <c r="BK859" t="str">
        <f t="shared" si="1041"/>
        <v>BOGOTA</v>
      </c>
      <c r="BL859" t="str">
        <f t="shared" si="1041"/>
        <v>BOGOTA</v>
      </c>
      <c r="BM859" t="str">
        <f t="shared" si="1021"/>
        <v>COLOMBIA</v>
      </c>
      <c r="BN859" t="str">
        <f t="shared" si="1042"/>
        <v>BOGOTA</v>
      </c>
      <c r="BO859" t="str">
        <f t="shared" si="1042"/>
        <v>BOGOTA</v>
      </c>
      <c r="BP859" t="str">
        <f t="shared" si="1042"/>
        <v>BOGOTA</v>
      </c>
      <c r="BQ859" t="str">
        <f t="shared" si="1042"/>
        <v>BOGOTA</v>
      </c>
    </row>
    <row r="860" spans="1:69" x14ac:dyDescent="0.25">
      <c r="A860" t="str">
        <f>"7279220"</f>
        <v>7279220</v>
      </c>
      <c r="B860" t="str">
        <f t="shared" si="1005"/>
        <v>459</v>
      </c>
      <c r="C860" t="str">
        <f>"6/11/2020 12:00:00 a. m."</f>
        <v>6/11/2020 12:00:00 a. m.</v>
      </c>
      <c r="D860" t="str">
        <f>"39"</f>
        <v>39</v>
      </c>
      <c r="E860" t="str">
        <f t="shared" si="1006"/>
        <v>2020</v>
      </c>
      <c r="F860" t="str">
        <f>"1100130291"</f>
        <v>1100130291</v>
      </c>
      <c r="G860" t="str">
        <f t="shared" ref="G860:G867" si="1046">"01"</f>
        <v>01</v>
      </c>
      <c r="H860" t="str">
        <f>"17"</f>
        <v>17</v>
      </c>
      <c r="I860" t="str">
        <f t="shared" si="1033"/>
        <v>1</v>
      </c>
      <c r="J860" t="str">
        <f>"M"</f>
        <v>M</v>
      </c>
      <c r="K860" t="str">
        <f t="shared" si="1017"/>
        <v>170</v>
      </c>
      <c r="L860" t="str">
        <f>"11"</f>
        <v>11</v>
      </c>
      <c r="M860" t="str">
        <f>"001"</f>
        <v>001</v>
      </c>
      <c r="N860" t="str">
        <f t="shared" si="1036"/>
        <v>1</v>
      </c>
      <c r="O860" t="str">
        <f t="shared" si="1037"/>
        <v>9997</v>
      </c>
      <c r="P860" t="str">
        <f>"S"</f>
        <v>S</v>
      </c>
      <c r="Q860" t="str">
        <f>"EPSS34"</f>
        <v>EPSS34</v>
      </c>
      <c r="R860" t="str">
        <f t="shared" si="1034"/>
        <v>6</v>
      </c>
      <c r="S860" t="str">
        <f>""</f>
        <v/>
      </c>
      <c r="T860" t="str">
        <f t="shared" si="1002"/>
        <v xml:space="preserve">                                                                                                    </v>
      </c>
      <c r="U860" t="str">
        <f t="shared" si="1043"/>
        <v xml:space="preserve">2         </v>
      </c>
      <c r="V860" t="str">
        <f t="shared" si="987"/>
        <v>2</v>
      </c>
      <c r="W860" t="str">
        <f t="shared" si="1003"/>
        <v>2</v>
      </c>
      <c r="X860" t="str">
        <f t="shared" si="1044"/>
        <v>2</v>
      </c>
      <c r="Y860" t="str">
        <f t="shared" si="1045"/>
        <v>2</v>
      </c>
      <c r="Z860" t="str">
        <f t="shared" si="1045"/>
        <v>2</v>
      </c>
      <c r="AA860" t="str">
        <f t="shared" si="1007"/>
        <v xml:space="preserve">          </v>
      </c>
      <c r="AB860" t="str">
        <f t="shared" si="999"/>
        <v>2</v>
      </c>
      <c r="AC860" t="str">
        <f t="shared" si="1001"/>
        <v>2</v>
      </c>
      <c r="AD860" t="str">
        <f t="shared" ref="AD860:AG879" si="1047">"2"</f>
        <v>2</v>
      </c>
      <c r="AE860" t="str">
        <f t="shared" si="1047"/>
        <v>2</v>
      </c>
      <c r="AF860" t="str">
        <f t="shared" si="1047"/>
        <v>2</v>
      </c>
      <c r="AG860" t="str">
        <f t="shared" si="1047"/>
        <v>2</v>
      </c>
      <c r="AH860" t="str">
        <f t="shared" si="1004"/>
        <v>1</v>
      </c>
      <c r="AI860" t="str">
        <f>"2         "</f>
        <v xml:space="preserve">2         </v>
      </c>
      <c r="AJ860" t="str">
        <f t="shared" si="1018"/>
        <v>170</v>
      </c>
      <c r="AK860" t="str">
        <f>"11"</f>
        <v>11</v>
      </c>
      <c r="AL860" t="str">
        <f>"001"</f>
        <v>001</v>
      </c>
      <c r="AM860" t="str">
        <f t="shared" si="1038"/>
        <v>11</v>
      </c>
      <c r="AN860" t="str">
        <f t="shared" si="1039"/>
        <v>11001</v>
      </c>
      <c r="AO860" t="str">
        <f>"22/09/2020 12:00:00 a. m."</f>
        <v>22/09/2020 12:00:00 a. m.</v>
      </c>
      <c r="AP860" t="str">
        <f>"14/09/2020 12:00:00 a. m."</f>
        <v>14/09/2020 12:00:00 a. m.</v>
      </c>
      <c r="AQ860" t="str">
        <f t="shared" si="1040"/>
        <v>3</v>
      </c>
      <c r="AR860" t="str">
        <f>"2"</f>
        <v>2</v>
      </c>
      <c r="AS860" t="str">
        <f>""</f>
        <v/>
      </c>
      <c r="AT860" t="str">
        <f t="shared" si="1035"/>
        <v>1</v>
      </c>
      <c r="AU860" t="str">
        <f>""</f>
        <v/>
      </c>
      <c r="AV860" t="str">
        <f>"7"</f>
        <v>7</v>
      </c>
      <c r="AW860" t="str">
        <f>"21/08/2003 12:00:00 a. m."</f>
        <v>21/08/2003 12:00:00 a. m.</v>
      </c>
      <c r="AX860" t="str">
        <f>""</f>
        <v/>
      </c>
      <c r="AY860" t="str">
        <f t="shared" si="1009"/>
        <v>30/04/2021 12:00:00 a. m.</v>
      </c>
      <c r="AZ860" t="str">
        <f>"19/02/2021 12:00:00 a. m."</f>
        <v>19/02/2021 12:00:00 a. m.</v>
      </c>
      <c r="BA860" t="str">
        <f>""</f>
        <v/>
      </c>
      <c r="BB860" t="str">
        <f>""</f>
        <v/>
      </c>
      <c r="BC860" t="str">
        <f>""</f>
        <v/>
      </c>
      <c r="BD860" t="str">
        <f t="shared" si="1022"/>
        <v>1</v>
      </c>
      <c r="BE860" t="str">
        <f t="shared" si="1022"/>
        <v>1</v>
      </c>
      <c r="BF860" t="str">
        <f t="shared" si="1010"/>
        <v xml:space="preserve">3         </v>
      </c>
      <c r="BG860" t="str">
        <f t="shared" si="1011"/>
        <v>Confirmado por laboratorio</v>
      </c>
      <c r="BH860" t="str">
        <f>"USS SIMON BOLIVAR SUBRED NORTE ESE"</f>
        <v>USS SIMON BOLIVAR SUBRED NORTE ESE</v>
      </c>
      <c r="BI860" t="str">
        <f t="shared" si="1020"/>
        <v>COLOMBIA</v>
      </c>
      <c r="BJ860" t="str">
        <f t="shared" si="1012"/>
        <v>CANCER INFANTIL</v>
      </c>
      <c r="BK860" t="str">
        <f t="shared" si="1041"/>
        <v>BOGOTA</v>
      </c>
      <c r="BL860" t="str">
        <f t="shared" si="1041"/>
        <v>BOGOTA</v>
      </c>
      <c r="BM860" t="str">
        <f t="shared" si="1021"/>
        <v>COLOMBIA</v>
      </c>
      <c r="BN860" t="str">
        <f t="shared" si="1042"/>
        <v>BOGOTA</v>
      </c>
      <c r="BO860" t="str">
        <f t="shared" si="1042"/>
        <v>BOGOTA</v>
      </c>
      <c r="BP860" t="str">
        <f t="shared" si="1042"/>
        <v>BOGOTA</v>
      </c>
      <c r="BQ860" t="str">
        <f t="shared" si="1042"/>
        <v>BOGOTA</v>
      </c>
    </row>
    <row r="861" spans="1:69" x14ac:dyDescent="0.25">
      <c r="A861" t="str">
        <f>"7279160"</f>
        <v>7279160</v>
      </c>
      <c r="B861" t="str">
        <f t="shared" si="1005"/>
        <v>459</v>
      </c>
      <c r="C861" t="str">
        <f>"27/11/2020 12:00:00 a. m."</f>
        <v>27/11/2020 12:00:00 a. m.</v>
      </c>
      <c r="D861" t="str">
        <f>"47"</f>
        <v>47</v>
      </c>
      <c r="E861" t="str">
        <f t="shared" si="1006"/>
        <v>2020</v>
      </c>
      <c r="F861" t="str">
        <f>"1100105681"</f>
        <v>1100105681</v>
      </c>
      <c r="G861" t="str">
        <f t="shared" si="1046"/>
        <v>01</v>
      </c>
      <c r="H861" t="str">
        <f>"12"</f>
        <v>12</v>
      </c>
      <c r="I861" t="str">
        <f t="shared" si="1033"/>
        <v>1</v>
      </c>
      <c r="J861" t="str">
        <f>"F"</f>
        <v>F</v>
      </c>
      <c r="K861" t="str">
        <f t="shared" si="1017"/>
        <v>170</v>
      </c>
      <c r="L861" t="str">
        <f>"73"</f>
        <v>73</v>
      </c>
      <c r="M861" t="str">
        <f>"585"</f>
        <v>585</v>
      </c>
      <c r="N861" t="str">
        <f t="shared" si="1036"/>
        <v>1</v>
      </c>
      <c r="O861" t="str">
        <f t="shared" si="1037"/>
        <v>9997</v>
      </c>
      <c r="P861" t="str">
        <f>"S"</f>
        <v>S</v>
      </c>
      <c r="Q861" t="str">
        <f>"EPSS41"</f>
        <v>EPSS41</v>
      </c>
      <c r="R861" t="str">
        <f t="shared" si="1034"/>
        <v>6</v>
      </c>
      <c r="S861" t="str">
        <f>""</f>
        <v/>
      </c>
      <c r="T861" t="str">
        <f t="shared" si="1002"/>
        <v xml:space="preserve">                                                                                                    </v>
      </c>
      <c r="U861" t="str">
        <f t="shared" si="1043"/>
        <v xml:space="preserve">2         </v>
      </c>
      <c r="V861" t="str">
        <f t="shared" si="987"/>
        <v>2</v>
      </c>
      <c r="W861" t="str">
        <f t="shared" si="1003"/>
        <v>2</v>
      </c>
      <c r="X861" t="str">
        <f t="shared" si="1044"/>
        <v>2</v>
      </c>
      <c r="Y861" t="str">
        <f t="shared" si="1045"/>
        <v>2</v>
      </c>
      <c r="Z861" t="str">
        <f t="shared" si="1045"/>
        <v>2</v>
      </c>
      <c r="AA861" t="str">
        <f t="shared" si="1007"/>
        <v xml:space="preserve">          </v>
      </c>
      <c r="AB861" t="str">
        <f t="shared" si="999"/>
        <v>2</v>
      </c>
      <c r="AC861" t="str">
        <f t="shared" si="1001"/>
        <v>2</v>
      </c>
      <c r="AD861" t="str">
        <f t="shared" si="1047"/>
        <v>2</v>
      </c>
      <c r="AE861" t="str">
        <f t="shared" si="1047"/>
        <v>2</v>
      </c>
      <c r="AF861" t="str">
        <f t="shared" si="1047"/>
        <v>2</v>
      </c>
      <c r="AG861" t="str">
        <f t="shared" si="1047"/>
        <v>2</v>
      </c>
      <c r="AH861" t="str">
        <f t="shared" si="1004"/>
        <v>1</v>
      </c>
      <c r="AI861" t="str">
        <f t="shared" ref="AI861:AI866" si="1048">"1         "</f>
        <v xml:space="preserve">1         </v>
      </c>
      <c r="AJ861" t="str">
        <f t="shared" si="1018"/>
        <v>170</v>
      </c>
      <c r="AK861" t="str">
        <f>"73"</f>
        <v>73</v>
      </c>
      <c r="AL861" t="str">
        <f>"585"</f>
        <v>585</v>
      </c>
      <c r="AM861" t="str">
        <f t="shared" si="1038"/>
        <v>11</v>
      </c>
      <c r="AN861" t="str">
        <f t="shared" si="1039"/>
        <v>11001</v>
      </c>
      <c r="AO861" t="str">
        <f>"18/11/2020 12:00:00 a. m."</f>
        <v>18/11/2020 12:00:00 a. m.</v>
      </c>
      <c r="AP861" t="str">
        <f>"9/09/2020 12:00:00 a. m."</f>
        <v>9/09/2020 12:00:00 a. m.</v>
      </c>
      <c r="AQ861" t="str">
        <f t="shared" si="1040"/>
        <v>3</v>
      </c>
      <c r="AR861" t="str">
        <f t="shared" ref="AR861:AR867" si="1049">"1"</f>
        <v>1</v>
      </c>
      <c r="AS861" t="str">
        <f>"18/11/2020 12:00:00 a. m."</f>
        <v>18/11/2020 12:00:00 a. m.</v>
      </c>
      <c r="AT861" t="str">
        <f t="shared" si="1035"/>
        <v>1</v>
      </c>
      <c r="AU861" t="str">
        <f>""</f>
        <v/>
      </c>
      <c r="AV861" t="str">
        <f>"0"</f>
        <v>0</v>
      </c>
      <c r="AW861" t="str">
        <f>"9/09/2008 12:00:00 a. m."</f>
        <v>9/09/2008 12:00:00 a. m.</v>
      </c>
      <c r="AX861" t="str">
        <f>""</f>
        <v/>
      </c>
      <c r="AY861" t="str">
        <f t="shared" si="1009"/>
        <v>30/04/2021 12:00:00 a. m.</v>
      </c>
      <c r="AZ861" t="str">
        <f>"10/01/2021 12:00:00 a. m."</f>
        <v>10/01/2021 12:00:00 a. m.</v>
      </c>
      <c r="BA861" t="str">
        <f>""</f>
        <v/>
      </c>
      <c r="BB861" t="str">
        <f>""</f>
        <v/>
      </c>
      <c r="BC861" t="str">
        <f>""</f>
        <v/>
      </c>
      <c r="BD861" t="str">
        <f t="shared" si="1022"/>
        <v>1</v>
      </c>
      <c r="BE861" t="str">
        <f t="shared" si="1022"/>
        <v>1</v>
      </c>
      <c r="BF861" t="str">
        <f t="shared" si="1010"/>
        <v xml:space="preserve">3         </v>
      </c>
      <c r="BG861" t="str">
        <f t="shared" si="1011"/>
        <v>Confirmado por laboratorio</v>
      </c>
      <c r="BH861" t="str">
        <f>"FUNDACION HOSPITAL DE LA MISERICORDIA"</f>
        <v>FUNDACION HOSPITAL DE LA MISERICORDIA</v>
      </c>
      <c r="BI861" t="str">
        <f t="shared" si="1020"/>
        <v>COLOMBIA</v>
      </c>
      <c r="BJ861" t="str">
        <f t="shared" si="1012"/>
        <v>CANCER INFANTIL</v>
      </c>
      <c r="BK861" t="str">
        <f>"TOLIMA"</f>
        <v>TOLIMA</v>
      </c>
      <c r="BL861" t="str">
        <f>"PURIFICACION"</f>
        <v>PURIFICACION</v>
      </c>
      <c r="BM861" t="str">
        <f t="shared" si="1021"/>
        <v>COLOMBIA</v>
      </c>
      <c r="BN861" t="str">
        <f>"TOLIMA"</f>
        <v>TOLIMA</v>
      </c>
      <c r="BO861" t="str">
        <f>"PURIFICACION"</f>
        <v>PURIFICACION</v>
      </c>
      <c r="BP861" t="str">
        <f>"BOGOTA"</f>
        <v>BOGOTA</v>
      </c>
      <c r="BQ861" t="str">
        <f>"BOGOTA"</f>
        <v>BOGOTA</v>
      </c>
    </row>
    <row r="862" spans="1:69" x14ac:dyDescent="0.25">
      <c r="A862" t="str">
        <f>"7279162"</f>
        <v>7279162</v>
      </c>
      <c r="B862" t="str">
        <f t="shared" si="1005"/>
        <v>459</v>
      </c>
      <c r="C862" t="str">
        <f>"11/09/2020 12:00:00 a. m."</f>
        <v>11/09/2020 12:00:00 a. m.</v>
      </c>
      <c r="D862" t="str">
        <f>"25"</f>
        <v>25</v>
      </c>
      <c r="E862" t="str">
        <f t="shared" si="1006"/>
        <v>2020</v>
      </c>
      <c r="F862" t="str">
        <f>"1100105681"</f>
        <v>1100105681</v>
      </c>
      <c r="G862" t="str">
        <f t="shared" si="1046"/>
        <v>01</v>
      </c>
      <c r="H862" t="str">
        <f>"16"</f>
        <v>16</v>
      </c>
      <c r="I862" t="str">
        <f t="shared" si="1033"/>
        <v>1</v>
      </c>
      <c r="J862" t="str">
        <f>"F"</f>
        <v>F</v>
      </c>
      <c r="K862" t="str">
        <f t="shared" si="1017"/>
        <v>170</v>
      </c>
      <c r="L862" t="str">
        <f>"73"</f>
        <v>73</v>
      </c>
      <c r="M862" t="str">
        <f>"001"</f>
        <v>001</v>
      </c>
      <c r="N862" t="str">
        <f t="shared" si="1036"/>
        <v>1</v>
      </c>
      <c r="O862" t="str">
        <f t="shared" si="1037"/>
        <v>9997</v>
      </c>
      <c r="P862" t="str">
        <f>"C"</f>
        <v>C</v>
      </c>
      <c r="Q862" t="str">
        <f>"EPS002"</f>
        <v>EPS002</v>
      </c>
      <c r="R862" t="str">
        <f t="shared" si="1034"/>
        <v>6</v>
      </c>
      <c r="S862" t="str">
        <f>""</f>
        <v/>
      </c>
      <c r="T862" t="str">
        <f t="shared" ref="T862:T879" si="1050">"                                                                                                    "</f>
        <v xml:space="preserve">                                                                                                    </v>
      </c>
      <c r="U862" t="str">
        <f t="shared" si="1043"/>
        <v xml:space="preserve">2         </v>
      </c>
      <c r="V862" t="str">
        <f t="shared" si="987"/>
        <v>2</v>
      </c>
      <c r="W862" t="str">
        <f t="shared" si="1003"/>
        <v>2</v>
      </c>
      <c r="X862" t="str">
        <f t="shared" si="1044"/>
        <v>2</v>
      </c>
      <c r="Y862" t="str">
        <f t="shared" si="1045"/>
        <v>2</v>
      </c>
      <c r="Z862" t="str">
        <f t="shared" si="1045"/>
        <v>2</v>
      </c>
      <c r="AA862" t="str">
        <f t="shared" si="1007"/>
        <v xml:space="preserve">          </v>
      </c>
      <c r="AB862" t="str">
        <f t="shared" si="999"/>
        <v>2</v>
      </c>
      <c r="AC862" t="str">
        <f t="shared" si="1001"/>
        <v>2</v>
      </c>
      <c r="AD862" t="str">
        <f t="shared" si="1047"/>
        <v>2</v>
      </c>
      <c r="AE862" t="str">
        <f t="shared" si="1047"/>
        <v>2</v>
      </c>
      <c r="AF862" t="str">
        <f t="shared" si="1047"/>
        <v>2</v>
      </c>
      <c r="AG862" t="str">
        <f t="shared" si="1047"/>
        <v>2</v>
      </c>
      <c r="AH862" t="str">
        <f t="shared" si="1004"/>
        <v>1</v>
      </c>
      <c r="AI862" t="str">
        <f t="shared" si="1048"/>
        <v xml:space="preserve">1         </v>
      </c>
      <c r="AJ862" t="str">
        <f t="shared" si="1018"/>
        <v>170</v>
      </c>
      <c r="AK862" t="str">
        <f>"73"</f>
        <v>73</v>
      </c>
      <c r="AL862" t="str">
        <f>"001"</f>
        <v>001</v>
      </c>
      <c r="AM862" t="str">
        <f t="shared" si="1038"/>
        <v>11</v>
      </c>
      <c r="AN862" t="str">
        <f t="shared" si="1039"/>
        <v>11001</v>
      </c>
      <c r="AO862" t="str">
        <f>"15/06/2020 12:00:00 a. m."</f>
        <v>15/06/2020 12:00:00 a. m.</v>
      </c>
      <c r="AP862" t="str">
        <f>"1/03/2020 12:00:00 a. m."</f>
        <v>1/03/2020 12:00:00 a. m.</v>
      </c>
      <c r="AQ862" t="str">
        <f t="shared" si="1040"/>
        <v>3</v>
      </c>
      <c r="AR862" t="str">
        <f t="shared" si="1049"/>
        <v>1</v>
      </c>
      <c r="AS862" t="str">
        <f>"15/06/2020 12:00:00 a. m."</f>
        <v>15/06/2020 12:00:00 a. m.</v>
      </c>
      <c r="AT862" t="str">
        <f t="shared" si="1035"/>
        <v>1</v>
      </c>
      <c r="AU862" t="str">
        <f>""</f>
        <v/>
      </c>
      <c r="AV862" t="str">
        <f>"0"</f>
        <v>0</v>
      </c>
      <c r="AW862" t="str">
        <f>"13/03/2004 12:00:00 a. m."</f>
        <v>13/03/2004 12:00:00 a. m.</v>
      </c>
      <c r="AX862" t="str">
        <f>""</f>
        <v/>
      </c>
      <c r="AY862" t="str">
        <f t="shared" si="1009"/>
        <v>30/04/2021 12:00:00 a. m.</v>
      </c>
      <c r="AZ862" t="str">
        <f>"11/09/2020 12:00:00 a. m."</f>
        <v>11/09/2020 12:00:00 a. m.</v>
      </c>
      <c r="BA862" t="str">
        <f>""</f>
        <v/>
      </c>
      <c r="BB862" t="str">
        <f>""</f>
        <v/>
      </c>
      <c r="BC862" t="str">
        <f>""</f>
        <v/>
      </c>
      <c r="BD862" t="str">
        <f t="shared" ref="BD862:BE881" si="1051">"1"</f>
        <v>1</v>
      </c>
      <c r="BE862" t="str">
        <f t="shared" si="1051"/>
        <v>1</v>
      </c>
      <c r="BF862" t="str">
        <f t="shared" si="1010"/>
        <v xml:space="preserve">3         </v>
      </c>
      <c r="BG862" t="str">
        <f t="shared" si="1011"/>
        <v>Confirmado por laboratorio</v>
      </c>
      <c r="BH862" t="str">
        <f>"FUNDACION HOSPITAL DE LA MISERICORDIA"</f>
        <v>FUNDACION HOSPITAL DE LA MISERICORDIA</v>
      </c>
      <c r="BI862" t="str">
        <f t="shared" si="1020"/>
        <v>COLOMBIA</v>
      </c>
      <c r="BJ862" t="str">
        <f t="shared" si="1012"/>
        <v>CANCER INFANTIL</v>
      </c>
      <c r="BK862" t="str">
        <f>"TOLIMA"</f>
        <v>TOLIMA</v>
      </c>
      <c r="BL862" t="str">
        <f>"IBAGUE"</f>
        <v>IBAGUE</v>
      </c>
      <c r="BM862" t="str">
        <f t="shared" si="1021"/>
        <v>COLOMBIA</v>
      </c>
      <c r="BN862" t="str">
        <f>"TOLIMA"</f>
        <v>TOLIMA</v>
      </c>
      <c r="BO862" t="str">
        <f>"IBAGUE"</f>
        <v>IBAGUE</v>
      </c>
      <c r="BP862" t="str">
        <f>"BOGOTA"</f>
        <v>BOGOTA</v>
      </c>
      <c r="BQ862" t="str">
        <f>"BOGOTA"</f>
        <v>BOGOTA</v>
      </c>
    </row>
    <row r="863" spans="1:69" x14ac:dyDescent="0.25">
      <c r="A863" t="str">
        <f>"7285355"</f>
        <v>7285355</v>
      </c>
      <c r="B863" t="str">
        <f t="shared" si="1005"/>
        <v>459</v>
      </c>
      <c r="C863" t="str">
        <f>"4/11/2020 12:00:00 a. m."</f>
        <v>4/11/2020 12:00:00 a. m.</v>
      </c>
      <c r="D863" t="str">
        <f>"45"</f>
        <v>45</v>
      </c>
      <c r="E863" t="str">
        <f t="shared" si="1006"/>
        <v>2020</v>
      </c>
      <c r="F863" t="str">
        <f>"0500102104"</f>
        <v>0500102104</v>
      </c>
      <c r="G863" t="str">
        <f t="shared" si="1046"/>
        <v>01</v>
      </c>
      <c r="H863" t="str">
        <f>"11"</f>
        <v>11</v>
      </c>
      <c r="I863" t="str">
        <f t="shared" si="1033"/>
        <v>1</v>
      </c>
      <c r="J863" t="str">
        <f>"F"</f>
        <v>F</v>
      </c>
      <c r="K863" t="str">
        <f t="shared" si="1017"/>
        <v>170</v>
      </c>
      <c r="L863" t="str">
        <f>"05"</f>
        <v>05</v>
      </c>
      <c r="M863" t="str">
        <f>"001"</f>
        <v>001</v>
      </c>
      <c r="N863" t="str">
        <f t="shared" si="1036"/>
        <v>1</v>
      </c>
      <c r="O863" t="str">
        <f>"9999"</f>
        <v>9999</v>
      </c>
      <c r="P863" t="str">
        <f>"C"</f>
        <v>C</v>
      </c>
      <c r="Q863" t="str">
        <f>"EPS010"</f>
        <v>EPS010</v>
      </c>
      <c r="R863" t="str">
        <f t="shared" si="1034"/>
        <v>6</v>
      </c>
      <c r="S863" t="str">
        <f>""</f>
        <v/>
      </c>
      <c r="T863" t="str">
        <f t="shared" si="1050"/>
        <v xml:space="preserve">                                                                                                    </v>
      </c>
      <c r="U863" t="str">
        <f t="shared" si="1043"/>
        <v xml:space="preserve">2         </v>
      </c>
      <c r="V863" t="str">
        <f t="shared" si="987"/>
        <v>2</v>
      </c>
      <c r="W863" t="str">
        <f t="shared" ref="W863:W879" si="1052">"2"</f>
        <v>2</v>
      </c>
      <c r="X863" t="str">
        <f t="shared" si="1044"/>
        <v>2</v>
      </c>
      <c r="Y863" t="str">
        <f t="shared" si="1045"/>
        <v>2</v>
      </c>
      <c r="Z863" t="str">
        <f t="shared" si="1045"/>
        <v>2</v>
      </c>
      <c r="AA863" t="str">
        <f t="shared" si="1007"/>
        <v xml:space="preserve">          </v>
      </c>
      <c r="AB863" t="str">
        <f t="shared" si="999"/>
        <v>2</v>
      </c>
      <c r="AC863" t="str">
        <f t="shared" si="1001"/>
        <v>2</v>
      </c>
      <c r="AD863" t="str">
        <f t="shared" si="1047"/>
        <v>2</v>
      </c>
      <c r="AE863" t="str">
        <f t="shared" si="1047"/>
        <v>2</v>
      </c>
      <c r="AF863" t="str">
        <f t="shared" si="1047"/>
        <v>2</v>
      </c>
      <c r="AG863" t="str">
        <f t="shared" si="1047"/>
        <v>2</v>
      </c>
      <c r="AH863" t="str">
        <f t="shared" ref="AH863:AH879" si="1053">"1"</f>
        <v>1</v>
      </c>
      <c r="AI863" t="str">
        <f t="shared" si="1048"/>
        <v xml:space="preserve">1         </v>
      </c>
      <c r="AJ863" t="str">
        <f t="shared" si="1018"/>
        <v>170</v>
      </c>
      <c r="AK863" t="str">
        <f>"05"</f>
        <v>05</v>
      </c>
      <c r="AL863" t="str">
        <f>"001"</f>
        <v>001</v>
      </c>
      <c r="AM863" t="str">
        <f>"05"</f>
        <v>05</v>
      </c>
      <c r="AN863" t="str">
        <f>"05001"</f>
        <v>05001</v>
      </c>
      <c r="AO863" t="str">
        <f>"4/11/2020 12:00:00 a. m."</f>
        <v>4/11/2020 12:00:00 a. m.</v>
      </c>
      <c r="AP863" t="str">
        <f>"4/10/2020 12:00:00 a. m."</f>
        <v>4/10/2020 12:00:00 a. m.</v>
      </c>
      <c r="AQ863" t="str">
        <f t="shared" si="1040"/>
        <v>3</v>
      </c>
      <c r="AR863" t="str">
        <f t="shared" si="1049"/>
        <v>1</v>
      </c>
      <c r="AS863" t="str">
        <f>"4/11/2020 12:00:00 a. m."</f>
        <v>4/11/2020 12:00:00 a. m.</v>
      </c>
      <c r="AT863" t="str">
        <f t="shared" si="1035"/>
        <v>1</v>
      </c>
      <c r="AU863" t="str">
        <f>""</f>
        <v/>
      </c>
      <c r="AV863" t="str">
        <f>"0"</f>
        <v>0</v>
      </c>
      <c r="AW863" t="str">
        <f>"26/09/2009 12:00:00 a. m."</f>
        <v>26/09/2009 12:00:00 a. m.</v>
      </c>
      <c r="AX863" t="str">
        <f>""</f>
        <v/>
      </c>
      <c r="AY863" t="str">
        <f t="shared" si="1009"/>
        <v>30/04/2021 12:00:00 a. m.</v>
      </c>
      <c r="AZ863" t="str">
        <f>"19/11/2020 12:00:00 a. m."</f>
        <v>19/11/2020 12:00:00 a. m.</v>
      </c>
      <c r="BA863" t="str">
        <f>""</f>
        <v/>
      </c>
      <c r="BB863" t="str">
        <f>""</f>
        <v/>
      </c>
      <c r="BC863" t="str">
        <f>""</f>
        <v/>
      </c>
      <c r="BD863" t="str">
        <f t="shared" si="1051"/>
        <v>1</v>
      </c>
      <c r="BE863" t="str">
        <f t="shared" si="1051"/>
        <v>1</v>
      </c>
      <c r="BF863" t="str">
        <f t="shared" si="1010"/>
        <v xml:space="preserve">3         </v>
      </c>
      <c r="BG863" t="str">
        <f t="shared" si="1011"/>
        <v>Confirmado por laboratorio</v>
      </c>
      <c r="BH863" t="str">
        <f>"HOSPITAL PABLO TOBON URIBE"</f>
        <v>HOSPITAL PABLO TOBON URIBE</v>
      </c>
      <c r="BI863" t="str">
        <f t="shared" si="1020"/>
        <v>COLOMBIA</v>
      </c>
      <c r="BJ863" t="str">
        <f t="shared" si="1012"/>
        <v>CANCER INFANTIL</v>
      </c>
      <c r="BK863" t="str">
        <f>"ANTIOQUIA"</f>
        <v>ANTIOQUIA</v>
      </c>
      <c r="BL863" t="str">
        <f>"MEDELLIN"</f>
        <v>MEDELLIN</v>
      </c>
      <c r="BM863" t="str">
        <f t="shared" si="1021"/>
        <v>COLOMBIA</v>
      </c>
      <c r="BN863" t="str">
        <f>"ANTIOQUIA"</f>
        <v>ANTIOQUIA</v>
      </c>
      <c r="BO863" t="str">
        <f>"MEDELLIN"</f>
        <v>MEDELLIN</v>
      </c>
      <c r="BP863" t="str">
        <f>"ANTIOQUIA"</f>
        <v>ANTIOQUIA</v>
      </c>
      <c r="BQ863" t="str">
        <f>"MEDELLIN"</f>
        <v>MEDELLIN</v>
      </c>
    </row>
    <row r="864" spans="1:69" x14ac:dyDescent="0.25">
      <c r="A864" t="str">
        <f>"7285429"</f>
        <v>7285429</v>
      </c>
      <c r="B864" t="str">
        <f t="shared" si="1005"/>
        <v>459</v>
      </c>
      <c r="C864" t="str">
        <f>"15/02/2021 12:00:00 a. m."</f>
        <v>15/02/2021 12:00:00 a. m.</v>
      </c>
      <c r="D864" t="str">
        <f>"50"</f>
        <v>50</v>
      </c>
      <c r="E864" t="str">
        <f t="shared" si="1006"/>
        <v>2020</v>
      </c>
      <c r="F864" t="str">
        <f>"0500102175"</f>
        <v>0500102175</v>
      </c>
      <c r="G864" t="str">
        <f t="shared" si="1046"/>
        <v>01</v>
      </c>
      <c r="H864" t="str">
        <f>"11"</f>
        <v>11</v>
      </c>
      <c r="I864" t="str">
        <f t="shared" si="1033"/>
        <v>1</v>
      </c>
      <c r="J864" t="str">
        <f>"M"</f>
        <v>M</v>
      </c>
      <c r="K864" t="str">
        <f t="shared" si="1017"/>
        <v>170</v>
      </c>
      <c r="L864" t="str">
        <f>"05"</f>
        <v>05</v>
      </c>
      <c r="M864" t="str">
        <f>"001"</f>
        <v>001</v>
      </c>
      <c r="N864" t="str">
        <f t="shared" si="1036"/>
        <v>1</v>
      </c>
      <c r="O864" t="str">
        <f>"9997"</f>
        <v>9997</v>
      </c>
      <c r="P864" t="str">
        <f>"C"</f>
        <v>C</v>
      </c>
      <c r="Q864" t="str">
        <f>"EPS010"</f>
        <v>EPS010</v>
      </c>
      <c r="R864" t="str">
        <f t="shared" si="1034"/>
        <v>6</v>
      </c>
      <c r="S864" t="str">
        <f>""</f>
        <v/>
      </c>
      <c r="T864" t="str">
        <f t="shared" si="1050"/>
        <v xml:space="preserve">                                                                                                    </v>
      </c>
      <c r="U864" t="str">
        <f t="shared" si="1043"/>
        <v xml:space="preserve">2         </v>
      </c>
      <c r="V864" t="str">
        <f t="shared" si="987"/>
        <v>2</v>
      </c>
      <c r="W864" t="str">
        <f t="shared" si="1052"/>
        <v>2</v>
      </c>
      <c r="X864" t="str">
        <f t="shared" si="1044"/>
        <v>2</v>
      </c>
      <c r="Y864" t="str">
        <f t="shared" si="1045"/>
        <v>2</v>
      </c>
      <c r="Z864" t="str">
        <f t="shared" si="1045"/>
        <v>2</v>
      </c>
      <c r="AA864" t="str">
        <f t="shared" si="1007"/>
        <v xml:space="preserve">          </v>
      </c>
      <c r="AB864" t="str">
        <f t="shared" si="999"/>
        <v>2</v>
      </c>
      <c r="AC864" t="str">
        <f t="shared" si="1001"/>
        <v>2</v>
      </c>
      <c r="AD864" t="str">
        <f t="shared" si="1047"/>
        <v>2</v>
      </c>
      <c r="AE864" t="str">
        <f t="shared" si="1047"/>
        <v>2</v>
      </c>
      <c r="AF864" t="str">
        <f t="shared" si="1047"/>
        <v>2</v>
      </c>
      <c r="AG864" t="str">
        <f t="shared" si="1047"/>
        <v>2</v>
      </c>
      <c r="AH864" t="str">
        <f t="shared" si="1053"/>
        <v>1</v>
      </c>
      <c r="AI864" t="str">
        <f t="shared" si="1048"/>
        <v xml:space="preserve">1         </v>
      </c>
      <c r="AJ864" t="str">
        <f t="shared" si="1018"/>
        <v>170</v>
      </c>
      <c r="AK864" t="str">
        <f>"05"</f>
        <v>05</v>
      </c>
      <c r="AL864" t="str">
        <f>"001"</f>
        <v>001</v>
      </c>
      <c r="AM864" t="str">
        <f>"05"</f>
        <v>05</v>
      </c>
      <c r="AN864" t="str">
        <f>"05001"</f>
        <v>05001</v>
      </c>
      <c r="AO864" t="str">
        <f>"10/12/2020 12:00:00 a. m."</f>
        <v>10/12/2020 12:00:00 a. m.</v>
      </c>
      <c r="AP864" t="str">
        <f>"12/01/2020 12:00:00 a. m."</f>
        <v>12/01/2020 12:00:00 a. m.</v>
      </c>
      <c r="AQ864" t="str">
        <f t="shared" si="1040"/>
        <v>3</v>
      </c>
      <c r="AR864" t="str">
        <f t="shared" si="1049"/>
        <v>1</v>
      </c>
      <c r="AS864" t="str">
        <f>"10/12/2020 12:00:00 a. m."</f>
        <v>10/12/2020 12:00:00 a. m.</v>
      </c>
      <c r="AT864" t="str">
        <f t="shared" si="1035"/>
        <v>1</v>
      </c>
      <c r="AU864" t="str">
        <f>""</f>
        <v/>
      </c>
      <c r="AV864" t="str">
        <f>"0"</f>
        <v>0</v>
      </c>
      <c r="AW864" t="str">
        <f>"14/08/2009 12:00:00 a. m."</f>
        <v>14/08/2009 12:00:00 a. m.</v>
      </c>
      <c r="AX864" t="str">
        <f>""</f>
        <v/>
      </c>
      <c r="AY864" t="str">
        <f t="shared" si="1009"/>
        <v>30/04/2021 12:00:00 a. m.</v>
      </c>
      <c r="AZ864" t="str">
        <f>"16/02/2021 12:00:00 a. m."</f>
        <v>16/02/2021 12:00:00 a. m.</v>
      </c>
      <c r="BA864" t="str">
        <f>""</f>
        <v/>
      </c>
      <c r="BB864" t="str">
        <f>""</f>
        <v/>
      </c>
      <c r="BC864" t="str">
        <f>""</f>
        <v/>
      </c>
      <c r="BD864" t="str">
        <f t="shared" si="1051"/>
        <v>1</v>
      </c>
      <c r="BE864" t="str">
        <f t="shared" si="1051"/>
        <v>1</v>
      </c>
      <c r="BF864" t="str">
        <f t="shared" si="1010"/>
        <v xml:space="preserve">3         </v>
      </c>
      <c r="BG864" t="str">
        <f t="shared" si="1011"/>
        <v>Confirmado por laboratorio</v>
      </c>
      <c r="BH864" t="str">
        <f>"FUNDACION HOSPITALARIA SAN VICENTE DE PAUL"</f>
        <v>FUNDACION HOSPITALARIA SAN VICENTE DE PAUL</v>
      </c>
      <c r="BI864" t="str">
        <f t="shared" si="1020"/>
        <v>COLOMBIA</v>
      </c>
      <c r="BJ864" t="str">
        <f t="shared" si="1012"/>
        <v>CANCER INFANTIL</v>
      </c>
      <c r="BK864" t="str">
        <f>"ANTIOQUIA"</f>
        <v>ANTIOQUIA</v>
      </c>
      <c r="BL864" t="str">
        <f>"MEDELLIN"</f>
        <v>MEDELLIN</v>
      </c>
      <c r="BM864" t="str">
        <f t="shared" si="1021"/>
        <v>COLOMBIA</v>
      </c>
      <c r="BN864" t="str">
        <f>"ANTIOQUIA"</f>
        <v>ANTIOQUIA</v>
      </c>
      <c r="BO864" t="str">
        <f>"MEDELLIN"</f>
        <v>MEDELLIN</v>
      </c>
      <c r="BP864" t="str">
        <f>"ANTIOQUIA"</f>
        <v>ANTIOQUIA</v>
      </c>
      <c r="BQ864" t="str">
        <f>"MEDELLIN"</f>
        <v>MEDELLIN</v>
      </c>
    </row>
    <row r="865" spans="1:69" x14ac:dyDescent="0.25">
      <c r="A865" t="str">
        <f>"7285436"</f>
        <v>7285436</v>
      </c>
      <c r="B865" t="str">
        <f t="shared" si="1005"/>
        <v>459</v>
      </c>
      <c r="C865" t="str">
        <f>"10/11/2020 12:00:00 a. m."</f>
        <v>10/11/2020 12:00:00 a. m.</v>
      </c>
      <c r="D865" t="str">
        <f>"42"</f>
        <v>42</v>
      </c>
      <c r="E865" t="str">
        <f t="shared" si="1006"/>
        <v>2020</v>
      </c>
      <c r="F865" t="str">
        <f>"0500102175"</f>
        <v>0500102175</v>
      </c>
      <c r="G865" t="str">
        <f t="shared" si="1046"/>
        <v>01</v>
      </c>
      <c r="H865" t="str">
        <f>"11"</f>
        <v>11</v>
      </c>
      <c r="I865" t="str">
        <f t="shared" si="1033"/>
        <v>1</v>
      </c>
      <c r="J865" t="str">
        <f>"M"</f>
        <v>M</v>
      </c>
      <c r="K865" t="str">
        <f t="shared" si="1017"/>
        <v>170</v>
      </c>
      <c r="L865" t="str">
        <f>"05"</f>
        <v>05</v>
      </c>
      <c r="M865" t="str">
        <f>"001"</f>
        <v>001</v>
      </c>
      <c r="N865" t="str">
        <f t="shared" si="1036"/>
        <v>1</v>
      </c>
      <c r="O865" t="str">
        <f>"9997"</f>
        <v>9997</v>
      </c>
      <c r="P865" t="str">
        <f>"C"</f>
        <v>C</v>
      </c>
      <c r="Q865" t="str">
        <f>"EPS010"</f>
        <v>EPS010</v>
      </c>
      <c r="R865" t="str">
        <f t="shared" si="1034"/>
        <v>6</v>
      </c>
      <c r="S865" t="str">
        <f>""</f>
        <v/>
      </c>
      <c r="T865" t="str">
        <f t="shared" si="1050"/>
        <v xml:space="preserve">                                                                                                    </v>
      </c>
      <c r="U865" t="str">
        <f t="shared" si="1043"/>
        <v xml:space="preserve">2         </v>
      </c>
      <c r="V865" t="str">
        <f t="shared" si="987"/>
        <v>2</v>
      </c>
      <c r="W865" t="str">
        <f t="shared" si="1052"/>
        <v>2</v>
      </c>
      <c r="X865" t="str">
        <f t="shared" si="1044"/>
        <v>2</v>
      </c>
      <c r="Y865" t="str">
        <f t="shared" si="1045"/>
        <v>2</v>
      </c>
      <c r="Z865" t="str">
        <f t="shared" si="1045"/>
        <v>2</v>
      </c>
      <c r="AA865" t="str">
        <f t="shared" si="1007"/>
        <v xml:space="preserve">          </v>
      </c>
      <c r="AB865" t="str">
        <f t="shared" si="999"/>
        <v>2</v>
      </c>
      <c r="AC865" t="str">
        <f t="shared" si="1001"/>
        <v>2</v>
      </c>
      <c r="AD865" t="str">
        <f t="shared" si="1047"/>
        <v>2</v>
      </c>
      <c r="AE865" t="str">
        <f t="shared" si="1047"/>
        <v>2</v>
      </c>
      <c r="AF865" t="str">
        <f t="shared" si="1047"/>
        <v>2</v>
      </c>
      <c r="AG865" t="str">
        <f t="shared" si="1047"/>
        <v>2</v>
      </c>
      <c r="AH865" t="str">
        <f t="shared" si="1053"/>
        <v>1</v>
      </c>
      <c r="AI865" t="str">
        <f t="shared" si="1048"/>
        <v xml:space="preserve">1         </v>
      </c>
      <c r="AJ865" t="str">
        <f t="shared" si="1018"/>
        <v>170</v>
      </c>
      <c r="AK865" t="str">
        <f>"05"</f>
        <v>05</v>
      </c>
      <c r="AL865" t="str">
        <f>"001"</f>
        <v>001</v>
      </c>
      <c r="AM865" t="str">
        <f>"05"</f>
        <v>05</v>
      </c>
      <c r="AN865" t="str">
        <f>"05001"</f>
        <v>05001</v>
      </c>
      <c r="AO865" t="str">
        <f>"6/10/2020 12:00:00 a. m."</f>
        <v>6/10/2020 12:00:00 a. m.</v>
      </c>
      <c r="AP865" t="str">
        <f>"29/09/2020 12:00:00 a. m."</f>
        <v>29/09/2020 12:00:00 a. m.</v>
      </c>
      <c r="AQ865" t="str">
        <f t="shared" si="1040"/>
        <v>3</v>
      </c>
      <c r="AR865" t="str">
        <f t="shared" si="1049"/>
        <v>1</v>
      </c>
      <c r="AS865" t="str">
        <f>"13/10/2020 12:00:00 a. m."</f>
        <v>13/10/2020 12:00:00 a. m.</v>
      </c>
      <c r="AT865" t="str">
        <f t="shared" si="1035"/>
        <v>1</v>
      </c>
      <c r="AU865" t="str">
        <f>""</f>
        <v/>
      </c>
      <c r="AV865" t="str">
        <f>"7"</f>
        <v>7</v>
      </c>
      <c r="AW865" t="str">
        <f>"12/12/2008 12:00:00 a. m."</f>
        <v>12/12/2008 12:00:00 a. m.</v>
      </c>
      <c r="AX865" t="str">
        <f>""</f>
        <v/>
      </c>
      <c r="AY865" t="str">
        <f t="shared" si="1009"/>
        <v>30/04/2021 12:00:00 a. m.</v>
      </c>
      <c r="AZ865" t="str">
        <f>"20/11/2020 12:00:00 a. m."</f>
        <v>20/11/2020 12:00:00 a. m.</v>
      </c>
      <c r="BA865" t="str">
        <f>""</f>
        <v/>
      </c>
      <c r="BB865" t="str">
        <f>""</f>
        <v/>
      </c>
      <c r="BC865" t="str">
        <f>""</f>
        <v/>
      </c>
      <c r="BD865" t="str">
        <f t="shared" si="1051"/>
        <v>1</v>
      </c>
      <c r="BE865" t="str">
        <f t="shared" si="1051"/>
        <v>1</v>
      </c>
      <c r="BF865" t="str">
        <f t="shared" si="1010"/>
        <v xml:space="preserve">3         </v>
      </c>
      <c r="BG865" t="str">
        <f t="shared" si="1011"/>
        <v>Confirmado por laboratorio</v>
      </c>
      <c r="BH865" t="str">
        <f>"FUNDACION HOSPITALARIA SAN VICENTE DE PAUL"</f>
        <v>FUNDACION HOSPITALARIA SAN VICENTE DE PAUL</v>
      </c>
      <c r="BI865" t="str">
        <f t="shared" si="1020"/>
        <v>COLOMBIA</v>
      </c>
      <c r="BJ865" t="str">
        <f t="shared" si="1012"/>
        <v>CANCER INFANTIL</v>
      </c>
      <c r="BK865" t="str">
        <f>"ANTIOQUIA"</f>
        <v>ANTIOQUIA</v>
      </c>
      <c r="BL865" t="str">
        <f>"MEDELLIN"</f>
        <v>MEDELLIN</v>
      </c>
      <c r="BM865" t="str">
        <f t="shared" si="1021"/>
        <v>COLOMBIA</v>
      </c>
      <c r="BN865" t="str">
        <f>"ANTIOQUIA"</f>
        <v>ANTIOQUIA</v>
      </c>
      <c r="BO865" t="str">
        <f>"MEDELLIN"</f>
        <v>MEDELLIN</v>
      </c>
      <c r="BP865" t="str">
        <f>"ANTIOQUIA"</f>
        <v>ANTIOQUIA</v>
      </c>
      <c r="BQ865" t="str">
        <f>"MEDELLIN"</f>
        <v>MEDELLIN</v>
      </c>
    </row>
    <row r="866" spans="1:69" x14ac:dyDescent="0.25">
      <c r="A866" t="str">
        <f>"7278743"</f>
        <v>7278743</v>
      </c>
      <c r="B866" t="str">
        <f t="shared" si="1005"/>
        <v>459</v>
      </c>
      <c r="C866" t="str">
        <f>"25/02/2020 12:00:00 a. m."</f>
        <v>25/02/2020 12:00:00 a. m.</v>
      </c>
      <c r="D866" t="str">
        <f>"08"</f>
        <v>08</v>
      </c>
      <c r="E866" t="str">
        <f t="shared" si="1006"/>
        <v>2020</v>
      </c>
      <c r="F866" t="str">
        <f>"7600102870"</f>
        <v>7600102870</v>
      </c>
      <c r="G866" t="str">
        <f t="shared" si="1046"/>
        <v>01</v>
      </c>
      <c r="H866" t="str">
        <f>"5"</f>
        <v>5</v>
      </c>
      <c r="I866" t="str">
        <f t="shared" si="1033"/>
        <v>1</v>
      </c>
      <c r="J866" t="str">
        <f>"M"</f>
        <v>M</v>
      </c>
      <c r="K866" t="str">
        <f t="shared" si="1017"/>
        <v>170</v>
      </c>
      <c r="L866" t="str">
        <f>"19"</f>
        <v>19</v>
      </c>
      <c r="M866" t="str">
        <f>"355"</f>
        <v>355</v>
      </c>
      <c r="N866" t="str">
        <f t="shared" si="1036"/>
        <v>1</v>
      </c>
      <c r="O866" t="str">
        <f>"9999"</f>
        <v>9999</v>
      </c>
      <c r="P866" t="str">
        <f>"C"</f>
        <v>C</v>
      </c>
      <c r="Q866" t="str">
        <f>"EPSIC3"</f>
        <v>EPSIC3</v>
      </c>
      <c r="R866" t="str">
        <f t="shared" si="1034"/>
        <v>6</v>
      </c>
      <c r="S866" t="str">
        <f>""</f>
        <v/>
      </c>
      <c r="T866" t="str">
        <f t="shared" si="1050"/>
        <v xml:space="preserve">                                                                                                    </v>
      </c>
      <c r="U866" t="str">
        <f>"          "</f>
        <v xml:space="preserve">          </v>
      </c>
      <c r="V866" t="str">
        <f t="shared" si="987"/>
        <v>2</v>
      </c>
      <c r="W866" t="str">
        <f t="shared" si="1052"/>
        <v>2</v>
      </c>
      <c r="X866" t="str">
        <f t="shared" si="1044"/>
        <v>2</v>
      </c>
      <c r="Y866" t="str">
        <f t="shared" si="1045"/>
        <v>2</v>
      </c>
      <c r="Z866" t="str">
        <f t="shared" si="1045"/>
        <v>2</v>
      </c>
      <c r="AA866" t="str">
        <f t="shared" si="1007"/>
        <v xml:space="preserve">          </v>
      </c>
      <c r="AB866" t="str">
        <f t="shared" si="999"/>
        <v>2</v>
      </c>
      <c r="AC866" t="str">
        <f t="shared" si="1001"/>
        <v>2</v>
      </c>
      <c r="AD866" t="str">
        <f t="shared" si="1047"/>
        <v>2</v>
      </c>
      <c r="AE866" t="str">
        <f t="shared" si="1047"/>
        <v>2</v>
      </c>
      <c r="AF866" t="str">
        <f t="shared" si="1047"/>
        <v>2</v>
      </c>
      <c r="AG866" t="str">
        <f t="shared" si="1047"/>
        <v>2</v>
      </c>
      <c r="AH866" t="str">
        <f t="shared" si="1053"/>
        <v>1</v>
      </c>
      <c r="AI866" t="str">
        <f t="shared" si="1048"/>
        <v xml:space="preserve">1         </v>
      </c>
      <c r="AJ866" t="str">
        <f t="shared" si="1018"/>
        <v>170</v>
      </c>
      <c r="AK866" t="str">
        <f>"19"</f>
        <v>19</v>
      </c>
      <c r="AL866" t="str">
        <f>"355"</f>
        <v>355</v>
      </c>
      <c r="AM866" t="str">
        <f>"76"</f>
        <v>76</v>
      </c>
      <c r="AN866" t="str">
        <f>"76001"</f>
        <v>76001</v>
      </c>
      <c r="AO866" t="str">
        <f>"21/02/2020 12:00:00 a. m."</f>
        <v>21/02/2020 12:00:00 a. m.</v>
      </c>
      <c r="AP866" t="str">
        <f>"1/11/2019 12:00:00 a. m."</f>
        <v>1/11/2019 12:00:00 a. m.</v>
      </c>
      <c r="AQ866" t="str">
        <f t="shared" si="1040"/>
        <v>3</v>
      </c>
      <c r="AR866" t="str">
        <f t="shared" si="1049"/>
        <v>1</v>
      </c>
      <c r="AS866" t="str">
        <f>"21/02/2020 12:00:00 a. m."</f>
        <v>21/02/2020 12:00:00 a. m.</v>
      </c>
      <c r="AT866" t="str">
        <f t="shared" si="1035"/>
        <v>1</v>
      </c>
      <c r="AU866" t="str">
        <f>""</f>
        <v/>
      </c>
      <c r="AV866" t="str">
        <f>"0"</f>
        <v>0</v>
      </c>
      <c r="AW866" t="str">
        <f>"21/03/2014 12:00:00 a. m."</f>
        <v>21/03/2014 12:00:00 a. m.</v>
      </c>
      <c r="AX866" t="str">
        <f>""</f>
        <v/>
      </c>
      <c r="AY866" t="str">
        <f t="shared" si="1009"/>
        <v>30/04/2021 12:00:00 a. m.</v>
      </c>
      <c r="AZ866" t="str">
        <f>"25/02/2020 12:00:00 a. m."</f>
        <v>25/02/2020 12:00:00 a. m.</v>
      </c>
      <c r="BA866" t="str">
        <f>""</f>
        <v/>
      </c>
      <c r="BB866" t="str">
        <f>""</f>
        <v/>
      </c>
      <c r="BC866" t="str">
        <f>""</f>
        <v/>
      </c>
      <c r="BD866" t="str">
        <f t="shared" si="1051"/>
        <v>1</v>
      </c>
      <c r="BE866" t="str">
        <f t="shared" si="1051"/>
        <v>1</v>
      </c>
      <c r="BF866" t="str">
        <f t="shared" si="1010"/>
        <v xml:space="preserve">3         </v>
      </c>
      <c r="BG866" t="str">
        <f t="shared" si="1011"/>
        <v>Confirmado por laboratorio</v>
      </c>
      <c r="BH866" t="str">
        <f>"FUNDACION VALLE DEL LILI"</f>
        <v>FUNDACION VALLE DEL LILI</v>
      </c>
      <c r="BI866" t="str">
        <f t="shared" si="1020"/>
        <v>COLOMBIA</v>
      </c>
      <c r="BJ866" t="str">
        <f t="shared" si="1012"/>
        <v>CANCER INFANTIL</v>
      </c>
      <c r="BK866" t="str">
        <f>"CAUCA"</f>
        <v>CAUCA</v>
      </c>
      <c r="BL866" t="str">
        <f>"INZA"</f>
        <v>INZA</v>
      </c>
      <c r="BM866" t="str">
        <f t="shared" si="1021"/>
        <v>COLOMBIA</v>
      </c>
      <c r="BN866" t="str">
        <f>"CAUCA"</f>
        <v>CAUCA</v>
      </c>
      <c r="BO866" t="str">
        <f>"INZA"</f>
        <v>INZA</v>
      </c>
      <c r="BP866" t="str">
        <f>"VALLE"</f>
        <v>VALLE</v>
      </c>
      <c r="BQ866" t="str">
        <f>"CALI"</f>
        <v>CALI</v>
      </c>
    </row>
    <row r="867" spans="1:69" x14ac:dyDescent="0.25">
      <c r="A867" t="str">
        <f>"7278750"</f>
        <v>7278750</v>
      </c>
      <c r="B867" t="str">
        <f t="shared" si="1005"/>
        <v>459</v>
      </c>
      <c r="C867" t="str">
        <f>"9/09/2020 12:00:00 a. m."</f>
        <v>9/09/2020 12:00:00 a. m.</v>
      </c>
      <c r="D867" t="str">
        <f>"19"</f>
        <v>19</v>
      </c>
      <c r="E867" t="str">
        <f t="shared" si="1006"/>
        <v>2020</v>
      </c>
      <c r="F867" t="str">
        <f>"1100105681"</f>
        <v>1100105681</v>
      </c>
      <c r="G867" t="str">
        <f t="shared" si="1046"/>
        <v>01</v>
      </c>
      <c r="H867" t="str">
        <f>"7"</f>
        <v>7</v>
      </c>
      <c r="I867" t="str">
        <f t="shared" si="1033"/>
        <v>1</v>
      </c>
      <c r="J867" t="str">
        <f>"F"</f>
        <v>F</v>
      </c>
      <c r="K867" t="str">
        <f t="shared" si="1017"/>
        <v>170</v>
      </c>
      <c r="L867" t="str">
        <f>"20"</f>
        <v>20</v>
      </c>
      <c r="M867" t="str">
        <f>"770"</f>
        <v>770</v>
      </c>
      <c r="N867" t="str">
        <f t="shared" si="1036"/>
        <v>1</v>
      </c>
      <c r="O867" t="str">
        <f>"9997"</f>
        <v>9997</v>
      </c>
      <c r="P867" t="str">
        <f>"S"</f>
        <v>S</v>
      </c>
      <c r="Q867" t="str">
        <f>"ESS133"</f>
        <v>ESS133</v>
      </c>
      <c r="R867" t="str">
        <f t="shared" si="1034"/>
        <v>6</v>
      </c>
      <c r="S867" t="str">
        <f>""</f>
        <v/>
      </c>
      <c r="T867" t="str">
        <f t="shared" si="1050"/>
        <v xml:space="preserve">                                                                                                    </v>
      </c>
      <c r="U867" t="str">
        <f>"2         "</f>
        <v xml:space="preserve">2         </v>
      </c>
      <c r="V867" t="str">
        <f t="shared" si="987"/>
        <v>2</v>
      </c>
      <c r="W867" t="str">
        <f t="shared" si="1052"/>
        <v>2</v>
      </c>
      <c r="X867" t="str">
        <f t="shared" si="1044"/>
        <v>2</v>
      </c>
      <c r="Y867" t="str">
        <f t="shared" si="1045"/>
        <v>2</v>
      </c>
      <c r="Z867" t="str">
        <f t="shared" si="1045"/>
        <v>2</v>
      </c>
      <c r="AA867" t="str">
        <f t="shared" si="1007"/>
        <v xml:space="preserve">          </v>
      </c>
      <c r="AB867" t="str">
        <f t="shared" si="999"/>
        <v>2</v>
      </c>
      <c r="AC867" t="str">
        <f t="shared" si="1001"/>
        <v>2</v>
      </c>
      <c r="AD867" t="str">
        <f t="shared" si="1047"/>
        <v>2</v>
      </c>
      <c r="AE867" t="str">
        <f t="shared" si="1047"/>
        <v>2</v>
      </c>
      <c r="AF867" t="str">
        <f t="shared" si="1047"/>
        <v>2</v>
      </c>
      <c r="AG867" t="str">
        <f t="shared" si="1047"/>
        <v>2</v>
      </c>
      <c r="AH867" t="str">
        <f t="shared" si="1053"/>
        <v>1</v>
      </c>
      <c r="AI867" t="str">
        <f>"2         "</f>
        <v xml:space="preserve">2         </v>
      </c>
      <c r="AJ867" t="str">
        <f t="shared" si="1018"/>
        <v>170</v>
      </c>
      <c r="AK867" t="str">
        <f>"20"</f>
        <v>20</v>
      </c>
      <c r="AL867" t="str">
        <f>"770"</f>
        <v>770</v>
      </c>
      <c r="AM867" t="str">
        <f>"11"</f>
        <v>11</v>
      </c>
      <c r="AN867" t="str">
        <f>"11001"</f>
        <v>11001</v>
      </c>
      <c r="AO867" t="str">
        <f>"6/05/2020 12:00:00 a. m."</f>
        <v>6/05/2020 12:00:00 a. m.</v>
      </c>
      <c r="AP867" t="str">
        <f>"10/04/2020 12:00:00 a. m."</f>
        <v>10/04/2020 12:00:00 a. m.</v>
      </c>
      <c r="AQ867" t="str">
        <f t="shared" si="1040"/>
        <v>3</v>
      </c>
      <c r="AR867" t="str">
        <f t="shared" si="1049"/>
        <v>1</v>
      </c>
      <c r="AS867" t="str">
        <f>"6/05/2020 12:00:00 a. m."</f>
        <v>6/05/2020 12:00:00 a. m.</v>
      </c>
      <c r="AT867" t="str">
        <f t="shared" si="1035"/>
        <v>1</v>
      </c>
      <c r="AU867" t="str">
        <f>""</f>
        <v/>
      </c>
      <c r="AV867" t="str">
        <f>"0"</f>
        <v>0</v>
      </c>
      <c r="AW867" t="str">
        <f>"30/05/2013 12:00:00 a. m."</f>
        <v>30/05/2013 12:00:00 a. m.</v>
      </c>
      <c r="AX867" t="str">
        <f>""</f>
        <v/>
      </c>
      <c r="AY867" t="str">
        <f t="shared" si="1009"/>
        <v>30/04/2021 12:00:00 a. m.</v>
      </c>
      <c r="AZ867" t="str">
        <f>"9/09/2020 12:00:00 a. m."</f>
        <v>9/09/2020 12:00:00 a. m.</v>
      </c>
      <c r="BA867" t="str">
        <f>""</f>
        <v/>
      </c>
      <c r="BB867" t="str">
        <f>""</f>
        <v/>
      </c>
      <c r="BC867" t="str">
        <f>""</f>
        <v/>
      </c>
      <c r="BD867" t="str">
        <f t="shared" si="1051"/>
        <v>1</v>
      </c>
      <c r="BE867" t="str">
        <f t="shared" si="1051"/>
        <v>1</v>
      </c>
      <c r="BF867" t="str">
        <f t="shared" si="1010"/>
        <v xml:space="preserve">3         </v>
      </c>
      <c r="BG867" t="str">
        <f t="shared" si="1011"/>
        <v>Confirmado por laboratorio</v>
      </c>
      <c r="BH867" t="str">
        <f>"FUNDACION HOSPITAL DE LA MISERICORDIA"</f>
        <v>FUNDACION HOSPITAL DE LA MISERICORDIA</v>
      </c>
      <c r="BI867" t="str">
        <f t="shared" si="1020"/>
        <v>COLOMBIA</v>
      </c>
      <c r="BJ867" t="str">
        <f t="shared" si="1012"/>
        <v>CANCER INFANTIL</v>
      </c>
      <c r="BK867" t="str">
        <f>"CESAR"</f>
        <v>CESAR</v>
      </c>
      <c r="BL867" t="str">
        <f>"SAN MARTIN"</f>
        <v>SAN MARTIN</v>
      </c>
      <c r="BM867" t="str">
        <f t="shared" si="1021"/>
        <v>COLOMBIA</v>
      </c>
      <c r="BN867" t="str">
        <f>"CESAR"</f>
        <v>CESAR</v>
      </c>
      <c r="BO867" t="str">
        <f>"SAN MARTIN"</f>
        <v>SAN MARTIN</v>
      </c>
      <c r="BP867" t="str">
        <f>"BOGOTA"</f>
        <v>BOGOTA</v>
      </c>
      <c r="BQ867" t="str">
        <f>"BOGOTA"</f>
        <v>BOGOTA</v>
      </c>
    </row>
    <row r="868" spans="1:69" x14ac:dyDescent="0.25">
      <c r="A868" t="str">
        <f>"7278923"</f>
        <v>7278923</v>
      </c>
      <c r="B868" t="str">
        <f t="shared" si="1005"/>
        <v>459</v>
      </c>
      <c r="C868" t="str">
        <f>"21/11/2020 12:00:00 a. m."</f>
        <v>21/11/2020 12:00:00 a. m.</v>
      </c>
      <c r="D868" t="str">
        <f>"47"</f>
        <v>47</v>
      </c>
      <c r="E868" t="str">
        <f t="shared" si="1006"/>
        <v>2020</v>
      </c>
      <c r="F868" t="str">
        <f>"1100107335"</f>
        <v>1100107335</v>
      </c>
      <c r="G868" t="str">
        <f>"22"</f>
        <v>22</v>
      </c>
      <c r="H868" t="str">
        <f>"7"</f>
        <v>7</v>
      </c>
      <c r="I868" t="str">
        <f t="shared" si="1033"/>
        <v>1</v>
      </c>
      <c r="J868" t="str">
        <f>"M"</f>
        <v>M</v>
      </c>
      <c r="K868" t="str">
        <f t="shared" si="1017"/>
        <v>170</v>
      </c>
      <c r="L868" t="str">
        <f>"25"</f>
        <v>25</v>
      </c>
      <c r="M868" t="str">
        <f>"473"</f>
        <v>473</v>
      </c>
      <c r="N868" t="str">
        <f>"2"</f>
        <v>2</v>
      </c>
      <c r="O868" t="str">
        <f>"9997"</f>
        <v>9997</v>
      </c>
      <c r="P868" t="str">
        <f>"C"</f>
        <v>C</v>
      </c>
      <c r="Q868" t="str">
        <f>"EPS008"</f>
        <v>EPS008</v>
      </c>
      <c r="R868" t="str">
        <f t="shared" si="1034"/>
        <v>6</v>
      </c>
      <c r="S868" t="str">
        <f>""</f>
        <v/>
      </c>
      <c r="T868" t="str">
        <f t="shared" si="1050"/>
        <v xml:space="preserve">                                                                                                    </v>
      </c>
      <c r="U868" t="str">
        <f>"3         "</f>
        <v xml:space="preserve">3         </v>
      </c>
      <c r="V868" t="str">
        <f t="shared" si="987"/>
        <v>2</v>
      </c>
      <c r="W868" t="str">
        <f t="shared" si="1052"/>
        <v>2</v>
      </c>
      <c r="X868" t="str">
        <f t="shared" si="1044"/>
        <v>2</v>
      </c>
      <c r="Y868" t="str">
        <f t="shared" si="1045"/>
        <v>2</v>
      </c>
      <c r="Z868" t="str">
        <f t="shared" si="1045"/>
        <v>2</v>
      </c>
      <c r="AA868" t="str">
        <f t="shared" si="1007"/>
        <v xml:space="preserve">          </v>
      </c>
      <c r="AB868" t="str">
        <f t="shared" si="999"/>
        <v>2</v>
      </c>
      <c r="AC868" t="str">
        <f t="shared" si="1001"/>
        <v>2</v>
      </c>
      <c r="AD868" t="str">
        <f t="shared" si="1047"/>
        <v>2</v>
      </c>
      <c r="AE868" t="str">
        <f t="shared" si="1047"/>
        <v>2</v>
      </c>
      <c r="AF868" t="str">
        <f t="shared" si="1047"/>
        <v>2</v>
      </c>
      <c r="AG868" t="str">
        <f t="shared" si="1047"/>
        <v>2</v>
      </c>
      <c r="AH868" t="str">
        <f t="shared" si="1053"/>
        <v>1</v>
      </c>
      <c r="AI868" t="str">
        <f>"1         "</f>
        <v xml:space="preserve">1         </v>
      </c>
      <c r="AJ868" t="str">
        <f t="shared" si="1018"/>
        <v>170</v>
      </c>
      <c r="AK868" t="str">
        <f>"25"</f>
        <v>25</v>
      </c>
      <c r="AL868" t="str">
        <f>"473"</f>
        <v>473</v>
      </c>
      <c r="AM868" t="str">
        <f>"11"</f>
        <v>11</v>
      </c>
      <c r="AN868" t="str">
        <f>"11001"</f>
        <v>11001</v>
      </c>
      <c r="AO868" t="str">
        <f>"21/11/2020 12:00:00 a. m."</f>
        <v>21/11/2020 12:00:00 a. m.</v>
      </c>
      <c r="AP868" t="str">
        <f>"21/09/2020 12:00:00 a. m."</f>
        <v>21/09/2020 12:00:00 a. m.</v>
      </c>
      <c r="AQ868" t="str">
        <f>"2"</f>
        <v>2</v>
      </c>
      <c r="AR868" t="str">
        <f>"2"</f>
        <v>2</v>
      </c>
      <c r="AS868" t="str">
        <f>""</f>
        <v/>
      </c>
      <c r="AT868" t="str">
        <f t="shared" si="1035"/>
        <v>1</v>
      </c>
      <c r="AU868" t="str">
        <f>""</f>
        <v/>
      </c>
      <c r="AV868" t="str">
        <f>"3"</f>
        <v>3</v>
      </c>
      <c r="AW868" t="str">
        <f>"4/08/2013 12:00:00 a. m."</f>
        <v>4/08/2013 12:00:00 a. m.</v>
      </c>
      <c r="AX868" t="str">
        <f>""</f>
        <v/>
      </c>
      <c r="AY868" t="str">
        <f t="shared" si="1009"/>
        <v>30/04/2021 12:00:00 a. m.</v>
      </c>
      <c r="AZ868" t="str">
        <f>"3/02/2021 12:00:00 a. m."</f>
        <v>3/02/2021 12:00:00 a. m.</v>
      </c>
      <c r="BA868" t="str">
        <f>""</f>
        <v/>
      </c>
      <c r="BB868" t="str">
        <f>""</f>
        <v/>
      </c>
      <c r="BC868" t="str">
        <f>""</f>
        <v/>
      </c>
      <c r="BD868" t="str">
        <f t="shared" si="1051"/>
        <v>1</v>
      </c>
      <c r="BE868" t="str">
        <f t="shared" si="1051"/>
        <v>1</v>
      </c>
      <c r="BF868" t="str">
        <f t="shared" si="1010"/>
        <v xml:space="preserve">3         </v>
      </c>
      <c r="BG868" t="str">
        <f t="shared" si="1011"/>
        <v>Confirmado por laboratorio</v>
      </c>
      <c r="BH868" t="str">
        <f>"CAJA DE COMPENSACION FAMILIAR COMPENSAR - FONTIBON"</f>
        <v>CAJA DE COMPENSACION FAMILIAR COMPENSAR - FONTIBON</v>
      </c>
      <c r="BI868" t="str">
        <f t="shared" si="1020"/>
        <v>COLOMBIA</v>
      </c>
      <c r="BJ868" t="str">
        <f t="shared" si="1012"/>
        <v>CANCER INFANTIL</v>
      </c>
      <c r="BK868" t="str">
        <f>"CUNDINAMARCA"</f>
        <v>CUNDINAMARCA</v>
      </c>
      <c r="BL868" t="str">
        <f>"MOSQUERA"</f>
        <v>MOSQUERA</v>
      </c>
      <c r="BM868" t="str">
        <f t="shared" si="1021"/>
        <v>COLOMBIA</v>
      </c>
      <c r="BN868" t="str">
        <f>"CUNDINAMARCA"</f>
        <v>CUNDINAMARCA</v>
      </c>
      <c r="BO868" t="str">
        <f>"MOSQUERA"</f>
        <v>MOSQUERA</v>
      </c>
      <c r="BP868" t="str">
        <f>"BOGOTA"</f>
        <v>BOGOTA</v>
      </c>
      <c r="BQ868" t="str">
        <f>"BOGOTA"</f>
        <v>BOGOTA</v>
      </c>
    </row>
    <row r="869" spans="1:69" x14ac:dyDescent="0.25">
      <c r="A869" t="str">
        <f>"7291491"</f>
        <v>7291491</v>
      </c>
      <c r="B869" t="str">
        <f t="shared" si="1005"/>
        <v>459</v>
      </c>
      <c r="C869" t="str">
        <f>"7/08/2020 12:00:00 a. m."</f>
        <v>7/08/2020 12:00:00 a. m.</v>
      </c>
      <c r="D869" t="str">
        <f>"32"</f>
        <v>32</v>
      </c>
      <c r="E869" t="str">
        <f t="shared" si="1006"/>
        <v>2020</v>
      </c>
      <c r="F869" t="str">
        <f>"0500102104"</f>
        <v>0500102104</v>
      </c>
      <c r="G869" t="str">
        <f>"01"</f>
        <v>01</v>
      </c>
      <c r="H869" t="str">
        <f>"12"</f>
        <v>12</v>
      </c>
      <c r="I869" t="str">
        <f t="shared" si="1033"/>
        <v>1</v>
      </c>
      <c r="J869" t="str">
        <f>"M"</f>
        <v>M</v>
      </c>
      <c r="K869" t="str">
        <f t="shared" si="1017"/>
        <v>170</v>
      </c>
      <c r="L869" t="str">
        <f>"05"</f>
        <v>05</v>
      </c>
      <c r="M869" t="str">
        <f>"001"</f>
        <v>001</v>
      </c>
      <c r="N869" t="str">
        <f t="shared" ref="N869:N874" si="1054">"1"</f>
        <v>1</v>
      </c>
      <c r="O869" t="str">
        <f>"9999"</f>
        <v>9999</v>
      </c>
      <c r="P869" t="str">
        <f>"C"</f>
        <v>C</v>
      </c>
      <c r="Q869" t="str">
        <f>"EPS010"</f>
        <v>EPS010</v>
      </c>
      <c r="R869" t="str">
        <f t="shared" si="1034"/>
        <v>6</v>
      </c>
      <c r="S869" t="str">
        <f>""</f>
        <v/>
      </c>
      <c r="T869" t="str">
        <f t="shared" si="1050"/>
        <v xml:space="preserve">                                                                                                    </v>
      </c>
      <c r="U869" t="str">
        <f>"3         "</f>
        <v xml:space="preserve">3         </v>
      </c>
      <c r="V869" t="str">
        <f t="shared" si="987"/>
        <v>2</v>
      </c>
      <c r="W869" t="str">
        <f t="shared" si="1052"/>
        <v>2</v>
      </c>
      <c r="X869" t="str">
        <f t="shared" si="1044"/>
        <v>2</v>
      </c>
      <c r="Y869" t="str">
        <f t="shared" si="1045"/>
        <v>2</v>
      </c>
      <c r="Z869" t="str">
        <f t="shared" si="1045"/>
        <v>2</v>
      </c>
      <c r="AA869" t="str">
        <f t="shared" si="1007"/>
        <v xml:space="preserve">          </v>
      </c>
      <c r="AB869" t="str">
        <f t="shared" si="999"/>
        <v>2</v>
      </c>
      <c r="AC869" t="str">
        <f t="shared" si="1001"/>
        <v>2</v>
      </c>
      <c r="AD869" t="str">
        <f t="shared" si="1047"/>
        <v>2</v>
      </c>
      <c r="AE869" t="str">
        <f t="shared" si="1047"/>
        <v>2</v>
      </c>
      <c r="AF869" t="str">
        <f t="shared" si="1047"/>
        <v>2</v>
      </c>
      <c r="AG869" t="str">
        <f t="shared" si="1047"/>
        <v>2</v>
      </c>
      <c r="AH869" t="str">
        <f t="shared" si="1053"/>
        <v>1</v>
      </c>
      <c r="AI869" t="str">
        <f>"1         "</f>
        <v xml:space="preserve">1         </v>
      </c>
      <c r="AJ869" t="str">
        <f t="shared" si="1018"/>
        <v>170</v>
      </c>
      <c r="AK869" t="str">
        <f>"05"</f>
        <v>05</v>
      </c>
      <c r="AL869" t="str">
        <f>"001"</f>
        <v>001</v>
      </c>
      <c r="AM869" t="str">
        <f>"05"</f>
        <v>05</v>
      </c>
      <c r="AN869" t="str">
        <f>"05001"</f>
        <v>05001</v>
      </c>
      <c r="AO869" t="str">
        <f>"7/08/2020 12:00:00 a. m."</f>
        <v>7/08/2020 12:00:00 a. m.</v>
      </c>
      <c r="AP869" t="str">
        <f>"1/08/2020 12:00:00 a. m."</f>
        <v>1/08/2020 12:00:00 a. m.</v>
      </c>
      <c r="AQ869" t="str">
        <f>"3"</f>
        <v>3</v>
      </c>
      <c r="AR869" t="str">
        <f t="shared" ref="AR869:AR884" si="1055">"1"</f>
        <v>1</v>
      </c>
      <c r="AS869" t="str">
        <f>"7/08/2020 12:00:00 a. m."</f>
        <v>7/08/2020 12:00:00 a. m.</v>
      </c>
      <c r="AT869" t="str">
        <f t="shared" si="1035"/>
        <v>1</v>
      </c>
      <c r="AU869" t="str">
        <f>""</f>
        <v/>
      </c>
      <c r="AV869" t="str">
        <f>"0"</f>
        <v>0</v>
      </c>
      <c r="AW869" t="str">
        <f>"23/12/2007 12:00:00 a. m."</f>
        <v>23/12/2007 12:00:00 a. m.</v>
      </c>
      <c r="AX869" t="str">
        <f>""</f>
        <v/>
      </c>
      <c r="AY869" t="str">
        <f t="shared" si="1009"/>
        <v>30/04/2021 12:00:00 a. m.</v>
      </c>
      <c r="AZ869" t="str">
        <f>"14/08/2020 12:00:00 a. m."</f>
        <v>14/08/2020 12:00:00 a. m.</v>
      </c>
      <c r="BA869" t="str">
        <f>""</f>
        <v/>
      </c>
      <c r="BB869" t="str">
        <f>""</f>
        <v/>
      </c>
      <c r="BC869" t="str">
        <f>""</f>
        <v/>
      </c>
      <c r="BD869" t="str">
        <f t="shared" si="1051"/>
        <v>1</v>
      </c>
      <c r="BE869" t="str">
        <f t="shared" si="1051"/>
        <v>1</v>
      </c>
      <c r="BF869" t="str">
        <f t="shared" si="1010"/>
        <v xml:space="preserve">3         </v>
      </c>
      <c r="BG869" t="str">
        <f t="shared" si="1011"/>
        <v>Confirmado por laboratorio</v>
      </c>
      <c r="BH869" t="str">
        <f>"HOSPITAL PABLO TOBON URIBE"</f>
        <v>HOSPITAL PABLO TOBON URIBE</v>
      </c>
      <c r="BI869" t="str">
        <f t="shared" si="1020"/>
        <v>COLOMBIA</v>
      </c>
      <c r="BJ869" t="str">
        <f t="shared" si="1012"/>
        <v>CANCER INFANTIL</v>
      </c>
      <c r="BK869" t="str">
        <f>"ANTIOQUIA"</f>
        <v>ANTIOQUIA</v>
      </c>
      <c r="BL869" t="str">
        <f>"MEDELLIN"</f>
        <v>MEDELLIN</v>
      </c>
      <c r="BM869" t="str">
        <f t="shared" si="1021"/>
        <v>COLOMBIA</v>
      </c>
      <c r="BN869" t="str">
        <f>"ANTIOQUIA"</f>
        <v>ANTIOQUIA</v>
      </c>
      <c r="BO869" t="str">
        <f>"MEDELLIN"</f>
        <v>MEDELLIN</v>
      </c>
      <c r="BP869" t="str">
        <f>"ANTIOQUIA"</f>
        <v>ANTIOQUIA</v>
      </c>
      <c r="BQ869" t="str">
        <f>"MEDELLIN"</f>
        <v>MEDELLIN</v>
      </c>
    </row>
    <row r="870" spans="1:69" x14ac:dyDescent="0.25">
      <c r="A870" t="str">
        <f>"7291638"</f>
        <v>7291638</v>
      </c>
      <c r="B870" t="str">
        <f t="shared" si="1005"/>
        <v>459</v>
      </c>
      <c r="C870" t="str">
        <f>"18/12/2020 12:00:00 a. m."</f>
        <v>18/12/2020 12:00:00 a. m.</v>
      </c>
      <c r="D870" t="str">
        <f>"51"</f>
        <v>51</v>
      </c>
      <c r="E870" t="str">
        <f t="shared" si="1006"/>
        <v>2020</v>
      </c>
      <c r="F870" t="str">
        <f>"1100108171"</f>
        <v>1100108171</v>
      </c>
      <c r="G870" t="str">
        <f>"02"</f>
        <v>02</v>
      </c>
      <c r="H870" t="str">
        <f>"1"</f>
        <v>1</v>
      </c>
      <c r="I870" t="str">
        <f t="shared" si="1033"/>
        <v>1</v>
      </c>
      <c r="J870" t="str">
        <f>"M"</f>
        <v>M</v>
      </c>
      <c r="K870" t="str">
        <f t="shared" si="1017"/>
        <v>170</v>
      </c>
      <c r="L870" t="str">
        <f>"25"</f>
        <v>25</v>
      </c>
      <c r="M870" t="str">
        <f>"394"</f>
        <v>394</v>
      </c>
      <c r="N870" t="str">
        <f t="shared" si="1054"/>
        <v>1</v>
      </c>
      <c r="O870" t="str">
        <f>"9999"</f>
        <v>9999</v>
      </c>
      <c r="P870" t="str">
        <f>"C"</f>
        <v>C</v>
      </c>
      <c r="Q870" t="str">
        <f>"EPS017"</f>
        <v>EPS017</v>
      </c>
      <c r="R870" t="str">
        <f t="shared" si="1034"/>
        <v>6</v>
      </c>
      <c r="S870" t="str">
        <f>""</f>
        <v/>
      </c>
      <c r="T870" t="str">
        <f t="shared" si="1050"/>
        <v xml:space="preserve">                                                                                                    </v>
      </c>
      <c r="U870" t="str">
        <f>"1         "</f>
        <v xml:space="preserve">1         </v>
      </c>
      <c r="V870" t="str">
        <f t="shared" si="987"/>
        <v>2</v>
      </c>
      <c r="W870" t="str">
        <f t="shared" si="1052"/>
        <v>2</v>
      </c>
      <c r="X870" t="str">
        <f t="shared" si="1044"/>
        <v>2</v>
      </c>
      <c r="Y870" t="str">
        <f t="shared" si="1045"/>
        <v>2</v>
      </c>
      <c r="Z870" t="str">
        <f t="shared" si="1045"/>
        <v>2</v>
      </c>
      <c r="AA870" t="str">
        <f t="shared" si="1007"/>
        <v xml:space="preserve">          </v>
      </c>
      <c r="AB870" t="str">
        <f t="shared" si="999"/>
        <v>2</v>
      </c>
      <c r="AC870" t="str">
        <f t="shared" si="1001"/>
        <v>2</v>
      </c>
      <c r="AD870" t="str">
        <f t="shared" si="1047"/>
        <v>2</v>
      </c>
      <c r="AE870" t="str">
        <f t="shared" si="1047"/>
        <v>2</v>
      </c>
      <c r="AF870" t="str">
        <f t="shared" si="1047"/>
        <v>2</v>
      </c>
      <c r="AG870" t="str">
        <f t="shared" si="1047"/>
        <v>2</v>
      </c>
      <c r="AH870" t="str">
        <f t="shared" si="1053"/>
        <v>1</v>
      </c>
      <c r="AI870" t="str">
        <f>"1         "</f>
        <v xml:space="preserve">1         </v>
      </c>
      <c r="AJ870" t="str">
        <f t="shared" si="1018"/>
        <v>170</v>
      </c>
      <c r="AK870" t="str">
        <f>"25"</f>
        <v>25</v>
      </c>
      <c r="AL870" t="str">
        <f>"394"</f>
        <v>394</v>
      </c>
      <c r="AM870" t="str">
        <f>"11"</f>
        <v>11</v>
      </c>
      <c r="AN870" t="str">
        <f>"11001"</f>
        <v>11001</v>
      </c>
      <c r="AO870" t="str">
        <f>"17/12/2020 12:00:00 a. m."</f>
        <v>17/12/2020 12:00:00 a. m.</v>
      </c>
      <c r="AP870" t="str">
        <f>"16/12/2020 12:00:00 a. m."</f>
        <v>16/12/2020 12:00:00 a. m.</v>
      </c>
      <c r="AQ870" t="str">
        <f>"2"</f>
        <v>2</v>
      </c>
      <c r="AR870" t="str">
        <f t="shared" si="1055"/>
        <v>1</v>
      </c>
      <c r="AS870" t="str">
        <f>"17/12/2020 12:00:00 a. m."</f>
        <v>17/12/2020 12:00:00 a. m.</v>
      </c>
      <c r="AT870" t="str">
        <f t="shared" si="1035"/>
        <v>1</v>
      </c>
      <c r="AU870" t="str">
        <f>""</f>
        <v/>
      </c>
      <c r="AV870" t="str">
        <f>"3"</f>
        <v>3</v>
      </c>
      <c r="AW870" t="str">
        <f>"19/02/2019 12:00:00 a. m."</f>
        <v>19/02/2019 12:00:00 a. m.</v>
      </c>
      <c r="AX870" t="str">
        <f>""</f>
        <v/>
      </c>
      <c r="AY870" t="str">
        <f t="shared" si="1009"/>
        <v>30/04/2021 12:00:00 a. m.</v>
      </c>
      <c r="AZ870" t="str">
        <f>"9/01/2021 12:00:00 a. m."</f>
        <v>9/01/2021 12:00:00 a. m.</v>
      </c>
      <c r="BA870" t="str">
        <f>""</f>
        <v/>
      </c>
      <c r="BB870" t="str">
        <f>""</f>
        <v/>
      </c>
      <c r="BC870" t="str">
        <f>""</f>
        <v/>
      </c>
      <c r="BD870" t="str">
        <f t="shared" si="1051"/>
        <v>1</v>
      </c>
      <c r="BE870" t="str">
        <f t="shared" si="1051"/>
        <v>1</v>
      </c>
      <c r="BF870" t="str">
        <f t="shared" si="1010"/>
        <v xml:space="preserve">3         </v>
      </c>
      <c r="BG870" t="str">
        <f t="shared" si="1011"/>
        <v>Confirmado por laboratorio</v>
      </c>
      <c r="BH870" t="str">
        <f>"CLINICA INFANTIL COLSUBSIDIO"</f>
        <v>CLINICA INFANTIL COLSUBSIDIO</v>
      </c>
      <c r="BI870" t="str">
        <f t="shared" si="1020"/>
        <v>COLOMBIA</v>
      </c>
      <c r="BJ870" t="str">
        <f t="shared" si="1012"/>
        <v>CANCER INFANTIL</v>
      </c>
      <c r="BK870" t="str">
        <f>"CUNDINAMARCA"</f>
        <v>CUNDINAMARCA</v>
      </c>
      <c r="BL870" t="str">
        <f>"LA PALMA"</f>
        <v>LA PALMA</v>
      </c>
      <c r="BM870" t="str">
        <f t="shared" si="1021"/>
        <v>COLOMBIA</v>
      </c>
      <c r="BN870" t="str">
        <f>"CUNDINAMARCA"</f>
        <v>CUNDINAMARCA</v>
      </c>
      <c r="BO870" t="str">
        <f>"LA PALMA"</f>
        <v>LA PALMA</v>
      </c>
      <c r="BP870" t="str">
        <f t="shared" ref="BP870:BQ872" si="1056">"BOGOTA"</f>
        <v>BOGOTA</v>
      </c>
      <c r="BQ870" t="str">
        <f t="shared" si="1056"/>
        <v>BOGOTA</v>
      </c>
    </row>
    <row r="871" spans="1:69" x14ac:dyDescent="0.25">
      <c r="A871" t="str">
        <f>"7291643"</f>
        <v>7291643</v>
      </c>
      <c r="B871" t="str">
        <f t="shared" si="1005"/>
        <v>459</v>
      </c>
      <c r="C871" t="str">
        <f>"22/09/2020 12:00:00 a. m."</f>
        <v>22/09/2020 12:00:00 a. m.</v>
      </c>
      <c r="D871" t="str">
        <f>"37"</f>
        <v>37</v>
      </c>
      <c r="E871" t="str">
        <f t="shared" si="1006"/>
        <v>2020</v>
      </c>
      <c r="F871" t="str">
        <f>"1100105681"</f>
        <v>1100105681</v>
      </c>
      <c r="G871" t="str">
        <f t="shared" ref="G871:G879" si="1057">"01"</f>
        <v>01</v>
      </c>
      <c r="H871" t="str">
        <f>"1"</f>
        <v>1</v>
      </c>
      <c r="I871" t="str">
        <f t="shared" si="1033"/>
        <v>1</v>
      </c>
      <c r="J871" t="str">
        <f>"M"</f>
        <v>M</v>
      </c>
      <c r="K871" t="str">
        <f t="shared" si="1017"/>
        <v>170</v>
      </c>
      <c r="L871" t="str">
        <f>"25"</f>
        <v>25</v>
      </c>
      <c r="M871" t="str">
        <f>"123"</f>
        <v>123</v>
      </c>
      <c r="N871" t="str">
        <f t="shared" si="1054"/>
        <v>1</v>
      </c>
      <c r="O871" t="str">
        <f>"9999"</f>
        <v>9999</v>
      </c>
      <c r="P871" t="str">
        <f>"S"</f>
        <v>S</v>
      </c>
      <c r="Q871" t="str">
        <f>"EPSS17"</f>
        <v>EPSS17</v>
      </c>
      <c r="R871" t="str">
        <f t="shared" si="1034"/>
        <v>6</v>
      </c>
      <c r="S871" t="str">
        <f>""</f>
        <v/>
      </c>
      <c r="T871" t="str">
        <f t="shared" si="1050"/>
        <v xml:space="preserve">                                                                                                    </v>
      </c>
      <c r="U871" t="str">
        <f>"2         "</f>
        <v xml:space="preserve">2         </v>
      </c>
      <c r="V871" t="str">
        <f t="shared" si="987"/>
        <v>2</v>
      </c>
      <c r="W871" t="str">
        <f t="shared" si="1052"/>
        <v>2</v>
      </c>
      <c r="X871" t="str">
        <f t="shared" si="1044"/>
        <v>2</v>
      </c>
      <c r="Y871" t="str">
        <f t="shared" si="1045"/>
        <v>2</v>
      </c>
      <c r="Z871" t="str">
        <f t="shared" si="1045"/>
        <v>2</v>
      </c>
      <c r="AA871" t="str">
        <f t="shared" si="1007"/>
        <v xml:space="preserve">          </v>
      </c>
      <c r="AB871" t="str">
        <f t="shared" si="999"/>
        <v>2</v>
      </c>
      <c r="AC871" t="str">
        <f t="shared" si="1001"/>
        <v>2</v>
      </c>
      <c r="AD871" t="str">
        <f t="shared" si="1047"/>
        <v>2</v>
      </c>
      <c r="AE871" t="str">
        <f t="shared" si="1047"/>
        <v>2</v>
      </c>
      <c r="AF871" t="str">
        <f t="shared" si="1047"/>
        <v>2</v>
      </c>
      <c r="AG871" t="str">
        <f t="shared" si="1047"/>
        <v>2</v>
      </c>
      <c r="AH871" t="str">
        <f t="shared" si="1053"/>
        <v>1</v>
      </c>
      <c r="AI871" t="str">
        <f>"1         "</f>
        <v xml:space="preserve">1         </v>
      </c>
      <c r="AJ871" t="str">
        <f t="shared" si="1018"/>
        <v>170</v>
      </c>
      <c r="AK871" t="str">
        <f>"25"</f>
        <v>25</v>
      </c>
      <c r="AL871" t="str">
        <f>"123"</f>
        <v>123</v>
      </c>
      <c r="AM871" t="str">
        <f>"11"</f>
        <v>11</v>
      </c>
      <c r="AN871" t="str">
        <f>"11001"</f>
        <v>11001</v>
      </c>
      <c r="AO871" t="str">
        <f>"9/09/2020 12:00:00 a. m."</f>
        <v>9/09/2020 12:00:00 a. m.</v>
      </c>
      <c r="AP871" t="str">
        <f>"9/06/2020 12:00:00 a. m."</f>
        <v>9/06/2020 12:00:00 a. m.</v>
      </c>
      <c r="AQ871" t="str">
        <f>"3"</f>
        <v>3</v>
      </c>
      <c r="AR871" t="str">
        <f t="shared" si="1055"/>
        <v>1</v>
      </c>
      <c r="AS871" t="str">
        <f>"9/09/2020 12:00:00 a. m."</f>
        <v>9/09/2020 12:00:00 a. m.</v>
      </c>
      <c r="AT871" t="str">
        <f t="shared" si="1035"/>
        <v>1</v>
      </c>
      <c r="AU871" t="str">
        <f>""</f>
        <v/>
      </c>
      <c r="AV871" t="str">
        <f>"0"</f>
        <v>0</v>
      </c>
      <c r="AW871" t="str">
        <f>"8/04/2019 12:00:00 a. m."</f>
        <v>8/04/2019 12:00:00 a. m.</v>
      </c>
      <c r="AX871" t="str">
        <f>""</f>
        <v/>
      </c>
      <c r="AY871" t="str">
        <f t="shared" si="1009"/>
        <v>30/04/2021 12:00:00 a. m.</v>
      </c>
      <c r="AZ871" t="str">
        <f>"28/09/2020 12:00:00 a. m."</f>
        <v>28/09/2020 12:00:00 a. m.</v>
      </c>
      <c r="BA871" t="str">
        <f>""</f>
        <v/>
      </c>
      <c r="BB871" t="str">
        <f>""</f>
        <v/>
      </c>
      <c r="BC871" t="str">
        <f>""</f>
        <v/>
      </c>
      <c r="BD871" t="str">
        <f t="shared" si="1051"/>
        <v>1</v>
      </c>
      <c r="BE871" t="str">
        <f t="shared" si="1051"/>
        <v>1</v>
      </c>
      <c r="BF871" t="str">
        <f t="shared" si="1010"/>
        <v xml:space="preserve">3         </v>
      </c>
      <c r="BG871" t="str">
        <f t="shared" si="1011"/>
        <v>Confirmado por laboratorio</v>
      </c>
      <c r="BH871" t="str">
        <f>"FUNDACION HOSPITAL DE LA MISERICORDIA"</f>
        <v>FUNDACION HOSPITAL DE LA MISERICORDIA</v>
      </c>
      <c r="BI871" t="str">
        <f t="shared" si="1020"/>
        <v>COLOMBIA</v>
      </c>
      <c r="BJ871" t="str">
        <f t="shared" si="1012"/>
        <v>CANCER INFANTIL</v>
      </c>
      <c r="BK871" t="str">
        <f>"CUNDINAMARCA"</f>
        <v>CUNDINAMARCA</v>
      </c>
      <c r="BL871" t="str">
        <f>"CACHIPAY"</f>
        <v>CACHIPAY</v>
      </c>
      <c r="BM871" t="str">
        <f t="shared" si="1021"/>
        <v>COLOMBIA</v>
      </c>
      <c r="BN871" t="str">
        <f>"CUNDINAMARCA"</f>
        <v>CUNDINAMARCA</v>
      </c>
      <c r="BO871" t="str">
        <f>"CACHIPAY"</f>
        <v>CACHIPAY</v>
      </c>
      <c r="BP871" t="str">
        <f t="shared" si="1056"/>
        <v>BOGOTA</v>
      </c>
      <c r="BQ871" t="str">
        <f t="shared" si="1056"/>
        <v>BOGOTA</v>
      </c>
    </row>
    <row r="872" spans="1:69" x14ac:dyDescent="0.25">
      <c r="A872" t="str">
        <f>"7291475"</f>
        <v>7291475</v>
      </c>
      <c r="B872" t="str">
        <f t="shared" si="1005"/>
        <v>459</v>
      </c>
      <c r="C872" t="str">
        <f>"23/09/2020 12:00:00 a. m."</f>
        <v>23/09/2020 12:00:00 a. m.</v>
      </c>
      <c r="D872" t="str">
        <f>"28"</f>
        <v>28</v>
      </c>
      <c r="E872" t="str">
        <f t="shared" si="1006"/>
        <v>2020</v>
      </c>
      <c r="F872" t="str">
        <f>"1100116133"</f>
        <v>1100116133</v>
      </c>
      <c r="G872" t="str">
        <f t="shared" si="1057"/>
        <v>01</v>
      </c>
      <c r="H872" t="str">
        <f>"10"</f>
        <v>10</v>
      </c>
      <c r="I872" t="str">
        <f t="shared" si="1033"/>
        <v>1</v>
      </c>
      <c r="J872" t="str">
        <f>"M"</f>
        <v>M</v>
      </c>
      <c r="K872" t="str">
        <f t="shared" si="1017"/>
        <v>170</v>
      </c>
      <c r="L872" t="str">
        <f>"11"</f>
        <v>11</v>
      </c>
      <c r="M872" t="str">
        <f t="shared" ref="M872:M877" si="1058">"001"</f>
        <v>001</v>
      </c>
      <c r="N872" t="str">
        <f t="shared" si="1054"/>
        <v>1</v>
      </c>
      <c r="O872" t="str">
        <f>"9997"</f>
        <v>9997</v>
      </c>
      <c r="P872" t="str">
        <f>"C"</f>
        <v>C</v>
      </c>
      <c r="Q872" t="str">
        <f>"EPS008"</f>
        <v>EPS008</v>
      </c>
      <c r="R872" t="str">
        <f t="shared" si="1034"/>
        <v>6</v>
      </c>
      <c r="S872" t="str">
        <f>""</f>
        <v/>
      </c>
      <c r="T872" t="str">
        <f t="shared" si="1050"/>
        <v xml:space="preserve">                                                                                                    </v>
      </c>
      <c r="U872" t="str">
        <f>"2         "</f>
        <v xml:space="preserve">2         </v>
      </c>
      <c r="V872" t="str">
        <f t="shared" si="987"/>
        <v>2</v>
      </c>
      <c r="W872" t="str">
        <f t="shared" si="1052"/>
        <v>2</v>
      </c>
      <c r="X872" t="str">
        <f t="shared" si="1044"/>
        <v>2</v>
      </c>
      <c r="Y872" t="str">
        <f t="shared" si="1045"/>
        <v>2</v>
      </c>
      <c r="Z872" t="str">
        <f t="shared" si="1045"/>
        <v>2</v>
      </c>
      <c r="AA872" t="str">
        <f t="shared" si="1007"/>
        <v xml:space="preserve">          </v>
      </c>
      <c r="AB872" t="str">
        <f t="shared" si="999"/>
        <v>2</v>
      </c>
      <c r="AC872" t="str">
        <f t="shared" si="1001"/>
        <v>2</v>
      </c>
      <c r="AD872" t="str">
        <f t="shared" si="1047"/>
        <v>2</v>
      </c>
      <c r="AE872" t="str">
        <f t="shared" si="1047"/>
        <v>2</v>
      </c>
      <c r="AF872" t="str">
        <f t="shared" si="1047"/>
        <v>2</v>
      </c>
      <c r="AG872" t="str">
        <f t="shared" si="1047"/>
        <v>2</v>
      </c>
      <c r="AH872" t="str">
        <f t="shared" si="1053"/>
        <v>1</v>
      </c>
      <c r="AI872" t="str">
        <f>"2         "</f>
        <v xml:space="preserve">2         </v>
      </c>
      <c r="AJ872" t="str">
        <f t="shared" si="1018"/>
        <v>170</v>
      </c>
      <c r="AK872" t="str">
        <f>"11"</f>
        <v>11</v>
      </c>
      <c r="AL872" t="str">
        <f t="shared" ref="AL872:AL877" si="1059">"001"</f>
        <v>001</v>
      </c>
      <c r="AM872" t="str">
        <f>"11"</f>
        <v>11</v>
      </c>
      <c r="AN872" t="str">
        <f>"11001"</f>
        <v>11001</v>
      </c>
      <c r="AO872" t="str">
        <f>"7/07/2020 12:00:00 a. m."</f>
        <v>7/07/2020 12:00:00 a. m.</v>
      </c>
      <c r="AP872" t="str">
        <f>"5/07/2020 12:00:00 a. m."</f>
        <v>5/07/2020 12:00:00 a. m.</v>
      </c>
      <c r="AQ872" t="str">
        <f>"3"</f>
        <v>3</v>
      </c>
      <c r="AR872" t="str">
        <f t="shared" si="1055"/>
        <v>1</v>
      </c>
      <c r="AS872" t="str">
        <f>"7/07/2020 12:00:00 a. m."</f>
        <v>7/07/2020 12:00:00 a. m.</v>
      </c>
      <c r="AT872" t="str">
        <f t="shared" si="1035"/>
        <v>1</v>
      </c>
      <c r="AU872" t="str">
        <f>""</f>
        <v/>
      </c>
      <c r="AV872" t="str">
        <f>"0"</f>
        <v>0</v>
      </c>
      <c r="AW872" t="str">
        <f>"21/06/2010 12:00:00 a. m."</f>
        <v>21/06/2010 12:00:00 a. m.</v>
      </c>
      <c r="AX872" t="str">
        <f>""</f>
        <v/>
      </c>
      <c r="AY872" t="str">
        <f t="shared" si="1009"/>
        <v>30/04/2021 12:00:00 a. m.</v>
      </c>
      <c r="AZ872" t="str">
        <f>"24/09/2020 12:00:00 a. m."</f>
        <v>24/09/2020 12:00:00 a. m.</v>
      </c>
      <c r="BA872" t="str">
        <f>""</f>
        <v/>
      </c>
      <c r="BB872" t="str">
        <f>""</f>
        <v/>
      </c>
      <c r="BC872" t="str">
        <f>""</f>
        <v/>
      </c>
      <c r="BD872" t="str">
        <f t="shared" si="1051"/>
        <v>1</v>
      </c>
      <c r="BE872" t="str">
        <f t="shared" si="1051"/>
        <v>1</v>
      </c>
      <c r="BF872" t="str">
        <f t="shared" si="1010"/>
        <v xml:space="preserve">3         </v>
      </c>
      <c r="BG872" t="str">
        <f t="shared" si="1011"/>
        <v>Confirmado por laboratorio</v>
      </c>
      <c r="BH872" t="str">
        <f>"FUNDACION HOSPITAL INFANTIL UNIVERSITARIO DE SAN"</f>
        <v>FUNDACION HOSPITAL INFANTIL UNIVERSITARIO DE SAN</v>
      </c>
      <c r="BI872" t="str">
        <f t="shared" si="1020"/>
        <v>COLOMBIA</v>
      </c>
      <c r="BJ872" t="str">
        <f t="shared" si="1012"/>
        <v>CANCER INFANTIL</v>
      </c>
      <c r="BK872" t="str">
        <f>"BOGOTA"</f>
        <v>BOGOTA</v>
      </c>
      <c r="BL872" t="str">
        <f>"BOGOTA"</f>
        <v>BOGOTA</v>
      </c>
      <c r="BM872" t="str">
        <f t="shared" si="1021"/>
        <v>COLOMBIA</v>
      </c>
      <c r="BN872" t="str">
        <f>"BOGOTA"</f>
        <v>BOGOTA</v>
      </c>
      <c r="BO872" t="str">
        <f>"BOGOTA"</f>
        <v>BOGOTA</v>
      </c>
      <c r="BP872" t="str">
        <f t="shared" si="1056"/>
        <v>BOGOTA</v>
      </c>
      <c r="BQ872" t="str">
        <f t="shared" si="1056"/>
        <v>BOGOTA</v>
      </c>
    </row>
    <row r="873" spans="1:69" x14ac:dyDescent="0.25">
      <c r="A873" t="str">
        <f>"7291352"</f>
        <v>7291352</v>
      </c>
      <c r="B873" t="str">
        <f t="shared" si="1005"/>
        <v>459</v>
      </c>
      <c r="C873" t="str">
        <f>"20/06/2020 12:00:00 a. m."</f>
        <v>20/06/2020 12:00:00 a. m.</v>
      </c>
      <c r="D873" t="str">
        <f>"24"</f>
        <v>24</v>
      </c>
      <c r="E873" t="str">
        <f t="shared" si="1006"/>
        <v>2020</v>
      </c>
      <c r="F873" t="str">
        <f>"7600102870"</f>
        <v>7600102870</v>
      </c>
      <c r="G873" t="str">
        <f t="shared" si="1057"/>
        <v>01</v>
      </c>
      <c r="H873" t="str">
        <f>"15"</f>
        <v>15</v>
      </c>
      <c r="I873" t="str">
        <f t="shared" si="1033"/>
        <v>1</v>
      </c>
      <c r="J873" t="str">
        <f>"F"</f>
        <v>F</v>
      </c>
      <c r="K873" t="str">
        <f t="shared" si="1017"/>
        <v>170</v>
      </c>
      <c r="L873" t="str">
        <f>"76"</f>
        <v>76</v>
      </c>
      <c r="M873" t="str">
        <f t="shared" si="1058"/>
        <v>001</v>
      </c>
      <c r="N873" t="str">
        <f t="shared" si="1054"/>
        <v>1</v>
      </c>
      <c r="O873" t="str">
        <f>"9999"</f>
        <v>9999</v>
      </c>
      <c r="P873" t="str">
        <f>"C"</f>
        <v>C</v>
      </c>
      <c r="Q873" t="str">
        <f>"EPS005"</f>
        <v>EPS005</v>
      </c>
      <c r="R873" t="str">
        <f t="shared" si="1034"/>
        <v>6</v>
      </c>
      <c r="S873" t="str">
        <f>""</f>
        <v/>
      </c>
      <c r="T873" t="str">
        <f t="shared" si="1050"/>
        <v xml:space="preserve">                                                                                                    </v>
      </c>
      <c r="U873" t="str">
        <f>"3         "</f>
        <v xml:space="preserve">3         </v>
      </c>
      <c r="V873" t="str">
        <f t="shared" si="987"/>
        <v>2</v>
      </c>
      <c r="W873" t="str">
        <f t="shared" si="1052"/>
        <v>2</v>
      </c>
      <c r="X873" t="str">
        <f t="shared" si="1044"/>
        <v>2</v>
      </c>
      <c r="Y873" t="str">
        <f t="shared" si="1045"/>
        <v>2</v>
      </c>
      <c r="Z873" t="str">
        <f t="shared" si="1045"/>
        <v>2</v>
      </c>
      <c r="AA873" t="str">
        <f t="shared" si="1007"/>
        <v xml:space="preserve">          </v>
      </c>
      <c r="AB873" t="str">
        <f t="shared" si="999"/>
        <v>2</v>
      </c>
      <c r="AC873" t="str">
        <f t="shared" si="1001"/>
        <v>2</v>
      </c>
      <c r="AD873" t="str">
        <f t="shared" si="1047"/>
        <v>2</v>
      </c>
      <c r="AE873" t="str">
        <f t="shared" si="1047"/>
        <v>2</v>
      </c>
      <c r="AF873" t="str">
        <f t="shared" si="1047"/>
        <v>2</v>
      </c>
      <c r="AG873" t="str">
        <f t="shared" si="1047"/>
        <v>2</v>
      </c>
      <c r="AH873" t="str">
        <f t="shared" si="1053"/>
        <v>1</v>
      </c>
      <c r="AI873" t="str">
        <f>"1         "</f>
        <v xml:space="preserve">1         </v>
      </c>
      <c r="AJ873" t="str">
        <f t="shared" si="1018"/>
        <v>170</v>
      </c>
      <c r="AK873" t="str">
        <f>"76"</f>
        <v>76</v>
      </c>
      <c r="AL873" t="str">
        <f t="shared" si="1059"/>
        <v>001</v>
      </c>
      <c r="AM873" t="str">
        <f>"76"</f>
        <v>76</v>
      </c>
      <c r="AN873" t="str">
        <f>"76001"</f>
        <v>76001</v>
      </c>
      <c r="AO873" t="str">
        <f>"3/06/2020 12:00:00 a. m."</f>
        <v>3/06/2020 12:00:00 a. m.</v>
      </c>
      <c r="AP873" t="str">
        <f>"3/06/2020 12:00:00 a. m."</f>
        <v>3/06/2020 12:00:00 a. m.</v>
      </c>
      <c r="AQ873" t="str">
        <f>"3"</f>
        <v>3</v>
      </c>
      <c r="AR873" t="str">
        <f t="shared" si="1055"/>
        <v>1</v>
      </c>
      <c r="AS873" t="str">
        <f>"10/06/2020 12:00:00 a. m."</f>
        <v>10/06/2020 12:00:00 a. m.</v>
      </c>
      <c r="AT873" t="str">
        <f t="shared" si="1035"/>
        <v>1</v>
      </c>
      <c r="AU873" t="str">
        <f>""</f>
        <v/>
      </c>
      <c r="AV873" t="str">
        <f>"3"</f>
        <v>3</v>
      </c>
      <c r="AW873" t="str">
        <f>"13/07/2004 12:00:00 a. m."</f>
        <v>13/07/2004 12:00:00 a. m.</v>
      </c>
      <c r="AX873" t="str">
        <f>""</f>
        <v/>
      </c>
      <c r="AY873" t="str">
        <f t="shared" si="1009"/>
        <v>30/04/2021 12:00:00 a. m.</v>
      </c>
      <c r="AZ873" t="str">
        <f>"9/07/2020 12:00:00 a. m."</f>
        <v>9/07/2020 12:00:00 a. m.</v>
      </c>
      <c r="BA873" t="str">
        <f>""</f>
        <v/>
      </c>
      <c r="BB873" t="str">
        <f>""</f>
        <v/>
      </c>
      <c r="BC873" t="str">
        <f>""</f>
        <v/>
      </c>
      <c r="BD873" t="str">
        <f t="shared" si="1051"/>
        <v>1</v>
      </c>
      <c r="BE873" t="str">
        <f t="shared" si="1051"/>
        <v>1</v>
      </c>
      <c r="BF873" t="str">
        <f t="shared" si="1010"/>
        <v xml:space="preserve">3         </v>
      </c>
      <c r="BG873" t="str">
        <f t="shared" si="1011"/>
        <v>Confirmado por laboratorio</v>
      </c>
      <c r="BH873" t="str">
        <f>"FUNDACION VALLE DEL LILI"</f>
        <v>FUNDACION VALLE DEL LILI</v>
      </c>
      <c r="BI873" t="str">
        <f t="shared" si="1020"/>
        <v>COLOMBIA</v>
      </c>
      <c r="BJ873" t="str">
        <f t="shared" si="1012"/>
        <v>CANCER INFANTIL</v>
      </c>
      <c r="BK873" t="str">
        <f>"VALLE"</f>
        <v>VALLE</v>
      </c>
      <c r="BL873" t="str">
        <f>"CALI"</f>
        <v>CALI</v>
      </c>
      <c r="BM873" t="str">
        <f t="shared" si="1021"/>
        <v>COLOMBIA</v>
      </c>
      <c r="BN873" t="str">
        <f>"VALLE"</f>
        <v>VALLE</v>
      </c>
      <c r="BO873" t="str">
        <f>"CALI"</f>
        <v>CALI</v>
      </c>
      <c r="BP873" t="str">
        <f>"VALLE"</f>
        <v>VALLE</v>
      </c>
      <c r="BQ873" t="str">
        <f>"CALI"</f>
        <v>CALI</v>
      </c>
    </row>
    <row r="874" spans="1:69" x14ac:dyDescent="0.25">
      <c r="A874" t="str">
        <f>"7291360"</f>
        <v>7291360</v>
      </c>
      <c r="B874" t="str">
        <f t="shared" si="1005"/>
        <v>459</v>
      </c>
      <c r="C874" t="str">
        <f>"23/09/2020 12:00:00 a. m."</f>
        <v>23/09/2020 12:00:00 a. m.</v>
      </c>
      <c r="D874" t="str">
        <f>"29"</f>
        <v>29</v>
      </c>
      <c r="E874" t="str">
        <f t="shared" si="1006"/>
        <v>2020</v>
      </c>
      <c r="F874" t="str">
        <f>"1100105681"</f>
        <v>1100105681</v>
      </c>
      <c r="G874" t="str">
        <f t="shared" si="1057"/>
        <v>01</v>
      </c>
      <c r="H874" t="str">
        <f>"4"</f>
        <v>4</v>
      </c>
      <c r="I874" t="str">
        <f t="shared" si="1033"/>
        <v>1</v>
      </c>
      <c r="J874" t="str">
        <f>"M"</f>
        <v>M</v>
      </c>
      <c r="K874" t="str">
        <f t="shared" si="1017"/>
        <v>170</v>
      </c>
      <c r="L874" t="str">
        <f>"73"</f>
        <v>73</v>
      </c>
      <c r="M874" t="str">
        <f t="shared" si="1058"/>
        <v>001</v>
      </c>
      <c r="N874" t="str">
        <f t="shared" si="1054"/>
        <v>1</v>
      </c>
      <c r="O874" t="str">
        <f>"9999"</f>
        <v>9999</v>
      </c>
      <c r="P874" t="str">
        <f>"C"</f>
        <v>C</v>
      </c>
      <c r="Q874" t="str">
        <f>"EPS005"</f>
        <v>EPS005</v>
      </c>
      <c r="R874" t="str">
        <f t="shared" si="1034"/>
        <v>6</v>
      </c>
      <c r="S874" t="str">
        <f>""</f>
        <v/>
      </c>
      <c r="T874" t="str">
        <f t="shared" si="1050"/>
        <v xml:space="preserve">                                                                                                    </v>
      </c>
      <c r="U874" t="str">
        <f>"2         "</f>
        <v xml:space="preserve">2         </v>
      </c>
      <c r="V874" t="str">
        <f t="shared" si="987"/>
        <v>2</v>
      </c>
      <c r="W874" t="str">
        <f t="shared" si="1052"/>
        <v>2</v>
      </c>
      <c r="X874" t="str">
        <f t="shared" si="1044"/>
        <v>2</v>
      </c>
      <c r="Y874" t="str">
        <f t="shared" si="1045"/>
        <v>2</v>
      </c>
      <c r="Z874" t="str">
        <f t="shared" si="1045"/>
        <v>2</v>
      </c>
      <c r="AA874" t="str">
        <f t="shared" si="1007"/>
        <v xml:space="preserve">          </v>
      </c>
      <c r="AB874" t="str">
        <f t="shared" si="999"/>
        <v>2</v>
      </c>
      <c r="AC874" t="str">
        <f t="shared" si="1001"/>
        <v>2</v>
      </c>
      <c r="AD874" t="str">
        <f t="shared" si="1047"/>
        <v>2</v>
      </c>
      <c r="AE874" t="str">
        <f t="shared" si="1047"/>
        <v>2</v>
      </c>
      <c r="AF874" t="str">
        <f t="shared" si="1047"/>
        <v>2</v>
      </c>
      <c r="AG874" t="str">
        <f t="shared" si="1047"/>
        <v>2</v>
      </c>
      <c r="AH874" t="str">
        <f t="shared" si="1053"/>
        <v>1</v>
      </c>
      <c r="AI874" t="str">
        <f>"1         "</f>
        <v xml:space="preserve">1         </v>
      </c>
      <c r="AJ874" t="str">
        <f t="shared" si="1018"/>
        <v>170</v>
      </c>
      <c r="AK874" t="str">
        <f>"73"</f>
        <v>73</v>
      </c>
      <c r="AL874" t="str">
        <f t="shared" si="1059"/>
        <v>001</v>
      </c>
      <c r="AM874" t="str">
        <f>"11"</f>
        <v>11</v>
      </c>
      <c r="AN874" t="str">
        <f>"11001"</f>
        <v>11001</v>
      </c>
      <c r="AO874" t="str">
        <f>"18/07/2020 12:00:00 a. m."</f>
        <v>18/07/2020 12:00:00 a. m.</v>
      </c>
      <c r="AP874" t="str">
        <f>"18/03/2020 12:00:00 a. m."</f>
        <v>18/03/2020 12:00:00 a. m.</v>
      </c>
      <c r="AQ874" t="str">
        <f>"3"</f>
        <v>3</v>
      </c>
      <c r="AR874" t="str">
        <f t="shared" si="1055"/>
        <v>1</v>
      </c>
      <c r="AS874" t="str">
        <f>"18/07/2020 12:00:00 a. m."</f>
        <v>18/07/2020 12:00:00 a. m.</v>
      </c>
      <c r="AT874" t="str">
        <f>"2"</f>
        <v>2</v>
      </c>
      <c r="AU874" t="str">
        <f>"28/08/2020 12:00:00 a. m."</f>
        <v>28/08/2020 12:00:00 a. m.</v>
      </c>
      <c r="AV874" t="str">
        <f>"7"</f>
        <v>7</v>
      </c>
      <c r="AW874" t="str">
        <f>"4/07/2016 12:00:00 a. m."</f>
        <v>4/07/2016 12:00:00 a. m.</v>
      </c>
      <c r="AX874" t="str">
        <f>"C382"</f>
        <v>C382</v>
      </c>
      <c r="AY874" t="str">
        <f t="shared" si="1009"/>
        <v>30/04/2021 12:00:00 a. m.</v>
      </c>
      <c r="AZ874" t="str">
        <f>"19/02/2021 12:00:00 a. m."</f>
        <v>19/02/2021 12:00:00 a. m.</v>
      </c>
      <c r="BA874" t="str">
        <f>""</f>
        <v/>
      </c>
      <c r="BB874" t="str">
        <f>""</f>
        <v/>
      </c>
      <c r="BC874" t="str">
        <f>""</f>
        <v/>
      </c>
      <c r="BD874" t="str">
        <f t="shared" si="1051"/>
        <v>1</v>
      </c>
      <c r="BE874" t="str">
        <f t="shared" si="1051"/>
        <v>1</v>
      </c>
      <c r="BF874" t="str">
        <f t="shared" si="1010"/>
        <v xml:space="preserve">3         </v>
      </c>
      <c r="BG874" t="str">
        <f t="shared" si="1011"/>
        <v>Confirmado por laboratorio</v>
      </c>
      <c r="BH874" t="str">
        <f>"FUNDACION HOSPITAL DE LA MISERICORDIA"</f>
        <v>FUNDACION HOSPITAL DE LA MISERICORDIA</v>
      </c>
      <c r="BI874" t="str">
        <f t="shared" si="1020"/>
        <v>COLOMBIA</v>
      </c>
      <c r="BJ874" t="str">
        <f t="shared" si="1012"/>
        <v>CANCER INFANTIL</v>
      </c>
      <c r="BK874" t="str">
        <f>"TOLIMA"</f>
        <v>TOLIMA</v>
      </c>
      <c r="BL874" t="str">
        <f>"IBAGUE"</f>
        <v>IBAGUE</v>
      </c>
      <c r="BM874" t="str">
        <f t="shared" si="1021"/>
        <v>COLOMBIA</v>
      </c>
      <c r="BN874" t="str">
        <f>"TOLIMA"</f>
        <v>TOLIMA</v>
      </c>
      <c r="BO874" t="str">
        <f>"IBAGUE"</f>
        <v>IBAGUE</v>
      </c>
      <c r="BP874" t="str">
        <f>"BOGOTA"</f>
        <v>BOGOTA</v>
      </c>
      <c r="BQ874" t="str">
        <f>"BOGOTA"</f>
        <v>BOGOTA</v>
      </c>
    </row>
    <row r="875" spans="1:69" x14ac:dyDescent="0.25">
      <c r="A875" t="str">
        <f>"7291737"</f>
        <v>7291737</v>
      </c>
      <c r="B875" t="str">
        <f t="shared" si="1005"/>
        <v>459</v>
      </c>
      <c r="C875" t="str">
        <f>"30/11/2020 12:00:00 a. m."</f>
        <v>30/11/2020 12:00:00 a. m.</v>
      </c>
      <c r="D875" t="str">
        <f>"49"</f>
        <v>49</v>
      </c>
      <c r="E875" t="str">
        <f t="shared" si="1006"/>
        <v>2020</v>
      </c>
      <c r="F875" t="str">
        <f>"5200100283"</f>
        <v>5200100283</v>
      </c>
      <c r="G875" t="str">
        <f t="shared" si="1057"/>
        <v>01</v>
      </c>
      <c r="H875" t="str">
        <f>"7"</f>
        <v>7</v>
      </c>
      <c r="I875" t="str">
        <f t="shared" si="1033"/>
        <v>1</v>
      </c>
      <c r="J875" t="str">
        <f>"M"</f>
        <v>M</v>
      </c>
      <c r="K875" t="str">
        <f t="shared" si="1017"/>
        <v>170</v>
      </c>
      <c r="L875" t="str">
        <f>"91"</f>
        <v>91</v>
      </c>
      <c r="M875" t="str">
        <f t="shared" si="1058"/>
        <v>001</v>
      </c>
      <c r="N875" t="str">
        <f>"3"</f>
        <v>3</v>
      </c>
      <c r="O875" t="str">
        <f>"9999"</f>
        <v>9999</v>
      </c>
      <c r="P875" t="str">
        <f>"S"</f>
        <v>S</v>
      </c>
      <c r="Q875" t="str">
        <f>"EPSI05"</f>
        <v>EPSI05</v>
      </c>
      <c r="R875" t="str">
        <f t="shared" si="1034"/>
        <v>6</v>
      </c>
      <c r="S875" t="str">
        <f>""</f>
        <v/>
      </c>
      <c r="T875" t="str">
        <f t="shared" si="1050"/>
        <v xml:space="preserve">                                                                                                    </v>
      </c>
      <c r="U875" t="str">
        <f>"1         "</f>
        <v xml:space="preserve">1         </v>
      </c>
      <c r="V875" t="str">
        <f t="shared" si="987"/>
        <v>2</v>
      </c>
      <c r="W875" t="str">
        <f t="shared" si="1052"/>
        <v>2</v>
      </c>
      <c r="X875" t="str">
        <f t="shared" si="1044"/>
        <v>2</v>
      </c>
      <c r="Y875" t="str">
        <f t="shared" si="1045"/>
        <v>2</v>
      </c>
      <c r="Z875" t="str">
        <f t="shared" si="1045"/>
        <v>2</v>
      </c>
      <c r="AA875" t="str">
        <f t="shared" si="1007"/>
        <v xml:space="preserve">          </v>
      </c>
      <c r="AB875" t="str">
        <f t="shared" si="999"/>
        <v>2</v>
      </c>
      <c r="AC875" t="str">
        <f t="shared" si="1001"/>
        <v>2</v>
      </c>
      <c r="AD875" t="str">
        <f t="shared" si="1047"/>
        <v>2</v>
      </c>
      <c r="AE875" t="str">
        <f t="shared" si="1047"/>
        <v>2</v>
      </c>
      <c r="AF875" t="str">
        <f t="shared" si="1047"/>
        <v>2</v>
      </c>
      <c r="AG875" t="str">
        <f t="shared" si="1047"/>
        <v>2</v>
      </c>
      <c r="AH875" t="str">
        <f t="shared" si="1053"/>
        <v>1</v>
      </c>
      <c r="AI875" t="str">
        <f>"1         "</f>
        <v xml:space="preserve">1         </v>
      </c>
      <c r="AJ875" t="str">
        <f t="shared" si="1018"/>
        <v>170</v>
      </c>
      <c r="AK875" t="str">
        <f>"91"</f>
        <v>91</v>
      </c>
      <c r="AL875" t="str">
        <f t="shared" si="1059"/>
        <v>001</v>
      </c>
      <c r="AM875" t="str">
        <f>"52"</f>
        <v>52</v>
      </c>
      <c r="AN875" t="str">
        <f>"52001"</f>
        <v>52001</v>
      </c>
      <c r="AO875" t="str">
        <f>"29/11/2020 12:00:00 a. m."</f>
        <v>29/11/2020 12:00:00 a. m.</v>
      </c>
      <c r="AP875" t="str">
        <f>"20/10/2020 12:00:00 a. m."</f>
        <v>20/10/2020 12:00:00 a. m.</v>
      </c>
      <c r="AQ875" t="str">
        <f>"2"</f>
        <v>2</v>
      </c>
      <c r="AR875" t="str">
        <f t="shared" si="1055"/>
        <v>1</v>
      </c>
      <c r="AS875" t="str">
        <f>"29/11/2020 12:00:00 a. m."</f>
        <v>29/11/2020 12:00:00 a. m.</v>
      </c>
      <c r="AT875" t="str">
        <f>"1"</f>
        <v>1</v>
      </c>
      <c r="AU875" t="str">
        <f>""</f>
        <v/>
      </c>
      <c r="AV875" t="str">
        <f>"3"</f>
        <v>3</v>
      </c>
      <c r="AW875" t="str">
        <f>"19/10/2013 12:00:00 a. m."</f>
        <v>19/10/2013 12:00:00 a. m.</v>
      </c>
      <c r="AX875" t="str">
        <f>""</f>
        <v/>
      </c>
      <c r="AY875" t="str">
        <f t="shared" si="1009"/>
        <v>30/04/2021 12:00:00 a. m.</v>
      </c>
      <c r="AZ875" t="str">
        <f>"16/02/2021 12:00:00 a. m."</f>
        <v>16/02/2021 12:00:00 a. m.</v>
      </c>
      <c r="BA875" t="str">
        <f>""</f>
        <v/>
      </c>
      <c r="BB875" t="str">
        <f>""</f>
        <v/>
      </c>
      <c r="BC875" t="str">
        <f>""</f>
        <v/>
      </c>
      <c r="BD875" t="str">
        <f t="shared" si="1051"/>
        <v>1</v>
      </c>
      <c r="BE875" t="str">
        <f t="shared" si="1051"/>
        <v>1</v>
      </c>
      <c r="BF875" t="str">
        <f t="shared" si="1010"/>
        <v xml:space="preserve">3         </v>
      </c>
      <c r="BG875" t="str">
        <f t="shared" si="1011"/>
        <v>Confirmado por laboratorio</v>
      </c>
      <c r="BH875" t="str">
        <f>"HOSPITAL INFANTIL LOS ANGELES"</f>
        <v>HOSPITAL INFANTIL LOS ANGELES</v>
      </c>
      <c r="BI875" t="str">
        <f t="shared" si="1020"/>
        <v>COLOMBIA</v>
      </c>
      <c r="BJ875" t="str">
        <f t="shared" si="1012"/>
        <v>CANCER INFANTIL</v>
      </c>
      <c r="BK875" t="str">
        <f>"AMAZONAS"</f>
        <v>AMAZONAS</v>
      </c>
      <c r="BL875" t="str">
        <f>"LETICIA"</f>
        <v>LETICIA</v>
      </c>
      <c r="BM875" t="str">
        <f t="shared" si="1021"/>
        <v>COLOMBIA</v>
      </c>
      <c r="BN875" t="str">
        <f>"AMAZONAS"</f>
        <v>AMAZONAS</v>
      </c>
      <c r="BO875" t="str">
        <f>"LETICIA"</f>
        <v>LETICIA</v>
      </c>
      <c r="BP875" t="str">
        <f>"NARIÑO"</f>
        <v>NARIÑO</v>
      </c>
      <c r="BQ875" t="str">
        <f>"PASTO"</f>
        <v>PASTO</v>
      </c>
    </row>
    <row r="876" spans="1:69" x14ac:dyDescent="0.25">
      <c r="A876" t="str">
        <f>"7291735"</f>
        <v>7291735</v>
      </c>
      <c r="B876" t="str">
        <f t="shared" si="1005"/>
        <v>459</v>
      </c>
      <c r="C876" t="str">
        <f>"9/12/2020 12:00:00 a. m."</f>
        <v>9/12/2020 12:00:00 a. m.</v>
      </c>
      <c r="D876" t="str">
        <f>"46"</f>
        <v>46</v>
      </c>
      <c r="E876" t="str">
        <f t="shared" si="1006"/>
        <v>2020</v>
      </c>
      <c r="F876" t="str">
        <f>"1100105681"</f>
        <v>1100105681</v>
      </c>
      <c r="G876" t="str">
        <f t="shared" si="1057"/>
        <v>01</v>
      </c>
      <c r="H876" t="str">
        <f>"15"</f>
        <v>15</v>
      </c>
      <c r="I876" t="str">
        <f t="shared" si="1033"/>
        <v>1</v>
      </c>
      <c r="J876" t="str">
        <f>"M"</f>
        <v>M</v>
      </c>
      <c r="K876" t="str">
        <f t="shared" si="1017"/>
        <v>170</v>
      </c>
      <c r="L876" t="str">
        <f>"91"</f>
        <v>91</v>
      </c>
      <c r="M876" t="str">
        <f t="shared" si="1058"/>
        <v>001</v>
      </c>
      <c r="N876" t="str">
        <f>"1"</f>
        <v>1</v>
      </c>
      <c r="O876" t="str">
        <f>"9997"</f>
        <v>9997</v>
      </c>
      <c r="P876" t="str">
        <f>"S"</f>
        <v>S</v>
      </c>
      <c r="Q876" t="str">
        <f>"EPSS37"</f>
        <v>EPSS37</v>
      </c>
      <c r="R876" t="str">
        <f>"1"</f>
        <v>1</v>
      </c>
      <c r="S876" t="str">
        <f>""</f>
        <v/>
      </c>
      <c r="T876" t="str">
        <f t="shared" si="1050"/>
        <v xml:space="preserve">                                                                                                    </v>
      </c>
      <c r="U876" t="str">
        <f>"1         "</f>
        <v xml:space="preserve">1         </v>
      </c>
      <c r="V876" t="str">
        <f t="shared" si="987"/>
        <v>2</v>
      </c>
      <c r="W876" t="str">
        <f t="shared" si="1052"/>
        <v>2</v>
      </c>
      <c r="X876" t="str">
        <f t="shared" si="1044"/>
        <v>2</v>
      </c>
      <c r="Y876" t="str">
        <f t="shared" si="1045"/>
        <v>2</v>
      </c>
      <c r="Z876" t="str">
        <f t="shared" si="1045"/>
        <v>2</v>
      </c>
      <c r="AA876" t="str">
        <f t="shared" si="1007"/>
        <v xml:space="preserve">          </v>
      </c>
      <c r="AB876" t="str">
        <f t="shared" si="999"/>
        <v>2</v>
      </c>
      <c r="AC876" t="str">
        <f t="shared" si="1001"/>
        <v>2</v>
      </c>
      <c r="AD876" t="str">
        <f t="shared" si="1047"/>
        <v>2</v>
      </c>
      <c r="AE876" t="str">
        <f t="shared" si="1047"/>
        <v>2</v>
      </c>
      <c r="AF876" t="str">
        <f t="shared" si="1047"/>
        <v>2</v>
      </c>
      <c r="AG876" t="str">
        <f t="shared" si="1047"/>
        <v>2</v>
      </c>
      <c r="AH876" t="str">
        <f t="shared" si="1053"/>
        <v>1</v>
      </c>
      <c r="AI876" t="str">
        <f>"2         "</f>
        <v xml:space="preserve">2         </v>
      </c>
      <c r="AJ876" t="str">
        <f t="shared" si="1018"/>
        <v>170</v>
      </c>
      <c r="AK876" t="str">
        <f>"91"</f>
        <v>91</v>
      </c>
      <c r="AL876" t="str">
        <f t="shared" si="1059"/>
        <v>001</v>
      </c>
      <c r="AM876" t="str">
        <f>"11"</f>
        <v>11</v>
      </c>
      <c r="AN876" t="str">
        <f>"11001"</f>
        <v>11001</v>
      </c>
      <c r="AO876" t="str">
        <f>"13/11/2020 12:00:00 a. m."</f>
        <v>13/11/2020 12:00:00 a. m.</v>
      </c>
      <c r="AP876" t="str">
        <f>"29/09/2020 12:00:00 a. m."</f>
        <v>29/09/2020 12:00:00 a. m.</v>
      </c>
      <c r="AQ876" t="str">
        <f>"3"</f>
        <v>3</v>
      </c>
      <c r="AR876" t="str">
        <f t="shared" si="1055"/>
        <v>1</v>
      </c>
      <c r="AS876" t="str">
        <f>"13/11/2020 12:00:00 a. m."</f>
        <v>13/11/2020 12:00:00 a. m.</v>
      </c>
      <c r="AT876" t="str">
        <f>"2"</f>
        <v>2</v>
      </c>
      <c r="AU876" t="str">
        <f>"9/12/2020 12:00:00 a. m."</f>
        <v>9/12/2020 12:00:00 a. m.</v>
      </c>
      <c r="AV876" t="str">
        <f>"0"</f>
        <v>0</v>
      </c>
      <c r="AW876" t="str">
        <f>"13/09/2005 12:00:00 a. m."</f>
        <v>13/09/2005 12:00:00 a. m.</v>
      </c>
      <c r="AX876" t="str">
        <f>"C753"</f>
        <v>C753</v>
      </c>
      <c r="AY876" t="str">
        <f t="shared" si="1009"/>
        <v>30/04/2021 12:00:00 a. m.</v>
      </c>
      <c r="AZ876" t="str">
        <f>"16/12/2020 12:00:00 a. m."</f>
        <v>16/12/2020 12:00:00 a. m.</v>
      </c>
      <c r="BA876" t="str">
        <f>""</f>
        <v/>
      </c>
      <c r="BB876" t="str">
        <f>""</f>
        <v/>
      </c>
      <c r="BC876" t="str">
        <f>""</f>
        <v/>
      </c>
      <c r="BD876" t="str">
        <f t="shared" si="1051"/>
        <v>1</v>
      </c>
      <c r="BE876" t="str">
        <f t="shared" si="1051"/>
        <v>1</v>
      </c>
      <c r="BF876" t="str">
        <f t="shared" si="1010"/>
        <v xml:space="preserve">3         </v>
      </c>
      <c r="BG876" t="str">
        <f t="shared" si="1011"/>
        <v>Confirmado por laboratorio</v>
      </c>
      <c r="BH876" t="str">
        <f>"FUNDACION HOSPITAL DE LA MISERICORDIA"</f>
        <v>FUNDACION HOSPITAL DE LA MISERICORDIA</v>
      </c>
      <c r="BI876" t="str">
        <f t="shared" si="1020"/>
        <v>COLOMBIA</v>
      </c>
      <c r="BJ876" t="str">
        <f t="shared" si="1012"/>
        <v>CANCER INFANTIL</v>
      </c>
      <c r="BK876" t="str">
        <f>"AMAZONAS"</f>
        <v>AMAZONAS</v>
      </c>
      <c r="BL876" t="str">
        <f>"LETICIA"</f>
        <v>LETICIA</v>
      </c>
      <c r="BM876" t="str">
        <f t="shared" si="1021"/>
        <v>COLOMBIA</v>
      </c>
      <c r="BN876" t="str">
        <f>"AMAZONAS"</f>
        <v>AMAZONAS</v>
      </c>
      <c r="BO876" t="str">
        <f>"LETICIA"</f>
        <v>LETICIA</v>
      </c>
      <c r="BP876" t="str">
        <f>"BOGOTA"</f>
        <v>BOGOTA</v>
      </c>
      <c r="BQ876" t="str">
        <f>"BOGOTA"</f>
        <v>BOGOTA</v>
      </c>
    </row>
    <row r="877" spans="1:69" x14ac:dyDescent="0.25">
      <c r="A877" t="str">
        <f>"7291671"</f>
        <v>7291671</v>
      </c>
      <c r="B877" t="str">
        <f t="shared" si="1005"/>
        <v>459</v>
      </c>
      <c r="C877" t="str">
        <f>"8/05/2020 12:00:00 a. m."</f>
        <v>8/05/2020 12:00:00 a. m.</v>
      </c>
      <c r="D877" t="str">
        <f>"16"</f>
        <v>16</v>
      </c>
      <c r="E877" t="str">
        <f t="shared" si="1006"/>
        <v>2020</v>
      </c>
      <c r="F877" t="str">
        <f>"1100116133"</f>
        <v>1100116133</v>
      </c>
      <c r="G877" t="str">
        <f t="shared" si="1057"/>
        <v>01</v>
      </c>
      <c r="H877" t="str">
        <f>"11"</f>
        <v>11</v>
      </c>
      <c r="I877" t="str">
        <f t="shared" si="1033"/>
        <v>1</v>
      </c>
      <c r="J877" t="str">
        <f>"F"</f>
        <v>F</v>
      </c>
      <c r="K877" t="str">
        <f t="shared" si="1017"/>
        <v>170</v>
      </c>
      <c r="L877" t="str">
        <f>"11"</f>
        <v>11</v>
      </c>
      <c r="M877" t="str">
        <f t="shared" si="1058"/>
        <v>001</v>
      </c>
      <c r="N877" t="str">
        <f>"1"</f>
        <v>1</v>
      </c>
      <c r="O877" t="str">
        <f>"9997"</f>
        <v>9997</v>
      </c>
      <c r="P877" t="str">
        <f>"C"</f>
        <v>C</v>
      </c>
      <c r="Q877" t="str">
        <f>"EPS002"</f>
        <v>EPS002</v>
      </c>
      <c r="R877" t="str">
        <f>"6"</f>
        <v>6</v>
      </c>
      <c r="S877" t="str">
        <f>""</f>
        <v/>
      </c>
      <c r="T877" t="str">
        <f t="shared" si="1050"/>
        <v xml:space="preserve">                                                                                                    </v>
      </c>
      <c r="U877" t="str">
        <f>"2         "</f>
        <v xml:space="preserve">2         </v>
      </c>
      <c r="V877" t="str">
        <f t="shared" si="987"/>
        <v>2</v>
      </c>
      <c r="W877" t="str">
        <f t="shared" si="1052"/>
        <v>2</v>
      </c>
      <c r="X877" t="str">
        <f t="shared" si="1044"/>
        <v>2</v>
      </c>
      <c r="Y877" t="str">
        <f t="shared" si="1045"/>
        <v>2</v>
      </c>
      <c r="Z877" t="str">
        <f t="shared" si="1045"/>
        <v>2</v>
      </c>
      <c r="AA877" t="str">
        <f t="shared" si="1007"/>
        <v xml:space="preserve">          </v>
      </c>
      <c r="AB877" t="str">
        <f t="shared" si="999"/>
        <v>2</v>
      </c>
      <c r="AC877" t="str">
        <f t="shared" si="1001"/>
        <v>2</v>
      </c>
      <c r="AD877" t="str">
        <f t="shared" si="1047"/>
        <v>2</v>
      </c>
      <c r="AE877" t="str">
        <f t="shared" si="1047"/>
        <v>2</v>
      </c>
      <c r="AF877" t="str">
        <f t="shared" si="1047"/>
        <v>2</v>
      </c>
      <c r="AG877" t="str">
        <f t="shared" si="1047"/>
        <v>2</v>
      </c>
      <c r="AH877" t="str">
        <f t="shared" si="1053"/>
        <v>1</v>
      </c>
      <c r="AI877" t="str">
        <f>"2         "</f>
        <v xml:space="preserve">2         </v>
      </c>
      <c r="AJ877" t="str">
        <f t="shared" si="1018"/>
        <v>170</v>
      </c>
      <c r="AK877" t="str">
        <f>"11"</f>
        <v>11</v>
      </c>
      <c r="AL877" t="str">
        <f t="shared" si="1059"/>
        <v>001</v>
      </c>
      <c r="AM877" t="str">
        <f>"11"</f>
        <v>11</v>
      </c>
      <c r="AN877" t="str">
        <f>"11001"</f>
        <v>11001</v>
      </c>
      <c r="AO877" t="str">
        <f>"17/04/2020 12:00:00 a. m."</f>
        <v>17/04/2020 12:00:00 a. m.</v>
      </c>
      <c r="AP877" t="str">
        <f>"16/04/2020 12:00:00 a. m."</f>
        <v>16/04/2020 12:00:00 a. m.</v>
      </c>
      <c r="AQ877" t="str">
        <f>"3"</f>
        <v>3</v>
      </c>
      <c r="AR877" t="str">
        <f t="shared" si="1055"/>
        <v>1</v>
      </c>
      <c r="AS877" t="str">
        <f>"17/04/2020 12:00:00 a. m."</f>
        <v>17/04/2020 12:00:00 a. m.</v>
      </c>
      <c r="AT877" t="str">
        <f>"1"</f>
        <v>1</v>
      </c>
      <c r="AU877" t="str">
        <f>""</f>
        <v/>
      </c>
      <c r="AV877" t="str">
        <f>"0"</f>
        <v>0</v>
      </c>
      <c r="AW877" t="str">
        <f>"19/08/2008 12:00:00 a. m."</f>
        <v>19/08/2008 12:00:00 a. m.</v>
      </c>
      <c r="AX877" t="str">
        <f>""</f>
        <v/>
      </c>
      <c r="AY877" t="str">
        <f t="shared" si="1009"/>
        <v>30/04/2021 12:00:00 a. m.</v>
      </c>
      <c r="AZ877" t="str">
        <f>"11/05/2020 12:00:00 a. m."</f>
        <v>11/05/2020 12:00:00 a. m.</v>
      </c>
      <c r="BA877" t="str">
        <f>""</f>
        <v/>
      </c>
      <c r="BB877" t="str">
        <f>""</f>
        <v/>
      </c>
      <c r="BC877" t="str">
        <f>""</f>
        <v/>
      </c>
      <c r="BD877" t="str">
        <f t="shared" si="1051"/>
        <v>1</v>
      </c>
      <c r="BE877" t="str">
        <f t="shared" si="1051"/>
        <v>1</v>
      </c>
      <c r="BF877" t="str">
        <f t="shared" si="1010"/>
        <v xml:space="preserve">3         </v>
      </c>
      <c r="BG877" t="str">
        <f t="shared" si="1011"/>
        <v>Confirmado por laboratorio</v>
      </c>
      <c r="BH877" t="str">
        <f>"FUNDACION HOSPITAL INFANTIL UNIVERSITARIO DE SAN"</f>
        <v>FUNDACION HOSPITAL INFANTIL UNIVERSITARIO DE SAN</v>
      </c>
      <c r="BI877" t="str">
        <f t="shared" si="1020"/>
        <v>COLOMBIA</v>
      </c>
      <c r="BJ877" t="str">
        <f t="shared" si="1012"/>
        <v>CANCER INFANTIL</v>
      </c>
      <c r="BK877" t="str">
        <f>"BOGOTA"</f>
        <v>BOGOTA</v>
      </c>
      <c r="BL877" t="str">
        <f>"BOGOTA"</f>
        <v>BOGOTA</v>
      </c>
      <c r="BM877" t="str">
        <f t="shared" si="1021"/>
        <v>COLOMBIA</v>
      </c>
      <c r="BN877" t="str">
        <f>"BOGOTA"</f>
        <v>BOGOTA</v>
      </c>
      <c r="BO877" t="str">
        <f>"BOGOTA"</f>
        <v>BOGOTA</v>
      </c>
      <c r="BP877" t="str">
        <f>"BOGOTA"</f>
        <v>BOGOTA</v>
      </c>
      <c r="BQ877" t="str">
        <f>"BOGOTA"</f>
        <v>BOGOTA</v>
      </c>
    </row>
    <row r="878" spans="1:69" x14ac:dyDescent="0.25">
      <c r="A878" t="str">
        <f>"7278811"</f>
        <v>7278811</v>
      </c>
      <c r="B878" t="str">
        <f t="shared" si="1005"/>
        <v>459</v>
      </c>
      <c r="C878" t="str">
        <f>"12/02/2020 12:00:00 a. m."</f>
        <v>12/02/2020 12:00:00 a. m.</v>
      </c>
      <c r="D878" t="str">
        <f>"01"</f>
        <v>01</v>
      </c>
      <c r="E878" t="str">
        <f t="shared" si="1006"/>
        <v>2020</v>
      </c>
      <c r="F878" t="str">
        <f>"0500102144"</f>
        <v>0500102144</v>
      </c>
      <c r="G878" t="str">
        <f t="shared" si="1057"/>
        <v>01</v>
      </c>
      <c r="H878" t="str">
        <f>"14"</f>
        <v>14</v>
      </c>
      <c r="I878" t="str">
        <f t="shared" si="1033"/>
        <v>1</v>
      </c>
      <c r="J878" t="str">
        <f>"F"</f>
        <v>F</v>
      </c>
      <c r="K878" t="str">
        <f t="shared" si="1017"/>
        <v>170</v>
      </c>
      <c r="L878" t="str">
        <f>"05"</f>
        <v>05</v>
      </c>
      <c r="M878" t="str">
        <f>"125"</f>
        <v>125</v>
      </c>
      <c r="N878" t="str">
        <f>"3"</f>
        <v>3</v>
      </c>
      <c r="O878" t="str">
        <f>"9997"</f>
        <v>9997</v>
      </c>
      <c r="P878" t="str">
        <f>"S"</f>
        <v>S</v>
      </c>
      <c r="Q878" t="str">
        <f>"EPSS40"</f>
        <v>EPSS40</v>
      </c>
      <c r="R878" t="str">
        <f>"6"</f>
        <v>6</v>
      </c>
      <c r="S878" t="str">
        <f>""</f>
        <v/>
      </c>
      <c r="T878" t="str">
        <f t="shared" si="1050"/>
        <v xml:space="preserve">                                                                                                    </v>
      </c>
      <c r="U878" t="str">
        <f>"          "</f>
        <v xml:space="preserve">          </v>
      </c>
      <c r="V878" t="str">
        <f t="shared" si="987"/>
        <v>2</v>
      </c>
      <c r="W878" t="str">
        <f t="shared" si="1052"/>
        <v>2</v>
      </c>
      <c r="X878" t="str">
        <f t="shared" si="1044"/>
        <v>2</v>
      </c>
      <c r="Y878" t="str">
        <f t="shared" si="1045"/>
        <v>2</v>
      </c>
      <c r="Z878" t="str">
        <f t="shared" si="1045"/>
        <v>2</v>
      </c>
      <c r="AA878" t="str">
        <f t="shared" si="1007"/>
        <v xml:space="preserve">          </v>
      </c>
      <c r="AB878" t="str">
        <f t="shared" si="999"/>
        <v>2</v>
      </c>
      <c r="AC878" t="str">
        <f t="shared" si="1001"/>
        <v>2</v>
      </c>
      <c r="AD878" t="str">
        <f t="shared" si="1047"/>
        <v>2</v>
      </c>
      <c r="AE878" t="str">
        <f t="shared" si="1047"/>
        <v>2</v>
      </c>
      <c r="AF878" t="str">
        <f t="shared" si="1047"/>
        <v>2</v>
      </c>
      <c r="AG878" t="str">
        <f t="shared" si="1047"/>
        <v>2</v>
      </c>
      <c r="AH878" t="str">
        <f t="shared" si="1053"/>
        <v>1</v>
      </c>
      <c r="AI878" t="str">
        <f t="shared" ref="AI878:AI884" si="1060">"1         "</f>
        <v xml:space="preserve">1         </v>
      </c>
      <c r="AJ878" t="str">
        <f t="shared" si="1018"/>
        <v>170</v>
      </c>
      <c r="AK878" t="str">
        <f>"05"</f>
        <v>05</v>
      </c>
      <c r="AL878" t="str">
        <f>"125"</f>
        <v>125</v>
      </c>
      <c r="AM878" t="str">
        <f>"05"</f>
        <v>05</v>
      </c>
      <c r="AN878" t="str">
        <f>"05001"</f>
        <v>05001</v>
      </c>
      <c r="AO878" t="str">
        <f>"30/12/2019 12:00:00 a. m."</f>
        <v>30/12/2019 12:00:00 a. m.</v>
      </c>
      <c r="AP878" t="str">
        <f>"1/11/2018 12:00:00 a. m."</f>
        <v>1/11/2018 12:00:00 a. m.</v>
      </c>
      <c r="AQ878" t="str">
        <f>"3"</f>
        <v>3</v>
      </c>
      <c r="AR878" t="str">
        <f t="shared" si="1055"/>
        <v>1</v>
      </c>
      <c r="AS878" t="str">
        <f>"30/12/2019 12:00:00 a. m."</f>
        <v>30/12/2019 12:00:00 a. m.</v>
      </c>
      <c r="AT878" t="str">
        <f>"2"</f>
        <v>2</v>
      </c>
      <c r="AU878" t="str">
        <f>"19/02/2020 12:00:00 a. m."</f>
        <v>19/02/2020 12:00:00 a. m.</v>
      </c>
      <c r="AV878" t="str">
        <f>"7"</f>
        <v>7</v>
      </c>
      <c r="AW878" t="str">
        <f>"20/03/2005 12:00:00 a. m."</f>
        <v>20/03/2005 12:00:00 a. m.</v>
      </c>
      <c r="AX878" t="str">
        <f>"I469"</f>
        <v>I469</v>
      </c>
      <c r="AY878" t="str">
        <f t="shared" si="1009"/>
        <v>30/04/2021 12:00:00 a. m.</v>
      </c>
      <c r="AZ878" t="str">
        <f>"19/02/2020 12:00:00 a. m."</f>
        <v>19/02/2020 12:00:00 a. m.</v>
      </c>
      <c r="BA878" t="str">
        <f>""</f>
        <v/>
      </c>
      <c r="BB878" t="str">
        <f>""</f>
        <v/>
      </c>
      <c r="BC878" t="str">
        <f>""</f>
        <v/>
      </c>
      <c r="BD878" t="str">
        <f t="shared" si="1051"/>
        <v>1</v>
      </c>
      <c r="BE878" t="str">
        <f t="shared" si="1051"/>
        <v>1</v>
      </c>
      <c r="BF878" t="str">
        <f t="shared" si="1010"/>
        <v xml:space="preserve">3         </v>
      </c>
      <c r="BG878" t="str">
        <f t="shared" si="1011"/>
        <v>Confirmado por laboratorio</v>
      </c>
      <c r="BH878" t="str">
        <f>"HOSPITAL GENERAL DE MEDELLIN - LUZ CASTRO DE GUTIE"</f>
        <v>HOSPITAL GENERAL DE MEDELLIN - LUZ CASTRO DE GUTIE</v>
      </c>
      <c r="BI878" t="str">
        <f t="shared" si="1020"/>
        <v>COLOMBIA</v>
      </c>
      <c r="BJ878" t="str">
        <f t="shared" si="1012"/>
        <v>CANCER INFANTIL</v>
      </c>
      <c r="BK878" t="str">
        <f>"ANTIOQUIA"</f>
        <v>ANTIOQUIA</v>
      </c>
      <c r="BL878" t="str">
        <f>"CAICEDO"</f>
        <v>CAICEDO</v>
      </c>
      <c r="BM878" t="str">
        <f t="shared" si="1021"/>
        <v>COLOMBIA</v>
      </c>
      <c r="BN878" t="str">
        <f>"ANTIOQUIA"</f>
        <v>ANTIOQUIA</v>
      </c>
      <c r="BO878" t="str">
        <f>"CAICEDO"</f>
        <v>CAICEDO</v>
      </c>
      <c r="BP878" t="str">
        <f>"ANTIOQUIA"</f>
        <v>ANTIOQUIA</v>
      </c>
      <c r="BQ878" t="str">
        <f>"MEDELLIN"</f>
        <v>MEDELLIN</v>
      </c>
    </row>
    <row r="879" spans="1:69" x14ac:dyDescent="0.25">
      <c r="A879" t="str">
        <f>"7278726"</f>
        <v>7278726</v>
      </c>
      <c r="B879" t="str">
        <f t="shared" si="1005"/>
        <v>459</v>
      </c>
      <c r="C879" t="str">
        <f>"9/10/2020 12:00:00 a. m."</f>
        <v>9/10/2020 12:00:00 a. m.</v>
      </c>
      <c r="D879" t="str">
        <f>"37"</f>
        <v>37</v>
      </c>
      <c r="E879" t="str">
        <f t="shared" si="1006"/>
        <v>2020</v>
      </c>
      <c r="F879" t="str">
        <f>"0500102104"</f>
        <v>0500102104</v>
      </c>
      <c r="G879" t="str">
        <f t="shared" si="1057"/>
        <v>01</v>
      </c>
      <c r="H879" t="str">
        <f>"1"</f>
        <v>1</v>
      </c>
      <c r="I879" t="str">
        <f>"2"</f>
        <v>2</v>
      </c>
      <c r="J879" t="str">
        <f>"M"</f>
        <v>M</v>
      </c>
      <c r="K879" t="str">
        <f t="shared" si="1017"/>
        <v>170</v>
      </c>
      <c r="L879" t="str">
        <f>"05"</f>
        <v>05</v>
      </c>
      <c r="M879" t="str">
        <f>"440"</f>
        <v>440</v>
      </c>
      <c r="N879" t="str">
        <f t="shared" ref="N879:N901" si="1061">"1"</f>
        <v>1</v>
      </c>
      <c r="O879" t="str">
        <f>"9999"</f>
        <v>9999</v>
      </c>
      <c r="P879" t="str">
        <f>"C"</f>
        <v>C</v>
      </c>
      <c r="Q879" t="str">
        <f>"EPS010"</f>
        <v>EPS010</v>
      </c>
      <c r="R879" t="str">
        <f>"6"</f>
        <v>6</v>
      </c>
      <c r="S879" t="str">
        <f>""</f>
        <v/>
      </c>
      <c r="T879" t="str">
        <f t="shared" si="1050"/>
        <v xml:space="preserve">                                                                                                    </v>
      </c>
      <c r="U879" t="str">
        <f>"2         "</f>
        <v xml:space="preserve">2         </v>
      </c>
      <c r="V879" t="str">
        <f t="shared" si="987"/>
        <v>2</v>
      </c>
      <c r="W879" t="str">
        <f t="shared" si="1052"/>
        <v>2</v>
      </c>
      <c r="X879" t="str">
        <f t="shared" si="1044"/>
        <v>2</v>
      </c>
      <c r="Y879" t="str">
        <f t="shared" ref="Y879:Z898" si="1062">"2"</f>
        <v>2</v>
      </c>
      <c r="Z879" t="str">
        <f t="shared" si="1062"/>
        <v>2</v>
      </c>
      <c r="AA879" t="str">
        <f t="shared" si="1007"/>
        <v xml:space="preserve">          </v>
      </c>
      <c r="AB879" t="str">
        <f t="shared" si="999"/>
        <v>2</v>
      </c>
      <c r="AC879" t="str">
        <f t="shared" si="1001"/>
        <v>2</v>
      </c>
      <c r="AD879" t="str">
        <f t="shared" si="1047"/>
        <v>2</v>
      </c>
      <c r="AE879" t="str">
        <f t="shared" si="1047"/>
        <v>2</v>
      </c>
      <c r="AF879" t="str">
        <f t="shared" si="1047"/>
        <v>2</v>
      </c>
      <c r="AG879" t="str">
        <f t="shared" si="1047"/>
        <v>2</v>
      </c>
      <c r="AH879" t="str">
        <f t="shared" si="1053"/>
        <v>1</v>
      </c>
      <c r="AI879" t="str">
        <f t="shared" si="1060"/>
        <v xml:space="preserve">1         </v>
      </c>
      <c r="AJ879" t="str">
        <f t="shared" si="1018"/>
        <v>170</v>
      </c>
      <c r="AK879" t="str">
        <f>"05"</f>
        <v>05</v>
      </c>
      <c r="AL879" t="str">
        <f>"440"</f>
        <v>440</v>
      </c>
      <c r="AM879" t="str">
        <f>"05"</f>
        <v>05</v>
      </c>
      <c r="AN879" t="str">
        <f>"05001"</f>
        <v>05001</v>
      </c>
      <c r="AO879" t="str">
        <f>"10/09/2020 12:00:00 a. m."</f>
        <v>10/09/2020 12:00:00 a. m.</v>
      </c>
      <c r="AP879" t="str">
        <f>"16/08/2020 12:00:00 a. m."</f>
        <v>16/08/2020 12:00:00 a. m.</v>
      </c>
      <c r="AQ879" t="str">
        <f>"3"</f>
        <v>3</v>
      </c>
      <c r="AR879" t="str">
        <f t="shared" si="1055"/>
        <v>1</v>
      </c>
      <c r="AS879" t="str">
        <f>"10/09/2020 12:00:00 a. m."</f>
        <v>10/09/2020 12:00:00 a. m.</v>
      </c>
      <c r="AT879" t="str">
        <f>"1"</f>
        <v>1</v>
      </c>
      <c r="AU879" t="str">
        <f>""</f>
        <v/>
      </c>
      <c r="AV879" t="str">
        <f>"0"</f>
        <v>0</v>
      </c>
      <c r="AW879" t="str">
        <f>"16/08/2020 12:00:00 a. m."</f>
        <v>16/08/2020 12:00:00 a. m.</v>
      </c>
      <c r="AX879" t="str">
        <f>""</f>
        <v/>
      </c>
      <c r="AY879" t="str">
        <f t="shared" si="1009"/>
        <v>30/04/2021 12:00:00 a. m.</v>
      </c>
      <c r="AZ879" t="str">
        <f>"13/10/2020 12:00:00 a. m."</f>
        <v>13/10/2020 12:00:00 a. m.</v>
      </c>
      <c r="BA879" t="str">
        <f>""</f>
        <v/>
      </c>
      <c r="BB879" t="str">
        <f>""</f>
        <v/>
      </c>
      <c r="BC879" t="str">
        <f>""</f>
        <v/>
      </c>
      <c r="BD879" t="str">
        <f t="shared" si="1051"/>
        <v>1</v>
      </c>
      <c r="BE879" t="str">
        <f t="shared" si="1051"/>
        <v>1</v>
      </c>
      <c r="BF879" t="str">
        <f t="shared" si="1010"/>
        <v xml:space="preserve">3         </v>
      </c>
      <c r="BG879" t="str">
        <f t="shared" si="1011"/>
        <v>Confirmado por laboratorio</v>
      </c>
      <c r="BH879" t="str">
        <f>"HOSPITAL PABLO TOBON URIBE"</f>
        <v>HOSPITAL PABLO TOBON URIBE</v>
      </c>
      <c r="BI879" t="str">
        <f t="shared" si="1020"/>
        <v>COLOMBIA</v>
      </c>
      <c r="BJ879" t="str">
        <f t="shared" si="1012"/>
        <v>CANCER INFANTIL</v>
      </c>
      <c r="BK879" t="str">
        <f>"ANTIOQUIA"</f>
        <v>ANTIOQUIA</v>
      </c>
      <c r="BL879" t="str">
        <f>"MARINILLA"</f>
        <v>MARINILLA</v>
      </c>
      <c r="BM879" t="str">
        <f t="shared" si="1021"/>
        <v>COLOMBIA</v>
      </c>
      <c r="BN879" t="str">
        <f>"ANTIOQUIA"</f>
        <v>ANTIOQUIA</v>
      </c>
      <c r="BO879" t="str">
        <f>"MARINILLA"</f>
        <v>MARINILLA</v>
      </c>
      <c r="BP879" t="str">
        <f>"ANTIOQUIA"</f>
        <v>ANTIOQUIA</v>
      </c>
      <c r="BQ879" t="str">
        <f>"MEDELLIN"</f>
        <v>MEDELLIN</v>
      </c>
    </row>
    <row r="880" spans="1:69" x14ac:dyDescent="0.25">
      <c r="A880" t="str">
        <f>"7278774"</f>
        <v>7278774</v>
      </c>
      <c r="B880" t="str">
        <f t="shared" si="1005"/>
        <v>459</v>
      </c>
      <c r="C880" t="str">
        <f>"8/12/2020 12:00:00 a. m."</f>
        <v>8/12/2020 12:00:00 a. m.</v>
      </c>
      <c r="D880" t="str">
        <f>"50"</f>
        <v>50</v>
      </c>
      <c r="E880" t="str">
        <f t="shared" si="1006"/>
        <v>2020</v>
      </c>
      <c r="F880" t="str">
        <f>"1100130289"</f>
        <v>1100130289</v>
      </c>
      <c r="G880" t="str">
        <f>"02"</f>
        <v>02</v>
      </c>
      <c r="H880" t="str">
        <f>"14"</f>
        <v>14</v>
      </c>
      <c r="I880" t="str">
        <f t="shared" ref="I880:I908" si="1063">"1"</f>
        <v>1</v>
      </c>
      <c r="J880" t="str">
        <f>"M"</f>
        <v>M</v>
      </c>
      <c r="K880" t="str">
        <f t="shared" si="1017"/>
        <v>170</v>
      </c>
      <c r="L880" t="str">
        <f>"11"</f>
        <v>11</v>
      </c>
      <c r="M880" t="str">
        <f t="shared" ref="M880:M895" si="1064">"001"</f>
        <v>001</v>
      </c>
      <c r="N880" t="str">
        <f t="shared" si="1061"/>
        <v>1</v>
      </c>
      <c r="O880" t="str">
        <f>"9997"</f>
        <v>9997</v>
      </c>
      <c r="P880" t="str">
        <f>"S"</f>
        <v>S</v>
      </c>
      <c r="Q880" t="str">
        <f>"EPSS34"</f>
        <v>EPSS34</v>
      </c>
      <c r="R880" t="str">
        <f>"1"</f>
        <v>1</v>
      </c>
      <c r="S880" t="str">
        <f>""</f>
        <v/>
      </c>
      <c r="T88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80" t="str">
        <f>"2         "</f>
        <v xml:space="preserve">2         </v>
      </c>
      <c r="V880" t="str">
        <f t="shared" si="987"/>
        <v>2</v>
      </c>
      <c r="W880" t="str">
        <f>"1"</f>
        <v>1</v>
      </c>
      <c r="X880" t="str">
        <f t="shared" si="1044"/>
        <v>2</v>
      </c>
      <c r="Y880" t="str">
        <f t="shared" si="1062"/>
        <v>2</v>
      </c>
      <c r="Z880" t="str">
        <f t="shared" si="1062"/>
        <v>2</v>
      </c>
      <c r="AA880" t="str">
        <f t="shared" si="1007"/>
        <v xml:space="preserve">          </v>
      </c>
      <c r="AB880" t="str">
        <f t="shared" si="999"/>
        <v>2</v>
      </c>
      <c r="AC880" t="str">
        <f t="shared" si="1001"/>
        <v>2</v>
      </c>
      <c r="AD880" t="str">
        <f t="shared" ref="AD880:AG899" si="1065">"2"</f>
        <v>2</v>
      </c>
      <c r="AE880" t="str">
        <f t="shared" si="1065"/>
        <v>2</v>
      </c>
      <c r="AF880" t="str">
        <f t="shared" si="1065"/>
        <v>2</v>
      </c>
      <c r="AG880" t="str">
        <f t="shared" si="1065"/>
        <v>2</v>
      </c>
      <c r="AH880" t="str">
        <f>"2"</f>
        <v>2</v>
      </c>
      <c r="AI880" t="str">
        <f t="shared" si="1060"/>
        <v xml:space="preserve">1         </v>
      </c>
      <c r="AJ880" t="str">
        <f t="shared" si="1018"/>
        <v>170</v>
      </c>
      <c r="AK880" t="str">
        <f>"11"</f>
        <v>11</v>
      </c>
      <c r="AL880" t="str">
        <f t="shared" ref="AL880:AL895" si="1066">"001"</f>
        <v>001</v>
      </c>
      <c r="AM880" t="str">
        <f>"11"</f>
        <v>11</v>
      </c>
      <c r="AN880" t="str">
        <f>"11001"</f>
        <v>11001</v>
      </c>
      <c r="AO880" t="str">
        <f>"8/12/2020 12:00:00 a. m."</f>
        <v>8/12/2020 12:00:00 a. m.</v>
      </c>
      <c r="AP880" t="str">
        <f>"7/12/2020 12:00:00 a. m."</f>
        <v>7/12/2020 12:00:00 a. m.</v>
      </c>
      <c r="AQ880" t="str">
        <f t="shared" ref="AQ880:AQ885" si="1067">"2"</f>
        <v>2</v>
      </c>
      <c r="AR880" t="str">
        <f t="shared" si="1055"/>
        <v>1</v>
      </c>
      <c r="AS880" t="str">
        <f>"8/12/2020 12:00:00 a. m."</f>
        <v>8/12/2020 12:00:00 a. m.</v>
      </c>
      <c r="AT880" t="str">
        <f>"1"</f>
        <v>1</v>
      </c>
      <c r="AU880" t="str">
        <f>""</f>
        <v/>
      </c>
      <c r="AV880" t="str">
        <f t="shared" ref="AV880:AV885" si="1068">"3"</f>
        <v>3</v>
      </c>
      <c r="AW880" t="str">
        <f>"29/10/2006 12:00:00 a. m."</f>
        <v>29/10/2006 12:00:00 a. m.</v>
      </c>
      <c r="AX880" t="str">
        <f>""</f>
        <v/>
      </c>
      <c r="AY880" t="str">
        <f t="shared" si="1009"/>
        <v>30/04/2021 12:00:00 a. m.</v>
      </c>
      <c r="AZ880" t="str">
        <f>"4/01/2021 12:00:00 a. m."</f>
        <v>4/01/2021 12:00:00 a. m.</v>
      </c>
      <c r="BA880" t="str">
        <f>""</f>
        <v/>
      </c>
      <c r="BB880" t="str">
        <f>""</f>
        <v/>
      </c>
      <c r="BC880" t="str">
        <f>""</f>
        <v/>
      </c>
      <c r="BD880" t="str">
        <f t="shared" si="1051"/>
        <v>1</v>
      </c>
      <c r="BE880" t="str">
        <f t="shared" si="1051"/>
        <v>1</v>
      </c>
      <c r="BF880" t="str">
        <f t="shared" si="1010"/>
        <v xml:space="preserve">3         </v>
      </c>
      <c r="BG880" t="str">
        <f t="shared" si="1011"/>
        <v>Confirmado por laboratorio</v>
      </c>
      <c r="BH880" t="str">
        <f>"UNIDAD DE SERVICIOS DE SALUD SAN BLAS SUBRED INTER"</f>
        <v>UNIDAD DE SERVICIOS DE SALUD SAN BLAS SUBRED INTER</v>
      </c>
      <c r="BI880" t="str">
        <f t="shared" si="1020"/>
        <v>COLOMBIA</v>
      </c>
      <c r="BJ880" t="str">
        <f t="shared" si="1012"/>
        <v>CANCER INFANTIL</v>
      </c>
      <c r="BK880" t="str">
        <f>"BOGOTA"</f>
        <v>BOGOTA</v>
      </c>
      <c r="BL880" t="str">
        <f>"BOGOTA"</f>
        <v>BOGOTA</v>
      </c>
      <c r="BM880" t="str">
        <f t="shared" si="1021"/>
        <v>COLOMBIA</v>
      </c>
      <c r="BN880" t="str">
        <f t="shared" ref="BN880:BQ881" si="1069">"BOGOTA"</f>
        <v>BOGOTA</v>
      </c>
      <c r="BO880" t="str">
        <f t="shared" si="1069"/>
        <v>BOGOTA</v>
      </c>
      <c r="BP880" t="str">
        <f t="shared" si="1069"/>
        <v>BOGOTA</v>
      </c>
      <c r="BQ880" t="str">
        <f t="shared" si="1069"/>
        <v>BOGOTA</v>
      </c>
    </row>
    <row r="881" spans="1:69" x14ac:dyDescent="0.25">
      <c r="A881" t="str">
        <f>"7279138"</f>
        <v>7279138</v>
      </c>
      <c r="B881" t="str">
        <f t="shared" si="1005"/>
        <v>459</v>
      </c>
      <c r="C881" t="str">
        <f>"19/09/2020 12:00:00 a. m."</f>
        <v>19/09/2020 12:00:00 a. m.</v>
      </c>
      <c r="D881" t="str">
        <f>"38"</f>
        <v>38</v>
      </c>
      <c r="E881" t="str">
        <f t="shared" si="1006"/>
        <v>2020</v>
      </c>
      <c r="F881" t="str">
        <f>"1100109111"</f>
        <v>1100109111</v>
      </c>
      <c r="G881" t="str">
        <f>"01"</f>
        <v>01</v>
      </c>
      <c r="H881" t="str">
        <f>"12"</f>
        <v>12</v>
      </c>
      <c r="I881" t="str">
        <f t="shared" si="1063"/>
        <v>1</v>
      </c>
      <c r="J881" t="str">
        <f>"F"</f>
        <v>F</v>
      </c>
      <c r="K881" t="str">
        <f t="shared" si="1017"/>
        <v>170</v>
      </c>
      <c r="L881" t="str">
        <f>"11"</f>
        <v>11</v>
      </c>
      <c r="M881" t="str">
        <f t="shared" si="1064"/>
        <v>001</v>
      </c>
      <c r="N881" t="str">
        <f t="shared" si="1061"/>
        <v>1</v>
      </c>
      <c r="O881" t="str">
        <f>"9997"</f>
        <v>9997</v>
      </c>
      <c r="P881" t="str">
        <f>"C"</f>
        <v>C</v>
      </c>
      <c r="Q881" t="str">
        <f>"EPS017"</f>
        <v>EPS017</v>
      </c>
      <c r="R881" t="str">
        <f t="shared" ref="R881:R912" si="1070">"6"</f>
        <v>6</v>
      </c>
      <c r="S881" t="str">
        <f>""</f>
        <v/>
      </c>
      <c r="T881" t="str">
        <f t="shared" ref="T881:T912" si="1071">"                                                                                                    "</f>
        <v xml:space="preserve">                                                                                                    </v>
      </c>
      <c r="U881" t="str">
        <f>"2         "</f>
        <v xml:space="preserve">2         </v>
      </c>
      <c r="V881" t="str">
        <f t="shared" si="987"/>
        <v>2</v>
      </c>
      <c r="W881" t="str">
        <f t="shared" ref="W881:W912" si="1072">"2"</f>
        <v>2</v>
      </c>
      <c r="X881" t="str">
        <f t="shared" si="1044"/>
        <v>2</v>
      </c>
      <c r="Y881" t="str">
        <f t="shared" si="1062"/>
        <v>2</v>
      </c>
      <c r="Z881" t="str">
        <f t="shared" si="1062"/>
        <v>2</v>
      </c>
      <c r="AA881" t="str">
        <f t="shared" si="1007"/>
        <v xml:space="preserve">          </v>
      </c>
      <c r="AB881" t="str">
        <f t="shared" si="999"/>
        <v>2</v>
      </c>
      <c r="AC881" t="str">
        <f t="shared" si="1001"/>
        <v>2</v>
      </c>
      <c r="AD881" t="str">
        <f t="shared" si="1065"/>
        <v>2</v>
      </c>
      <c r="AE881" t="str">
        <f t="shared" si="1065"/>
        <v>2</v>
      </c>
      <c r="AF881" t="str">
        <f t="shared" si="1065"/>
        <v>2</v>
      </c>
      <c r="AG881" t="str">
        <f t="shared" si="1065"/>
        <v>2</v>
      </c>
      <c r="AH881" t="str">
        <f t="shared" ref="AH881:AH912" si="1073">"1"</f>
        <v>1</v>
      </c>
      <c r="AI881" t="str">
        <f t="shared" si="1060"/>
        <v xml:space="preserve">1         </v>
      </c>
      <c r="AJ881" t="str">
        <f t="shared" si="1018"/>
        <v>170</v>
      </c>
      <c r="AK881" t="str">
        <f>"11"</f>
        <v>11</v>
      </c>
      <c r="AL881" t="str">
        <f t="shared" si="1066"/>
        <v>001</v>
      </c>
      <c r="AM881" t="str">
        <f>"11"</f>
        <v>11</v>
      </c>
      <c r="AN881" t="str">
        <f>"11001"</f>
        <v>11001</v>
      </c>
      <c r="AO881" t="str">
        <f>"18/09/2020 12:00:00 a. m."</f>
        <v>18/09/2020 12:00:00 a. m.</v>
      </c>
      <c r="AP881" t="str">
        <f>"18/03/2020 12:00:00 a. m."</f>
        <v>18/03/2020 12:00:00 a. m.</v>
      </c>
      <c r="AQ881" t="str">
        <f t="shared" si="1067"/>
        <v>2</v>
      </c>
      <c r="AR881" t="str">
        <f t="shared" si="1055"/>
        <v>1</v>
      </c>
      <c r="AS881" t="str">
        <f>"18/09/2020 12:00:00 a. m."</f>
        <v>18/09/2020 12:00:00 a. m.</v>
      </c>
      <c r="AT881" t="str">
        <f>"1"</f>
        <v>1</v>
      </c>
      <c r="AU881" t="str">
        <f>""</f>
        <v/>
      </c>
      <c r="AV881" t="str">
        <f t="shared" si="1068"/>
        <v>3</v>
      </c>
      <c r="AW881" t="str">
        <f>"7/11/2007 12:00:00 a. m."</f>
        <v>7/11/2007 12:00:00 a. m.</v>
      </c>
      <c r="AX881" t="str">
        <f>""</f>
        <v/>
      </c>
      <c r="AY881" t="str">
        <f t="shared" si="1009"/>
        <v>30/04/2021 12:00:00 a. m.</v>
      </c>
      <c r="AZ881" t="str">
        <f>"9/11/2020 12:00:00 a. m."</f>
        <v>9/11/2020 12:00:00 a. m.</v>
      </c>
      <c r="BA881" t="str">
        <f>""</f>
        <v/>
      </c>
      <c r="BB881" t="str">
        <f>""</f>
        <v/>
      </c>
      <c r="BC881" t="str">
        <f>""</f>
        <v/>
      </c>
      <c r="BD881" t="str">
        <f t="shared" si="1051"/>
        <v>1</v>
      </c>
      <c r="BE881" t="str">
        <f t="shared" si="1051"/>
        <v>1</v>
      </c>
      <c r="BF881" t="str">
        <f t="shared" si="1010"/>
        <v xml:space="preserve">3         </v>
      </c>
      <c r="BG881" t="str">
        <f t="shared" si="1011"/>
        <v>Confirmado por laboratorio</v>
      </c>
      <c r="BH881" t="str">
        <f>"FUNDACION CARDIOINFANTIL INSTITUTO DE CARDIOLOGIA"</f>
        <v>FUNDACION CARDIOINFANTIL INSTITUTO DE CARDIOLOGIA</v>
      </c>
      <c r="BI881" t="str">
        <f t="shared" si="1020"/>
        <v>COLOMBIA</v>
      </c>
      <c r="BJ881" t="str">
        <f t="shared" si="1012"/>
        <v>CANCER INFANTIL</v>
      </c>
      <c r="BK881" t="str">
        <f>"BOGOTA"</f>
        <v>BOGOTA</v>
      </c>
      <c r="BL881" t="str">
        <f>"BOGOTA"</f>
        <v>BOGOTA</v>
      </c>
      <c r="BM881" t="str">
        <f t="shared" si="1021"/>
        <v>COLOMBIA</v>
      </c>
      <c r="BN881" t="str">
        <f t="shared" si="1069"/>
        <v>BOGOTA</v>
      </c>
      <c r="BO881" t="str">
        <f t="shared" si="1069"/>
        <v>BOGOTA</v>
      </c>
      <c r="BP881" t="str">
        <f t="shared" si="1069"/>
        <v>BOGOTA</v>
      </c>
      <c r="BQ881" t="str">
        <f t="shared" si="1069"/>
        <v>BOGOTA</v>
      </c>
    </row>
    <row r="882" spans="1:69" x14ac:dyDescent="0.25">
      <c r="A882" t="str">
        <f>"7279199"</f>
        <v>7279199</v>
      </c>
      <c r="B882" t="str">
        <f t="shared" si="1005"/>
        <v>459</v>
      </c>
      <c r="C882" t="str">
        <f>"19/05/2020 12:00:00 a. m."</f>
        <v>19/05/2020 12:00:00 a. m.</v>
      </c>
      <c r="D882" t="str">
        <f>"18"</f>
        <v>18</v>
      </c>
      <c r="E882" t="str">
        <f t="shared" si="1006"/>
        <v>2020</v>
      </c>
      <c r="F882" t="str">
        <f>"7600103799"</f>
        <v>7600103799</v>
      </c>
      <c r="G882" t="str">
        <f>"01"</f>
        <v>01</v>
      </c>
      <c r="H882" t="str">
        <f>"5"</f>
        <v>5</v>
      </c>
      <c r="I882" t="str">
        <f t="shared" si="1063"/>
        <v>1</v>
      </c>
      <c r="J882" t="str">
        <f>"F"</f>
        <v>F</v>
      </c>
      <c r="K882" t="str">
        <f t="shared" si="1017"/>
        <v>170</v>
      </c>
      <c r="L882" t="str">
        <f>"76"</f>
        <v>76</v>
      </c>
      <c r="M882" t="str">
        <f t="shared" si="1064"/>
        <v>001</v>
      </c>
      <c r="N882" t="str">
        <f t="shared" si="1061"/>
        <v>1</v>
      </c>
      <c r="O882" t="str">
        <f>"9999"</f>
        <v>9999</v>
      </c>
      <c r="P882" t="str">
        <f>"S"</f>
        <v>S</v>
      </c>
      <c r="Q882" t="str">
        <f>"ESS118"</f>
        <v>ESS118</v>
      </c>
      <c r="R882" t="str">
        <f t="shared" si="1070"/>
        <v>6</v>
      </c>
      <c r="S882" t="str">
        <f>""</f>
        <v/>
      </c>
      <c r="T882" t="str">
        <f t="shared" si="1071"/>
        <v xml:space="preserve">                                                                                                    </v>
      </c>
      <c r="U882" t="str">
        <f>"          "</f>
        <v xml:space="preserve">          </v>
      </c>
      <c r="V882" t="str">
        <f t="shared" si="987"/>
        <v>2</v>
      </c>
      <c r="W882" t="str">
        <f t="shared" si="1072"/>
        <v>2</v>
      </c>
      <c r="X882" t="str">
        <f t="shared" si="1044"/>
        <v>2</v>
      </c>
      <c r="Y882" t="str">
        <f t="shared" si="1062"/>
        <v>2</v>
      </c>
      <c r="Z882" t="str">
        <f t="shared" si="1062"/>
        <v>2</v>
      </c>
      <c r="AA882" t="str">
        <f t="shared" si="1007"/>
        <v xml:space="preserve">          </v>
      </c>
      <c r="AB882" t="str">
        <f t="shared" si="999"/>
        <v>2</v>
      </c>
      <c r="AC882" t="str">
        <f t="shared" si="1001"/>
        <v>2</v>
      </c>
      <c r="AD882" t="str">
        <f t="shared" si="1065"/>
        <v>2</v>
      </c>
      <c r="AE882" t="str">
        <f t="shared" si="1065"/>
        <v>2</v>
      </c>
      <c r="AF882" t="str">
        <f t="shared" si="1065"/>
        <v>2</v>
      </c>
      <c r="AG882" t="str">
        <f t="shared" si="1065"/>
        <v>2</v>
      </c>
      <c r="AH882" t="str">
        <f t="shared" si="1073"/>
        <v>1</v>
      </c>
      <c r="AI882" t="str">
        <f t="shared" si="1060"/>
        <v xml:space="preserve">1         </v>
      </c>
      <c r="AJ882" t="str">
        <f t="shared" si="1018"/>
        <v>170</v>
      </c>
      <c r="AK882" t="str">
        <f>"76"</f>
        <v>76</v>
      </c>
      <c r="AL882" t="str">
        <f t="shared" si="1066"/>
        <v>001</v>
      </c>
      <c r="AM882" t="str">
        <f>"76"</f>
        <v>76</v>
      </c>
      <c r="AN882" t="str">
        <f>"76001"</f>
        <v>76001</v>
      </c>
      <c r="AO882" t="str">
        <f>"1/05/2020 12:00:00 a. m."</f>
        <v>1/05/2020 12:00:00 a. m.</v>
      </c>
      <c r="AP882" t="str">
        <f>"10/04/2020 12:00:00 a. m."</f>
        <v>10/04/2020 12:00:00 a. m.</v>
      </c>
      <c r="AQ882" t="str">
        <f t="shared" si="1067"/>
        <v>2</v>
      </c>
      <c r="AR882" t="str">
        <f t="shared" si="1055"/>
        <v>1</v>
      </c>
      <c r="AS882" t="str">
        <f>"1/05/2020 12:00:00 a. m."</f>
        <v>1/05/2020 12:00:00 a. m.</v>
      </c>
      <c r="AT882" t="str">
        <f>"1"</f>
        <v>1</v>
      </c>
      <c r="AU882" t="str">
        <f>""</f>
        <v/>
      </c>
      <c r="AV882" t="str">
        <f t="shared" si="1068"/>
        <v>3</v>
      </c>
      <c r="AW882" t="str">
        <f>"22/11/2014 12:00:00 a. m."</f>
        <v>22/11/2014 12:00:00 a. m.</v>
      </c>
      <c r="AX882" t="str">
        <f>""</f>
        <v/>
      </c>
      <c r="AY882" t="str">
        <f t="shared" si="1009"/>
        <v>30/04/2021 12:00:00 a. m.</v>
      </c>
      <c r="AZ882" t="str">
        <f>"2/06/2020 12:00:00 a. m."</f>
        <v>2/06/2020 12:00:00 a. m.</v>
      </c>
      <c r="BA882" t="str">
        <f>""</f>
        <v/>
      </c>
      <c r="BB882" t="str">
        <f>""</f>
        <v/>
      </c>
      <c r="BC882" t="str">
        <f>""</f>
        <v/>
      </c>
      <c r="BD882" t="str">
        <f t="shared" ref="BD882:BE901" si="1074">"1"</f>
        <v>1</v>
      </c>
      <c r="BE882" t="str">
        <f t="shared" si="1074"/>
        <v>1</v>
      </c>
      <c r="BF882" t="str">
        <f t="shared" si="1010"/>
        <v xml:space="preserve">3         </v>
      </c>
      <c r="BG882" t="str">
        <f t="shared" si="1011"/>
        <v>Confirmado por laboratorio</v>
      </c>
      <c r="BH882" t="str">
        <f>"HOSPITAL UNIVERSITARIO DEL VALLE EVARISTO GARCIA"</f>
        <v>HOSPITAL UNIVERSITARIO DEL VALLE EVARISTO GARCIA</v>
      </c>
      <c r="BI882" t="str">
        <f t="shared" si="1020"/>
        <v>COLOMBIA</v>
      </c>
      <c r="BJ882" t="str">
        <f t="shared" si="1012"/>
        <v>CANCER INFANTIL</v>
      </c>
      <c r="BK882" t="str">
        <f>"VALLE"</f>
        <v>VALLE</v>
      </c>
      <c r="BL882" t="str">
        <f>"CALI"</f>
        <v>CALI</v>
      </c>
      <c r="BM882" t="str">
        <f t="shared" si="1021"/>
        <v>COLOMBIA</v>
      </c>
      <c r="BN882" t="str">
        <f>"VALLE"</f>
        <v>VALLE</v>
      </c>
      <c r="BO882" t="str">
        <f>"CALI"</f>
        <v>CALI</v>
      </c>
      <c r="BP882" t="str">
        <f>"VALLE"</f>
        <v>VALLE</v>
      </c>
      <c r="BQ882" t="str">
        <f>"CALI"</f>
        <v>CALI</v>
      </c>
    </row>
    <row r="883" spans="1:69" x14ac:dyDescent="0.25">
      <c r="A883" t="str">
        <f>"7279142"</f>
        <v>7279142</v>
      </c>
      <c r="B883" t="str">
        <f t="shared" si="1005"/>
        <v>459</v>
      </c>
      <c r="C883" t="str">
        <f>"25/06/2020 12:00:00 a. m."</f>
        <v>25/06/2020 12:00:00 a. m.</v>
      </c>
      <c r="D883" t="str">
        <f>"25"</f>
        <v>25</v>
      </c>
      <c r="E883" t="str">
        <f t="shared" si="1006"/>
        <v>2020</v>
      </c>
      <c r="F883" t="str">
        <f>"7600102870"</f>
        <v>7600102870</v>
      </c>
      <c r="G883" t="str">
        <f>"01"</f>
        <v>01</v>
      </c>
      <c r="H883" t="str">
        <f>"8"</f>
        <v>8</v>
      </c>
      <c r="I883" t="str">
        <f t="shared" si="1063"/>
        <v>1</v>
      </c>
      <c r="J883" t="str">
        <f>"M"</f>
        <v>M</v>
      </c>
      <c r="K883" t="str">
        <f t="shared" si="1017"/>
        <v>170</v>
      </c>
      <c r="L883" t="str">
        <f>"76"</f>
        <v>76</v>
      </c>
      <c r="M883" t="str">
        <f t="shared" si="1064"/>
        <v>001</v>
      </c>
      <c r="N883" t="str">
        <f t="shared" si="1061"/>
        <v>1</v>
      </c>
      <c r="O883" t="str">
        <f>"9999"</f>
        <v>9999</v>
      </c>
      <c r="P883" t="str">
        <f>"C"</f>
        <v>C</v>
      </c>
      <c r="Q883" t="str">
        <f>"EPS018"</f>
        <v>EPS018</v>
      </c>
      <c r="R883" t="str">
        <f t="shared" si="1070"/>
        <v>6</v>
      </c>
      <c r="S883" t="str">
        <f>""</f>
        <v/>
      </c>
      <c r="T883" t="str">
        <f t="shared" si="1071"/>
        <v xml:space="preserve">                                                                                                    </v>
      </c>
      <c r="U883" t="str">
        <f>"          "</f>
        <v xml:space="preserve">          </v>
      </c>
      <c r="V883" t="str">
        <f t="shared" ref="V883:V946" si="1075">"2"</f>
        <v>2</v>
      </c>
      <c r="W883" t="str">
        <f t="shared" si="1072"/>
        <v>2</v>
      </c>
      <c r="X883" t="str">
        <f t="shared" si="1044"/>
        <v>2</v>
      </c>
      <c r="Y883" t="str">
        <f t="shared" si="1062"/>
        <v>2</v>
      </c>
      <c r="Z883" t="str">
        <f t="shared" si="1062"/>
        <v>2</v>
      </c>
      <c r="AA883" t="str">
        <f t="shared" si="1007"/>
        <v xml:space="preserve">          </v>
      </c>
      <c r="AB883" t="str">
        <f t="shared" si="999"/>
        <v>2</v>
      </c>
      <c r="AC883" t="str">
        <f t="shared" si="1001"/>
        <v>2</v>
      </c>
      <c r="AD883" t="str">
        <f t="shared" si="1065"/>
        <v>2</v>
      </c>
      <c r="AE883" t="str">
        <f t="shared" si="1065"/>
        <v>2</v>
      </c>
      <c r="AF883" t="str">
        <f t="shared" si="1065"/>
        <v>2</v>
      </c>
      <c r="AG883" t="str">
        <f t="shared" si="1065"/>
        <v>2</v>
      </c>
      <c r="AH883" t="str">
        <f t="shared" si="1073"/>
        <v>1</v>
      </c>
      <c r="AI883" t="str">
        <f t="shared" si="1060"/>
        <v xml:space="preserve">1         </v>
      </c>
      <c r="AJ883" t="str">
        <f t="shared" si="1018"/>
        <v>170</v>
      </c>
      <c r="AK883" t="str">
        <f>"76"</f>
        <v>76</v>
      </c>
      <c r="AL883" t="str">
        <f t="shared" si="1066"/>
        <v>001</v>
      </c>
      <c r="AM883" t="str">
        <f>"76"</f>
        <v>76</v>
      </c>
      <c r="AN883" t="str">
        <f>"76001"</f>
        <v>76001</v>
      </c>
      <c r="AO883" t="str">
        <f>"19/06/2020 12:00:00 a. m."</f>
        <v>19/06/2020 12:00:00 a. m.</v>
      </c>
      <c r="AP883" t="str">
        <f>"12/06/2020 12:00:00 a. m."</f>
        <v>12/06/2020 12:00:00 a. m.</v>
      </c>
      <c r="AQ883" t="str">
        <f t="shared" si="1067"/>
        <v>2</v>
      </c>
      <c r="AR883" t="str">
        <f t="shared" si="1055"/>
        <v>1</v>
      </c>
      <c r="AS883" t="str">
        <f>"19/06/2020 12:00:00 a. m."</f>
        <v>19/06/2020 12:00:00 a. m.</v>
      </c>
      <c r="AT883" t="str">
        <f>"1"</f>
        <v>1</v>
      </c>
      <c r="AU883" t="str">
        <f>""</f>
        <v/>
      </c>
      <c r="AV883" t="str">
        <f t="shared" si="1068"/>
        <v>3</v>
      </c>
      <c r="AW883" t="str">
        <f>"31/01/2012 12:00:00 a. m."</f>
        <v>31/01/2012 12:00:00 a. m.</v>
      </c>
      <c r="AX883" t="str">
        <f>""</f>
        <v/>
      </c>
      <c r="AY883" t="str">
        <f t="shared" si="1009"/>
        <v>30/04/2021 12:00:00 a. m.</v>
      </c>
      <c r="AZ883" t="str">
        <f>"9/07/2020 12:00:00 a. m."</f>
        <v>9/07/2020 12:00:00 a. m.</v>
      </c>
      <c r="BA883" t="str">
        <f>""</f>
        <v/>
      </c>
      <c r="BB883" t="str">
        <f>""</f>
        <v/>
      </c>
      <c r="BC883" t="str">
        <f>""</f>
        <v/>
      </c>
      <c r="BD883" t="str">
        <f t="shared" si="1074"/>
        <v>1</v>
      </c>
      <c r="BE883" t="str">
        <f t="shared" si="1074"/>
        <v>1</v>
      </c>
      <c r="BF883" t="str">
        <f t="shared" si="1010"/>
        <v xml:space="preserve">3         </v>
      </c>
      <c r="BG883" t="str">
        <f t="shared" si="1011"/>
        <v>Confirmado por laboratorio</v>
      </c>
      <c r="BH883" t="str">
        <f>"FUNDACION VALLE DEL LILI"</f>
        <v>FUNDACION VALLE DEL LILI</v>
      </c>
      <c r="BI883" t="str">
        <f t="shared" si="1020"/>
        <v>COLOMBIA</v>
      </c>
      <c r="BJ883" t="str">
        <f t="shared" si="1012"/>
        <v>CANCER INFANTIL</v>
      </c>
      <c r="BK883" t="str">
        <f>"VALLE"</f>
        <v>VALLE</v>
      </c>
      <c r="BL883" t="str">
        <f>"CALI"</f>
        <v>CALI</v>
      </c>
      <c r="BM883" t="str">
        <f t="shared" si="1021"/>
        <v>COLOMBIA</v>
      </c>
      <c r="BN883" t="str">
        <f>"VALLE"</f>
        <v>VALLE</v>
      </c>
      <c r="BO883" t="str">
        <f>"CALI"</f>
        <v>CALI</v>
      </c>
      <c r="BP883" t="str">
        <f>"VALLE"</f>
        <v>VALLE</v>
      </c>
      <c r="BQ883" t="str">
        <f>"CALI"</f>
        <v>CALI</v>
      </c>
    </row>
    <row r="884" spans="1:69" x14ac:dyDescent="0.25">
      <c r="A884" t="str">
        <f>"7278673"</f>
        <v>7278673</v>
      </c>
      <c r="B884" t="str">
        <f t="shared" si="1005"/>
        <v>459</v>
      </c>
      <c r="C884" t="str">
        <f>"16/01/2020 12:00:00 a. m."</f>
        <v>16/01/2020 12:00:00 a. m.</v>
      </c>
      <c r="D884" t="str">
        <f>"03"</f>
        <v>03</v>
      </c>
      <c r="E884" t="str">
        <f t="shared" si="1006"/>
        <v>2020</v>
      </c>
      <c r="F884" t="str">
        <f>"1100125070"</f>
        <v>1100125070</v>
      </c>
      <c r="G884" t="str">
        <f>"01"</f>
        <v>01</v>
      </c>
      <c r="H884" t="str">
        <f>"17"</f>
        <v>17</v>
      </c>
      <c r="I884" t="str">
        <f t="shared" si="1063"/>
        <v>1</v>
      </c>
      <c r="J884" t="str">
        <f>"M"</f>
        <v>M</v>
      </c>
      <c r="K884" t="str">
        <f t="shared" si="1017"/>
        <v>170</v>
      </c>
      <c r="L884" t="str">
        <f t="shared" ref="L884:L893" si="1076">"11"</f>
        <v>11</v>
      </c>
      <c r="M884" t="str">
        <f t="shared" si="1064"/>
        <v>001</v>
      </c>
      <c r="N884" t="str">
        <f t="shared" si="1061"/>
        <v>1</v>
      </c>
      <c r="O884" t="str">
        <f>"9997"</f>
        <v>9997</v>
      </c>
      <c r="P884" t="str">
        <f>"S"</f>
        <v>S</v>
      </c>
      <c r="Q884" t="str">
        <f>"CCF053"</f>
        <v>CCF053</v>
      </c>
      <c r="R884" t="str">
        <f t="shared" si="1070"/>
        <v>6</v>
      </c>
      <c r="S884" t="str">
        <f>""</f>
        <v/>
      </c>
      <c r="T884" t="str">
        <f t="shared" si="1071"/>
        <v xml:space="preserve">                                                                                                    </v>
      </c>
      <c r="U884" t="str">
        <f>"2         "</f>
        <v xml:space="preserve">2         </v>
      </c>
      <c r="V884" t="str">
        <f t="shared" si="1075"/>
        <v>2</v>
      </c>
      <c r="W884" t="str">
        <f t="shared" si="1072"/>
        <v>2</v>
      </c>
      <c r="X884" t="str">
        <f t="shared" si="1044"/>
        <v>2</v>
      </c>
      <c r="Y884" t="str">
        <f t="shared" si="1062"/>
        <v>2</v>
      </c>
      <c r="Z884" t="str">
        <f t="shared" si="1062"/>
        <v>2</v>
      </c>
      <c r="AA884" t="str">
        <f t="shared" si="1007"/>
        <v xml:space="preserve">          </v>
      </c>
      <c r="AB884" t="str">
        <f t="shared" si="999"/>
        <v>2</v>
      </c>
      <c r="AC884" t="str">
        <f t="shared" si="1001"/>
        <v>2</v>
      </c>
      <c r="AD884" t="str">
        <f t="shared" si="1065"/>
        <v>2</v>
      </c>
      <c r="AE884" t="str">
        <f t="shared" si="1065"/>
        <v>2</v>
      </c>
      <c r="AF884" t="str">
        <f t="shared" si="1065"/>
        <v>2</v>
      </c>
      <c r="AG884" t="str">
        <f t="shared" si="1065"/>
        <v>2</v>
      </c>
      <c r="AH884" t="str">
        <f t="shared" si="1073"/>
        <v>1</v>
      </c>
      <c r="AI884" t="str">
        <f t="shared" si="1060"/>
        <v xml:space="preserve">1         </v>
      </c>
      <c r="AJ884" t="str">
        <f t="shared" si="1018"/>
        <v>170</v>
      </c>
      <c r="AK884" t="str">
        <f t="shared" ref="AK884:AK893" si="1077">"11"</f>
        <v>11</v>
      </c>
      <c r="AL884" t="str">
        <f t="shared" si="1066"/>
        <v>001</v>
      </c>
      <c r="AM884" t="str">
        <f t="shared" ref="AM884:AM893" si="1078">"11"</f>
        <v>11</v>
      </c>
      <c r="AN884" t="str">
        <f t="shared" ref="AN884:AN893" si="1079">"11001"</f>
        <v>11001</v>
      </c>
      <c r="AO884" t="str">
        <f>"16/01/2020 12:00:00 a. m."</f>
        <v>16/01/2020 12:00:00 a. m.</v>
      </c>
      <c r="AP884" t="str">
        <f>"1/11/2019 12:00:00 a. m."</f>
        <v>1/11/2019 12:00:00 a. m.</v>
      </c>
      <c r="AQ884" t="str">
        <f t="shared" si="1067"/>
        <v>2</v>
      </c>
      <c r="AR884" t="str">
        <f t="shared" si="1055"/>
        <v>1</v>
      </c>
      <c r="AS884" t="str">
        <f>"16/01/2020 12:00:00 a. m."</f>
        <v>16/01/2020 12:00:00 a. m.</v>
      </c>
      <c r="AT884" t="str">
        <f>"2"</f>
        <v>2</v>
      </c>
      <c r="AU884" t="str">
        <f>"17/04/2020 12:00:00 a. m."</f>
        <v>17/04/2020 12:00:00 a. m.</v>
      </c>
      <c r="AV884" t="str">
        <f t="shared" si="1068"/>
        <v>3</v>
      </c>
      <c r="AW884" t="str">
        <f>"18/12/2002 12:00:00 a. m."</f>
        <v>18/12/2002 12:00:00 a. m.</v>
      </c>
      <c r="AX884" t="str">
        <f>"M929"</f>
        <v>M929</v>
      </c>
      <c r="AY884" t="str">
        <f t="shared" si="1009"/>
        <v>30/04/2021 12:00:00 a. m.</v>
      </c>
      <c r="AZ884" t="str">
        <f>"12/03/2020 12:00:00 a. m."</f>
        <v>12/03/2020 12:00:00 a. m.</v>
      </c>
      <c r="BA884" t="str">
        <f>""</f>
        <v/>
      </c>
      <c r="BB884" t="str">
        <f>""</f>
        <v/>
      </c>
      <c r="BC884" t="str">
        <f>""</f>
        <v/>
      </c>
      <c r="BD884" t="str">
        <f t="shared" si="1074"/>
        <v>1</v>
      </c>
      <c r="BE884" t="str">
        <f t="shared" si="1074"/>
        <v>1</v>
      </c>
      <c r="BF884" t="str">
        <f t="shared" si="1010"/>
        <v xml:space="preserve">3         </v>
      </c>
      <c r="BG884" t="str">
        <f t="shared" si="1011"/>
        <v>Confirmado por laboratorio</v>
      </c>
      <c r="BH884" t="str">
        <f>"ADMINISTRADORA CLINICA LA COLINA"</f>
        <v>ADMINISTRADORA CLINICA LA COLINA</v>
      </c>
      <c r="BI884" t="str">
        <f t="shared" si="1020"/>
        <v>COLOMBIA</v>
      </c>
      <c r="BJ884" t="str">
        <f t="shared" si="1012"/>
        <v>CANCER INFANTIL</v>
      </c>
      <c r="BK884" t="str">
        <f t="shared" ref="BK884:BL893" si="1080">"BOGOTA"</f>
        <v>BOGOTA</v>
      </c>
      <c r="BL884" t="str">
        <f t="shared" si="1080"/>
        <v>BOGOTA</v>
      </c>
      <c r="BM884" t="str">
        <f t="shared" si="1021"/>
        <v>COLOMBIA</v>
      </c>
      <c r="BN884" t="str">
        <f t="shared" ref="BN884:BQ893" si="1081">"BOGOTA"</f>
        <v>BOGOTA</v>
      </c>
      <c r="BO884" t="str">
        <f t="shared" si="1081"/>
        <v>BOGOTA</v>
      </c>
      <c r="BP884" t="str">
        <f t="shared" si="1081"/>
        <v>BOGOTA</v>
      </c>
      <c r="BQ884" t="str">
        <f t="shared" si="1081"/>
        <v>BOGOTA</v>
      </c>
    </row>
    <row r="885" spans="1:69" x14ac:dyDescent="0.25">
      <c r="A885" t="str">
        <f>"7278675"</f>
        <v>7278675</v>
      </c>
      <c r="B885" t="str">
        <f t="shared" si="1005"/>
        <v>459</v>
      </c>
      <c r="C885" t="str">
        <f>"3/07/2020 12:00:00 a. m."</f>
        <v>3/07/2020 12:00:00 a. m.</v>
      </c>
      <c r="D885" t="str">
        <f>"20"</f>
        <v>20</v>
      </c>
      <c r="E885" t="str">
        <f t="shared" si="1006"/>
        <v>2020</v>
      </c>
      <c r="F885" t="str">
        <f>"1100130289"</f>
        <v>1100130289</v>
      </c>
      <c r="G885" t="str">
        <f>"02"</f>
        <v>02</v>
      </c>
      <c r="H885" t="str">
        <f>"17"</f>
        <v>17</v>
      </c>
      <c r="I885" t="str">
        <f t="shared" si="1063"/>
        <v>1</v>
      </c>
      <c r="J885" t="str">
        <f>"M"</f>
        <v>M</v>
      </c>
      <c r="K885" t="str">
        <f t="shared" si="1017"/>
        <v>170</v>
      </c>
      <c r="L885" t="str">
        <f t="shared" si="1076"/>
        <v>11</v>
      </c>
      <c r="M885" t="str">
        <f t="shared" si="1064"/>
        <v>001</v>
      </c>
      <c r="N885" t="str">
        <f t="shared" si="1061"/>
        <v>1</v>
      </c>
      <c r="O885" t="str">
        <f>"9997"</f>
        <v>9997</v>
      </c>
      <c r="P885" t="str">
        <f>"S"</f>
        <v>S</v>
      </c>
      <c r="Q885" t="str">
        <f>"EPSS34"</f>
        <v>EPSS34</v>
      </c>
      <c r="R885" t="str">
        <f t="shared" si="1070"/>
        <v>6</v>
      </c>
      <c r="S885" t="str">
        <f>""</f>
        <v/>
      </c>
      <c r="T885" t="str">
        <f t="shared" si="1071"/>
        <v xml:space="preserve">                                                                                                    </v>
      </c>
      <c r="U885" t="str">
        <f>"2         "</f>
        <v xml:space="preserve">2         </v>
      </c>
      <c r="V885" t="str">
        <f t="shared" si="1075"/>
        <v>2</v>
      </c>
      <c r="W885" t="str">
        <f t="shared" si="1072"/>
        <v>2</v>
      </c>
      <c r="X885" t="str">
        <f t="shared" si="1044"/>
        <v>2</v>
      </c>
      <c r="Y885" t="str">
        <f t="shared" si="1062"/>
        <v>2</v>
      </c>
      <c r="Z885" t="str">
        <f t="shared" si="1062"/>
        <v>2</v>
      </c>
      <c r="AA885" t="str">
        <f t="shared" si="1007"/>
        <v xml:space="preserve">          </v>
      </c>
      <c r="AB885" t="str">
        <f t="shared" si="999"/>
        <v>2</v>
      </c>
      <c r="AC885" t="str">
        <f t="shared" si="1001"/>
        <v>2</v>
      </c>
      <c r="AD885" t="str">
        <f t="shared" si="1065"/>
        <v>2</v>
      </c>
      <c r="AE885" t="str">
        <f t="shared" si="1065"/>
        <v>2</v>
      </c>
      <c r="AF885" t="str">
        <f t="shared" si="1065"/>
        <v>2</v>
      </c>
      <c r="AG885" t="str">
        <f t="shared" si="1065"/>
        <v>2</v>
      </c>
      <c r="AH885" t="str">
        <f t="shared" si="1073"/>
        <v>1</v>
      </c>
      <c r="AI885" t="str">
        <f>"2         "</f>
        <v xml:space="preserve">2         </v>
      </c>
      <c r="AJ885" t="str">
        <f t="shared" si="1018"/>
        <v>170</v>
      </c>
      <c r="AK885" t="str">
        <f t="shared" si="1077"/>
        <v>11</v>
      </c>
      <c r="AL885" t="str">
        <f t="shared" si="1066"/>
        <v>001</v>
      </c>
      <c r="AM885" t="str">
        <f t="shared" si="1078"/>
        <v>11</v>
      </c>
      <c r="AN885" t="str">
        <f t="shared" si="1079"/>
        <v>11001</v>
      </c>
      <c r="AO885" t="str">
        <f>"10/05/2020 12:00:00 a. m."</f>
        <v>10/05/2020 12:00:00 a. m.</v>
      </c>
      <c r="AP885" t="str">
        <f>"25/04/2020 12:00:00 a. m."</f>
        <v>25/04/2020 12:00:00 a. m.</v>
      </c>
      <c r="AQ885" t="str">
        <f t="shared" si="1067"/>
        <v>2</v>
      </c>
      <c r="AR885" t="str">
        <f>"2"</f>
        <v>2</v>
      </c>
      <c r="AS885" t="str">
        <f>""</f>
        <v/>
      </c>
      <c r="AT885" t="str">
        <f>"1"</f>
        <v>1</v>
      </c>
      <c r="AU885" t="str">
        <f>""</f>
        <v/>
      </c>
      <c r="AV885" t="str">
        <f t="shared" si="1068"/>
        <v>3</v>
      </c>
      <c r="AW885" t="str">
        <f>"2/02/2003 12:00:00 a. m."</f>
        <v>2/02/2003 12:00:00 a. m.</v>
      </c>
      <c r="AX885" t="str">
        <f>""</f>
        <v/>
      </c>
      <c r="AY885" t="str">
        <f t="shared" si="1009"/>
        <v>30/04/2021 12:00:00 a. m.</v>
      </c>
      <c r="AZ885" t="str">
        <f>"29/07/2020 12:00:00 a. m."</f>
        <v>29/07/2020 12:00:00 a. m.</v>
      </c>
      <c r="BA885" t="str">
        <f>""</f>
        <v/>
      </c>
      <c r="BB885" t="str">
        <f>""</f>
        <v/>
      </c>
      <c r="BC885" t="str">
        <f>""</f>
        <v/>
      </c>
      <c r="BD885" t="str">
        <f t="shared" si="1074"/>
        <v>1</v>
      </c>
      <c r="BE885" t="str">
        <f t="shared" si="1074"/>
        <v>1</v>
      </c>
      <c r="BF885" t="str">
        <f t="shared" si="1010"/>
        <v xml:space="preserve">3         </v>
      </c>
      <c r="BG885" t="str">
        <f t="shared" si="1011"/>
        <v>Confirmado por laboratorio</v>
      </c>
      <c r="BH885" t="str">
        <f>"UNIDAD DE SERVICIOS DE SALUD SAN BLAS SUBRED INTER"</f>
        <v>UNIDAD DE SERVICIOS DE SALUD SAN BLAS SUBRED INTER</v>
      </c>
      <c r="BI885" t="str">
        <f t="shared" si="1020"/>
        <v>COLOMBIA</v>
      </c>
      <c r="BJ885" t="str">
        <f t="shared" si="1012"/>
        <v>CANCER INFANTIL</v>
      </c>
      <c r="BK885" t="str">
        <f t="shared" si="1080"/>
        <v>BOGOTA</v>
      </c>
      <c r="BL885" t="str">
        <f t="shared" si="1080"/>
        <v>BOGOTA</v>
      </c>
      <c r="BM885" t="str">
        <f t="shared" si="1021"/>
        <v>COLOMBIA</v>
      </c>
      <c r="BN885" t="str">
        <f t="shared" si="1081"/>
        <v>BOGOTA</v>
      </c>
      <c r="BO885" t="str">
        <f t="shared" si="1081"/>
        <v>BOGOTA</v>
      </c>
      <c r="BP885" t="str">
        <f t="shared" si="1081"/>
        <v>BOGOTA</v>
      </c>
      <c r="BQ885" t="str">
        <f t="shared" si="1081"/>
        <v>BOGOTA</v>
      </c>
    </row>
    <row r="886" spans="1:69" x14ac:dyDescent="0.25">
      <c r="A886" t="str">
        <f>"7278683"</f>
        <v>7278683</v>
      </c>
      <c r="B886" t="str">
        <f t="shared" si="1005"/>
        <v>459</v>
      </c>
      <c r="C886" t="str">
        <f>"30/12/2020 12:00:00 a. m."</f>
        <v>30/12/2020 12:00:00 a. m.</v>
      </c>
      <c r="D886" t="str">
        <f>"51"</f>
        <v>51</v>
      </c>
      <c r="E886" t="str">
        <f t="shared" si="1006"/>
        <v>2020</v>
      </c>
      <c r="F886" t="str">
        <f>"1100105681"</f>
        <v>1100105681</v>
      </c>
      <c r="G886" t="str">
        <f t="shared" ref="G886:G898" si="1082">"01"</f>
        <v>01</v>
      </c>
      <c r="H886" t="str">
        <f>"4"</f>
        <v>4</v>
      </c>
      <c r="I886" t="str">
        <f t="shared" si="1063"/>
        <v>1</v>
      </c>
      <c r="J886" t="str">
        <f>"M"</f>
        <v>M</v>
      </c>
      <c r="K886" t="str">
        <f t="shared" si="1017"/>
        <v>170</v>
      </c>
      <c r="L886" t="str">
        <f t="shared" si="1076"/>
        <v>11</v>
      </c>
      <c r="M886" t="str">
        <f t="shared" si="1064"/>
        <v>001</v>
      </c>
      <c r="N886" t="str">
        <f t="shared" si="1061"/>
        <v>1</v>
      </c>
      <c r="O886" t="str">
        <f>"9999"</f>
        <v>9999</v>
      </c>
      <c r="P886" t="str">
        <f>"C"</f>
        <v>C</v>
      </c>
      <c r="Q886" t="str">
        <f>"EPS005"</f>
        <v>EPS005</v>
      </c>
      <c r="R886" t="str">
        <f t="shared" si="1070"/>
        <v>6</v>
      </c>
      <c r="S886" t="str">
        <f>""</f>
        <v/>
      </c>
      <c r="T886" t="str">
        <f t="shared" si="1071"/>
        <v xml:space="preserve">                                                                                                    </v>
      </c>
      <c r="U886" t="str">
        <f>"3         "</f>
        <v xml:space="preserve">3         </v>
      </c>
      <c r="V886" t="str">
        <f t="shared" si="1075"/>
        <v>2</v>
      </c>
      <c r="W886" t="str">
        <f t="shared" si="1072"/>
        <v>2</v>
      </c>
      <c r="X886" t="str">
        <f t="shared" si="1044"/>
        <v>2</v>
      </c>
      <c r="Y886" t="str">
        <f t="shared" si="1062"/>
        <v>2</v>
      </c>
      <c r="Z886" t="str">
        <f t="shared" si="1062"/>
        <v>2</v>
      </c>
      <c r="AA886" t="str">
        <f t="shared" si="1007"/>
        <v xml:space="preserve">          </v>
      </c>
      <c r="AB886" t="str">
        <f t="shared" si="999"/>
        <v>2</v>
      </c>
      <c r="AC886" t="str">
        <f t="shared" si="1001"/>
        <v>2</v>
      </c>
      <c r="AD886" t="str">
        <f t="shared" si="1065"/>
        <v>2</v>
      </c>
      <c r="AE886" t="str">
        <f t="shared" si="1065"/>
        <v>2</v>
      </c>
      <c r="AF886" t="str">
        <f t="shared" si="1065"/>
        <v>2</v>
      </c>
      <c r="AG886" t="str">
        <f t="shared" si="1065"/>
        <v>2</v>
      </c>
      <c r="AH886" t="str">
        <f t="shared" si="1073"/>
        <v>1</v>
      </c>
      <c r="AI886" t="str">
        <f>"1         "</f>
        <v xml:space="preserve">1         </v>
      </c>
      <c r="AJ886" t="str">
        <f t="shared" si="1018"/>
        <v>170</v>
      </c>
      <c r="AK886" t="str">
        <f t="shared" si="1077"/>
        <v>11</v>
      </c>
      <c r="AL886" t="str">
        <f t="shared" si="1066"/>
        <v>001</v>
      </c>
      <c r="AM886" t="str">
        <f t="shared" si="1078"/>
        <v>11</v>
      </c>
      <c r="AN886" t="str">
        <f t="shared" si="1079"/>
        <v>11001</v>
      </c>
      <c r="AO886" t="str">
        <f>"18/12/2020 12:00:00 a. m."</f>
        <v>18/12/2020 12:00:00 a. m.</v>
      </c>
      <c r="AP886" t="str">
        <f>"15/12/2020 12:00:00 a. m."</f>
        <v>15/12/2020 12:00:00 a. m.</v>
      </c>
      <c r="AQ886" t="str">
        <f>"3"</f>
        <v>3</v>
      </c>
      <c r="AR886" t="str">
        <f t="shared" ref="AR886:AR925" si="1083">"1"</f>
        <v>1</v>
      </c>
      <c r="AS886" t="str">
        <f>"18/12/2020 12:00:00 a. m."</f>
        <v>18/12/2020 12:00:00 a. m.</v>
      </c>
      <c r="AT886" t="str">
        <f>"1"</f>
        <v>1</v>
      </c>
      <c r="AU886" t="str">
        <f>""</f>
        <v/>
      </c>
      <c r="AV886" t="str">
        <f>"0"</f>
        <v>0</v>
      </c>
      <c r="AW886" t="str">
        <f>"25/12/2016 12:00:00 a. m."</f>
        <v>25/12/2016 12:00:00 a. m.</v>
      </c>
      <c r="AX886" t="str">
        <f>""</f>
        <v/>
      </c>
      <c r="AY886" t="str">
        <f t="shared" si="1009"/>
        <v>30/04/2021 12:00:00 a. m.</v>
      </c>
      <c r="AZ886" t="str">
        <f>"18/03/2021 12:00:00 a. m."</f>
        <v>18/03/2021 12:00:00 a. m.</v>
      </c>
      <c r="BA886" t="str">
        <f>""</f>
        <v/>
      </c>
      <c r="BB886" t="str">
        <f>""</f>
        <v/>
      </c>
      <c r="BC886" t="str">
        <f>""</f>
        <v/>
      </c>
      <c r="BD886" t="str">
        <f t="shared" si="1074"/>
        <v>1</v>
      </c>
      <c r="BE886" t="str">
        <f t="shared" si="1074"/>
        <v>1</v>
      </c>
      <c r="BF886" t="str">
        <f t="shared" si="1010"/>
        <v xml:space="preserve">3         </v>
      </c>
      <c r="BG886" t="str">
        <f t="shared" si="1011"/>
        <v>Confirmado por laboratorio</v>
      </c>
      <c r="BH886" t="str">
        <f>"FUNDACION HOSPITAL DE LA MISERICORDIA"</f>
        <v>FUNDACION HOSPITAL DE LA MISERICORDIA</v>
      </c>
      <c r="BI886" t="str">
        <f t="shared" si="1020"/>
        <v>COLOMBIA</v>
      </c>
      <c r="BJ886" t="str">
        <f t="shared" si="1012"/>
        <v>CANCER INFANTIL</v>
      </c>
      <c r="BK886" t="str">
        <f t="shared" si="1080"/>
        <v>BOGOTA</v>
      </c>
      <c r="BL886" t="str">
        <f t="shared" si="1080"/>
        <v>BOGOTA</v>
      </c>
      <c r="BM886" t="str">
        <f t="shared" si="1021"/>
        <v>COLOMBIA</v>
      </c>
      <c r="BN886" t="str">
        <f t="shared" si="1081"/>
        <v>BOGOTA</v>
      </c>
      <c r="BO886" t="str">
        <f t="shared" si="1081"/>
        <v>BOGOTA</v>
      </c>
      <c r="BP886" t="str">
        <f t="shared" si="1081"/>
        <v>BOGOTA</v>
      </c>
      <c r="BQ886" t="str">
        <f t="shared" si="1081"/>
        <v>BOGOTA</v>
      </c>
    </row>
    <row r="887" spans="1:69" x14ac:dyDescent="0.25">
      <c r="A887" t="str">
        <f>"7291366"</f>
        <v>7291366</v>
      </c>
      <c r="B887" t="str">
        <f t="shared" si="1005"/>
        <v>459</v>
      </c>
      <c r="C887" t="str">
        <f>"24/04/2020 12:00:00 a. m."</f>
        <v>24/04/2020 12:00:00 a. m.</v>
      </c>
      <c r="D887" t="str">
        <f>"15"</f>
        <v>15</v>
      </c>
      <c r="E887" t="str">
        <f t="shared" si="1006"/>
        <v>2020</v>
      </c>
      <c r="F887" t="str">
        <f>"1100105668"</f>
        <v>1100105668</v>
      </c>
      <c r="G887" t="str">
        <f t="shared" si="1082"/>
        <v>01</v>
      </c>
      <c r="H887" t="str">
        <f>"15"</f>
        <v>15</v>
      </c>
      <c r="I887" t="str">
        <f t="shared" si="1063"/>
        <v>1</v>
      </c>
      <c r="J887" t="str">
        <f>"F"</f>
        <v>F</v>
      </c>
      <c r="K887" t="str">
        <f t="shared" si="1017"/>
        <v>170</v>
      </c>
      <c r="L887" t="str">
        <f t="shared" si="1076"/>
        <v>11</v>
      </c>
      <c r="M887" t="str">
        <f t="shared" si="1064"/>
        <v>001</v>
      </c>
      <c r="N887" t="str">
        <f t="shared" si="1061"/>
        <v>1</v>
      </c>
      <c r="O887" t="str">
        <f t="shared" ref="O887:O893" si="1084">"9997"</f>
        <v>9997</v>
      </c>
      <c r="P887" t="str">
        <f>"C"</f>
        <v>C</v>
      </c>
      <c r="Q887" t="str">
        <f>"EPS010"</f>
        <v>EPS010</v>
      </c>
      <c r="R887" t="str">
        <f t="shared" si="1070"/>
        <v>6</v>
      </c>
      <c r="S887" t="str">
        <f>""</f>
        <v/>
      </c>
      <c r="T887" t="str">
        <f t="shared" si="1071"/>
        <v xml:space="preserve">                                                                                                    </v>
      </c>
      <c r="U887" t="str">
        <f>"1         "</f>
        <v xml:space="preserve">1         </v>
      </c>
      <c r="V887" t="str">
        <f t="shared" si="1075"/>
        <v>2</v>
      </c>
      <c r="W887" t="str">
        <f t="shared" si="1072"/>
        <v>2</v>
      </c>
      <c r="X887" t="str">
        <f t="shared" si="1044"/>
        <v>2</v>
      </c>
      <c r="Y887" t="str">
        <f t="shared" si="1062"/>
        <v>2</v>
      </c>
      <c r="Z887" t="str">
        <f t="shared" si="1062"/>
        <v>2</v>
      </c>
      <c r="AA887" t="str">
        <f t="shared" si="1007"/>
        <v xml:space="preserve">          </v>
      </c>
      <c r="AB887" t="str">
        <f t="shared" si="999"/>
        <v>2</v>
      </c>
      <c r="AC887" t="str">
        <f t="shared" si="1001"/>
        <v>2</v>
      </c>
      <c r="AD887" t="str">
        <f t="shared" si="1065"/>
        <v>2</v>
      </c>
      <c r="AE887" t="str">
        <f t="shared" si="1065"/>
        <v>2</v>
      </c>
      <c r="AF887" t="str">
        <f t="shared" si="1065"/>
        <v>2</v>
      </c>
      <c r="AG887" t="str">
        <f t="shared" si="1065"/>
        <v>2</v>
      </c>
      <c r="AH887" t="str">
        <f t="shared" si="1073"/>
        <v>1</v>
      </c>
      <c r="AI887" t="str">
        <f>"2         "</f>
        <v xml:space="preserve">2         </v>
      </c>
      <c r="AJ887" t="str">
        <f t="shared" si="1018"/>
        <v>170</v>
      </c>
      <c r="AK887" t="str">
        <f t="shared" si="1077"/>
        <v>11</v>
      </c>
      <c r="AL887" t="str">
        <f t="shared" si="1066"/>
        <v>001</v>
      </c>
      <c r="AM887" t="str">
        <f t="shared" si="1078"/>
        <v>11</v>
      </c>
      <c r="AN887" t="str">
        <f t="shared" si="1079"/>
        <v>11001</v>
      </c>
      <c r="AO887" t="str">
        <f>"7/04/2020 12:00:00 a. m."</f>
        <v>7/04/2020 12:00:00 a. m.</v>
      </c>
      <c r="AP887" t="str">
        <f>"6/04/2020 12:00:00 a. m."</f>
        <v>6/04/2020 12:00:00 a. m.</v>
      </c>
      <c r="AQ887" t="str">
        <f>"2"</f>
        <v>2</v>
      </c>
      <c r="AR887" t="str">
        <f t="shared" si="1083"/>
        <v>1</v>
      </c>
      <c r="AS887" t="str">
        <f>"7/04/2020 12:00:00 a. m."</f>
        <v>7/04/2020 12:00:00 a. m.</v>
      </c>
      <c r="AT887" t="str">
        <f>"1"</f>
        <v>1</v>
      </c>
      <c r="AU887" t="str">
        <f>""</f>
        <v/>
      </c>
      <c r="AV887" t="str">
        <f>"3"</f>
        <v>3</v>
      </c>
      <c r="AW887" t="str">
        <f>"3/06/2004 12:00:00 a. m."</f>
        <v>3/06/2004 12:00:00 a. m.</v>
      </c>
      <c r="AX887" t="str">
        <f>""</f>
        <v/>
      </c>
      <c r="AY887" t="str">
        <f t="shared" si="1009"/>
        <v>30/04/2021 12:00:00 a. m.</v>
      </c>
      <c r="AZ887" t="str">
        <f>"28/07/2020 12:00:00 a. m."</f>
        <v>28/07/2020 12:00:00 a. m.</v>
      </c>
      <c r="BA887" t="str">
        <f>""</f>
        <v/>
      </c>
      <c r="BB887" t="str">
        <f>""</f>
        <v/>
      </c>
      <c r="BC887" t="str">
        <f>""</f>
        <v/>
      </c>
      <c r="BD887" t="str">
        <f t="shared" si="1074"/>
        <v>1</v>
      </c>
      <c r="BE887" t="str">
        <f t="shared" si="1074"/>
        <v>1</v>
      </c>
      <c r="BF887" t="str">
        <f t="shared" si="1010"/>
        <v xml:space="preserve">3         </v>
      </c>
      <c r="BG887" t="str">
        <f t="shared" si="1011"/>
        <v>Confirmado por laboratorio</v>
      </c>
      <c r="BH887" t="str">
        <f>"H UNIVERSITARIO CLINICA SAN RAFAEL - SAN CRISTOBA"</f>
        <v>H UNIVERSITARIO CLINICA SAN RAFAEL - SAN CRISTOBA</v>
      </c>
      <c r="BI887" t="str">
        <f t="shared" si="1020"/>
        <v>COLOMBIA</v>
      </c>
      <c r="BJ887" t="str">
        <f t="shared" si="1012"/>
        <v>CANCER INFANTIL</v>
      </c>
      <c r="BK887" t="str">
        <f t="shared" si="1080"/>
        <v>BOGOTA</v>
      </c>
      <c r="BL887" t="str">
        <f t="shared" si="1080"/>
        <v>BOGOTA</v>
      </c>
      <c r="BM887" t="str">
        <f t="shared" si="1021"/>
        <v>COLOMBIA</v>
      </c>
      <c r="BN887" t="str">
        <f t="shared" si="1081"/>
        <v>BOGOTA</v>
      </c>
      <c r="BO887" t="str">
        <f t="shared" si="1081"/>
        <v>BOGOTA</v>
      </c>
      <c r="BP887" t="str">
        <f t="shared" si="1081"/>
        <v>BOGOTA</v>
      </c>
      <c r="BQ887" t="str">
        <f t="shared" si="1081"/>
        <v>BOGOTA</v>
      </c>
    </row>
    <row r="888" spans="1:69" x14ac:dyDescent="0.25">
      <c r="A888" t="str">
        <f>"7291446"</f>
        <v>7291446</v>
      </c>
      <c r="B888" t="str">
        <f t="shared" si="1005"/>
        <v>459</v>
      </c>
      <c r="C888" t="str">
        <f>"14/01/2020 12:00:00 a. m."</f>
        <v>14/01/2020 12:00:00 a. m.</v>
      </c>
      <c r="D888" t="str">
        <f>"03"</f>
        <v>03</v>
      </c>
      <c r="E888" t="str">
        <f t="shared" si="1006"/>
        <v>2020</v>
      </c>
      <c r="F888" t="str">
        <f>"1100123118"</f>
        <v>1100123118</v>
      </c>
      <c r="G888" t="str">
        <f t="shared" si="1082"/>
        <v>01</v>
      </c>
      <c r="H888" t="str">
        <f>"6"</f>
        <v>6</v>
      </c>
      <c r="I888" t="str">
        <f t="shared" si="1063"/>
        <v>1</v>
      </c>
      <c r="J888" t="str">
        <f>"M"</f>
        <v>M</v>
      </c>
      <c r="K888" t="str">
        <f t="shared" si="1017"/>
        <v>170</v>
      </c>
      <c r="L888" t="str">
        <f t="shared" si="1076"/>
        <v>11</v>
      </c>
      <c r="M888" t="str">
        <f t="shared" si="1064"/>
        <v>001</v>
      </c>
      <c r="N888" t="str">
        <f t="shared" si="1061"/>
        <v>1</v>
      </c>
      <c r="O888" t="str">
        <f t="shared" si="1084"/>
        <v>9997</v>
      </c>
      <c r="P888" t="str">
        <f>"P"</f>
        <v>P</v>
      </c>
      <c r="Q888" t="str">
        <f>"RES001"</f>
        <v>RES001</v>
      </c>
      <c r="R888" t="str">
        <f t="shared" si="1070"/>
        <v>6</v>
      </c>
      <c r="S888" t="str">
        <f>""</f>
        <v/>
      </c>
      <c r="T888" t="str">
        <f t="shared" si="1071"/>
        <v xml:space="preserve">                                                                                                    </v>
      </c>
      <c r="U888" t="str">
        <f>"3         "</f>
        <v xml:space="preserve">3         </v>
      </c>
      <c r="V888" t="str">
        <f t="shared" si="1075"/>
        <v>2</v>
      </c>
      <c r="W888" t="str">
        <f t="shared" si="1072"/>
        <v>2</v>
      </c>
      <c r="X888" t="str">
        <f t="shared" si="1044"/>
        <v>2</v>
      </c>
      <c r="Y888" t="str">
        <f t="shared" si="1062"/>
        <v>2</v>
      </c>
      <c r="Z888" t="str">
        <f t="shared" si="1062"/>
        <v>2</v>
      </c>
      <c r="AA888" t="str">
        <f t="shared" si="1007"/>
        <v xml:space="preserve">          </v>
      </c>
      <c r="AB888" t="str">
        <f t="shared" si="999"/>
        <v>2</v>
      </c>
      <c r="AC888" t="str">
        <f t="shared" si="1001"/>
        <v>2</v>
      </c>
      <c r="AD888" t="str">
        <f t="shared" si="1065"/>
        <v>2</v>
      </c>
      <c r="AE888" t="str">
        <f t="shared" si="1065"/>
        <v>2</v>
      </c>
      <c r="AF888" t="str">
        <f t="shared" si="1065"/>
        <v>2</v>
      </c>
      <c r="AG888" t="str">
        <f t="shared" si="1065"/>
        <v>2</v>
      </c>
      <c r="AH888" t="str">
        <f t="shared" si="1073"/>
        <v>1</v>
      </c>
      <c r="AI888" t="str">
        <f>"1         "</f>
        <v xml:space="preserve">1         </v>
      </c>
      <c r="AJ888" t="str">
        <f t="shared" si="1018"/>
        <v>170</v>
      </c>
      <c r="AK888" t="str">
        <f t="shared" si="1077"/>
        <v>11</v>
      </c>
      <c r="AL888" t="str">
        <f t="shared" si="1066"/>
        <v>001</v>
      </c>
      <c r="AM888" t="str">
        <f t="shared" si="1078"/>
        <v>11</v>
      </c>
      <c r="AN888" t="str">
        <f t="shared" si="1079"/>
        <v>11001</v>
      </c>
      <c r="AO888" t="str">
        <f>"13/01/2020 12:00:00 a. m."</f>
        <v>13/01/2020 12:00:00 a. m.</v>
      </c>
      <c r="AP888" t="str">
        <f>"15/11/2019 12:00:00 a. m."</f>
        <v>15/11/2019 12:00:00 a. m.</v>
      </c>
      <c r="AQ888" t="str">
        <f>"2"</f>
        <v>2</v>
      </c>
      <c r="AR888" t="str">
        <f t="shared" si="1083"/>
        <v>1</v>
      </c>
      <c r="AS888" t="str">
        <f>"14/01/2020 12:00:00 a. m."</f>
        <v>14/01/2020 12:00:00 a. m.</v>
      </c>
      <c r="AT888" t="str">
        <f>"1"</f>
        <v>1</v>
      </c>
      <c r="AU888" t="str">
        <f>""</f>
        <v/>
      </c>
      <c r="AV888" t="str">
        <f>"3"</f>
        <v>3</v>
      </c>
      <c r="AW888" t="str">
        <f>"15/04/2013 12:00:00 a. m."</f>
        <v>15/04/2013 12:00:00 a. m.</v>
      </c>
      <c r="AX888" t="str">
        <f>""</f>
        <v/>
      </c>
      <c r="AY888" t="str">
        <f t="shared" si="1009"/>
        <v>30/04/2021 12:00:00 a. m.</v>
      </c>
      <c r="AZ888" t="str">
        <f>"16/04/2020 12:00:00 a. m."</f>
        <v>16/04/2020 12:00:00 a. m.</v>
      </c>
      <c r="BA888" t="str">
        <f>""</f>
        <v/>
      </c>
      <c r="BB888" t="str">
        <f>""</f>
        <v/>
      </c>
      <c r="BC888" t="str">
        <f>""</f>
        <v/>
      </c>
      <c r="BD888" t="str">
        <f t="shared" si="1074"/>
        <v>1</v>
      </c>
      <c r="BE888" t="str">
        <f t="shared" si="1074"/>
        <v>1</v>
      </c>
      <c r="BF888" t="str">
        <f t="shared" si="1010"/>
        <v xml:space="preserve">3         </v>
      </c>
      <c r="BG888" t="str">
        <f t="shared" si="1011"/>
        <v>Confirmado por laboratorio</v>
      </c>
      <c r="BH888" t="str">
        <f>"HOSPITAL CENTRAL POLICIA"</f>
        <v>HOSPITAL CENTRAL POLICIA</v>
      </c>
      <c r="BI888" t="str">
        <f t="shared" si="1020"/>
        <v>COLOMBIA</v>
      </c>
      <c r="BJ888" t="str">
        <f t="shared" si="1012"/>
        <v>CANCER INFANTIL</v>
      </c>
      <c r="BK888" t="str">
        <f t="shared" si="1080"/>
        <v>BOGOTA</v>
      </c>
      <c r="BL888" t="str">
        <f t="shared" si="1080"/>
        <v>BOGOTA</v>
      </c>
      <c r="BM888" t="str">
        <f t="shared" si="1021"/>
        <v>COLOMBIA</v>
      </c>
      <c r="BN888" t="str">
        <f t="shared" si="1081"/>
        <v>BOGOTA</v>
      </c>
      <c r="BO888" t="str">
        <f t="shared" si="1081"/>
        <v>BOGOTA</v>
      </c>
      <c r="BP888" t="str">
        <f t="shared" si="1081"/>
        <v>BOGOTA</v>
      </c>
      <c r="BQ888" t="str">
        <f t="shared" si="1081"/>
        <v>BOGOTA</v>
      </c>
    </row>
    <row r="889" spans="1:69" x14ac:dyDescent="0.25">
      <c r="A889" t="str">
        <f>"7291510"</f>
        <v>7291510</v>
      </c>
      <c r="B889" t="str">
        <f t="shared" si="1005"/>
        <v>459</v>
      </c>
      <c r="C889" t="str">
        <f>"13/02/2020 12:00:00 a. m."</f>
        <v>13/02/2020 12:00:00 a. m.</v>
      </c>
      <c r="D889" t="str">
        <f>"07"</f>
        <v>07</v>
      </c>
      <c r="E889" t="str">
        <f t="shared" si="1006"/>
        <v>2020</v>
      </c>
      <c r="F889" t="str">
        <f>"1100106453"</f>
        <v>1100106453</v>
      </c>
      <c r="G889" t="str">
        <f t="shared" si="1082"/>
        <v>01</v>
      </c>
      <c r="H889" t="str">
        <f>"11"</f>
        <v>11</v>
      </c>
      <c r="I889" t="str">
        <f t="shared" si="1063"/>
        <v>1</v>
      </c>
      <c r="J889" t="str">
        <f>"M"</f>
        <v>M</v>
      </c>
      <c r="K889" t="str">
        <f t="shared" si="1017"/>
        <v>170</v>
      </c>
      <c r="L889" t="str">
        <f t="shared" si="1076"/>
        <v>11</v>
      </c>
      <c r="M889" t="str">
        <f t="shared" si="1064"/>
        <v>001</v>
      </c>
      <c r="N889" t="str">
        <f t="shared" si="1061"/>
        <v>1</v>
      </c>
      <c r="O889" t="str">
        <f t="shared" si="1084"/>
        <v>9997</v>
      </c>
      <c r="P889" t="str">
        <f>"C"</f>
        <v>C</v>
      </c>
      <c r="Q889" t="str">
        <f>"EPS008"</f>
        <v>EPS008</v>
      </c>
      <c r="R889" t="str">
        <f t="shared" si="1070"/>
        <v>6</v>
      </c>
      <c r="S889" t="str">
        <f>""</f>
        <v/>
      </c>
      <c r="T889" t="str">
        <f t="shared" si="1071"/>
        <v xml:space="preserve">                                                                                                    </v>
      </c>
      <c r="U889" t="str">
        <f>"2         "</f>
        <v xml:space="preserve">2         </v>
      </c>
      <c r="V889" t="str">
        <f t="shared" si="1075"/>
        <v>2</v>
      </c>
      <c r="W889" t="str">
        <f t="shared" si="1072"/>
        <v>2</v>
      </c>
      <c r="X889" t="str">
        <f t="shared" si="1044"/>
        <v>2</v>
      </c>
      <c r="Y889" t="str">
        <f t="shared" si="1062"/>
        <v>2</v>
      </c>
      <c r="Z889" t="str">
        <f t="shared" si="1062"/>
        <v>2</v>
      </c>
      <c r="AA889" t="str">
        <f t="shared" si="1007"/>
        <v xml:space="preserve">          </v>
      </c>
      <c r="AB889" t="str">
        <f t="shared" si="999"/>
        <v>2</v>
      </c>
      <c r="AC889" t="str">
        <f t="shared" si="1001"/>
        <v>2</v>
      </c>
      <c r="AD889" t="str">
        <f t="shared" si="1065"/>
        <v>2</v>
      </c>
      <c r="AE889" t="str">
        <f t="shared" si="1065"/>
        <v>2</v>
      </c>
      <c r="AF889" t="str">
        <f t="shared" si="1065"/>
        <v>2</v>
      </c>
      <c r="AG889" t="str">
        <f t="shared" si="1065"/>
        <v>2</v>
      </c>
      <c r="AH889" t="str">
        <f t="shared" si="1073"/>
        <v>1</v>
      </c>
      <c r="AI889" t="str">
        <f>"1         "</f>
        <v xml:space="preserve">1         </v>
      </c>
      <c r="AJ889" t="str">
        <f t="shared" si="1018"/>
        <v>170</v>
      </c>
      <c r="AK889" t="str">
        <f t="shared" si="1077"/>
        <v>11</v>
      </c>
      <c r="AL889" t="str">
        <f t="shared" si="1066"/>
        <v>001</v>
      </c>
      <c r="AM889" t="str">
        <f t="shared" si="1078"/>
        <v>11</v>
      </c>
      <c r="AN889" t="str">
        <f t="shared" si="1079"/>
        <v>11001</v>
      </c>
      <c r="AO889" t="str">
        <f>"13/02/2020 12:00:00 a. m."</f>
        <v>13/02/2020 12:00:00 a. m.</v>
      </c>
      <c r="AP889" t="str">
        <f>"13/12/2019 12:00:00 a. m."</f>
        <v>13/12/2019 12:00:00 a. m.</v>
      </c>
      <c r="AQ889" t="str">
        <f>"2"</f>
        <v>2</v>
      </c>
      <c r="AR889" t="str">
        <f t="shared" si="1083"/>
        <v>1</v>
      </c>
      <c r="AS889" t="str">
        <f>"13/02/2020 12:00:00 a. m."</f>
        <v>13/02/2020 12:00:00 a. m.</v>
      </c>
      <c r="AT889" t="str">
        <f>"2"</f>
        <v>2</v>
      </c>
      <c r="AU889" t="str">
        <f>"2/06/2020 12:00:00 a. m."</f>
        <v>2/06/2020 12:00:00 a. m.</v>
      </c>
      <c r="AV889" t="str">
        <f>"3"</f>
        <v>3</v>
      </c>
      <c r="AW889" t="str">
        <f>"10/11/2008 12:00:00 a. m."</f>
        <v>10/11/2008 12:00:00 a. m.</v>
      </c>
      <c r="AX889" t="str">
        <f>"J159"</f>
        <v>J159</v>
      </c>
      <c r="AY889" t="str">
        <f t="shared" si="1009"/>
        <v>30/04/2021 12:00:00 a. m.</v>
      </c>
      <c r="AZ889" t="str">
        <f>"27/04/2020 12:00:00 a. m."</f>
        <v>27/04/2020 12:00:00 a. m.</v>
      </c>
      <c r="BA889" t="str">
        <f>""</f>
        <v/>
      </c>
      <c r="BB889" t="str">
        <f>""</f>
        <v/>
      </c>
      <c r="BC889" t="str">
        <f>""</f>
        <v/>
      </c>
      <c r="BD889" t="str">
        <f t="shared" si="1074"/>
        <v>1</v>
      </c>
      <c r="BE889" t="str">
        <f t="shared" si="1074"/>
        <v>1</v>
      </c>
      <c r="BF889" t="str">
        <f t="shared" si="1010"/>
        <v xml:space="preserve">3         </v>
      </c>
      <c r="BG889" t="str">
        <f t="shared" si="1011"/>
        <v>Confirmado por laboratorio</v>
      </c>
      <c r="BH889" t="str">
        <f>"CRUZ ROJA COLOMBIANA SECCIONAL CUNDINAMARCA Y BOGO"</f>
        <v>CRUZ ROJA COLOMBIANA SECCIONAL CUNDINAMARCA Y BOGO</v>
      </c>
      <c r="BI889" t="str">
        <f t="shared" si="1020"/>
        <v>COLOMBIA</v>
      </c>
      <c r="BJ889" t="str">
        <f t="shared" si="1012"/>
        <v>CANCER INFANTIL</v>
      </c>
      <c r="BK889" t="str">
        <f t="shared" si="1080"/>
        <v>BOGOTA</v>
      </c>
      <c r="BL889" t="str">
        <f t="shared" si="1080"/>
        <v>BOGOTA</v>
      </c>
      <c r="BM889" t="str">
        <f t="shared" si="1021"/>
        <v>COLOMBIA</v>
      </c>
      <c r="BN889" t="str">
        <f t="shared" si="1081"/>
        <v>BOGOTA</v>
      </c>
      <c r="BO889" t="str">
        <f t="shared" si="1081"/>
        <v>BOGOTA</v>
      </c>
      <c r="BP889" t="str">
        <f t="shared" si="1081"/>
        <v>BOGOTA</v>
      </c>
      <c r="BQ889" t="str">
        <f t="shared" si="1081"/>
        <v>BOGOTA</v>
      </c>
    </row>
    <row r="890" spans="1:69" x14ac:dyDescent="0.25">
      <c r="A890" t="str">
        <f>"7278693"</f>
        <v>7278693</v>
      </c>
      <c r="B890" t="str">
        <f t="shared" si="1005"/>
        <v>459</v>
      </c>
      <c r="C890" t="str">
        <f>"6/02/2020 12:00:00 a. m."</f>
        <v>6/02/2020 12:00:00 a. m.</v>
      </c>
      <c r="D890" t="str">
        <f>"06"</f>
        <v>06</v>
      </c>
      <c r="E890" t="str">
        <f t="shared" si="1006"/>
        <v>2020</v>
      </c>
      <c r="F890" t="str">
        <f>"1100105668"</f>
        <v>1100105668</v>
      </c>
      <c r="G890" t="str">
        <f t="shared" si="1082"/>
        <v>01</v>
      </c>
      <c r="H890" t="str">
        <f>"8"</f>
        <v>8</v>
      </c>
      <c r="I890" t="str">
        <f t="shared" si="1063"/>
        <v>1</v>
      </c>
      <c r="J890" t="str">
        <f>"F"</f>
        <v>F</v>
      </c>
      <c r="K890" t="str">
        <f t="shared" si="1017"/>
        <v>170</v>
      </c>
      <c r="L890" t="str">
        <f t="shared" si="1076"/>
        <v>11</v>
      </c>
      <c r="M890" t="str">
        <f t="shared" si="1064"/>
        <v>001</v>
      </c>
      <c r="N890" t="str">
        <f t="shared" si="1061"/>
        <v>1</v>
      </c>
      <c r="O890" t="str">
        <f t="shared" si="1084"/>
        <v>9997</v>
      </c>
      <c r="P890" t="str">
        <f>"C"</f>
        <v>C</v>
      </c>
      <c r="Q890" t="str">
        <f>"ESSC33"</f>
        <v>ESSC33</v>
      </c>
      <c r="R890" t="str">
        <f t="shared" si="1070"/>
        <v>6</v>
      </c>
      <c r="S890" t="str">
        <f>""</f>
        <v/>
      </c>
      <c r="T890" t="str">
        <f t="shared" si="1071"/>
        <v xml:space="preserve">                                                                                                    </v>
      </c>
      <c r="U890" t="str">
        <f>"3         "</f>
        <v xml:space="preserve">3         </v>
      </c>
      <c r="V890" t="str">
        <f t="shared" si="1075"/>
        <v>2</v>
      </c>
      <c r="W890" t="str">
        <f t="shared" si="1072"/>
        <v>2</v>
      </c>
      <c r="X890" t="str">
        <f t="shared" si="1044"/>
        <v>2</v>
      </c>
      <c r="Y890" t="str">
        <f t="shared" si="1062"/>
        <v>2</v>
      </c>
      <c r="Z890" t="str">
        <f t="shared" si="1062"/>
        <v>2</v>
      </c>
      <c r="AA890" t="str">
        <f t="shared" si="1007"/>
        <v xml:space="preserve">          </v>
      </c>
      <c r="AB890" t="str">
        <f t="shared" si="999"/>
        <v>2</v>
      </c>
      <c r="AC890" t="str">
        <f t="shared" si="1001"/>
        <v>2</v>
      </c>
      <c r="AD890" t="str">
        <f t="shared" si="1065"/>
        <v>2</v>
      </c>
      <c r="AE890" t="str">
        <f t="shared" si="1065"/>
        <v>2</v>
      </c>
      <c r="AF890" t="str">
        <f t="shared" si="1065"/>
        <v>2</v>
      </c>
      <c r="AG890" t="str">
        <f t="shared" si="1065"/>
        <v>2</v>
      </c>
      <c r="AH890" t="str">
        <f t="shared" si="1073"/>
        <v>1</v>
      </c>
      <c r="AI890" t="str">
        <f>"1         "</f>
        <v xml:space="preserve">1         </v>
      </c>
      <c r="AJ890" t="str">
        <f t="shared" si="1018"/>
        <v>170</v>
      </c>
      <c r="AK890" t="str">
        <f t="shared" si="1077"/>
        <v>11</v>
      </c>
      <c r="AL890" t="str">
        <f t="shared" si="1066"/>
        <v>001</v>
      </c>
      <c r="AM890" t="str">
        <f t="shared" si="1078"/>
        <v>11</v>
      </c>
      <c r="AN890" t="str">
        <f t="shared" si="1079"/>
        <v>11001</v>
      </c>
      <c r="AO890" t="str">
        <f>"3/02/2020 12:00:00 a. m."</f>
        <v>3/02/2020 12:00:00 a. m.</v>
      </c>
      <c r="AP890" t="str">
        <f>"2/02/2020 12:00:00 a. m."</f>
        <v>2/02/2020 12:00:00 a. m.</v>
      </c>
      <c r="AQ890" t="str">
        <f>"2"</f>
        <v>2</v>
      </c>
      <c r="AR890" t="str">
        <f t="shared" si="1083"/>
        <v>1</v>
      </c>
      <c r="AS890" t="str">
        <f>"3/02/2020 12:00:00 a. m."</f>
        <v>3/02/2020 12:00:00 a. m.</v>
      </c>
      <c r="AT890" t="str">
        <f>"1"</f>
        <v>1</v>
      </c>
      <c r="AU890" t="str">
        <f>""</f>
        <v/>
      </c>
      <c r="AV890" t="str">
        <f>"3"</f>
        <v>3</v>
      </c>
      <c r="AW890" t="str">
        <f>"19/12/2011 12:00:00 a. m."</f>
        <v>19/12/2011 12:00:00 a. m.</v>
      </c>
      <c r="AX890" t="str">
        <f>""</f>
        <v/>
      </c>
      <c r="AY890" t="str">
        <f t="shared" si="1009"/>
        <v>30/04/2021 12:00:00 a. m.</v>
      </c>
      <c r="AZ890" t="str">
        <f>"20/02/2020 12:00:00 a. m."</f>
        <v>20/02/2020 12:00:00 a. m.</v>
      </c>
      <c r="BA890" t="str">
        <f>""</f>
        <v/>
      </c>
      <c r="BB890" t="str">
        <f>""</f>
        <v/>
      </c>
      <c r="BC890" t="str">
        <f>""</f>
        <v/>
      </c>
      <c r="BD890" t="str">
        <f t="shared" si="1074"/>
        <v>1</v>
      </c>
      <c r="BE890" t="str">
        <f t="shared" si="1074"/>
        <v>1</v>
      </c>
      <c r="BF890" t="str">
        <f t="shared" si="1010"/>
        <v xml:space="preserve">3         </v>
      </c>
      <c r="BG890" t="str">
        <f t="shared" si="1011"/>
        <v>Confirmado por laboratorio</v>
      </c>
      <c r="BH890" t="str">
        <f>"H UNIVERSITARIO CLINICA SAN RAFAEL - SAN CRISTOBA"</f>
        <v>H UNIVERSITARIO CLINICA SAN RAFAEL - SAN CRISTOBA</v>
      </c>
      <c r="BI890" t="str">
        <f t="shared" si="1020"/>
        <v>COLOMBIA</v>
      </c>
      <c r="BJ890" t="str">
        <f t="shared" si="1012"/>
        <v>CANCER INFANTIL</v>
      </c>
      <c r="BK890" t="str">
        <f t="shared" si="1080"/>
        <v>BOGOTA</v>
      </c>
      <c r="BL890" t="str">
        <f t="shared" si="1080"/>
        <v>BOGOTA</v>
      </c>
      <c r="BM890" t="str">
        <f t="shared" si="1021"/>
        <v>COLOMBIA</v>
      </c>
      <c r="BN890" t="str">
        <f t="shared" si="1081"/>
        <v>BOGOTA</v>
      </c>
      <c r="BO890" t="str">
        <f t="shared" si="1081"/>
        <v>BOGOTA</v>
      </c>
      <c r="BP890" t="str">
        <f t="shared" si="1081"/>
        <v>BOGOTA</v>
      </c>
      <c r="BQ890" t="str">
        <f t="shared" si="1081"/>
        <v>BOGOTA</v>
      </c>
    </row>
    <row r="891" spans="1:69" x14ac:dyDescent="0.25">
      <c r="A891" t="str">
        <f>"7278696"</f>
        <v>7278696</v>
      </c>
      <c r="B891" t="str">
        <f t="shared" si="1005"/>
        <v>459</v>
      </c>
      <c r="C891" t="str">
        <f>"1/03/2020 12:00:00 a. m."</f>
        <v>1/03/2020 12:00:00 a. m.</v>
      </c>
      <c r="D891" t="str">
        <f>"04"</f>
        <v>04</v>
      </c>
      <c r="E891" t="str">
        <f t="shared" si="1006"/>
        <v>2020</v>
      </c>
      <c r="F891" t="str">
        <f>"1100105681"</f>
        <v>1100105681</v>
      </c>
      <c r="G891" t="str">
        <f t="shared" si="1082"/>
        <v>01</v>
      </c>
      <c r="H891" t="str">
        <f>"7"</f>
        <v>7</v>
      </c>
      <c r="I891" t="str">
        <f t="shared" si="1063"/>
        <v>1</v>
      </c>
      <c r="J891" t="str">
        <f>"F"</f>
        <v>F</v>
      </c>
      <c r="K891" t="str">
        <f t="shared" si="1017"/>
        <v>170</v>
      </c>
      <c r="L891" t="str">
        <f t="shared" si="1076"/>
        <v>11</v>
      </c>
      <c r="M891" t="str">
        <f t="shared" si="1064"/>
        <v>001</v>
      </c>
      <c r="N891" t="str">
        <f t="shared" si="1061"/>
        <v>1</v>
      </c>
      <c r="O891" t="str">
        <f t="shared" si="1084"/>
        <v>9997</v>
      </c>
      <c r="P891" t="str">
        <f>"C"</f>
        <v>C</v>
      </c>
      <c r="Q891" t="str">
        <f>"EPS005"</f>
        <v>EPS005</v>
      </c>
      <c r="R891" t="str">
        <f t="shared" si="1070"/>
        <v>6</v>
      </c>
      <c r="S891" t="str">
        <f>""</f>
        <v/>
      </c>
      <c r="T891" t="str">
        <f t="shared" si="1071"/>
        <v xml:space="preserve">                                                                                                    </v>
      </c>
      <c r="U891" t="str">
        <f>"2         "</f>
        <v xml:space="preserve">2         </v>
      </c>
      <c r="V891" t="str">
        <f t="shared" si="1075"/>
        <v>2</v>
      </c>
      <c r="W891" t="str">
        <f t="shared" si="1072"/>
        <v>2</v>
      </c>
      <c r="X891" t="str">
        <f t="shared" si="1044"/>
        <v>2</v>
      </c>
      <c r="Y891" t="str">
        <f t="shared" si="1062"/>
        <v>2</v>
      </c>
      <c r="Z891" t="str">
        <f t="shared" si="1062"/>
        <v>2</v>
      </c>
      <c r="AA891" t="str">
        <f t="shared" si="1007"/>
        <v xml:space="preserve">          </v>
      </c>
      <c r="AB891" t="str">
        <f t="shared" si="999"/>
        <v>2</v>
      </c>
      <c r="AC891" t="str">
        <f t="shared" si="1001"/>
        <v>2</v>
      </c>
      <c r="AD891" t="str">
        <f t="shared" si="1065"/>
        <v>2</v>
      </c>
      <c r="AE891" t="str">
        <f t="shared" si="1065"/>
        <v>2</v>
      </c>
      <c r="AF891" t="str">
        <f t="shared" si="1065"/>
        <v>2</v>
      </c>
      <c r="AG891" t="str">
        <f t="shared" si="1065"/>
        <v>2</v>
      </c>
      <c r="AH891" t="str">
        <f t="shared" si="1073"/>
        <v>1</v>
      </c>
      <c r="AI891" t="str">
        <f>"2         "</f>
        <v xml:space="preserve">2         </v>
      </c>
      <c r="AJ891" t="str">
        <f t="shared" si="1018"/>
        <v>170</v>
      </c>
      <c r="AK891" t="str">
        <f t="shared" si="1077"/>
        <v>11</v>
      </c>
      <c r="AL891" t="str">
        <f t="shared" si="1066"/>
        <v>001</v>
      </c>
      <c r="AM891" t="str">
        <f t="shared" si="1078"/>
        <v>11</v>
      </c>
      <c r="AN891" t="str">
        <f t="shared" si="1079"/>
        <v>11001</v>
      </c>
      <c r="AO891" t="str">
        <f>"19/01/2020 12:00:00 a. m."</f>
        <v>19/01/2020 12:00:00 a. m.</v>
      </c>
      <c r="AP891" t="str">
        <f>"26/12/2019 12:00:00 a. m."</f>
        <v>26/12/2019 12:00:00 a. m.</v>
      </c>
      <c r="AQ891" t="str">
        <f>"3"</f>
        <v>3</v>
      </c>
      <c r="AR891" t="str">
        <f t="shared" si="1083"/>
        <v>1</v>
      </c>
      <c r="AS891" t="str">
        <f>"19/01/2020 12:00:00 a. m."</f>
        <v>19/01/2020 12:00:00 a. m.</v>
      </c>
      <c r="AT891" t="str">
        <f>"1"</f>
        <v>1</v>
      </c>
      <c r="AU891" t="str">
        <f>""</f>
        <v/>
      </c>
      <c r="AV891" t="str">
        <f>"7"</f>
        <v>7</v>
      </c>
      <c r="AW891" t="str">
        <f>"3/02/2013 12:00:00 a. m."</f>
        <v>3/02/2013 12:00:00 a. m.</v>
      </c>
      <c r="AX891" t="str">
        <f>""</f>
        <v/>
      </c>
      <c r="AY891" t="str">
        <f t="shared" si="1009"/>
        <v>30/04/2021 12:00:00 a. m.</v>
      </c>
      <c r="AZ891" t="str">
        <f>"5/04/2021 12:00:00 a. m."</f>
        <v>5/04/2021 12:00:00 a. m.</v>
      </c>
      <c r="BA891" t="str">
        <f>""</f>
        <v/>
      </c>
      <c r="BB891" t="str">
        <f>""</f>
        <v/>
      </c>
      <c r="BC891" t="str">
        <f>""</f>
        <v/>
      </c>
      <c r="BD891" t="str">
        <f t="shared" si="1074"/>
        <v>1</v>
      </c>
      <c r="BE891" t="str">
        <f t="shared" si="1074"/>
        <v>1</v>
      </c>
      <c r="BF891" t="str">
        <f t="shared" si="1010"/>
        <v xml:space="preserve">3         </v>
      </c>
      <c r="BG891" t="str">
        <f t="shared" si="1011"/>
        <v>Confirmado por laboratorio</v>
      </c>
      <c r="BH891" t="str">
        <f>"FUNDACION HOSPITAL DE LA MISERICORDIA"</f>
        <v>FUNDACION HOSPITAL DE LA MISERICORDIA</v>
      </c>
      <c r="BI891" t="str">
        <f t="shared" si="1020"/>
        <v>COLOMBIA</v>
      </c>
      <c r="BJ891" t="str">
        <f t="shared" si="1012"/>
        <v>CANCER INFANTIL</v>
      </c>
      <c r="BK891" t="str">
        <f t="shared" si="1080"/>
        <v>BOGOTA</v>
      </c>
      <c r="BL891" t="str">
        <f t="shared" si="1080"/>
        <v>BOGOTA</v>
      </c>
      <c r="BM891" t="str">
        <f t="shared" si="1021"/>
        <v>COLOMBIA</v>
      </c>
      <c r="BN891" t="str">
        <f t="shared" si="1081"/>
        <v>BOGOTA</v>
      </c>
      <c r="BO891" t="str">
        <f t="shared" si="1081"/>
        <v>BOGOTA</v>
      </c>
      <c r="BP891" t="str">
        <f t="shared" si="1081"/>
        <v>BOGOTA</v>
      </c>
      <c r="BQ891" t="str">
        <f t="shared" si="1081"/>
        <v>BOGOTA</v>
      </c>
    </row>
    <row r="892" spans="1:69" x14ac:dyDescent="0.25">
      <c r="A892" t="str">
        <f>"7278697"</f>
        <v>7278697</v>
      </c>
      <c r="B892" t="str">
        <f t="shared" si="1005"/>
        <v>459</v>
      </c>
      <c r="C892" t="str">
        <f>"31/03/2020 12:00:00 a. m."</f>
        <v>31/03/2020 12:00:00 a. m.</v>
      </c>
      <c r="D892" t="str">
        <f>"05"</f>
        <v>05</v>
      </c>
      <c r="E892" t="str">
        <f t="shared" si="1006"/>
        <v>2020</v>
      </c>
      <c r="F892" t="str">
        <f>"1100105681"</f>
        <v>1100105681</v>
      </c>
      <c r="G892" t="str">
        <f t="shared" si="1082"/>
        <v>01</v>
      </c>
      <c r="H892" t="str">
        <f>"10"</f>
        <v>10</v>
      </c>
      <c r="I892" t="str">
        <f t="shared" si="1063"/>
        <v>1</v>
      </c>
      <c r="J892" t="str">
        <f>"M"</f>
        <v>M</v>
      </c>
      <c r="K892" t="str">
        <f t="shared" si="1017"/>
        <v>170</v>
      </c>
      <c r="L892" t="str">
        <f t="shared" si="1076"/>
        <v>11</v>
      </c>
      <c r="M892" t="str">
        <f t="shared" si="1064"/>
        <v>001</v>
      </c>
      <c r="N892" t="str">
        <f t="shared" si="1061"/>
        <v>1</v>
      </c>
      <c r="O892" t="str">
        <f t="shared" si="1084"/>
        <v>9997</v>
      </c>
      <c r="P892" t="str">
        <f>"S"</f>
        <v>S</v>
      </c>
      <c r="Q892" t="str">
        <f>"EPSS34"</f>
        <v>EPSS34</v>
      </c>
      <c r="R892" t="str">
        <f t="shared" si="1070"/>
        <v>6</v>
      </c>
      <c r="S892" t="str">
        <f>""</f>
        <v/>
      </c>
      <c r="T892" t="str">
        <f t="shared" si="1071"/>
        <v xml:space="preserve">                                                                                                    </v>
      </c>
      <c r="U892" t="str">
        <f>"2         "</f>
        <v xml:space="preserve">2         </v>
      </c>
      <c r="V892" t="str">
        <f t="shared" si="1075"/>
        <v>2</v>
      </c>
      <c r="W892" t="str">
        <f t="shared" si="1072"/>
        <v>2</v>
      </c>
      <c r="X892" t="str">
        <f t="shared" si="1044"/>
        <v>2</v>
      </c>
      <c r="Y892" t="str">
        <f t="shared" si="1062"/>
        <v>2</v>
      </c>
      <c r="Z892" t="str">
        <f t="shared" si="1062"/>
        <v>2</v>
      </c>
      <c r="AA892" t="str">
        <f t="shared" si="1007"/>
        <v xml:space="preserve">          </v>
      </c>
      <c r="AB892" t="str">
        <f t="shared" ref="AB892:AB955" si="1085">"2"</f>
        <v>2</v>
      </c>
      <c r="AC892" t="str">
        <f t="shared" si="1001"/>
        <v>2</v>
      </c>
      <c r="AD892" t="str">
        <f t="shared" si="1065"/>
        <v>2</v>
      </c>
      <c r="AE892" t="str">
        <f t="shared" si="1065"/>
        <v>2</v>
      </c>
      <c r="AF892" t="str">
        <f t="shared" si="1065"/>
        <v>2</v>
      </c>
      <c r="AG892" t="str">
        <f t="shared" si="1065"/>
        <v>2</v>
      </c>
      <c r="AH892" t="str">
        <f t="shared" si="1073"/>
        <v>1</v>
      </c>
      <c r="AI892" t="str">
        <f>"1         "</f>
        <v xml:space="preserve">1         </v>
      </c>
      <c r="AJ892" t="str">
        <f t="shared" si="1018"/>
        <v>170</v>
      </c>
      <c r="AK892" t="str">
        <f t="shared" si="1077"/>
        <v>11</v>
      </c>
      <c r="AL892" t="str">
        <f t="shared" si="1066"/>
        <v>001</v>
      </c>
      <c r="AM892" t="str">
        <f t="shared" si="1078"/>
        <v>11</v>
      </c>
      <c r="AN892" t="str">
        <f t="shared" si="1079"/>
        <v>11001</v>
      </c>
      <c r="AO892" t="str">
        <f>"21/02/2020 12:00:00 a. m."</f>
        <v>21/02/2020 12:00:00 a. m.</v>
      </c>
      <c r="AP892" t="str">
        <f>"20/01/2020 12:00:00 a. m."</f>
        <v>20/01/2020 12:00:00 a. m.</v>
      </c>
      <c r="AQ892" t="str">
        <f>"3"</f>
        <v>3</v>
      </c>
      <c r="AR892" t="str">
        <f t="shared" si="1083"/>
        <v>1</v>
      </c>
      <c r="AS892" t="str">
        <f>"21/02/2020 12:00:00 a. m."</f>
        <v>21/02/2020 12:00:00 a. m.</v>
      </c>
      <c r="AT892" t="str">
        <f>"2"</f>
        <v>2</v>
      </c>
      <c r="AU892" t="str">
        <f>"9/05/2020 12:00:00 a. m."</f>
        <v>9/05/2020 12:00:00 a. m.</v>
      </c>
      <c r="AV892" t="str">
        <f>"7"</f>
        <v>7</v>
      </c>
      <c r="AW892" t="str">
        <f>"25/02/2010 12:00:00 a. m."</f>
        <v>25/02/2010 12:00:00 a. m.</v>
      </c>
      <c r="AX892" t="str">
        <f>"C710"</f>
        <v>C710</v>
      </c>
      <c r="AY892" t="str">
        <f t="shared" si="1009"/>
        <v>30/04/2021 12:00:00 a. m.</v>
      </c>
      <c r="AZ892" t="str">
        <f>"22/07/2020 12:00:00 a. m."</f>
        <v>22/07/2020 12:00:00 a. m.</v>
      </c>
      <c r="BA892" t="str">
        <f>""</f>
        <v/>
      </c>
      <c r="BB892" t="str">
        <f>""</f>
        <v/>
      </c>
      <c r="BC892" t="str">
        <f>""</f>
        <v/>
      </c>
      <c r="BD892" t="str">
        <f t="shared" si="1074"/>
        <v>1</v>
      </c>
      <c r="BE892" t="str">
        <f t="shared" si="1074"/>
        <v>1</v>
      </c>
      <c r="BF892" t="str">
        <f t="shared" si="1010"/>
        <v xml:space="preserve">3         </v>
      </c>
      <c r="BG892" t="str">
        <f t="shared" si="1011"/>
        <v>Confirmado por laboratorio</v>
      </c>
      <c r="BH892" t="str">
        <f>"FUNDACION HOSPITAL DE LA MISERICORDIA"</f>
        <v>FUNDACION HOSPITAL DE LA MISERICORDIA</v>
      </c>
      <c r="BI892" t="str">
        <f t="shared" si="1020"/>
        <v>COLOMBIA</v>
      </c>
      <c r="BJ892" t="str">
        <f t="shared" si="1012"/>
        <v>CANCER INFANTIL</v>
      </c>
      <c r="BK892" t="str">
        <f t="shared" si="1080"/>
        <v>BOGOTA</v>
      </c>
      <c r="BL892" t="str">
        <f t="shared" si="1080"/>
        <v>BOGOTA</v>
      </c>
      <c r="BM892" t="str">
        <f t="shared" si="1021"/>
        <v>COLOMBIA</v>
      </c>
      <c r="BN892" t="str">
        <f t="shared" si="1081"/>
        <v>BOGOTA</v>
      </c>
      <c r="BO892" t="str">
        <f t="shared" si="1081"/>
        <v>BOGOTA</v>
      </c>
      <c r="BP892" t="str">
        <f t="shared" si="1081"/>
        <v>BOGOTA</v>
      </c>
      <c r="BQ892" t="str">
        <f t="shared" si="1081"/>
        <v>BOGOTA</v>
      </c>
    </row>
    <row r="893" spans="1:69" x14ac:dyDescent="0.25">
      <c r="A893" t="str">
        <f>"7291656"</f>
        <v>7291656</v>
      </c>
      <c r="B893" t="str">
        <f t="shared" si="1005"/>
        <v>459</v>
      </c>
      <c r="C893" t="str">
        <f>"20/02/2020 12:00:00 a. m."</f>
        <v>20/02/2020 12:00:00 a. m.</v>
      </c>
      <c r="D893" t="str">
        <f>"07"</f>
        <v>07</v>
      </c>
      <c r="E893" t="str">
        <f t="shared" si="1006"/>
        <v>2020</v>
      </c>
      <c r="F893" t="str">
        <f>"1100105681"</f>
        <v>1100105681</v>
      </c>
      <c r="G893" t="str">
        <f t="shared" si="1082"/>
        <v>01</v>
      </c>
      <c r="H893" t="str">
        <f>"16"</f>
        <v>16</v>
      </c>
      <c r="I893" t="str">
        <f t="shared" si="1063"/>
        <v>1</v>
      </c>
      <c r="J893" t="str">
        <f>"M"</f>
        <v>M</v>
      </c>
      <c r="K893" t="str">
        <f t="shared" si="1017"/>
        <v>170</v>
      </c>
      <c r="L893" t="str">
        <f t="shared" si="1076"/>
        <v>11</v>
      </c>
      <c r="M893" t="str">
        <f t="shared" si="1064"/>
        <v>001</v>
      </c>
      <c r="N893" t="str">
        <f t="shared" si="1061"/>
        <v>1</v>
      </c>
      <c r="O893" t="str">
        <f t="shared" si="1084"/>
        <v>9997</v>
      </c>
      <c r="P893" t="str">
        <f>"C"</f>
        <v>C</v>
      </c>
      <c r="Q893" t="str">
        <f>"EPS005"</f>
        <v>EPS005</v>
      </c>
      <c r="R893" t="str">
        <f t="shared" si="1070"/>
        <v>6</v>
      </c>
      <c r="S893" t="str">
        <f>""</f>
        <v/>
      </c>
      <c r="T893" t="str">
        <f t="shared" si="1071"/>
        <v xml:space="preserve">                                                                                                    </v>
      </c>
      <c r="U893" t="str">
        <f>"3         "</f>
        <v xml:space="preserve">3         </v>
      </c>
      <c r="V893" t="str">
        <f t="shared" si="1075"/>
        <v>2</v>
      </c>
      <c r="W893" t="str">
        <f t="shared" si="1072"/>
        <v>2</v>
      </c>
      <c r="X893" t="str">
        <f t="shared" si="1044"/>
        <v>2</v>
      </c>
      <c r="Y893" t="str">
        <f t="shared" si="1062"/>
        <v>2</v>
      </c>
      <c r="Z893" t="str">
        <f t="shared" si="1062"/>
        <v>2</v>
      </c>
      <c r="AA893" t="str">
        <f t="shared" si="1007"/>
        <v xml:space="preserve">          </v>
      </c>
      <c r="AB893" t="str">
        <f t="shared" si="1085"/>
        <v>2</v>
      </c>
      <c r="AC893" t="str">
        <f t="shared" ref="AC893:AC956" si="1086">"2"</f>
        <v>2</v>
      </c>
      <c r="AD893" t="str">
        <f t="shared" si="1065"/>
        <v>2</v>
      </c>
      <c r="AE893" t="str">
        <f t="shared" si="1065"/>
        <v>2</v>
      </c>
      <c r="AF893" t="str">
        <f t="shared" si="1065"/>
        <v>2</v>
      </c>
      <c r="AG893" t="str">
        <f t="shared" si="1065"/>
        <v>2</v>
      </c>
      <c r="AH893" t="str">
        <f t="shared" si="1073"/>
        <v>1</v>
      </c>
      <c r="AI893" t="str">
        <f>"2         "</f>
        <v xml:space="preserve">2         </v>
      </c>
      <c r="AJ893" t="str">
        <f t="shared" si="1018"/>
        <v>170</v>
      </c>
      <c r="AK893" t="str">
        <f t="shared" si="1077"/>
        <v>11</v>
      </c>
      <c r="AL893" t="str">
        <f t="shared" si="1066"/>
        <v>001</v>
      </c>
      <c r="AM893" t="str">
        <f t="shared" si="1078"/>
        <v>11</v>
      </c>
      <c r="AN893" t="str">
        <f t="shared" si="1079"/>
        <v>11001</v>
      </c>
      <c r="AO893" t="str">
        <f>"10/02/2020 12:00:00 a. m."</f>
        <v>10/02/2020 12:00:00 a. m.</v>
      </c>
      <c r="AP893" t="str">
        <f>"10/12/2019 12:00:00 a. m."</f>
        <v>10/12/2019 12:00:00 a. m.</v>
      </c>
      <c r="AQ893" t="str">
        <f>"3"</f>
        <v>3</v>
      </c>
      <c r="AR893" t="str">
        <f t="shared" si="1083"/>
        <v>1</v>
      </c>
      <c r="AS893" t="str">
        <f>"10/02/2020 12:00:00 a. m."</f>
        <v>10/02/2020 12:00:00 a. m.</v>
      </c>
      <c r="AT893" t="str">
        <f t="shared" ref="AT893:AT924" si="1087">"1"</f>
        <v>1</v>
      </c>
      <c r="AU893" t="str">
        <f>""</f>
        <v/>
      </c>
      <c r="AV893" t="str">
        <f>"0"</f>
        <v>0</v>
      </c>
      <c r="AW893" t="str">
        <f>"25/01/2004 12:00:00 a. m."</f>
        <v>25/01/2004 12:00:00 a. m.</v>
      </c>
      <c r="AX893" t="str">
        <f>""</f>
        <v/>
      </c>
      <c r="AY893" t="str">
        <f t="shared" si="1009"/>
        <v>30/04/2021 12:00:00 a. m.</v>
      </c>
      <c r="AZ893" t="str">
        <f>"16/07/2020 12:00:00 a. m."</f>
        <v>16/07/2020 12:00:00 a. m.</v>
      </c>
      <c r="BA893" t="str">
        <f>""</f>
        <v/>
      </c>
      <c r="BB893" t="str">
        <f>""</f>
        <v/>
      </c>
      <c r="BC893" t="str">
        <f>""</f>
        <v/>
      </c>
      <c r="BD893" t="str">
        <f t="shared" si="1074"/>
        <v>1</v>
      </c>
      <c r="BE893" t="str">
        <f t="shared" si="1074"/>
        <v>1</v>
      </c>
      <c r="BF893" t="str">
        <f t="shared" si="1010"/>
        <v xml:space="preserve">3         </v>
      </c>
      <c r="BG893" t="str">
        <f t="shared" si="1011"/>
        <v>Confirmado por laboratorio</v>
      </c>
      <c r="BH893" t="str">
        <f>"FUNDACION HOSPITAL DE LA MISERICORDIA"</f>
        <v>FUNDACION HOSPITAL DE LA MISERICORDIA</v>
      </c>
      <c r="BI893" t="str">
        <f t="shared" si="1020"/>
        <v>COLOMBIA</v>
      </c>
      <c r="BJ893" t="str">
        <f t="shared" si="1012"/>
        <v>CANCER INFANTIL</v>
      </c>
      <c r="BK893" t="str">
        <f t="shared" si="1080"/>
        <v>BOGOTA</v>
      </c>
      <c r="BL893" t="str">
        <f t="shared" si="1080"/>
        <v>BOGOTA</v>
      </c>
      <c r="BM893" t="str">
        <f t="shared" si="1021"/>
        <v>COLOMBIA</v>
      </c>
      <c r="BN893" t="str">
        <f t="shared" si="1081"/>
        <v>BOGOTA</v>
      </c>
      <c r="BO893" t="str">
        <f t="shared" si="1081"/>
        <v>BOGOTA</v>
      </c>
      <c r="BP893" t="str">
        <f t="shared" si="1081"/>
        <v>BOGOTA</v>
      </c>
      <c r="BQ893" t="str">
        <f t="shared" si="1081"/>
        <v>BOGOTA</v>
      </c>
    </row>
    <row r="894" spans="1:69" x14ac:dyDescent="0.25">
      <c r="A894" t="str">
        <f>"7291715"</f>
        <v>7291715</v>
      </c>
      <c r="B894" t="str">
        <f t="shared" si="1005"/>
        <v>459</v>
      </c>
      <c r="C894" t="str">
        <f>"10/02/2020 12:00:00 a. m."</f>
        <v>10/02/2020 12:00:00 a. m.</v>
      </c>
      <c r="D894" t="str">
        <f>"06"</f>
        <v>06</v>
      </c>
      <c r="E894" t="str">
        <f t="shared" si="1006"/>
        <v>2020</v>
      </c>
      <c r="F894" t="str">
        <f>"7600102870"</f>
        <v>7600102870</v>
      </c>
      <c r="G894" t="str">
        <f t="shared" si="1082"/>
        <v>01</v>
      </c>
      <c r="H894" t="str">
        <f>"13"</f>
        <v>13</v>
      </c>
      <c r="I894" t="str">
        <f t="shared" si="1063"/>
        <v>1</v>
      </c>
      <c r="J894" t="str">
        <f>"F"</f>
        <v>F</v>
      </c>
      <c r="K894" t="str">
        <f t="shared" si="1017"/>
        <v>170</v>
      </c>
      <c r="L894" t="str">
        <f>"19"</f>
        <v>19</v>
      </c>
      <c r="M894" t="str">
        <f t="shared" si="1064"/>
        <v>001</v>
      </c>
      <c r="N894" t="str">
        <f t="shared" si="1061"/>
        <v>1</v>
      </c>
      <c r="O894" t="str">
        <f>"9999"</f>
        <v>9999</v>
      </c>
      <c r="P894" t="str">
        <f>"S"</f>
        <v>S</v>
      </c>
      <c r="Q894" t="str">
        <f>"EPSS37"</f>
        <v>EPSS37</v>
      </c>
      <c r="R894" t="str">
        <f t="shared" si="1070"/>
        <v>6</v>
      </c>
      <c r="S894" t="str">
        <f>""</f>
        <v/>
      </c>
      <c r="T894" t="str">
        <f t="shared" si="1071"/>
        <v xml:space="preserve">                                                                                                    </v>
      </c>
      <c r="U894" t="str">
        <f>"          "</f>
        <v xml:space="preserve">          </v>
      </c>
      <c r="V894" t="str">
        <f t="shared" si="1075"/>
        <v>2</v>
      </c>
      <c r="W894" t="str">
        <f t="shared" si="1072"/>
        <v>2</v>
      </c>
      <c r="X894" t="str">
        <f t="shared" si="1044"/>
        <v>2</v>
      </c>
      <c r="Y894" t="str">
        <f t="shared" si="1062"/>
        <v>2</v>
      </c>
      <c r="Z894" t="str">
        <f t="shared" si="1062"/>
        <v>2</v>
      </c>
      <c r="AA894" t="str">
        <f t="shared" si="1007"/>
        <v xml:space="preserve">          </v>
      </c>
      <c r="AB894" t="str">
        <f t="shared" si="1085"/>
        <v>2</v>
      </c>
      <c r="AC894" t="str">
        <f t="shared" si="1086"/>
        <v>2</v>
      </c>
      <c r="AD894" t="str">
        <f t="shared" si="1065"/>
        <v>2</v>
      </c>
      <c r="AE894" t="str">
        <f t="shared" si="1065"/>
        <v>2</v>
      </c>
      <c r="AF894" t="str">
        <f t="shared" si="1065"/>
        <v>2</v>
      </c>
      <c r="AG894" t="str">
        <f t="shared" si="1065"/>
        <v>2</v>
      </c>
      <c r="AH894" t="str">
        <f t="shared" si="1073"/>
        <v>1</v>
      </c>
      <c r="AI894" t="str">
        <f>"1         "</f>
        <v xml:space="preserve">1         </v>
      </c>
      <c r="AJ894" t="str">
        <f t="shared" si="1018"/>
        <v>170</v>
      </c>
      <c r="AK894" t="str">
        <f>"19"</f>
        <v>19</v>
      </c>
      <c r="AL894" t="str">
        <f t="shared" si="1066"/>
        <v>001</v>
      </c>
      <c r="AM894" t="str">
        <f>"76"</f>
        <v>76</v>
      </c>
      <c r="AN894" t="str">
        <f>"76001"</f>
        <v>76001</v>
      </c>
      <c r="AO894" t="str">
        <f>"6/02/2020 12:00:00 a. m."</f>
        <v>6/02/2020 12:00:00 a. m.</v>
      </c>
      <c r="AP894" t="str">
        <f>"6/01/2020 12:00:00 a. m."</f>
        <v>6/01/2020 12:00:00 a. m.</v>
      </c>
      <c r="AQ894" t="str">
        <f>"2"</f>
        <v>2</v>
      </c>
      <c r="AR894" t="str">
        <f t="shared" si="1083"/>
        <v>1</v>
      </c>
      <c r="AS894" t="str">
        <f>"6/02/2020 12:00:00 a. m."</f>
        <v>6/02/2020 12:00:00 a. m.</v>
      </c>
      <c r="AT894" t="str">
        <f t="shared" si="1087"/>
        <v>1</v>
      </c>
      <c r="AU894" t="str">
        <f>""</f>
        <v/>
      </c>
      <c r="AV894" t="str">
        <f>"3"</f>
        <v>3</v>
      </c>
      <c r="AW894" t="str">
        <f>"20/02/2006 12:00:00 a. m."</f>
        <v>20/02/2006 12:00:00 a. m.</v>
      </c>
      <c r="AX894" t="str">
        <f>""</f>
        <v/>
      </c>
      <c r="AY894" t="str">
        <f t="shared" si="1009"/>
        <v>30/04/2021 12:00:00 a. m.</v>
      </c>
      <c r="AZ894" t="str">
        <f>"17/02/2020 12:00:00 a. m."</f>
        <v>17/02/2020 12:00:00 a. m.</v>
      </c>
      <c r="BA894" t="str">
        <f>""</f>
        <v/>
      </c>
      <c r="BB894" t="str">
        <f>""</f>
        <v/>
      </c>
      <c r="BC894" t="str">
        <f>""</f>
        <v/>
      </c>
      <c r="BD894" t="str">
        <f t="shared" si="1074"/>
        <v>1</v>
      </c>
      <c r="BE894" t="str">
        <f t="shared" si="1074"/>
        <v>1</v>
      </c>
      <c r="BF894" t="str">
        <f t="shared" si="1010"/>
        <v xml:space="preserve">3         </v>
      </c>
      <c r="BG894" t="str">
        <f t="shared" si="1011"/>
        <v>Confirmado por laboratorio</v>
      </c>
      <c r="BH894" t="str">
        <f>"FUNDACION VALLE DEL LILI"</f>
        <v>FUNDACION VALLE DEL LILI</v>
      </c>
      <c r="BI894" t="str">
        <f t="shared" si="1020"/>
        <v>COLOMBIA</v>
      </c>
      <c r="BJ894" t="str">
        <f t="shared" si="1012"/>
        <v>CANCER INFANTIL</v>
      </c>
      <c r="BK894" t="str">
        <f>"CAUCA"</f>
        <v>CAUCA</v>
      </c>
      <c r="BL894" t="str">
        <f>"POPAYAN"</f>
        <v>POPAYAN</v>
      </c>
      <c r="BM894" t="str">
        <f t="shared" si="1021"/>
        <v>COLOMBIA</v>
      </c>
      <c r="BN894" t="str">
        <f>"CAUCA"</f>
        <v>CAUCA</v>
      </c>
      <c r="BO894" t="str">
        <f>"POPAYAN"</f>
        <v>POPAYAN</v>
      </c>
      <c r="BP894" t="str">
        <f>"VALLE"</f>
        <v>VALLE</v>
      </c>
      <c r="BQ894" t="str">
        <f>"CALI"</f>
        <v>CALI</v>
      </c>
    </row>
    <row r="895" spans="1:69" x14ac:dyDescent="0.25">
      <c r="A895" t="str">
        <f>"7291672"</f>
        <v>7291672</v>
      </c>
      <c r="B895" t="str">
        <f t="shared" si="1005"/>
        <v>459</v>
      </c>
      <c r="C895" t="str">
        <f>"20/03/2020 12:00:00 a. m."</f>
        <v>20/03/2020 12:00:00 a. m.</v>
      </c>
      <c r="D895" t="str">
        <f>"04"</f>
        <v>04</v>
      </c>
      <c r="E895" t="str">
        <f t="shared" si="1006"/>
        <v>2020</v>
      </c>
      <c r="F895" t="str">
        <f>"1100105681"</f>
        <v>1100105681</v>
      </c>
      <c r="G895" t="str">
        <f t="shared" si="1082"/>
        <v>01</v>
      </c>
      <c r="H895" t="str">
        <f>"10"</f>
        <v>10</v>
      </c>
      <c r="I895" t="str">
        <f t="shared" si="1063"/>
        <v>1</v>
      </c>
      <c r="J895" t="str">
        <f>"M"</f>
        <v>M</v>
      </c>
      <c r="K895" t="str">
        <f t="shared" si="1017"/>
        <v>170</v>
      </c>
      <c r="L895" t="str">
        <f>"11"</f>
        <v>11</v>
      </c>
      <c r="M895" t="str">
        <f t="shared" si="1064"/>
        <v>001</v>
      </c>
      <c r="N895" t="str">
        <f t="shared" si="1061"/>
        <v>1</v>
      </c>
      <c r="O895" t="str">
        <f>"9997"</f>
        <v>9997</v>
      </c>
      <c r="P895" t="str">
        <f>"C"</f>
        <v>C</v>
      </c>
      <c r="Q895" t="str">
        <f>"EPS005"</f>
        <v>EPS005</v>
      </c>
      <c r="R895" t="str">
        <f t="shared" si="1070"/>
        <v>6</v>
      </c>
      <c r="S895" t="str">
        <f>""</f>
        <v/>
      </c>
      <c r="T895" t="str">
        <f t="shared" si="1071"/>
        <v xml:space="preserve">                                                                                                    </v>
      </c>
      <c r="U895" t="str">
        <f>"2         "</f>
        <v xml:space="preserve">2         </v>
      </c>
      <c r="V895" t="str">
        <f t="shared" si="1075"/>
        <v>2</v>
      </c>
      <c r="W895" t="str">
        <f t="shared" si="1072"/>
        <v>2</v>
      </c>
      <c r="X895" t="str">
        <f t="shared" si="1044"/>
        <v>2</v>
      </c>
      <c r="Y895" t="str">
        <f t="shared" si="1062"/>
        <v>2</v>
      </c>
      <c r="Z895" t="str">
        <f t="shared" si="1062"/>
        <v>2</v>
      </c>
      <c r="AA895" t="str">
        <f t="shared" si="1007"/>
        <v xml:space="preserve">          </v>
      </c>
      <c r="AB895" t="str">
        <f t="shared" si="1085"/>
        <v>2</v>
      </c>
      <c r="AC895" t="str">
        <f t="shared" si="1086"/>
        <v>2</v>
      </c>
      <c r="AD895" t="str">
        <f t="shared" si="1065"/>
        <v>2</v>
      </c>
      <c r="AE895" t="str">
        <f t="shared" si="1065"/>
        <v>2</v>
      </c>
      <c r="AF895" t="str">
        <f t="shared" si="1065"/>
        <v>2</v>
      </c>
      <c r="AG895" t="str">
        <f t="shared" si="1065"/>
        <v>2</v>
      </c>
      <c r="AH895" t="str">
        <f t="shared" si="1073"/>
        <v>1</v>
      </c>
      <c r="AI895" t="str">
        <f>"1         "</f>
        <v xml:space="preserve">1         </v>
      </c>
      <c r="AJ895" t="str">
        <f t="shared" si="1018"/>
        <v>170</v>
      </c>
      <c r="AK895" t="str">
        <f>"11"</f>
        <v>11</v>
      </c>
      <c r="AL895" t="str">
        <f t="shared" si="1066"/>
        <v>001</v>
      </c>
      <c r="AM895" t="str">
        <f>"11"</f>
        <v>11</v>
      </c>
      <c r="AN895" t="str">
        <f>"11001"</f>
        <v>11001</v>
      </c>
      <c r="AO895" t="str">
        <f>"22/01/2020 12:00:00 a. m."</f>
        <v>22/01/2020 12:00:00 a. m.</v>
      </c>
      <c r="AP895" t="str">
        <f>"1/11/2019 12:00:00 a. m."</f>
        <v>1/11/2019 12:00:00 a. m.</v>
      </c>
      <c r="AQ895" t="str">
        <f>"3"</f>
        <v>3</v>
      </c>
      <c r="AR895" t="str">
        <f t="shared" si="1083"/>
        <v>1</v>
      </c>
      <c r="AS895" t="str">
        <f>"22/01/2020 12:00:00 a. m."</f>
        <v>22/01/2020 12:00:00 a. m.</v>
      </c>
      <c r="AT895" t="str">
        <f t="shared" si="1087"/>
        <v>1</v>
      </c>
      <c r="AU895" t="str">
        <f>""</f>
        <v/>
      </c>
      <c r="AV895" t="str">
        <f>"0"</f>
        <v>0</v>
      </c>
      <c r="AW895" t="str">
        <f>"31/03/2009 12:00:00 a. m."</f>
        <v>31/03/2009 12:00:00 a. m.</v>
      </c>
      <c r="AX895" t="str">
        <f>""</f>
        <v/>
      </c>
      <c r="AY895" t="str">
        <f t="shared" si="1009"/>
        <v>30/04/2021 12:00:00 a. m.</v>
      </c>
      <c r="AZ895" t="str">
        <f>"20/03/2020 12:00:00 a. m."</f>
        <v>20/03/2020 12:00:00 a. m.</v>
      </c>
      <c r="BA895" t="str">
        <f>""</f>
        <v/>
      </c>
      <c r="BB895" t="str">
        <f>""</f>
        <v/>
      </c>
      <c r="BC895" t="str">
        <f>""</f>
        <v/>
      </c>
      <c r="BD895" t="str">
        <f t="shared" si="1074"/>
        <v>1</v>
      </c>
      <c r="BE895" t="str">
        <f t="shared" si="1074"/>
        <v>1</v>
      </c>
      <c r="BF895" t="str">
        <f t="shared" si="1010"/>
        <v xml:space="preserve">3         </v>
      </c>
      <c r="BG895" t="str">
        <f t="shared" si="1011"/>
        <v>Confirmado por laboratorio</v>
      </c>
      <c r="BH895" t="str">
        <f>"FUNDACION HOSPITAL DE LA MISERICORDIA"</f>
        <v>FUNDACION HOSPITAL DE LA MISERICORDIA</v>
      </c>
      <c r="BI895" t="str">
        <f t="shared" si="1020"/>
        <v>COLOMBIA</v>
      </c>
      <c r="BJ895" t="str">
        <f t="shared" si="1012"/>
        <v>CANCER INFANTIL</v>
      </c>
      <c r="BK895" t="str">
        <f>"BOGOTA"</f>
        <v>BOGOTA</v>
      </c>
      <c r="BL895" t="str">
        <f>"BOGOTA"</f>
        <v>BOGOTA</v>
      </c>
      <c r="BM895" t="str">
        <f t="shared" si="1021"/>
        <v>COLOMBIA</v>
      </c>
      <c r="BN895" t="str">
        <f>"BOGOTA"</f>
        <v>BOGOTA</v>
      </c>
      <c r="BO895" t="str">
        <f>"BOGOTA"</f>
        <v>BOGOTA</v>
      </c>
      <c r="BP895" t="str">
        <f>"BOGOTA"</f>
        <v>BOGOTA</v>
      </c>
      <c r="BQ895" t="str">
        <f>"BOGOTA"</f>
        <v>BOGOTA</v>
      </c>
    </row>
    <row r="896" spans="1:69" x14ac:dyDescent="0.25">
      <c r="A896" t="str">
        <f>"7291648"</f>
        <v>7291648</v>
      </c>
      <c r="B896" t="str">
        <f t="shared" si="1005"/>
        <v>459</v>
      </c>
      <c r="C896" t="str">
        <f>"20/10/2020 12:00:00 a. m."</f>
        <v>20/10/2020 12:00:00 a. m.</v>
      </c>
      <c r="D896" t="str">
        <f>"39"</f>
        <v>39</v>
      </c>
      <c r="E896" t="str">
        <f t="shared" si="1006"/>
        <v>2020</v>
      </c>
      <c r="F896" t="str">
        <f>"1100105681"</f>
        <v>1100105681</v>
      </c>
      <c r="G896" t="str">
        <f t="shared" si="1082"/>
        <v>01</v>
      </c>
      <c r="H896" t="str">
        <f>"3"</f>
        <v>3</v>
      </c>
      <c r="I896" t="str">
        <f t="shared" si="1063"/>
        <v>1</v>
      </c>
      <c r="J896" t="str">
        <f>"M"</f>
        <v>M</v>
      </c>
      <c r="K896" t="str">
        <f t="shared" si="1017"/>
        <v>170</v>
      </c>
      <c r="L896" t="str">
        <f>"25"</f>
        <v>25</v>
      </c>
      <c r="M896" t="str">
        <f>"438"</f>
        <v>438</v>
      </c>
      <c r="N896" t="str">
        <f t="shared" si="1061"/>
        <v>1</v>
      </c>
      <c r="O896" t="str">
        <f>"9999"</f>
        <v>9999</v>
      </c>
      <c r="P896" t="str">
        <f>"S"</f>
        <v>S</v>
      </c>
      <c r="Q896" t="str">
        <f>"EPS022"</f>
        <v>EPS022</v>
      </c>
      <c r="R896" t="str">
        <f t="shared" si="1070"/>
        <v>6</v>
      </c>
      <c r="S896" t="str">
        <f>""</f>
        <v/>
      </c>
      <c r="T896" t="str">
        <f t="shared" si="1071"/>
        <v xml:space="preserve">                                                                                                    </v>
      </c>
      <c r="U896" t="str">
        <f>"2         "</f>
        <v xml:space="preserve">2         </v>
      </c>
      <c r="V896" t="str">
        <f t="shared" si="1075"/>
        <v>2</v>
      </c>
      <c r="W896" t="str">
        <f t="shared" si="1072"/>
        <v>2</v>
      </c>
      <c r="X896" t="str">
        <f t="shared" si="1044"/>
        <v>2</v>
      </c>
      <c r="Y896" t="str">
        <f t="shared" si="1062"/>
        <v>2</v>
      </c>
      <c r="Z896" t="str">
        <f t="shared" si="1062"/>
        <v>2</v>
      </c>
      <c r="AA896" t="str">
        <f t="shared" si="1007"/>
        <v xml:space="preserve">          </v>
      </c>
      <c r="AB896" t="str">
        <f t="shared" si="1085"/>
        <v>2</v>
      </c>
      <c r="AC896" t="str">
        <f t="shared" si="1086"/>
        <v>2</v>
      </c>
      <c r="AD896" t="str">
        <f t="shared" si="1065"/>
        <v>2</v>
      </c>
      <c r="AE896" t="str">
        <f t="shared" si="1065"/>
        <v>2</v>
      </c>
      <c r="AF896" t="str">
        <f t="shared" si="1065"/>
        <v>2</v>
      </c>
      <c r="AG896" t="str">
        <f t="shared" si="1065"/>
        <v>2</v>
      </c>
      <c r="AH896" t="str">
        <f t="shared" si="1073"/>
        <v>1</v>
      </c>
      <c r="AI896" t="str">
        <f>"2         "</f>
        <v xml:space="preserve">2         </v>
      </c>
      <c r="AJ896" t="str">
        <f t="shared" si="1018"/>
        <v>170</v>
      </c>
      <c r="AK896" t="str">
        <f>"25"</f>
        <v>25</v>
      </c>
      <c r="AL896" t="str">
        <f>"438"</f>
        <v>438</v>
      </c>
      <c r="AM896" t="str">
        <f>"11"</f>
        <v>11</v>
      </c>
      <c r="AN896" t="str">
        <f>"11001"</f>
        <v>11001</v>
      </c>
      <c r="AO896" t="str">
        <f>"24/09/2020 12:00:00 a. m."</f>
        <v>24/09/2020 12:00:00 a. m.</v>
      </c>
      <c r="AP896" t="str">
        <f>"24/02/2020 12:00:00 a. m."</f>
        <v>24/02/2020 12:00:00 a. m.</v>
      </c>
      <c r="AQ896" t="str">
        <f>"3"</f>
        <v>3</v>
      </c>
      <c r="AR896" t="str">
        <f t="shared" si="1083"/>
        <v>1</v>
      </c>
      <c r="AS896" t="str">
        <f>"24/09/2020 12:00:00 a. m."</f>
        <v>24/09/2020 12:00:00 a. m.</v>
      </c>
      <c r="AT896" t="str">
        <f t="shared" si="1087"/>
        <v>1</v>
      </c>
      <c r="AU896" t="str">
        <f>""</f>
        <v/>
      </c>
      <c r="AV896" t="str">
        <f>"7"</f>
        <v>7</v>
      </c>
      <c r="AW896" t="str">
        <f>"6/12/2017 12:00:00 a. m."</f>
        <v>6/12/2017 12:00:00 a. m.</v>
      </c>
      <c r="AX896" t="str">
        <f>""</f>
        <v/>
      </c>
      <c r="AY896" t="str">
        <f t="shared" si="1009"/>
        <v>30/04/2021 12:00:00 a. m.</v>
      </c>
      <c r="AZ896" t="str">
        <f>"2/03/2021 12:00:00 a. m."</f>
        <v>2/03/2021 12:00:00 a. m.</v>
      </c>
      <c r="BA896" t="str">
        <f>""</f>
        <v/>
      </c>
      <c r="BB896" t="str">
        <f>""</f>
        <v/>
      </c>
      <c r="BC896" t="str">
        <f>""</f>
        <v/>
      </c>
      <c r="BD896" t="str">
        <f t="shared" si="1074"/>
        <v>1</v>
      </c>
      <c r="BE896" t="str">
        <f t="shared" si="1074"/>
        <v>1</v>
      </c>
      <c r="BF896" t="str">
        <f t="shared" si="1010"/>
        <v xml:space="preserve">3         </v>
      </c>
      <c r="BG896" t="str">
        <f t="shared" si="1011"/>
        <v>Confirmado por laboratorio</v>
      </c>
      <c r="BH896" t="str">
        <f>"FUNDACION HOSPITAL DE LA MISERICORDIA"</f>
        <v>FUNDACION HOSPITAL DE LA MISERICORDIA</v>
      </c>
      <c r="BI896" t="str">
        <f t="shared" si="1020"/>
        <v>COLOMBIA</v>
      </c>
      <c r="BJ896" t="str">
        <f t="shared" si="1012"/>
        <v>CANCER INFANTIL</v>
      </c>
      <c r="BK896" t="str">
        <f>"CUNDINAMARCA"</f>
        <v>CUNDINAMARCA</v>
      </c>
      <c r="BL896" t="str">
        <f>"MEDINA"</f>
        <v>MEDINA</v>
      </c>
      <c r="BM896" t="str">
        <f t="shared" si="1021"/>
        <v>COLOMBIA</v>
      </c>
      <c r="BN896" t="str">
        <f>"CUNDINAMARCA"</f>
        <v>CUNDINAMARCA</v>
      </c>
      <c r="BO896" t="str">
        <f>"MEDINA"</f>
        <v>MEDINA</v>
      </c>
      <c r="BP896" t="str">
        <f>"BOGOTA"</f>
        <v>BOGOTA</v>
      </c>
      <c r="BQ896" t="str">
        <f>"BOGOTA"</f>
        <v>BOGOTA</v>
      </c>
    </row>
    <row r="897" spans="1:69" x14ac:dyDescent="0.25">
      <c r="A897" t="str">
        <f>"7291513"</f>
        <v>7291513</v>
      </c>
      <c r="B897" t="str">
        <f t="shared" si="1005"/>
        <v>459</v>
      </c>
      <c r="C897" t="str">
        <f>"20/10/2020 12:00:00 a. m."</f>
        <v>20/10/2020 12:00:00 a. m.</v>
      </c>
      <c r="D897" t="str">
        <f>"43"</f>
        <v>43</v>
      </c>
      <c r="E897" t="str">
        <f t="shared" si="1006"/>
        <v>2020</v>
      </c>
      <c r="F897" t="str">
        <f>"0500102104"</f>
        <v>0500102104</v>
      </c>
      <c r="G897" t="str">
        <f t="shared" si="1082"/>
        <v>01</v>
      </c>
      <c r="H897" t="str">
        <f>"9"</f>
        <v>9</v>
      </c>
      <c r="I897" t="str">
        <f t="shared" si="1063"/>
        <v>1</v>
      </c>
      <c r="J897" t="str">
        <f>"M"</f>
        <v>M</v>
      </c>
      <c r="K897" t="str">
        <f t="shared" si="1017"/>
        <v>170</v>
      </c>
      <c r="L897" t="str">
        <f>"05"</f>
        <v>05</v>
      </c>
      <c r="M897" t="str">
        <f>"001"</f>
        <v>001</v>
      </c>
      <c r="N897" t="str">
        <f t="shared" si="1061"/>
        <v>1</v>
      </c>
      <c r="O897" t="str">
        <f>"9999"</f>
        <v>9999</v>
      </c>
      <c r="P897" t="str">
        <f>"C"</f>
        <v>C</v>
      </c>
      <c r="Q897" t="str">
        <f>"EPS010"</f>
        <v>EPS010</v>
      </c>
      <c r="R897" t="str">
        <f t="shared" si="1070"/>
        <v>6</v>
      </c>
      <c r="S897" t="str">
        <f>""</f>
        <v/>
      </c>
      <c r="T897" t="str">
        <f t="shared" si="1071"/>
        <v xml:space="preserve">                                                                                                    </v>
      </c>
      <c r="U897" t="str">
        <f>"2         "</f>
        <v xml:space="preserve">2         </v>
      </c>
      <c r="V897" t="str">
        <f t="shared" si="1075"/>
        <v>2</v>
      </c>
      <c r="W897" t="str">
        <f t="shared" si="1072"/>
        <v>2</v>
      </c>
      <c r="X897" t="str">
        <f t="shared" si="1044"/>
        <v>2</v>
      </c>
      <c r="Y897" t="str">
        <f t="shared" si="1062"/>
        <v>2</v>
      </c>
      <c r="Z897" t="str">
        <f t="shared" si="1062"/>
        <v>2</v>
      </c>
      <c r="AA897" t="str">
        <f t="shared" si="1007"/>
        <v xml:space="preserve">          </v>
      </c>
      <c r="AB897" t="str">
        <f t="shared" si="1085"/>
        <v>2</v>
      </c>
      <c r="AC897" t="str">
        <f t="shared" si="1086"/>
        <v>2</v>
      </c>
      <c r="AD897" t="str">
        <f t="shared" si="1065"/>
        <v>2</v>
      </c>
      <c r="AE897" t="str">
        <f t="shared" si="1065"/>
        <v>2</v>
      </c>
      <c r="AF897" t="str">
        <f t="shared" si="1065"/>
        <v>2</v>
      </c>
      <c r="AG897" t="str">
        <f t="shared" si="1065"/>
        <v>2</v>
      </c>
      <c r="AH897" t="str">
        <f t="shared" si="1073"/>
        <v>1</v>
      </c>
      <c r="AI897" t="str">
        <f>"1         "</f>
        <v xml:space="preserve">1         </v>
      </c>
      <c r="AJ897" t="str">
        <f t="shared" si="1018"/>
        <v>170</v>
      </c>
      <c r="AK897" t="str">
        <f>"05"</f>
        <v>05</v>
      </c>
      <c r="AL897" t="str">
        <f>"001"</f>
        <v>001</v>
      </c>
      <c r="AM897" t="str">
        <f>"05"</f>
        <v>05</v>
      </c>
      <c r="AN897" t="str">
        <f>"05001"</f>
        <v>05001</v>
      </c>
      <c r="AO897" t="str">
        <f>"20/10/2020 12:00:00 a. m."</f>
        <v>20/10/2020 12:00:00 a. m.</v>
      </c>
      <c r="AP897" t="str">
        <f>"17/10/2020 12:00:00 a. m."</f>
        <v>17/10/2020 12:00:00 a. m.</v>
      </c>
      <c r="AQ897" t="str">
        <f>"3"</f>
        <v>3</v>
      </c>
      <c r="AR897" t="str">
        <f t="shared" si="1083"/>
        <v>1</v>
      </c>
      <c r="AS897" t="str">
        <f>"20/10/2020 12:00:00 a. m."</f>
        <v>20/10/2020 12:00:00 a. m.</v>
      </c>
      <c r="AT897" t="str">
        <f t="shared" si="1087"/>
        <v>1</v>
      </c>
      <c r="AU897" t="str">
        <f>""</f>
        <v/>
      </c>
      <c r="AV897" t="str">
        <f>"0"</f>
        <v>0</v>
      </c>
      <c r="AW897" t="str">
        <f>"12/12/2010 12:00:00 a. m."</f>
        <v>12/12/2010 12:00:00 a. m.</v>
      </c>
      <c r="AX897" t="str">
        <f>""</f>
        <v/>
      </c>
      <c r="AY897" t="str">
        <f t="shared" si="1009"/>
        <v>30/04/2021 12:00:00 a. m.</v>
      </c>
      <c r="AZ897" t="str">
        <f>"29/10/2020 12:00:00 a. m."</f>
        <v>29/10/2020 12:00:00 a. m.</v>
      </c>
      <c r="BA897" t="str">
        <f>""</f>
        <v/>
      </c>
      <c r="BB897" t="str">
        <f>""</f>
        <v/>
      </c>
      <c r="BC897" t="str">
        <f>""</f>
        <v/>
      </c>
      <c r="BD897" t="str">
        <f t="shared" si="1074"/>
        <v>1</v>
      </c>
      <c r="BE897" t="str">
        <f t="shared" si="1074"/>
        <v>1</v>
      </c>
      <c r="BF897" t="str">
        <f t="shared" si="1010"/>
        <v xml:space="preserve">3         </v>
      </c>
      <c r="BG897" t="str">
        <f t="shared" si="1011"/>
        <v>Confirmado por laboratorio</v>
      </c>
      <c r="BH897" t="str">
        <f>"HOSPITAL PABLO TOBON URIBE"</f>
        <v>HOSPITAL PABLO TOBON URIBE</v>
      </c>
      <c r="BI897" t="str">
        <f t="shared" si="1020"/>
        <v>COLOMBIA</v>
      </c>
      <c r="BJ897" t="str">
        <f t="shared" si="1012"/>
        <v>CANCER INFANTIL</v>
      </c>
      <c r="BK897" t="str">
        <f>"ANTIOQUIA"</f>
        <v>ANTIOQUIA</v>
      </c>
      <c r="BL897" t="str">
        <f>"MEDELLIN"</f>
        <v>MEDELLIN</v>
      </c>
      <c r="BM897" t="str">
        <f t="shared" si="1021"/>
        <v>COLOMBIA</v>
      </c>
      <c r="BN897" t="str">
        <f>"ANTIOQUIA"</f>
        <v>ANTIOQUIA</v>
      </c>
      <c r="BO897" t="str">
        <f>"MEDELLIN"</f>
        <v>MEDELLIN</v>
      </c>
      <c r="BP897" t="str">
        <f>"ANTIOQUIA"</f>
        <v>ANTIOQUIA</v>
      </c>
      <c r="BQ897" t="str">
        <f>"MEDELLIN"</f>
        <v>MEDELLIN</v>
      </c>
    </row>
    <row r="898" spans="1:69" x14ac:dyDescent="0.25">
      <c r="A898" t="str">
        <f>"7291646"</f>
        <v>7291646</v>
      </c>
      <c r="B898" t="str">
        <f t="shared" ref="B898:B961" si="1088">"459"</f>
        <v>459</v>
      </c>
      <c r="C898" t="str">
        <f>"11/02/2020 12:00:00 a. m."</f>
        <v>11/02/2020 12:00:00 a. m.</v>
      </c>
      <c r="D898" t="str">
        <f>"03"</f>
        <v>03</v>
      </c>
      <c r="E898" t="str">
        <f t="shared" ref="E898:E961" si="1089">"2020"</f>
        <v>2020</v>
      </c>
      <c r="F898" t="str">
        <f>"0500102175"</f>
        <v>0500102175</v>
      </c>
      <c r="G898" t="str">
        <f t="shared" si="1082"/>
        <v>01</v>
      </c>
      <c r="H898" t="str">
        <f>"8"</f>
        <v>8</v>
      </c>
      <c r="I898" t="str">
        <f t="shared" si="1063"/>
        <v>1</v>
      </c>
      <c r="J898" t="str">
        <f>"M"</f>
        <v>M</v>
      </c>
      <c r="K898" t="str">
        <f t="shared" si="1017"/>
        <v>170</v>
      </c>
      <c r="L898" t="str">
        <f>"05"</f>
        <v>05</v>
      </c>
      <c r="M898" t="str">
        <f>"308"</f>
        <v>308</v>
      </c>
      <c r="N898" t="str">
        <f t="shared" si="1061"/>
        <v>1</v>
      </c>
      <c r="O898" t="str">
        <f t="shared" ref="O898:O908" si="1090">"9997"</f>
        <v>9997</v>
      </c>
      <c r="P898" t="str">
        <f>"C"</f>
        <v>C</v>
      </c>
      <c r="Q898" t="str">
        <f>"EPS041"</f>
        <v>EPS041</v>
      </c>
      <c r="R898" t="str">
        <f t="shared" si="1070"/>
        <v>6</v>
      </c>
      <c r="S898" t="str">
        <f>""</f>
        <v/>
      </c>
      <c r="T898" t="str">
        <f t="shared" si="1071"/>
        <v xml:space="preserve">                                                                                                    </v>
      </c>
      <c r="U898" t="str">
        <f>"3         "</f>
        <v xml:space="preserve">3         </v>
      </c>
      <c r="V898" t="str">
        <f t="shared" si="1075"/>
        <v>2</v>
      </c>
      <c r="W898" t="str">
        <f t="shared" si="1072"/>
        <v>2</v>
      </c>
      <c r="X898" t="str">
        <f t="shared" si="1044"/>
        <v>2</v>
      </c>
      <c r="Y898" t="str">
        <f t="shared" si="1062"/>
        <v>2</v>
      </c>
      <c r="Z898" t="str">
        <f t="shared" si="1062"/>
        <v>2</v>
      </c>
      <c r="AA898" t="str">
        <f t="shared" ref="AA898:AA961" si="1091">"          "</f>
        <v xml:space="preserve">          </v>
      </c>
      <c r="AB898" t="str">
        <f t="shared" si="1085"/>
        <v>2</v>
      </c>
      <c r="AC898" t="str">
        <f t="shared" si="1086"/>
        <v>2</v>
      </c>
      <c r="AD898" t="str">
        <f t="shared" si="1065"/>
        <v>2</v>
      </c>
      <c r="AE898" t="str">
        <f t="shared" si="1065"/>
        <v>2</v>
      </c>
      <c r="AF898" t="str">
        <f t="shared" si="1065"/>
        <v>2</v>
      </c>
      <c r="AG898" t="str">
        <f t="shared" si="1065"/>
        <v>2</v>
      </c>
      <c r="AH898" t="str">
        <f t="shared" si="1073"/>
        <v>1</v>
      </c>
      <c r="AI898" t="str">
        <f>"1         "</f>
        <v xml:space="preserve">1         </v>
      </c>
      <c r="AJ898" t="str">
        <f t="shared" si="1018"/>
        <v>170</v>
      </c>
      <c r="AK898" t="str">
        <f>"05"</f>
        <v>05</v>
      </c>
      <c r="AL898" t="str">
        <f>"308"</f>
        <v>308</v>
      </c>
      <c r="AM898" t="str">
        <f>"05"</f>
        <v>05</v>
      </c>
      <c r="AN898" t="str">
        <f>"05001"</f>
        <v>05001</v>
      </c>
      <c r="AO898" t="str">
        <f>"16/01/2020 12:00:00 a. m."</f>
        <v>16/01/2020 12:00:00 a. m.</v>
      </c>
      <c r="AP898" t="str">
        <f>"16/01/2020 12:00:00 a. m."</f>
        <v>16/01/2020 12:00:00 a. m.</v>
      </c>
      <c r="AQ898" t="str">
        <f>"3"</f>
        <v>3</v>
      </c>
      <c r="AR898" t="str">
        <f t="shared" si="1083"/>
        <v>1</v>
      </c>
      <c r="AS898" t="str">
        <f>"19/01/2020 12:00:00 a. m."</f>
        <v>19/01/2020 12:00:00 a. m.</v>
      </c>
      <c r="AT898" t="str">
        <f t="shared" si="1087"/>
        <v>1</v>
      </c>
      <c r="AU898" t="str">
        <f>""</f>
        <v/>
      </c>
      <c r="AV898" t="str">
        <f>"0"</f>
        <v>0</v>
      </c>
      <c r="AW898" t="str">
        <f>"17/03/2011 12:00:00 a. m."</f>
        <v>17/03/2011 12:00:00 a. m.</v>
      </c>
      <c r="AX898" t="str">
        <f>""</f>
        <v/>
      </c>
      <c r="AY898" t="str">
        <f t="shared" ref="AY898:AY961" si="1092">"30/04/2021 12:00:00 a. m."</f>
        <v>30/04/2021 12:00:00 a. m.</v>
      </c>
      <c r="AZ898" t="str">
        <f>"11/02/2020 12:00:00 a. m."</f>
        <v>11/02/2020 12:00:00 a. m.</v>
      </c>
      <c r="BA898" t="str">
        <f>""</f>
        <v/>
      </c>
      <c r="BB898" t="str">
        <f>""</f>
        <v/>
      </c>
      <c r="BC898" t="str">
        <f>""</f>
        <v/>
      </c>
      <c r="BD898" t="str">
        <f t="shared" si="1074"/>
        <v>1</v>
      </c>
      <c r="BE898" t="str">
        <f t="shared" si="1074"/>
        <v>1</v>
      </c>
      <c r="BF898" t="str">
        <f t="shared" ref="BF898:BF961" si="1093">"3         "</f>
        <v xml:space="preserve">3         </v>
      </c>
      <c r="BG898" t="str">
        <f t="shared" ref="BG898:BG961" si="1094">"Confirmado por laboratorio"</f>
        <v>Confirmado por laboratorio</v>
      </c>
      <c r="BH898" t="str">
        <f>"FUNDACION HOSPITALARIA SAN VICENTE DE PAUL"</f>
        <v>FUNDACION HOSPITALARIA SAN VICENTE DE PAUL</v>
      </c>
      <c r="BI898" t="str">
        <f t="shared" si="1020"/>
        <v>COLOMBIA</v>
      </c>
      <c r="BJ898" t="str">
        <f t="shared" ref="BJ898:BJ961" si="1095">"CANCER INFANTIL"</f>
        <v>CANCER INFANTIL</v>
      </c>
      <c r="BK898" t="str">
        <f>"ANTIOQUIA"</f>
        <v>ANTIOQUIA</v>
      </c>
      <c r="BL898" t="str">
        <f>"GIRARDOTA"</f>
        <v>GIRARDOTA</v>
      </c>
      <c r="BM898" t="str">
        <f t="shared" si="1021"/>
        <v>COLOMBIA</v>
      </c>
      <c r="BN898" t="str">
        <f>"ANTIOQUIA"</f>
        <v>ANTIOQUIA</v>
      </c>
      <c r="BO898" t="str">
        <f>"GIRARDOTA"</f>
        <v>GIRARDOTA</v>
      </c>
      <c r="BP898" t="str">
        <f>"ANTIOQUIA"</f>
        <v>ANTIOQUIA</v>
      </c>
      <c r="BQ898" t="str">
        <f>"MEDELLIN"</f>
        <v>MEDELLIN</v>
      </c>
    </row>
    <row r="899" spans="1:69" x14ac:dyDescent="0.25">
      <c r="A899" t="str">
        <f>"7291519"</f>
        <v>7291519</v>
      </c>
      <c r="B899" t="str">
        <f t="shared" si="1088"/>
        <v>459</v>
      </c>
      <c r="C899" t="str">
        <f>"24/07/2020 12:00:00 a. m."</f>
        <v>24/07/2020 12:00:00 a. m.</v>
      </c>
      <c r="D899" t="str">
        <f>"29"</f>
        <v>29</v>
      </c>
      <c r="E899" t="str">
        <f t="shared" si="1089"/>
        <v>2020</v>
      </c>
      <c r="F899" t="str">
        <f>"1100108171"</f>
        <v>1100108171</v>
      </c>
      <c r="G899" t="str">
        <f>"02"</f>
        <v>02</v>
      </c>
      <c r="H899" t="str">
        <f>"10"</f>
        <v>10</v>
      </c>
      <c r="I899" t="str">
        <f t="shared" si="1063"/>
        <v>1</v>
      </c>
      <c r="J899" t="str">
        <f>"F"</f>
        <v>F</v>
      </c>
      <c r="K899" t="str">
        <f t="shared" si="1017"/>
        <v>170</v>
      </c>
      <c r="L899" t="str">
        <f>"11"</f>
        <v>11</v>
      </c>
      <c r="M899" t="str">
        <f>"001"</f>
        <v>001</v>
      </c>
      <c r="N899" t="str">
        <f t="shared" si="1061"/>
        <v>1</v>
      </c>
      <c r="O899" t="str">
        <f t="shared" si="1090"/>
        <v>9997</v>
      </c>
      <c r="P899" t="str">
        <f>"C"</f>
        <v>C</v>
      </c>
      <c r="Q899" t="str">
        <f>"EPS017"</f>
        <v>EPS017</v>
      </c>
      <c r="R899" t="str">
        <f t="shared" si="1070"/>
        <v>6</v>
      </c>
      <c r="S899" t="str">
        <f>""</f>
        <v/>
      </c>
      <c r="T899" t="str">
        <f t="shared" si="1071"/>
        <v xml:space="preserve">                                                                                                    </v>
      </c>
      <c r="U899" t="str">
        <f>"2         "</f>
        <v xml:space="preserve">2         </v>
      </c>
      <c r="V899" t="str">
        <f t="shared" si="1075"/>
        <v>2</v>
      </c>
      <c r="W899" t="str">
        <f t="shared" si="1072"/>
        <v>2</v>
      </c>
      <c r="X899" t="str">
        <f t="shared" si="1044"/>
        <v>2</v>
      </c>
      <c r="Y899" t="str">
        <f t="shared" ref="Y899:Z918" si="1096">"2"</f>
        <v>2</v>
      </c>
      <c r="Z899" t="str">
        <f t="shared" si="1096"/>
        <v>2</v>
      </c>
      <c r="AA899" t="str">
        <f t="shared" si="1091"/>
        <v xml:space="preserve">          </v>
      </c>
      <c r="AB899" t="str">
        <f t="shared" si="1085"/>
        <v>2</v>
      </c>
      <c r="AC899" t="str">
        <f t="shared" si="1086"/>
        <v>2</v>
      </c>
      <c r="AD899" t="str">
        <f t="shared" si="1065"/>
        <v>2</v>
      </c>
      <c r="AE899" t="str">
        <f t="shared" si="1065"/>
        <v>2</v>
      </c>
      <c r="AF899" t="str">
        <f t="shared" si="1065"/>
        <v>2</v>
      </c>
      <c r="AG899" t="str">
        <f t="shared" si="1065"/>
        <v>2</v>
      </c>
      <c r="AH899" t="str">
        <f t="shared" si="1073"/>
        <v>1</v>
      </c>
      <c r="AI899" t="str">
        <f>"2         "</f>
        <v xml:space="preserve">2         </v>
      </c>
      <c r="AJ899" t="str">
        <f t="shared" si="1018"/>
        <v>170</v>
      </c>
      <c r="AK899" t="str">
        <f>"11"</f>
        <v>11</v>
      </c>
      <c r="AL899" t="str">
        <f>"001"</f>
        <v>001</v>
      </c>
      <c r="AM899" t="str">
        <f>"11"</f>
        <v>11</v>
      </c>
      <c r="AN899" t="str">
        <f>"11001"</f>
        <v>11001</v>
      </c>
      <c r="AO899" t="str">
        <f>"17/07/2020 12:00:00 a. m."</f>
        <v>17/07/2020 12:00:00 a. m.</v>
      </c>
      <c r="AP899" t="str">
        <f>"7/07/2020 12:00:00 a. m."</f>
        <v>7/07/2020 12:00:00 a. m.</v>
      </c>
      <c r="AQ899" t="str">
        <f>"2"</f>
        <v>2</v>
      </c>
      <c r="AR899" t="str">
        <f t="shared" si="1083"/>
        <v>1</v>
      </c>
      <c r="AS899" t="str">
        <f>"17/07/2020 12:00:00 a. m."</f>
        <v>17/07/2020 12:00:00 a. m.</v>
      </c>
      <c r="AT899" t="str">
        <f t="shared" si="1087"/>
        <v>1</v>
      </c>
      <c r="AU899" t="str">
        <f>""</f>
        <v/>
      </c>
      <c r="AV899" t="str">
        <f>"3"</f>
        <v>3</v>
      </c>
      <c r="AW899" t="str">
        <f>"7/12/2009 12:00:00 a. m."</f>
        <v>7/12/2009 12:00:00 a. m.</v>
      </c>
      <c r="AX899" t="str">
        <f>""</f>
        <v/>
      </c>
      <c r="AY899" t="str">
        <f t="shared" si="1092"/>
        <v>30/04/2021 12:00:00 a. m.</v>
      </c>
      <c r="AZ899" t="str">
        <f>"6/08/2020 12:00:00 a. m."</f>
        <v>6/08/2020 12:00:00 a. m.</v>
      </c>
      <c r="BA899" t="str">
        <f>""</f>
        <v/>
      </c>
      <c r="BB899" t="str">
        <f>""</f>
        <v/>
      </c>
      <c r="BC899" t="str">
        <f>""</f>
        <v/>
      </c>
      <c r="BD899" t="str">
        <f t="shared" si="1074"/>
        <v>1</v>
      </c>
      <c r="BE899" t="str">
        <f t="shared" si="1074"/>
        <v>1</v>
      </c>
      <c r="BF899" t="str">
        <f t="shared" si="1093"/>
        <v xml:space="preserve">3         </v>
      </c>
      <c r="BG899" t="str">
        <f t="shared" si="1094"/>
        <v>Confirmado por laboratorio</v>
      </c>
      <c r="BH899" t="str">
        <f>"CLINICA INFANTIL COLSUBSIDIO"</f>
        <v>CLINICA INFANTIL COLSUBSIDIO</v>
      </c>
      <c r="BI899" t="str">
        <f t="shared" si="1020"/>
        <v>COLOMBIA</v>
      </c>
      <c r="BJ899" t="str">
        <f t="shared" si="1095"/>
        <v>CANCER INFANTIL</v>
      </c>
      <c r="BK899" t="str">
        <f t="shared" ref="BK899:BL901" si="1097">"BOGOTA"</f>
        <v>BOGOTA</v>
      </c>
      <c r="BL899" t="str">
        <f t="shared" si="1097"/>
        <v>BOGOTA</v>
      </c>
      <c r="BM899" t="str">
        <f t="shared" si="1021"/>
        <v>COLOMBIA</v>
      </c>
      <c r="BN899" t="str">
        <f t="shared" ref="BN899:BQ901" si="1098">"BOGOTA"</f>
        <v>BOGOTA</v>
      </c>
      <c r="BO899" t="str">
        <f t="shared" si="1098"/>
        <v>BOGOTA</v>
      </c>
      <c r="BP899" t="str">
        <f t="shared" si="1098"/>
        <v>BOGOTA</v>
      </c>
      <c r="BQ899" t="str">
        <f t="shared" si="1098"/>
        <v>BOGOTA</v>
      </c>
    </row>
    <row r="900" spans="1:69" x14ac:dyDescent="0.25">
      <c r="A900" t="str">
        <f>"7291434"</f>
        <v>7291434</v>
      </c>
      <c r="B900" t="str">
        <f t="shared" si="1088"/>
        <v>459</v>
      </c>
      <c r="C900" t="str">
        <f>"17/09/2020 12:00:00 a. m."</f>
        <v>17/09/2020 12:00:00 a. m.</v>
      </c>
      <c r="D900" t="str">
        <f>"38"</f>
        <v>38</v>
      </c>
      <c r="E900" t="str">
        <f t="shared" si="1089"/>
        <v>2020</v>
      </c>
      <c r="F900" t="str">
        <f>"1100108171"</f>
        <v>1100108171</v>
      </c>
      <c r="G900" t="str">
        <f>"02"</f>
        <v>02</v>
      </c>
      <c r="H900" t="str">
        <f>"9"</f>
        <v>9</v>
      </c>
      <c r="I900" t="str">
        <f t="shared" si="1063"/>
        <v>1</v>
      </c>
      <c r="J900" t="str">
        <f>"M"</f>
        <v>M</v>
      </c>
      <c r="K900" t="str">
        <f t="shared" si="1017"/>
        <v>170</v>
      </c>
      <c r="L900" t="str">
        <f>"11"</f>
        <v>11</v>
      </c>
      <c r="M900" t="str">
        <f>"001"</f>
        <v>001</v>
      </c>
      <c r="N900" t="str">
        <f t="shared" si="1061"/>
        <v>1</v>
      </c>
      <c r="O900" t="str">
        <f t="shared" si="1090"/>
        <v>9997</v>
      </c>
      <c r="P900" t="str">
        <f>"C"</f>
        <v>C</v>
      </c>
      <c r="Q900" t="str">
        <f>"EPS017"</f>
        <v>EPS017</v>
      </c>
      <c r="R900" t="str">
        <f t="shared" si="1070"/>
        <v>6</v>
      </c>
      <c r="S900" t="str">
        <f>""</f>
        <v/>
      </c>
      <c r="T900" t="str">
        <f t="shared" si="1071"/>
        <v xml:space="preserve">                                                                                                    </v>
      </c>
      <c r="U900" t="str">
        <f>"3         "</f>
        <v xml:space="preserve">3         </v>
      </c>
      <c r="V900" t="str">
        <f t="shared" si="1075"/>
        <v>2</v>
      </c>
      <c r="W900" t="str">
        <f t="shared" si="1072"/>
        <v>2</v>
      </c>
      <c r="X900" t="str">
        <f t="shared" si="1044"/>
        <v>2</v>
      </c>
      <c r="Y900" t="str">
        <f t="shared" si="1096"/>
        <v>2</v>
      </c>
      <c r="Z900" t="str">
        <f t="shared" si="1096"/>
        <v>2</v>
      </c>
      <c r="AA900" t="str">
        <f t="shared" si="1091"/>
        <v xml:space="preserve">          </v>
      </c>
      <c r="AB900" t="str">
        <f t="shared" si="1085"/>
        <v>2</v>
      </c>
      <c r="AC900" t="str">
        <f t="shared" si="1086"/>
        <v>2</v>
      </c>
      <c r="AD900" t="str">
        <f t="shared" ref="AD900:AG919" si="1099">"2"</f>
        <v>2</v>
      </c>
      <c r="AE900" t="str">
        <f t="shared" si="1099"/>
        <v>2</v>
      </c>
      <c r="AF900" t="str">
        <f t="shared" si="1099"/>
        <v>2</v>
      </c>
      <c r="AG900" t="str">
        <f t="shared" si="1099"/>
        <v>2</v>
      </c>
      <c r="AH900" t="str">
        <f t="shared" si="1073"/>
        <v>1</v>
      </c>
      <c r="AI900" t="str">
        <f t="shared" ref="AI900:AI905" si="1100">"1         "</f>
        <v xml:space="preserve">1         </v>
      </c>
      <c r="AJ900" t="str">
        <f t="shared" si="1018"/>
        <v>170</v>
      </c>
      <c r="AK900" t="str">
        <f>"11"</f>
        <v>11</v>
      </c>
      <c r="AL900" t="str">
        <f>"001"</f>
        <v>001</v>
      </c>
      <c r="AM900" t="str">
        <f>"11"</f>
        <v>11</v>
      </c>
      <c r="AN900" t="str">
        <f>"11001"</f>
        <v>11001</v>
      </c>
      <c r="AO900" t="str">
        <f>"13/09/2020 12:00:00 a. m."</f>
        <v>13/09/2020 12:00:00 a. m.</v>
      </c>
      <c r="AP900" t="str">
        <f>"13/05/2020 12:00:00 a. m."</f>
        <v>13/05/2020 12:00:00 a. m.</v>
      </c>
      <c r="AQ900" t="str">
        <f>"2"</f>
        <v>2</v>
      </c>
      <c r="AR900" t="str">
        <f t="shared" si="1083"/>
        <v>1</v>
      </c>
      <c r="AS900" t="str">
        <f>"13/09/2020 12:00:00 a. m."</f>
        <v>13/09/2020 12:00:00 a. m.</v>
      </c>
      <c r="AT900" t="str">
        <f t="shared" si="1087"/>
        <v>1</v>
      </c>
      <c r="AU900" t="str">
        <f>""</f>
        <v/>
      </c>
      <c r="AV900" t="str">
        <f>"3"</f>
        <v>3</v>
      </c>
      <c r="AW900" t="str">
        <f>"27/07/2011 12:00:00 a. m."</f>
        <v>27/07/2011 12:00:00 a. m.</v>
      </c>
      <c r="AX900" t="str">
        <f>""</f>
        <v/>
      </c>
      <c r="AY900" t="str">
        <f t="shared" si="1092"/>
        <v>30/04/2021 12:00:00 a. m.</v>
      </c>
      <c r="AZ900" t="str">
        <f>"6/10/2020 12:00:00 a. m."</f>
        <v>6/10/2020 12:00:00 a. m.</v>
      </c>
      <c r="BA900" t="str">
        <f>""</f>
        <v/>
      </c>
      <c r="BB900" t="str">
        <f>""</f>
        <v/>
      </c>
      <c r="BC900" t="str">
        <f>""</f>
        <v/>
      </c>
      <c r="BD900" t="str">
        <f t="shared" si="1074"/>
        <v>1</v>
      </c>
      <c r="BE900" t="str">
        <f t="shared" si="1074"/>
        <v>1</v>
      </c>
      <c r="BF900" t="str">
        <f t="shared" si="1093"/>
        <v xml:space="preserve">3         </v>
      </c>
      <c r="BG900" t="str">
        <f t="shared" si="1094"/>
        <v>Confirmado por laboratorio</v>
      </c>
      <c r="BH900" t="str">
        <f>"CLINICA INFANTIL COLSUBSIDIO"</f>
        <v>CLINICA INFANTIL COLSUBSIDIO</v>
      </c>
      <c r="BI900" t="str">
        <f t="shared" si="1020"/>
        <v>COLOMBIA</v>
      </c>
      <c r="BJ900" t="str">
        <f t="shared" si="1095"/>
        <v>CANCER INFANTIL</v>
      </c>
      <c r="BK900" t="str">
        <f t="shared" si="1097"/>
        <v>BOGOTA</v>
      </c>
      <c r="BL900" t="str">
        <f t="shared" si="1097"/>
        <v>BOGOTA</v>
      </c>
      <c r="BM900" t="str">
        <f t="shared" si="1021"/>
        <v>COLOMBIA</v>
      </c>
      <c r="BN900" t="str">
        <f t="shared" si="1098"/>
        <v>BOGOTA</v>
      </c>
      <c r="BO900" t="str">
        <f t="shared" si="1098"/>
        <v>BOGOTA</v>
      </c>
      <c r="BP900" t="str">
        <f t="shared" si="1098"/>
        <v>BOGOTA</v>
      </c>
      <c r="BQ900" t="str">
        <f t="shared" si="1098"/>
        <v>BOGOTA</v>
      </c>
    </row>
    <row r="901" spans="1:69" x14ac:dyDescent="0.25">
      <c r="A901" t="str">
        <f>"7291445"</f>
        <v>7291445</v>
      </c>
      <c r="B901" t="str">
        <f t="shared" si="1088"/>
        <v>459</v>
      </c>
      <c r="C901" t="str">
        <f>"5/06/2020 12:00:00 a. m."</f>
        <v>5/06/2020 12:00:00 a. m.</v>
      </c>
      <c r="D901" t="str">
        <f>"23"</f>
        <v>23</v>
      </c>
      <c r="E901" t="str">
        <f t="shared" si="1089"/>
        <v>2020</v>
      </c>
      <c r="F901" t="str">
        <f>"1100108171"</f>
        <v>1100108171</v>
      </c>
      <c r="G901" t="str">
        <f>"02"</f>
        <v>02</v>
      </c>
      <c r="H901" t="str">
        <f>"13"</f>
        <v>13</v>
      </c>
      <c r="I901" t="str">
        <f t="shared" si="1063"/>
        <v>1</v>
      </c>
      <c r="J901" t="str">
        <f>"F"</f>
        <v>F</v>
      </c>
      <c r="K901" t="str">
        <f t="shared" si="1017"/>
        <v>170</v>
      </c>
      <c r="L901" t="str">
        <f>"11"</f>
        <v>11</v>
      </c>
      <c r="M901" t="str">
        <f>"001"</f>
        <v>001</v>
      </c>
      <c r="N901" t="str">
        <f t="shared" si="1061"/>
        <v>1</v>
      </c>
      <c r="O901" t="str">
        <f t="shared" si="1090"/>
        <v>9997</v>
      </c>
      <c r="P901" t="str">
        <f>"C"</f>
        <v>C</v>
      </c>
      <c r="Q901" t="str">
        <f>"EPS037"</f>
        <v>EPS037</v>
      </c>
      <c r="R901" t="str">
        <f t="shared" si="1070"/>
        <v>6</v>
      </c>
      <c r="S901" t="str">
        <f>""</f>
        <v/>
      </c>
      <c r="T901" t="str">
        <f t="shared" si="1071"/>
        <v xml:space="preserve">                                                                                                    </v>
      </c>
      <c r="U901" t="str">
        <f>"1         "</f>
        <v xml:space="preserve">1         </v>
      </c>
      <c r="V901" t="str">
        <f t="shared" si="1075"/>
        <v>2</v>
      </c>
      <c r="W901" t="str">
        <f t="shared" si="1072"/>
        <v>2</v>
      </c>
      <c r="X901" t="str">
        <f t="shared" si="1044"/>
        <v>2</v>
      </c>
      <c r="Y901" t="str">
        <f t="shared" si="1096"/>
        <v>2</v>
      </c>
      <c r="Z901" t="str">
        <f t="shared" si="1096"/>
        <v>2</v>
      </c>
      <c r="AA901" t="str">
        <f t="shared" si="1091"/>
        <v xml:space="preserve">          </v>
      </c>
      <c r="AB901" t="str">
        <f t="shared" si="1085"/>
        <v>2</v>
      </c>
      <c r="AC901" t="str">
        <f t="shared" si="1086"/>
        <v>2</v>
      </c>
      <c r="AD901" t="str">
        <f t="shared" si="1099"/>
        <v>2</v>
      </c>
      <c r="AE901" t="str">
        <f t="shared" si="1099"/>
        <v>2</v>
      </c>
      <c r="AF901" t="str">
        <f t="shared" si="1099"/>
        <v>2</v>
      </c>
      <c r="AG901" t="str">
        <f t="shared" si="1099"/>
        <v>2</v>
      </c>
      <c r="AH901" t="str">
        <f t="shared" si="1073"/>
        <v>1</v>
      </c>
      <c r="AI901" t="str">
        <f t="shared" si="1100"/>
        <v xml:space="preserve">1         </v>
      </c>
      <c r="AJ901" t="str">
        <f t="shared" si="1018"/>
        <v>170</v>
      </c>
      <c r="AK901" t="str">
        <f>"11"</f>
        <v>11</v>
      </c>
      <c r="AL901" t="str">
        <f>"001"</f>
        <v>001</v>
      </c>
      <c r="AM901" t="str">
        <f>"11"</f>
        <v>11</v>
      </c>
      <c r="AN901" t="str">
        <f>"11001"</f>
        <v>11001</v>
      </c>
      <c r="AO901" t="str">
        <f>"4/06/2020 12:00:00 a. m."</f>
        <v>4/06/2020 12:00:00 a. m.</v>
      </c>
      <c r="AP901" t="str">
        <f>"20/04/2020 12:00:00 a. m."</f>
        <v>20/04/2020 12:00:00 a. m.</v>
      </c>
      <c r="AQ901" t="str">
        <f>"2"</f>
        <v>2</v>
      </c>
      <c r="AR901" t="str">
        <f t="shared" si="1083"/>
        <v>1</v>
      </c>
      <c r="AS901" t="str">
        <f>"4/06/2020 12:00:00 a. m."</f>
        <v>4/06/2020 12:00:00 a. m.</v>
      </c>
      <c r="AT901" t="str">
        <f t="shared" si="1087"/>
        <v>1</v>
      </c>
      <c r="AU901" t="str">
        <f>""</f>
        <v/>
      </c>
      <c r="AV901" t="str">
        <f>"3"</f>
        <v>3</v>
      </c>
      <c r="AW901" t="str">
        <f>"7/01/2007 12:00:00 a. m."</f>
        <v>7/01/2007 12:00:00 a. m.</v>
      </c>
      <c r="AX901" t="str">
        <f>""</f>
        <v/>
      </c>
      <c r="AY901" t="str">
        <f t="shared" si="1092"/>
        <v>30/04/2021 12:00:00 a. m.</v>
      </c>
      <c r="AZ901" t="str">
        <f>"23/06/2020 12:00:00 a. m."</f>
        <v>23/06/2020 12:00:00 a. m.</v>
      </c>
      <c r="BA901" t="str">
        <f>""</f>
        <v/>
      </c>
      <c r="BB901" t="str">
        <f>""</f>
        <v/>
      </c>
      <c r="BC901" t="str">
        <f>""</f>
        <v/>
      </c>
      <c r="BD901" t="str">
        <f t="shared" si="1074"/>
        <v>1</v>
      </c>
      <c r="BE901" t="str">
        <f t="shared" si="1074"/>
        <v>1</v>
      </c>
      <c r="BF901" t="str">
        <f t="shared" si="1093"/>
        <v xml:space="preserve">3         </v>
      </c>
      <c r="BG901" t="str">
        <f t="shared" si="1094"/>
        <v>Confirmado por laboratorio</v>
      </c>
      <c r="BH901" t="str">
        <f>"CLINICA INFANTIL COLSUBSIDIO"</f>
        <v>CLINICA INFANTIL COLSUBSIDIO</v>
      </c>
      <c r="BI901" t="str">
        <f t="shared" si="1020"/>
        <v>COLOMBIA</v>
      </c>
      <c r="BJ901" t="str">
        <f t="shared" si="1095"/>
        <v>CANCER INFANTIL</v>
      </c>
      <c r="BK901" t="str">
        <f t="shared" si="1097"/>
        <v>BOGOTA</v>
      </c>
      <c r="BL901" t="str">
        <f t="shared" si="1097"/>
        <v>BOGOTA</v>
      </c>
      <c r="BM901" t="str">
        <f t="shared" si="1021"/>
        <v>COLOMBIA</v>
      </c>
      <c r="BN901" t="str">
        <f t="shared" si="1098"/>
        <v>BOGOTA</v>
      </c>
      <c r="BO901" t="str">
        <f t="shared" si="1098"/>
        <v>BOGOTA</v>
      </c>
      <c r="BP901" t="str">
        <f t="shared" si="1098"/>
        <v>BOGOTA</v>
      </c>
      <c r="BQ901" t="str">
        <f t="shared" si="1098"/>
        <v>BOGOTA</v>
      </c>
    </row>
    <row r="902" spans="1:69" x14ac:dyDescent="0.25">
      <c r="A902" t="str">
        <f>"7278760"</f>
        <v>7278760</v>
      </c>
      <c r="B902" t="str">
        <f t="shared" si="1088"/>
        <v>459</v>
      </c>
      <c r="C902" t="str">
        <f>"1/06/2020 12:00:00 a. m."</f>
        <v>1/06/2020 12:00:00 a. m.</v>
      </c>
      <c r="D902" t="str">
        <f>"22"</f>
        <v>22</v>
      </c>
      <c r="E902" t="str">
        <f t="shared" si="1089"/>
        <v>2020</v>
      </c>
      <c r="F902" t="str">
        <f>"7300101047"</f>
        <v>7300101047</v>
      </c>
      <c r="G902" t="str">
        <f t="shared" ref="G902:G913" si="1101">"01"</f>
        <v>01</v>
      </c>
      <c r="H902" t="str">
        <f>"14"</f>
        <v>14</v>
      </c>
      <c r="I902" t="str">
        <f t="shared" si="1063"/>
        <v>1</v>
      </c>
      <c r="J902" t="str">
        <f>"M"</f>
        <v>M</v>
      </c>
      <c r="K902" t="str">
        <f t="shared" si="1017"/>
        <v>170</v>
      </c>
      <c r="L902" t="str">
        <f>"73"</f>
        <v>73</v>
      </c>
      <c r="M902" t="str">
        <f>"168"</f>
        <v>168</v>
      </c>
      <c r="N902" t="str">
        <f>"3"</f>
        <v>3</v>
      </c>
      <c r="O902" t="str">
        <f t="shared" si="1090"/>
        <v>9997</v>
      </c>
      <c r="P902" t="str">
        <f>"S"</f>
        <v>S</v>
      </c>
      <c r="Q902" t="str">
        <f>"EPSS41"</f>
        <v>EPSS41</v>
      </c>
      <c r="R902" t="str">
        <f t="shared" si="1070"/>
        <v>6</v>
      </c>
      <c r="S902" t="str">
        <f>""</f>
        <v/>
      </c>
      <c r="T902" t="str">
        <f t="shared" si="1071"/>
        <v xml:space="preserve">                                                                                                    </v>
      </c>
      <c r="U902" t="str">
        <f>"1         "</f>
        <v xml:space="preserve">1         </v>
      </c>
      <c r="V902" t="str">
        <f t="shared" si="1075"/>
        <v>2</v>
      </c>
      <c r="W902" t="str">
        <f t="shared" si="1072"/>
        <v>2</v>
      </c>
      <c r="X902" t="str">
        <f t="shared" si="1044"/>
        <v>2</v>
      </c>
      <c r="Y902" t="str">
        <f t="shared" si="1096"/>
        <v>2</v>
      </c>
      <c r="Z902" t="str">
        <f t="shared" si="1096"/>
        <v>2</v>
      </c>
      <c r="AA902" t="str">
        <f t="shared" si="1091"/>
        <v xml:space="preserve">          </v>
      </c>
      <c r="AB902" t="str">
        <f t="shared" si="1085"/>
        <v>2</v>
      </c>
      <c r="AC902" t="str">
        <f t="shared" si="1086"/>
        <v>2</v>
      </c>
      <c r="AD902" t="str">
        <f t="shared" si="1099"/>
        <v>2</v>
      </c>
      <c r="AE902" t="str">
        <f t="shared" si="1099"/>
        <v>2</v>
      </c>
      <c r="AF902" t="str">
        <f t="shared" si="1099"/>
        <v>2</v>
      </c>
      <c r="AG902" t="str">
        <f t="shared" si="1099"/>
        <v>2</v>
      </c>
      <c r="AH902" t="str">
        <f t="shared" si="1073"/>
        <v>1</v>
      </c>
      <c r="AI902" t="str">
        <f t="shared" si="1100"/>
        <v xml:space="preserve">1         </v>
      </c>
      <c r="AJ902" t="str">
        <f t="shared" si="1018"/>
        <v>170</v>
      </c>
      <c r="AK902" t="str">
        <f>"73"</f>
        <v>73</v>
      </c>
      <c r="AL902" t="str">
        <f>"168"</f>
        <v>168</v>
      </c>
      <c r="AM902" t="str">
        <f>"73"</f>
        <v>73</v>
      </c>
      <c r="AN902" t="str">
        <f>"73001"</f>
        <v>73001</v>
      </c>
      <c r="AO902" t="str">
        <f>"29/05/2020 12:00:00 a. m."</f>
        <v>29/05/2020 12:00:00 a. m.</v>
      </c>
      <c r="AP902" t="str">
        <f>"20/05/2020 12:00:00 a. m."</f>
        <v>20/05/2020 12:00:00 a. m.</v>
      </c>
      <c r="AQ902" t="str">
        <f>"2"</f>
        <v>2</v>
      </c>
      <c r="AR902" t="str">
        <f t="shared" si="1083"/>
        <v>1</v>
      </c>
      <c r="AS902" t="str">
        <f>"29/05/2020 12:00:00 a. m."</f>
        <v>29/05/2020 12:00:00 a. m.</v>
      </c>
      <c r="AT902" t="str">
        <f t="shared" si="1087"/>
        <v>1</v>
      </c>
      <c r="AU902" t="str">
        <f>""</f>
        <v/>
      </c>
      <c r="AV902" t="str">
        <f>"3"</f>
        <v>3</v>
      </c>
      <c r="AW902" t="str">
        <f>"22/05/2006 12:00:00 a. m."</f>
        <v>22/05/2006 12:00:00 a. m.</v>
      </c>
      <c r="AX902" t="str">
        <f>""</f>
        <v/>
      </c>
      <c r="AY902" t="str">
        <f t="shared" si="1092"/>
        <v>30/04/2021 12:00:00 a. m.</v>
      </c>
      <c r="AZ902" t="str">
        <f>"22/07/2020 12:00:00 a. m."</f>
        <v>22/07/2020 12:00:00 a. m.</v>
      </c>
      <c r="BA902" t="str">
        <f>""</f>
        <v/>
      </c>
      <c r="BB902" t="str">
        <f>""</f>
        <v/>
      </c>
      <c r="BC902" t="str">
        <f>""</f>
        <v/>
      </c>
      <c r="BD902" t="str">
        <f t="shared" ref="BD902:BE921" si="1102">"1"</f>
        <v>1</v>
      </c>
      <c r="BE902" t="str">
        <f t="shared" si="1102"/>
        <v>1</v>
      </c>
      <c r="BF902" t="str">
        <f t="shared" si="1093"/>
        <v xml:space="preserve">3         </v>
      </c>
      <c r="BG902" t="str">
        <f t="shared" si="1094"/>
        <v>Confirmado por laboratorio</v>
      </c>
      <c r="BH902" t="str">
        <f>"HOSPITAL FEDERICO LLERAS ACOSTA ESE SEDE LA FRANC"</f>
        <v>HOSPITAL FEDERICO LLERAS ACOSTA ESE SEDE LA FRANC</v>
      </c>
      <c r="BI902" t="str">
        <f t="shared" si="1020"/>
        <v>COLOMBIA</v>
      </c>
      <c r="BJ902" t="str">
        <f t="shared" si="1095"/>
        <v>CANCER INFANTIL</v>
      </c>
      <c r="BK902" t="str">
        <f>"TOLIMA"</f>
        <v>TOLIMA</v>
      </c>
      <c r="BL902" t="str">
        <f>"CHAPARRAL"</f>
        <v>CHAPARRAL</v>
      </c>
      <c r="BM902" t="str">
        <f t="shared" si="1021"/>
        <v>COLOMBIA</v>
      </c>
      <c r="BN902" t="str">
        <f>"TOLIMA"</f>
        <v>TOLIMA</v>
      </c>
      <c r="BO902" t="str">
        <f>"CHAPARRAL"</f>
        <v>CHAPARRAL</v>
      </c>
      <c r="BP902" t="str">
        <f>"TOLIMA"</f>
        <v>TOLIMA</v>
      </c>
      <c r="BQ902" t="str">
        <f>"IBAGUE"</f>
        <v>IBAGUE</v>
      </c>
    </row>
    <row r="903" spans="1:69" x14ac:dyDescent="0.25">
      <c r="A903" t="str">
        <f>"7278730"</f>
        <v>7278730</v>
      </c>
      <c r="B903" t="str">
        <f t="shared" si="1088"/>
        <v>459</v>
      </c>
      <c r="C903" t="str">
        <f>"26/09/2020 12:00:00 a. m."</f>
        <v>26/09/2020 12:00:00 a. m.</v>
      </c>
      <c r="D903" t="str">
        <f>"39"</f>
        <v>39</v>
      </c>
      <c r="E903" t="str">
        <f t="shared" si="1089"/>
        <v>2020</v>
      </c>
      <c r="F903" t="str">
        <f>"0500111746"</f>
        <v>0500111746</v>
      </c>
      <c r="G903" t="str">
        <f t="shared" si="1101"/>
        <v>01</v>
      </c>
      <c r="H903" t="str">
        <f>"15"</f>
        <v>15</v>
      </c>
      <c r="I903" t="str">
        <f t="shared" si="1063"/>
        <v>1</v>
      </c>
      <c r="J903" t="str">
        <f>"F"</f>
        <v>F</v>
      </c>
      <c r="K903" t="str">
        <f t="shared" si="1017"/>
        <v>170</v>
      </c>
      <c r="L903" t="str">
        <f>"05"</f>
        <v>05</v>
      </c>
      <c r="M903" t="str">
        <f t="shared" ref="M903:M911" si="1103">"001"</f>
        <v>001</v>
      </c>
      <c r="N903" t="str">
        <f t="shared" ref="N903:N916" si="1104">"1"</f>
        <v>1</v>
      </c>
      <c r="O903" t="str">
        <f t="shared" si="1090"/>
        <v>9997</v>
      </c>
      <c r="P903" t="str">
        <f>"C"</f>
        <v>C</v>
      </c>
      <c r="Q903" t="str">
        <f>"EPS002"</f>
        <v>EPS002</v>
      </c>
      <c r="R903" t="str">
        <f t="shared" si="1070"/>
        <v>6</v>
      </c>
      <c r="S903" t="str">
        <f>""</f>
        <v/>
      </c>
      <c r="T903" t="str">
        <f t="shared" si="1071"/>
        <v xml:space="preserve">                                                                                                    </v>
      </c>
      <c r="U903" t="str">
        <f>"3         "</f>
        <v xml:space="preserve">3         </v>
      </c>
      <c r="V903" t="str">
        <f t="shared" si="1075"/>
        <v>2</v>
      </c>
      <c r="W903" t="str">
        <f t="shared" si="1072"/>
        <v>2</v>
      </c>
      <c r="X903" t="str">
        <f t="shared" si="1044"/>
        <v>2</v>
      </c>
      <c r="Y903" t="str">
        <f t="shared" si="1096"/>
        <v>2</v>
      </c>
      <c r="Z903" t="str">
        <f t="shared" si="1096"/>
        <v>2</v>
      </c>
      <c r="AA903" t="str">
        <f t="shared" si="1091"/>
        <v xml:space="preserve">          </v>
      </c>
      <c r="AB903" t="str">
        <f t="shared" si="1085"/>
        <v>2</v>
      </c>
      <c r="AC903" t="str">
        <f t="shared" si="1086"/>
        <v>2</v>
      </c>
      <c r="AD903" t="str">
        <f t="shared" si="1099"/>
        <v>2</v>
      </c>
      <c r="AE903" t="str">
        <f t="shared" si="1099"/>
        <v>2</v>
      </c>
      <c r="AF903" t="str">
        <f t="shared" si="1099"/>
        <v>2</v>
      </c>
      <c r="AG903" t="str">
        <f t="shared" si="1099"/>
        <v>2</v>
      </c>
      <c r="AH903" t="str">
        <f t="shared" si="1073"/>
        <v>1</v>
      </c>
      <c r="AI903" t="str">
        <f t="shared" si="1100"/>
        <v xml:space="preserve">1         </v>
      </c>
      <c r="AJ903" t="str">
        <f t="shared" si="1018"/>
        <v>170</v>
      </c>
      <c r="AK903" t="str">
        <f>"05"</f>
        <v>05</v>
      </c>
      <c r="AL903" t="str">
        <f t="shared" ref="AL903:AL916" si="1105">"001"</f>
        <v>001</v>
      </c>
      <c r="AM903" t="str">
        <f>"05"</f>
        <v>05</v>
      </c>
      <c r="AN903" t="str">
        <f>"05001"</f>
        <v>05001</v>
      </c>
      <c r="AO903" t="str">
        <f>"26/09/2020 12:00:00 a. m."</f>
        <v>26/09/2020 12:00:00 a. m.</v>
      </c>
      <c r="AP903" t="str">
        <f>"30/06/2020 12:00:00 a. m."</f>
        <v>30/06/2020 12:00:00 a. m.</v>
      </c>
      <c r="AQ903" t="str">
        <f>"2"</f>
        <v>2</v>
      </c>
      <c r="AR903" t="str">
        <f t="shared" si="1083"/>
        <v>1</v>
      </c>
      <c r="AS903" t="str">
        <f>"26/09/2020 12:00:00 a. m."</f>
        <v>26/09/2020 12:00:00 a. m.</v>
      </c>
      <c r="AT903" t="str">
        <f t="shared" si="1087"/>
        <v>1</v>
      </c>
      <c r="AU903" t="str">
        <f>""</f>
        <v/>
      </c>
      <c r="AV903" t="str">
        <f>"3"</f>
        <v>3</v>
      </c>
      <c r="AW903" t="str">
        <f>"14/06/2005 12:00:00 a. m."</f>
        <v>14/06/2005 12:00:00 a. m.</v>
      </c>
      <c r="AX903" t="str">
        <f>""</f>
        <v/>
      </c>
      <c r="AY903" t="str">
        <f t="shared" si="1092"/>
        <v>30/04/2021 12:00:00 a. m.</v>
      </c>
      <c r="AZ903" t="str">
        <f>"17/11/2020 12:00:00 a. m."</f>
        <v>17/11/2020 12:00:00 a. m.</v>
      </c>
      <c r="BA903" t="str">
        <f>""</f>
        <v/>
      </c>
      <c r="BB903" t="str">
        <f>""</f>
        <v/>
      </c>
      <c r="BC903" t="str">
        <f>""</f>
        <v/>
      </c>
      <c r="BD903" t="str">
        <f t="shared" si="1102"/>
        <v>1</v>
      </c>
      <c r="BE903" t="str">
        <f t="shared" si="1102"/>
        <v>1</v>
      </c>
      <c r="BF903" t="str">
        <f t="shared" si="1093"/>
        <v xml:space="preserve">3         </v>
      </c>
      <c r="BG903" t="str">
        <f t="shared" si="1094"/>
        <v>Confirmado por laboratorio</v>
      </c>
      <c r="BH903" t="str">
        <f>"NUEVA CLINICA SAGRADO CORAZON SAS"</f>
        <v>NUEVA CLINICA SAGRADO CORAZON SAS</v>
      </c>
      <c r="BI903" t="str">
        <f t="shared" si="1020"/>
        <v>COLOMBIA</v>
      </c>
      <c r="BJ903" t="str">
        <f t="shared" si="1095"/>
        <v>CANCER INFANTIL</v>
      </c>
      <c r="BK903" t="str">
        <f>"ANTIOQUIA"</f>
        <v>ANTIOQUIA</v>
      </c>
      <c r="BL903" t="str">
        <f>"MEDELLIN"</f>
        <v>MEDELLIN</v>
      </c>
      <c r="BM903" t="str">
        <f t="shared" si="1021"/>
        <v>COLOMBIA</v>
      </c>
      <c r="BN903" t="str">
        <f>"ANTIOQUIA"</f>
        <v>ANTIOQUIA</v>
      </c>
      <c r="BO903" t="str">
        <f>"MEDELLIN"</f>
        <v>MEDELLIN</v>
      </c>
      <c r="BP903" t="str">
        <f>"ANTIOQUIA"</f>
        <v>ANTIOQUIA</v>
      </c>
      <c r="BQ903" t="str">
        <f>"MEDELLIN"</f>
        <v>MEDELLIN</v>
      </c>
    </row>
    <row r="904" spans="1:69" x14ac:dyDescent="0.25">
      <c r="A904" t="str">
        <f>"7278739"</f>
        <v>7278739</v>
      </c>
      <c r="B904" t="str">
        <f t="shared" si="1088"/>
        <v>459</v>
      </c>
      <c r="C904" t="str">
        <f>"14/08/2020 12:00:00 a. m."</f>
        <v>14/08/2020 12:00:00 a. m.</v>
      </c>
      <c r="D904" t="str">
        <f>"28"</f>
        <v>28</v>
      </c>
      <c r="E904" t="str">
        <f t="shared" si="1089"/>
        <v>2020</v>
      </c>
      <c r="F904" t="str">
        <f>"1700101096"</f>
        <v>1700101096</v>
      </c>
      <c r="G904" t="str">
        <f t="shared" si="1101"/>
        <v>01</v>
      </c>
      <c r="H904" t="str">
        <f>"15"</f>
        <v>15</v>
      </c>
      <c r="I904" t="str">
        <f t="shared" si="1063"/>
        <v>1</v>
      </c>
      <c r="J904" t="str">
        <f>"M"</f>
        <v>M</v>
      </c>
      <c r="K904" t="str">
        <f t="shared" si="1017"/>
        <v>170</v>
      </c>
      <c r="L904" t="str">
        <f>"17"</f>
        <v>17</v>
      </c>
      <c r="M904" t="str">
        <f t="shared" si="1103"/>
        <v>001</v>
      </c>
      <c r="N904" t="str">
        <f t="shared" si="1104"/>
        <v>1</v>
      </c>
      <c r="O904" t="str">
        <f t="shared" si="1090"/>
        <v>9997</v>
      </c>
      <c r="P904" t="str">
        <f>"C"</f>
        <v>C</v>
      </c>
      <c r="Q904" t="str">
        <f>"EPS010"</f>
        <v>EPS010</v>
      </c>
      <c r="R904" t="str">
        <f t="shared" si="1070"/>
        <v>6</v>
      </c>
      <c r="S904" t="str">
        <f>""</f>
        <v/>
      </c>
      <c r="T904" t="str">
        <f t="shared" si="1071"/>
        <v xml:space="preserve">                                                                                                    </v>
      </c>
      <c r="U904" t="str">
        <f>"2         "</f>
        <v xml:space="preserve">2         </v>
      </c>
      <c r="V904" t="str">
        <f t="shared" si="1075"/>
        <v>2</v>
      </c>
      <c r="W904" t="str">
        <f t="shared" si="1072"/>
        <v>2</v>
      </c>
      <c r="X904" t="str">
        <f t="shared" si="1044"/>
        <v>2</v>
      </c>
      <c r="Y904" t="str">
        <f t="shared" si="1096"/>
        <v>2</v>
      </c>
      <c r="Z904" t="str">
        <f t="shared" si="1096"/>
        <v>2</v>
      </c>
      <c r="AA904" t="str">
        <f t="shared" si="1091"/>
        <v xml:space="preserve">          </v>
      </c>
      <c r="AB904" t="str">
        <f t="shared" si="1085"/>
        <v>2</v>
      </c>
      <c r="AC904" t="str">
        <f t="shared" si="1086"/>
        <v>2</v>
      </c>
      <c r="AD904" t="str">
        <f t="shared" si="1099"/>
        <v>2</v>
      </c>
      <c r="AE904" t="str">
        <f t="shared" si="1099"/>
        <v>2</v>
      </c>
      <c r="AF904" t="str">
        <f t="shared" si="1099"/>
        <v>2</v>
      </c>
      <c r="AG904" t="str">
        <f t="shared" si="1099"/>
        <v>2</v>
      </c>
      <c r="AH904" t="str">
        <f t="shared" si="1073"/>
        <v>1</v>
      </c>
      <c r="AI904" t="str">
        <f t="shared" si="1100"/>
        <v xml:space="preserve">1         </v>
      </c>
      <c r="AJ904" t="str">
        <f t="shared" si="1018"/>
        <v>170</v>
      </c>
      <c r="AK904" t="str">
        <f>"17"</f>
        <v>17</v>
      </c>
      <c r="AL904" t="str">
        <f t="shared" si="1105"/>
        <v>001</v>
      </c>
      <c r="AM904" t="str">
        <f>"17"</f>
        <v>17</v>
      </c>
      <c r="AN904" t="str">
        <f>"17001"</f>
        <v>17001</v>
      </c>
      <c r="AO904" t="str">
        <f>"11/07/2020 12:00:00 a. m."</f>
        <v>11/07/2020 12:00:00 a. m.</v>
      </c>
      <c r="AP904" t="str">
        <f>"3/06/2020 12:00:00 a. m."</f>
        <v>3/06/2020 12:00:00 a. m.</v>
      </c>
      <c r="AQ904" t="str">
        <f>"3"</f>
        <v>3</v>
      </c>
      <c r="AR904" t="str">
        <f t="shared" si="1083"/>
        <v>1</v>
      </c>
      <c r="AS904" t="str">
        <f>"10/08/2020 12:00:00 a. m."</f>
        <v>10/08/2020 12:00:00 a. m.</v>
      </c>
      <c r="AT904" t="str">
        <f t="shared" si="1087"/>
        <v>1</v>
      </c>
      <c r="AU904" t="str">
        <f>""</f>
        <v/>
      </c>
      <c r="AV904" t="str">
        <f>"0"</f>
        <v>0</v>
      </c>
      <c r="AW904" t="str">
        <f>"31/12/2004 12:00:00 a. m."</f>
        <v>31/12/2004 12:00:00 a. m.</v>
      </c>
      <c r="AX904" t="str">
        <f>""</f>
        <v/>
      </c>
      <c r="AY904" t="str">
        <f t="shared" si="1092"/>
        <v>30/04/2021 12:00:00 a. m.</v>
      </c>
      <c r="AZ904" t="str">
        <f>"16/08/2020 12:00:00 a. m."</f>
        <v>16/08/2020 12:00:00 a. m.</v>
      </c>
      <c r="BA904" t="str">
        <f>""</f>
        <v/>
      </c>
      <c r="BB904" t="str">
        <f>""</f>
        <v/>
      </c>
      <c r="BC904" t="str">
        <f>""</f>
        <v/>
      </c>
      <c r="BD904" t="str">
        <f t="shared" si="1102"/>
        <v>1</v>
      </c>
      <c r="BE904" t="str">
        <f t="shared" si="1102"/>
        <v>1</v>
      </c>
      <c r="BF904" t="str">
        <f t="shared" si="1093"/>
        <v xml:space="preserve">3         </v>
      </c>
      <c r="BG904" t="str">
        <f t="shared" si="1094"/>
        <v>Confirmado por laboratorio</v>
      </c>
      <c r="BH904" t="str">
        <f>"ONCOLOGOS DE OCCIDENTE SA"</f>
        <v>ONCOLOGOS DE OCCIDENTE SA</v>
      </c>
      <c r="BI904" t="str">
        <f t="shared" si="1020"/>
        <v>COLOMBIA</v>
      </c>
      <c r="BJ904" t="str">
        <f t="shared" si="1095"/>
        <v>CANCER INFANTIL</v>
      </c>
      <c r="BK904" t="str">
        <f>"CALDAS"</f>
        <v>CALDAS</v>
      </c>
      <c r="BL904" t="str">
        <f>"MANIZALES"</f>
        <v>MANIZALES</v>
      </c>
      <c r="BM904" t="str">
        <f t="shared" si="1021"/>
        <v>COLOMBIA</v>
      </c>
      <c r="BN904" t="str">
        <f>"CALDAS"</f>
        <v>CALDAS</v>
      </c>
      <c r="BO904" t="str">
        <f>"MANIZALES"</f>
        <v>MANIZALES</v>
      </c>
      <c r="BP904" t="str">
        <f>"CALDAS"</f>
        <v>CALDAS</v>
      </c>
      <c r="BQ904" t="str">
        <f>"MANIZALES"</f>
        <v>MANIZALES</v>
      </c>
    </row>
    <row r="905" spans="1:69" x14ac:dyDescent="0.25">
      <c r="A905" t="str">
        <f>"7279080"</f>
        <v>7279080</v>
      </c>
      <c r="B905" t="str">
        <f t="shared" si="1088"/>
        <v>459</v>
      </c>
      <c r="C905" t="str">
        <f>"27/01/2021 12:00:00 a. m."</f>
        <v>27/01/2021 12:00:00 a. m.</v>
      </c>
      <c r="D905" t="str">
        <f>"37"</f>
        <v>37</v>
      </c>
      <c r="E905" t="str">
        <f t="shared" si="1089"/>
        <v>2020</v>
      </c>
      <c r="F905" t="str">
        <f>"1100105681"</f>
        <v>1100105681</v>
      </c>
      <c r="G905" t="str">
        <f t="shared" si="1101"/>
        <v>01</v>
      </c>
      <c r="H905" t="str">
        <f>"7"</f>
        <v>7</v>
      </c>
      <c r="I905" t="str">
        <f t="shared" si="1063"/>
        <v>1</v>
      </c>
      <c r="J905" t="str">
        <f>"M"</f>
        <v>M</v>
      </c>
      <c r="K905" t="str">
        <f t="shared" ref="K905:K921" si="1106">"170"</f>
        <v>170</v>
      </c>
      <c r="L905" t="str">
        <f>"73"</f>
        <v>73</v>
      </c>
      <c r="M905" t="str">
        <f t="shared" si="1103"/>
        <v>001</v>
      </c>
      <c r="N905" t="str">
        <f t="shared" si="1104"/>
        <v>1</v>
      </c>
      <c r="O905" t="str">
        <f t="shared" si="1090"/>
        <v>9997</v>
      </c>
      <c r="P905" t="str">
        <f>"S"</f>
        <v>S</v>
      </c>
      <c r="Q905" t="str">
        <f>"EPSS45"</f>
        <v>EPSS45</v>
      </c>
      <c r="R905" t="str">
        <f t="shared" si="1070"/>
        <v>6</v>
      </c>
      <c r="S905" t="str">
        <f>""</f>
        <v/>
      </c>
      <c r="T905" t="str">
        <f t="shared" si="1071"/>
        <v xml:space="preserve">                                                                                                    </v>
      </c>
      <c r="U905" t="str">
        <f>"1         "</f>
        <v xml:space="preserve">1         </v>
      </c>
      <c r="V905" t="str">
        <f t="shared" si="1075"/>
        <v>2</v>
      </c>
      <c r="W905" t="str">
        <f t="shared" si="1072"/>
        <v>2</v>
      </c>
      <c r="X905" t="str">
        <f t="shared" si="1044"/>
        <v>2</v>
      </c>
      <c r="Y905" t="str">
        <f t="shared" si="1096"/>
        <v>2</v>
      </c>
      <c r="Z905" t="str">
        <f t="shared" si="1096"/>
        <v>2</v>
      </c>
      <c r="AA905" t="str">
        <f t="shared" si="1091"/>
        <v xml:space="preserve">          </v>
      </c>
      <c r="AB905" t="str">
        <f t="shared" si="1085"/>
        <v>2</v>
      </c>
      <c r="AC905" t="str">
        <f t="shared" si="1086"/>
        <v>2</v>
      </c>
      <c r="AD905" t="str">
        <f t="shared" si="1099"/>
        <v>2</v>
      </c>
      <c r="AE905" t="str">
        <f t="shared" si="1099"/>
        <v>2</v>
      </c>
      <c r="AF905" t="str">
        <f t="shared" si="1099"/>
        <v>2</v>
      </c>
      <c r="AG905" t="str">
        <f t="shared" si="1099"/>
        <v>2</v>
      </c>
      <c r="AH905" t="str">
        <f t="shared" si="1073"/>
        <v>1</v>
      </c>
      <c r="AI905" t="str">
        <f t="shared" si="1100"/>
        <v xml:space="preserve">1         </v>
      </c>
      <c r="AJ905" t="str">
        <f t="shared" ref="AJ905:AJ968" si="1107">"170"</f>
        <v>170</v>
      </c>
      <c r="AK905" t="str">
        <f>"73"</f>
        <v>73</v>
      </c>
      <c r="AL905" t="str">
        <f t="shared" si="1105"/>
        <v>001</v>
      </c>
      <c r="AM905" t="str">
        <f>"11"</f>
        <v>11</v>
      </c>
      <c r="AN905" t="str">
        <f>"11001"</f>
        <v>11001</v>
      </c>
      <c r="AO905" t="str">
        <f>"8/09/2020 12:00:00 a. m."</f>
        <v>8/09/2020 12:00:00 a. m.</v>
      </c>
      <c r="AP905" t="str">
        <f>"1/06/2020 12:00:00 a. m."</f>
        <v>1/06/2020 12:00:00 a. m.</v>
      </c>
      <c r="AQ905" t="str">
        <f>"3"</f>
        <v>3</v>
      </c>
      <c r="AR905" t="str">
        <f t="shared" si="1083"/>
        <v>1</v>
      </c>
      <c r="AS905" t="str">
        <f>"8/09/2020 12:00:00 a. m."</f>
        <v>8/09/2020 12:00:00 a. m.</v>
      </c>
      <c r="AT905" t="str">
        <f t="shared" si="1087"/>
        <v>1</v>
      </c>
      <c r="AU905" t="str">
        <f>""</f>
        <v/>
      </c>
      <c r="AV905" t="str">
        <f>"0"</f>
        <v>0</v>
      </c>
      <c r="AW905" t="str">
        <f>"3/04/2013 12:00:00 a. m."</f>
        <v>3/04/2013 12:00:00 a. m.</v>
      </c>
      <c r="AX905" t="str">
        <f>""</f>
        <v/>
      </c>
      <c r="AY905" t="str">
        <f t="shared" si="1092"/>
        <v>30/04/2021 12:00:00 a. m.</v>
      </c>
      <c r="AZ905" t="str">
        <f>"27/01/2021 12:00:00 a. m."</f>
        <v>27/01/2021 12:00:00 a. m.</v>
      </c>
      <c r="BA905" t="str">
        <f>""</f>
        <v/>
      </c>
      <c r="BB905" t="str">
        <f>""</f>
        <v/>
      </c>
      <c r="BC905" t="str">
        <f>""</f>
        <v/>
      </c>
      <c r="BD905" t="str">
        <f t="shared" si="1102"/>
        <v>1</v>
      </c>
      <c r="BE905" t="str">
        <f t="shared" si="1102"/>
        <v>1</v>
      </c>
      <c r="BF905" t="str">
        <f t="shared" si="1093"/>
        <v xml:space="preserve">3         </v>
      </c>
      <c r="BG905" t="str">
        <f t="shared" si="1094"/>
        <v>Confirmado por laboratorio</v>
      </c>
      <c r="BH905" t="str">
        <f>"FUNDACION HOSPITAL DE LA MISERICORDIA"</f>
        <v>FUNDACION HOSPITAL DE LA MISERICORDIA</v>
      </c>
      <c r="BI905" t="str">
        <f t="shared" ref="BI905:BI921" si="1108">"COLOMBIA"</f>
        <v>COLOMBIA</v>
      </c>
      <c r="BJ905" t="str">
        <f t="shared" si="1095"/>
        <v>CANCER INFANTIL</v>
      </c>
      <c r="BK905" t="str">
        <f>"TOLIMA"</f>
        <v>TOLIMA</v>
      </c>
      <c r="BL905" t="str">
        <f>"IBAGUE"</f>
        <v>IBAGUE</v>
      </c>
      <c r="BM905" t="str">
        <f t="shared" ref="BM905:BM968" si="1109">"COLOMBIA"</f>
        <v>COLOMBIA</v>
      </c>
      <c r="BN905" t="str">
        <f>"TOLIMA"</f>
        <v>TOLIMA</v>
      </c>
      <c r="BO905" t="str">
        <f>"IBAGUE"</f>
        <v>IBAGUE</v>
      </c>
      <c r="BP905" t="str">
        <f t="shared" ref="BP905:BQ907" si="1110">"BOGOTA"</f>
        <v>BOGOTA</v>
      </c>
      <c r="BQ905" t="str">
        <f t="shared" si="1110"/>
        <v>BOGOTA</v>
      </c>
    </row>
    <row r="906" spans="1:69" x14ac:dyDescent="0.25">
      <c r="A906" t="str">
        <f>"7279081"</f>
        <v>7279081</v>
      </c>
      <c r="B906" t="str">
        <f t="shared" si="1088"/>
        <v>459</v>
      </c>
      <c r="C906" t="str">
        <f>"6/05/2020 12:00:00 a. m."</f>
        <v>6/05/2020 12:00:00 a. m.</v>
      </c>
      <c r="D906" t="str">
        <f>"16"</f>
        <v>16</v>
      </c>
      <c r="E906" t="str">
        <f t="shared" si="1089"/>
        <v>2020</v>
      </c>
      <c r="F906" t="str">
        <f>"1100105681"</f>
        <v>1100105681</v>
      </c>
      <c r="G906" t="str">
        <f t="shared" si="1101"/>
        <v>01</v>
      </c>
      <c r="H906" t="str">
        <f>"6"</f>
        <v>6</v>
      </c>
      <c r="I906" t="str">
        <f t="shared" si="1063"/>
        <v>1</v>
      </c>
      <c r="J906" t="str">
        <f>"M"</f>
        <v>M</v>
      </c>
      <c r="K906" t="str">
        <f t="shared" si="1106"/>
        <v>170</v>
      </c>
      <c r="L906" t="str">
        <f>"73"</f>
        <v>73</v>
      </c>
      <c r="M906" t="str">
        <f t="shared" si="1103"/>
        <v>001</v>
      </c>
      <c r="N906" t="str">
        <f t="shared" si="1104"/>
        <v>1</v>
      </c>
      <c r="O906" t="str">
        <f t="shared" si="1090"/>
        <v>9997</v>
      </c>
      <c r="P906" t="str">
        <f>"C"</f>
        <v>C</v>
      </c>
      <c r="Q906" t="str">
        <f>"EPS017"</f>
        <v>EPS017</v>
      </c>
      <c r="R906" t="str">
        <f t="shared" si="1070"/>
        <v>6</v>
      </c>
      <c r="S906" t="str">
        <f>""</f>
        <v/>
      </c>
      <c r="T906" t="str">
        <f t="shared" si="1071"/>
        <v xml:space="preserve">                                                                                                    </v>
      </c>
      <c r="U906" t="str">
        <f>"2         "</f>
        <v xml:space="preserve">2         </v>
      </c>
      <c r="V906" t="str">
        <f t="shared" si="1075"/>
        <v>2</v>
      </c>
      <c r="W906" t="str">
        <f t="shared" si="1072"/>
        <v>2</v>
      </c>
      <c r="X906" t="str">
        <f t="shared" si="1044"/>
        <v>2</v>
      </c>
      <c r="Y906" t="str">
        <f t="shared" si="1096"/>
        <v>2</v>
      </c>
      <c r="Z906" t="str">
        <f t="shared" si="1096"/>
        <v>2</v>
      </c>
      <c r="AA906" t="str">
        <f t="shared" si="1091"/>
        <v xml:space="preserve">          </v>
      </c>
      <c r="AB906" t="str">
        <f t="shared" si="1085"/>
        <v>2</v>
      </c>
      <c r="AC906" t="str">
        <f t="shared" si="1086"/>
        <v>2</v>
      </c>
      <c r="AD906" t="str">
        <f t="shared" si="1099"/>
        <v>2</v>
      </c>
      <c r="AE906" t="str">
        <f t="shared" si="1099"/>
        <v>2</v>
      </c>
      <c r="AF906" t="str">
        <f t="shared" si="1099"/>
        <v>2</v>
      </c>
      <c r="AG906" t="str">
        <f t="shared" si="1099"/>
        <v>2</v>
      </c>
      <c r="AH906" t="str">
        <f t="shared" si="1073"/>
        <v>1</v>
      </c>
      <c r="AI906" t="str">
        <f>"2         "</f>
        <v xml:space="preserve">2         </v>
      </c>
      <c r="AJ906" t="str">
        <f t="shared" si="1107"/>
        <v>170</v>
      </c>
      <c r="AK906" t="str">
        <f>"73"</f>
        <v>73</v>
      </c>
      <c r="AL906" t="str">
        <f t="shared" si="1105"/>
        <v>001</v>
      </c>
      <c r="AM906" t="str">
        <f>"11"</f>
        <v>11</v>
      </c>
      <c r="AN906" t="str">
        <f>"11001"</f>
        <v>11001</v>
      </c>
      <c r="AO906" t="str">
        <f>"15/04/2020 12:00:00 a. m."</f>
        <v>15/04/2020 12:00:00 a. m.</v>
      </c>
      <c r="AP906" t="str">
        <f>"13/04/2020 12:00:00 a. m."</f>
        <v>13/04/2020 12:00:00 a. m.</v>
      </c>
      <c r="AQ906" t="str">
        <f>"3"</f>
        <v>3</v>
      </c>
      <c r="AR906" t="str">
        <f t="shared" si="1083"/>
        <v>1</v>
      </c>
      <c r="AS906" t="str">
        <f>"15/04/2020 12:00:00 a. m."</f>
        <v>15/04/2020 12:00:00 a. m.</v>
      </c>
      <c r="AT906" t="str">
        <f t="shared" si="1087"/>
        <v>1</v>
      </c>
      <c r="AU906" t="str">
        <f>""</f>
        <v/>
      </c>
      <c r="AV906" t="str">
        <f>"0"</f>
        <v>0</v>
      </c>
      <c r="AW906" t="str">
        <f>"29/04/2014 12:00:00 a. m."</f>
        <v>29/04/2014 12:00:00 a. m.</v>
      </c>
      <c r="AX906" t="str">
        <f>""</f>
        <v/>
      </c>
      <c r="AY906" t="str">
        <f t="shared" si="1092"/>
        <v>30/04/2021 12:00:00 a. m.</v>
      </c>
      <c r="AZ906" t="str">
        <f>"8/07/2020 12:00:00 a. m."</f>
        <v>8/07/2020 12:00:00 a. m.</v>
      </c>
      <c r="BA906" t="str">
        <f>""</f>
        <v/>
      </c>
      <c r="BB906" t="str">
        <f>""</f>
        <v/>
      </c>
      <c r="BC906" t="str">
        <f>""</f>
        <v/>
      </c>
      <c r="BD906" t="str">
        <f t="shared" si="1102"/>
        <v>1</v>
      </c>
      <c r="BE906" t="str">
        <f t="shared" si="1102"/>
        <v>1</v>
      </c>
      <c r="BF906" t="str">
        <f t="shared" si="1093"/>
        <v xml:space="preserve">3         </v>
      </c>
      <c r="BG906" t="str">
        <f t="shared" si="1094"/>
        <v>Confirmado por laboratorio</v>
      </c>
      <c r="BH906" t="str">
        <f>"FUNDACION HOSPITAL DE LA MISERICORDIA"</f>
        <v>FUNDACION HOSPITAL DE LA MISERICORDIA</v>
      </c>
      <c r="BI906" t="str">
        <f t="shared" si="1108"/>
        <v>COLOMBIA</v>
      </c>
      <c r="BJ906" t="str">
        <f t="shared" si="1095"/>
        <v>CANCER INFANTIL</v>
      </c>
      <c r="BK906" t="str">
        <f>"TOLIMA"</f>
        <v>TOLIMA</v>
      </c>
      <c r="BL906" t="str">
        <f>"IBAGUE"</f>
        <v>IBAGUE</v>
      </c>
      <c r="BM906" t="str">
        <f t="shared" si="1109"/>
        <v>COLOMBIA</v>
      </c>
      <c r="BN906" t="str">
        <f>"TOLIMA"</f>
        <v>TOLIMA</v>
      </c>
      <c r="BO906" t="str">
        <f>"IBAGUE"</f>
        <v>IBAGUE</v>
      </c>
      <c r="BP906" t="str">
        <f t="shared" si="1110"/>
        <v>BOGOTA</v>
      </c>
      <c r="BQ906" t="str">
        <f t="shared" si="1110"/>
        <v>BOGOTA</v>
      </c>
    </row>
    <row r="907" spans="1:69" x14ac:dyDescent="0.25">
      <c r="A907" t="str">
        <f>"7279084"</f>
        <v>7279084</v>
      </c>
      <c r="B907" t="str">
        <f t="shared" si="1088"/>
        <v>459</v>
      </c>
      <c r="C907" t="str">
        <f>"28/08/2020 12:00:00 a. m."</f>
        <v>28/08/2020 12:00:00 a. m.</v>
      </c>
      <c r="D907" t="str">
        <f>"28"</f>
        <v>28</v>
      </c>
      <c r="E907" t="str">
        <f t="shared" si="1089"/>
        <v>2020</v>
      </c>
      <c r="F907" t="str">
        <f>"1100105681"</f>
        <v>1100105681</v>
      </c>
      <c r="G907" t="str">
        <f t="shared" si="1101"/>
        <v>01</v>
      </c>
      <c r="H907" t="str">
        <f>"7"</f>
        <v>7</v>
      </c>
      <c r="I907" t="str">
        <f t="shared" si="1063"/>
        <v>1</v>
      </c>
      <c r="J907" t="str">
        <f>"M"</f>
        <v>M</v>
      </c>
      <c r="K907" t="str">
        <f t="shared" si="1106"/>
        <v>170</v>
      </c>
      <c r="L907" t="str">
        <f>"11"</f>
        <v>11</v>
      </c>
      <c r="M907" t="str">
        <f t="shared" si="1103"/>
        <v>001</v>
      </c>
      <c r="N907" t="str">
        <f t="shared" si="1104"/>
        <v>1</v>
      </c>
      <c r="O907" t="str">
        <f t="shared" si="1090"/>
        <v>9997</v>
      </c>
      <c r="P907" t="str">
        <f>"C"</f>
        <v>C</v>
      </c>
      <c r="Q907" t="str">
        <f>"EPS005"</f>
        <v>EPS005</v>
      </c>
      <c r="R907" t="str">
        <f t="shared" si="1070"/>
        <v>6</v>
      </c>
      <c r="S907" t="str">
        <f>""</f>
        <v/>
      </c>
      <c r="T907" t="str">
        <f t="shared" si="1071"/>
        <v xml:space="preserve">                                                                                                    </v>
      </c>
      <c r="U907" t="str">
        <f>"2         "</f>
        <v xml:space="preserve">2         </v>
      </c>
      <c r="V907" t="str">
        <f t="shared" si="1075"/>
        <v>2</v>
      </c>
      <c r="W907" t="str">
        <f t="shared" si="1072"/>
        <v>2</v>
      </c>
      <c r="X907" t="str">
        <f t="shared" si="1044"/>
        <v>2</v>
      </c>
      <c r="Y907" t="str">
        <f t="shared" si="1096"/>
        <v>2</v>
      </c>
      <c r="Z907" t="str">
        <f t="shared" si="1096"/>
        <v>2</v>
      </c>
      <c r="AA907" t="str">
        <f t="shared" si="1091"/>
        <v xml:space="preserve">          </v>
      </c>
      <c r="AB907" t="str">
        <f t="shared" si="1085"/>
        <v>2</v>
      </c>
      <c r="AC907" t="str">
        <f t="shared" si="1086"/>
        <v>2</v>
      </c>
      <c r="AD907" t="str">
        <f t="shared" si="1099"/>
        <v>2</v>
      </c>
      <c r="AE907" t="str">
        <f t="shared" si="1099"/>
        <v>2</v>
      </c>
      <c r="AF907" t="str">
        <f t="shared" si="1099"/>
        <v>2</v>
      </c>
      <c r="AG907" t="str">
        <f t="shared" si="1099"/>
        <v>2</v>
      </c>
      <c r="AH907" t="str">
        <f t="shared" si="1073"/>
        <v>1</v>
      </c>
      <c r="AI907" t="str">
        <f>"1         "</f>
        <v xml:space="preserve">1         </v>
      </c>
      <c r="AJ907" t="str">
        <f t="shared" si="1107"/>
        <v>170</v>
      </c>
      <c r="AK907" t="str">
        <f>"11"</f>
        <v>11</v>
      </c>
      <c r="AL907" t="str">
        <f t="shared" si="1105"/>
        <v>001</v>
      </c>
      <c r="AM907" t="str">
        <f>"11"</f>
        <v>11</v>
      </c>
      <c r="AN907" t="str">
        <f>"11001"</f>
        <v>11001</v>
      </c>
      <c r="AO907" t="str">
        <f>"7/07/2020 12:00:00 a. m."</f>
        <v>7/07/2020 12:00:00 a. m.</v>
      </c>
      <c r="AP907" t="str">
        <f>"28/06/2020 12:00:00 a. m."</f>
        <v>28/06/2020 12:00:00 a. m.</v>
      </c>
      <c r="AQ907" t="str">
        <f>"3"</f>
        <v>3</v>
      </c>
      <c r="AR907" t="str">
        <f t="shared" si="1083"/>
        <v>1</v>
      </c>
      <c r="AS907" t="str">
        <f>"7/07/2020 12:00:00 a. m."</f>
        <v>7/07/2020 12:00:00 a. m.</v>
      </c>
      <c r="AT907" t="str">
        <f t="shared" si="1087"/>
        <v>1</v>
      </c>
      <c r="AU907" t="str">
        <f>""</f>
        <v/>
      </c>
      <c r="AV907" t="str">
        <f>"0"</f>
        <v>0</v>
      </c>
      <c r="AW907" t="str">
        <f>"1/02/2013 12:00:00 a. m."</f>
        <v>1/02/2013 12:00:00 a. m.</v>
      </c>
      <c r="AX907" t="str">
        <f>""</f>
        <v/>
      </c>
      <c r="AY907" t="str">
        <f t="shared" si="1092"/>
        <v>30/04/2021 12:00:00 a. m.</v>
      </c>
      <c r="AZ907" t="str">
        <f>"2/12/2020 12:00:00 a. m."</f>
        <v>2/12/2020 12:00:00 a. m.</v>
      </c>
      <c r="BA907" t="str">
        <f>""</f>
        <v/>
      </c>
      <c r="BB907" t="str">
        <f>""</f>
        <v/>
      </c>
      <c r="BC907" t="str">
        <f>""</f>
        <v/>
      </c>
      <c r="BD907" t="str">
        <f t="shared" si="1102"/>
        <v>1</v>
      </c>
      <c r="BE907" t="str">
        <f t="shared" si="1102"/>
        <v>1</v>
      </c>
      <c r="BF907" t="str">
        <f t="shared" si="1093"/>
        <v xml:space="preserve">3         </v>
      </c>
      <c r="BG907" t="str">
        <f t="shared" si="1094"/>
        <v>Confirmado por laboratorio</v>
      </c>
      <c r="BH907" t="str">
        <f>"FUNDACION HOSPITAL DE LA MISERICORDIA"</f>
        <v>FUNDACION HOSPITAL DE LA MISERICORDIA</v>
      </c>
      <c r="BI907" t="str">
        <f t="shared" si="1108"/>
        <v>COLOMBIA</v>
      </c>
      <c r="BJ907" t="str">
        <f t="shared" si="1095"/>
        <v>CANCER INFANTIL</v>
      </c>
      <c r="BK907" t="str">
        <f>"BOGOTA"</f>
        <v>BOGOTA</v>
      </c>
      <c r="BL907" t="str">
        <f>"BOGOTA"</f>
        <v>BOGOTA</v>
      </c>
      <c r="BM907" t="str">
        <f t="shared" si="1109"/>
        <v>COLOMBIA</v>
      </c>
      <c r="BN907" t="str">
        <f>"BOGOTA"</f>
        <v>BOGOTA</v>
      </c>
      <c r="BO907" t="str">
        <f>"BOGOTA"</f>
        <v>BOGOTA</v>
      </c>
      <c r="BP907" t="str">
        <f t="shared" si="1110"/>
        <v>BOGOTA</v>
      </c>
      <c r="BQ907" t="str">
        <f t="shared" si="1110"/>
        <v>BOGOTA</v>
      </c>
    </row>
    <row r="908" spans="1:69" x14ac:dyDescent="0.25">
      <c r="A908" t="str">
        <f>"7278703"</f>
        <v>7278703</v>
      </c>
      <c r="B908" t="str">
        <f t="shared" si="1088"/>
        <v>459</v>
      </c>
      <c r="C908" t="str">
        <f>"22/01/2021 12:00:00 a. m."</f>
        <v>22/01/2021 12:00:00 a. m.</v>
      </c>
      <c r="D908" t="str">
        <f>"02"</f>
        <v>02</v>
      </c>
      <c r="E908" t="str">
        <f t="shared" si="1089"/>
        <v>2020</v>
      </c>
      <c r="F908" t="str">
        <f>"0500102126"</f>
        <v>0500102126</v>
      </c>
      <c r="G908" t="str">
        <f t="shared" si="1101"/>
        <v>01</v>
      </c>
      <c r="H908" t="str">
        <f>"16"</f>
        <v>16</v>
      </c>
      <c r="I908" t="str">
        <f t="shared" si="1063"/>
        <v>1</v>
      </c>
      <c r="J908" t="str">
        <f>"M"</f>
        <v>M</v>
      </c>
      <c r="K908" t="str">
        <f t="shared" si="1106"/>
        <v>170</v>
      </c>
      <c r="L908" t="str">
        <f>"05"</f>
        <v>05</v>
      </c>
      <c r="M908" t="str">
        <f t="shared" si="1103"/>
        <v>001</v>
      </c>
      <c r="N908" t="str">
        <f t="shared" si="1104"/>
        <v>1</v>
      </c>
      <c r="O908" t="str">
        <f t="shared" si="1090"/>
        <v>9997</v>
      </c>
      <c r="P908" t="str">
        <f>"C"</f>
        <v>C</v>
      </c>
      <c r="Q908" t="str">
        <f>"EPS010"</f>
        <v>EPS010</v>
      </c>
      <c r="R908" t="str">
        <f t="shared" si="1070"/>
        <v>6</v>
      </c>
      <c r="S908" t="str">
        <f>""</f>
        <v/>
      </c>
      <c r="T908" t="str">
        <f t="shared" si="1071"/>
        <v xml:space="preserve">                                                                                                    </v>
      </c>
      <c r="U908" t="str">
        <f>"3         "</f>
        <v xml:space="preserve">3         </v>
      </c>
      <c r="V908" t="str">
        <f t="shared" si="1075"/>
        <v>2</v>
      </c>
      <c r="W908" t="str">
        <f t="shared" si="1072"/>
        <v>2</v>
      </c>
      <c r="X908" t="str">
        <f t="shared" si="1044"/>
        <v>2</v>
      </c>
      <c r="Y908" t="str">
        <f t="shared" si="1096"/>
        <v>2</v>
      </c>
      <c r="Z908" t="str">
        <f t="shared" si="1096"/>
        <v>2</v>
      </c>
      <c r="AA908" t="str">
        <f t="shared" si="1091"/>
        <v xml:space="preserve">          </v>
      </c>
      <c r="AB908" t="str">
        <f t="shared" si="1085"/>
        <v>2</v>
      </c>
      <c r="AC908" t="str">
        <f t="shared" si="1086"/>
        <v>2</v>
      </c>
      <c r="AD908" t="str">
        <f t="shared" si="1099"/>
        <v>2</v>
      </c>
      <c r="AE908" t="str">
        <f t="shared" si="1099"/>
        <v>2</v>
      </c>
      <c r="AF908" t="str">
        <f t="shared" si="1099"/>
        <v>2</v>
      </c>
      <c r="AG908" t="str">
        <f t="shared" si="1099"/>
        <v>2</v>
      </c>
      <c r="AH908" t="str">
        <f t="shared" si="1073"/>
        <v>1</v>
      </c>
      <c r="AI908" t="str">
        <f>"1         "</f>
        <v xml:space="preserve">1         </v>
      </c>
      <c r="AJ908" t="str">
        <f t="shared" si="1107"/>
        <v>170</v>
      </c>
      <c r="AK908" t="str">
        <f>"05"</f>
        <v>05</v>
      </c>
      <c r="AL908" t="str">
        <f t="shared" si="1105"/>
        <v>001</v>
      </c>
      <c r="AM908" t="str">
        <f>"05"</f>
        <v>05</v>
      </c>
      <c r="AN908" t="str">
        <f>"05001"</f>
        <v>05001</v>
      </c>
      <c r="AO908" t="str">
        <f>"7/01/2020 12:00:00 a. m."</f>
        <v>7/01/2020 12:00:00 a. m.</v>
      </c>
      <c r="AP908" t="str">
        <f>"7/01/2020 12:00:00 a. m."</f>
        <v>7/01/2020 12:00:00 a. m.</v>
      </c>
      <c r="AQ908" t="str">
        <f>"2"</f>
        <v>2</v>
      </c>
      <c r="AR908" t="str">
        <f t="shared" si="1083"/>
        <v>1</v>
      </c>
      <c r="AS908" t="str">
        <f>"7/01/2020 12:00:00 a. m."</f>
        <v>7/01/2020 12:00:00 a. m.</v>
      </c>
      <c r="AT908" t="str">
        <f t="shared" si="1087"/>
        <v>1</v>
      </c>
      <c r="AU908" t="str">
        <f>""</f>
        <v/>
      </c>
      <c r="AV908" t="str">
        <f>"3"</f>
        <v>3</v>
      </c>
      <c r="AW908" t="str">
        <f>"19/09/2004 12:00:00 a. m."</f>
        <v>19/09/2004 12:00:00 a. m.</v>
      </c>
      <c r="AX908" t="str">
        <f>""</f>
        <v/>
      </c>
      <c r="AY908" t="str">
        <f t="shared" si="1092"/>
        <v>30/04/2021 12:00:00 a. m.</v>
      </c>
      <c r="AZ908" t="str">
        <f>"8/03/2021 12:00:00 a. m."</f>
        <v>8/03/2021 12:00:00 a. m.</v>
      </c>
      <c r="BA908" t="str">
        <f>""</f>
        <v/>
      </c>
      <c r="BB908" t="str">
        <f>""</f>
        <v/>
      </c>
      <c r="BC908" t="str">
        <f>""</f>
        <v/>
      </c>
      <c r="BD908" t="str">
        <f t="shared" si="1102"/>
        <v>1</v>
      </c>
      <c r="BE908" t="str">
        <f t="shared" si="1102"/>
        <v>1</v>
      </c>
      <c r="BF908" t="str">
        <f t="shared" si="1093"/>
        <v xml:space="preserve">3         </v>
      </c>
      <c r="BG908" t="str">
        <f t="shared" si="1094"/>
        <v>Confirmado por laboratorio</v>
      </c>
      <c r="BH908" t="str">
        <f>"PROMOTORA MEDICA LAS AMERICAS SA"</f>
        <v>PROMOTORA MEDICA LAS AMERICAS SA</v>
      </c>
      <c r="BI908" t="str">
        <f t="shared" si="1108"/>
        <v>COLOMBIA</v>
      </c>
      <c r="BJ908" t="str">
        <f t="shared" si="1095"/>
        <v>CANCER INFANTIL</v>
      </c>
      <c r="BK908" t="str">
        <f>"ANTIOQUIA"</f>
        <v>ANTIOQUIA</v>
      </c>
      <c r="BL908" t="str">
        <f>"MEDELLIN"</f>
        <v>MEDELLIN</v>
      </c>
      <c r="BM908" t="str">
        <f t="shared" si="1109"/>
        <v>COLOMBIA</v>
      </c>
      <c r="BN908" t="str">
        <f>"ANTIOQUIA"</f>
        <v>ANTIOQUIA</v>
      </c>
      <c r="BO908" t="str">
        <f>"MEDELLIN"</f>
        <v>MEDELLIN</v>
      </c>
      <c r="BP908" t="str">
        <f>"ANTIOQUIA"</f>
        <v>ANTIOQUIA</v>
      </c>
      <c r="BQ908" t="str">
        <f>"MEDELLIN"</f>
        <v>MEDELLIN</v>
      </c>
    </row>
    <row r="909" spans="1:69" x14ac:dyDescent="0.25">
      <c r="A909" t="str">
        <f>"7278810"</f>
        <v>7278810</v>
      </c>
      <c r="B909" t="str">
        <f t="shared" si="1088"/>
        <v>459</v>
      </c>
      <c r="C909" t="str">
        <f>"7/12/2020 12:00:00 a. m."</f>
        <v>7/12/2020 12:00:00 a. m.</v>
      </c>
      <c r="D909" t="str">
        <f>"49"</f>
        <v>49</v>
      </c>
      <c r="E909" t="str">
        <f t="shared" si="1089"/>
        <v>2020</v>
      </c>
      <c r="F909" t="str">
        <f>"0500102175"</f>
        <v>0500102175</v>
      </c>
      <c r="G909" t="str">
        <f t="shared" si="1101"/>
        <v>01</v>
      </c>
      <c r="H909" t="str">
        <f>"7"</f>
        <v>7</v>
      </c>
      <c r="I909" t="str">
        <f>"2"</f>
        <v>2</v>
      </c>
      <c r="J909" t="str">
        <f>"F"</f>
        <v>F</v>
      </c>
      <c r="K909" t="str">
        <f t="shared" si="1106"/>
        <v>170</v>
      </c>
      <c r="L909" t="str">
        <f>"05"</f>
        <v>05</v>
      </c>
      <c r="M909" t="str">
        <f t="shared" si="1103"/>
        <v>001</v>
      </c>
      <c r="N909" t="str">
        <f t="shared" si="1104"/>
        <v>1</v>
      </c>
      <c r="O909" t="str">
        <f>"9999"</f>
        <v>9999</v>
      </c>
      <c r="P909" t="str">
        <f>"C"</f>
        <v>C</v>
      </c>
      <c r="Q909" t="str">
        <f>"EPS041"</f>
        <v>EPS041</v>
      </c>
      <c r="R909" t="str">
        <f t="shared" si="1070"/>
        <v>6</v>
      </c>
      <c r="S909" t="str">
        <f>""</f>
        <v/>
      </c>
      <c r="T909" t="str">
        <f t="shared" si="1071"/>
        <v xml:space="preserve">                                                                                                    </v>
      </c>
      <c r="U909" t="str">
        <f>"2         "</f>
        <v xml:space="preserve">2         </v>
      </c>
      <c r="V909" t="str">
        <f t="shared" si="1075"/>
        <v>2</v>
      </c>
      <c r="W909" t="str">
        <f t="shared" si="1072"/>
        <v>2</v>
      </c>
      <c r="X909" t="str">
        <f t="shared" si="1044"/>
        <v>2</v>
      </c>
      <c r="Y909" t="str">
        <f t="shared" si="1096"/>
        <v>2</v>
      </c>
      <c r="Z909" t="str">
        <f t="shared" si="1096"/>
        <v>2</v>
      </c>
      <c r="AA909" t="str">
        <f t="shared" si="1091"/>
        <v xml:space="preserve">          </v>
      </c>
      <c r="AB909" t="str">
        <f t="shared" si="1085"/>
        <v>2</v>
      </c>
      <c r="AC909" t="str">
        <f t="shared" si="1086"/>
        <v>2</v>
      </c>
      <c r="AD909" t="str">
        <f t="shared" si="1099"/>
        <v>2</v>
      </c>
      <c r="AE909" t="str">
        <f t="shared" si="1099"/>
        <v>2</v>
      </c>
      <c r="AF909" t="str">
        <f t="shared" si="1099"/>
        <v>2</v>
      </c>
      <c r="AG909" t="str">
        <f t="shared" si="1099"/>
        <v>2</v>
      </c>
      <c r="AH909" t="str">
        <f t="shared" si="1073"/>
        <v>1</v>
      </c>
      <c r="AI909" t="str">
        <f>"1         "</f>
        <v xml:space="preserve">1         </v>
      </c>
      <c r="AJ909" t="str">
        <f t="shared" si="1107"/>
        <v>170</v>
      </c>
      <c r="AK909" t="str">
        <f>"05"</f>
        <v>05</v>
      </c>
      <c r="AL909" t="str">
        <f t="shared" si="1105"/>
        <v>001</v>
      </c>
      <c r="AM909" t="str">
        <f>"05"</f>
        <v>05</v>
      </c>
      <c r="AN909" t="str">
        <f>"05001"</f>
        <v>05001</v>
      </c>
      <c r="AO909" t="str">
        <f>"1/12/2020 12:00:00 a. m."</f>
        <v>1/12/2020 12:00:00 a. m.</v>
      </c>
      <c r="AP909" t="str">
        <f>"1/10/2020 12:00:00 a. m."</f>
        <v>1/10/2020 12:00:00 a. m.</v>
      </c>
      <c r="AQ909" t="str">
        <f>"3"</f>
        <v>3</v>
      </c>
      <c r="AR909" t="str">
        <f t="shared" si="1083"/>
        <v>1</v>
      </c>
      <c r="AS909" t="str">
        <f>"1/12/2020 12:00:00 a. m."</f>
        <v>1/12/2020 12:00:00 a. m.</v>
      </c>
      <c r="AT909" t="str">
        <f t="shared" si="1087"/>
        <v>1</v>
      </c>
      <c r="AU909" t="str">
        <f>""</f>
        <v/>
      </c>
      <c r="AV909" t="str">
        <f>"0"</f>
        <v>0</v>
      </c>
      <c r="AW909" t="str">
        <f>"3/05/2020 12:00:00 a. m."</f>
        <v>3/05/2020 12:00:00 a. m.</v>
      </c>
      <c r="AX909" t="str">
        <f>""</f>
        <v/>
      </c>
      <c r="AY909" t="str">
        <f t="shared" si="1092"/>
        <v>30/04/2021 12:00:00 a. m.</v>
      </c>
      <c r="AZ909" t="str">
        <f>"7/12/2020 12:00:00 a. m."</f>
        <v>7/12/2020 12:00:00 a. m.</v>
      </c>
      <c r="BA909" t="str">
        <f>""</f>
        <v/>
      </c>
      <c r="BB909" t="str">
        <f>""</f>
        <v/>
      </c>
      <c r="BC909" t="str">
        <f>""</f>
        <v/>
      </c>
      <c r="BD909" t="str">
        <f t="shared" si="1102"/>
        <v>1</v>
      </c>
      <c r="BE909" t="str">
        <f t="shared" si="1102"/>
        <v>1</v>
      </c>
      <c r="BF909" t="str">
        <f t="shared" si="1093"/>
        <v xml:space="preserve">3         </v>
      </c>
      <c r="BG909" t="str">
        <f t="shared" si="1094"/>
        <v>Confirmado por laboratorio</v>
      </c>
      <c r="BH909" t="str">
        <f>"FUNDACION HOSPITALARIA SAN VICENTE DE PAUL"</f>
        <v>FUNDACION HOSPITALARIA SAN VICENTE DE PAUL</v>
      </c>
      <c r="BI909" t="str">
        <f t="shared" si="1108"/>
        <v>COLOMBIA</v>
      </c>
      <c r="BJ909" t="str">
        <f t="shared" si="1095"/>
        <v>CANCER INFANTIL</v>
      </c>
      <c r="BK909" t="str">
        <f>"ANTIOQUIA"</f>
        <v>ANTIOQUIA</v>
      </c>
      <c r="BL909" t="str">
        <f>"MEDELLIN"</f>
        <v>MEDELLIN</v>
      </c>
      <c r="BM909" t="str">
        <f t="shared" si="1109"/>
        <v>COLOMBIA</v>
      </c>
      <c r="BN909" t="str">
        <f>"ANTIOQUIA"</f>
        <v>ANTIOQUIA</v>
      </c>
      <c r="BO909" t="str">
        <f>"MEDELLIN"</f>
        <v>MEDELLIN</v>
      </c>
      <c r="BP909" t="str">
        <f>"ANTIOQUIA"</f>
        <v>ANTIOQUIA</v>
      </c>
      <c r="BQ909" t="str">
        <f>"MEDELLIN"</f>
        <v>MEDELLIN</v>
      </c>
    </row>
    <row r="910" spans="1:69" x14ac:dyDescent="0.25">
      <c r="A910" t="str">
        <f>"7278731"</f>
        <v>7278731</v>
      </c>
      <c r="B910" t="str">
        <f t="shared" si="1088"/>
        <v>459</v>
      </c>
      <c r="C910" t="str">
        <f>"26/02/2020 12:00:00 a. m."</f>
        <v>26/02/2020 12:00:00 a. m.</v>
      </c>
      <c r="D910" t="str">
        <f>"08"</f>
        <v>08</v>
      </c>
      <c r="E910" t="str">
        <f t="shared" si="1089"/>
        <v>2020</v>
      </c>
      <c r="F910" t="str">
        <f>"0800103250"</f>
        <v>0800103250</v>
      </c>
      <c r="G910" t="str">
        <f t="shared" si="1101"/>
        <v>01</v>
      </c>
      <c r="H910" t="str">
        <f>"12"</f>
        <v>12</v>
      </c>
      <c r="I910" t="str">
        <f t="shared" ref="I910:I919" si="1111">"1"</f>
        <v>1</v>
      </c>
      <c r="J910" t="str">
        <f>"F"</f>
        <v>F</v>
      </c>
      <c r="K910" t="str">
        <f t="shared" si="1106"/>
        <v>170</v>
      </c>
      <c r="L910" t="str">
        <f>"08"</f>
        <v>08</v>
      </c>
      <c r="M910" t="str">
        <f t="shared" si="1103"/>
        <v>001</v>
      </c>
      <c r="N910" t="str">
        <f t="shared" si="1104"/>
        <v>1</v>
      </c>
      <c r="O910" t="str">
        <f>"9997"</f>
        <v>9997</v>
      </c>
      <c r="P910" t="str">
        <f>"S"</f>
        <v>S</v>
      </c>
      <c r="Q910" t="str">
        <f>"ESS207"</f>
        <v>ESS207</v>
      </c>
      <c r="R910" t="str">
        <f t="shared" si="1070"/>
        <v>6</v>
      </c>
      <c r="S910" t="str">
        <f>""</f>
        <v/>
      </c>
      <c r="T910" t="str">
        <f t="shared" si="1071"/>
        <v xml:space="preserve">                                                                                                    </v>
      </c>
      <c r="U910" t="str">
        <f>"3         "</f>
        <v xml:space="preserve">3         </v>
      </c>
      <c r="V910" t="str">
        <f t="shared" si="1075"/>
        <v>2</v>
      </c>
      <c r="W910" t="str">
        <f t="shared" si="1072"/>
        <v>2</v>
      </c>
      <c r="X910" t="str">
        <f t="shared" si="1044"/>
        <v>2</v>
      </c>
      <c r="Y910" t="str">
        <f t="shared" si="1096"/>
        <v>2</v>
      </c>
      <c r="Z910" t="str">
        <f t="shared" si="1096"/>
        <v>2</v>
      </c>
      <c r="AA910" t="str">
        <f t="shared" si="1091"/>
        <v xml:space="preserve">          </v>
      </c>
      <c r="AB910" t="str">
        <f t="shared" si="1085"/>
        <v>2</v>
      </c>
      <c r="AC910" t="str">
        <f t="shared" si="1086"/>
        <v>2</v>
      </c>
      <c r="AD910" t="str">
        <f t="shared" si="1099"/>
        <v>2</v>
      </c>
      <c r="AE910" t="str">
        <f t="shared" si="1099"/>
        <v>2</v>
      </c>
      <c r="AF910" t="str">
        <f t="shared" si="1099"/>
        <v>2</v>
      </c>
      <c r="AG910" t="str">
        <f t="shared" si="1099"/>
        <v>2</v>
      </c>
      <c r="AH910" t="str">
        <f t="shared" si="1073"/>
        <v>1</v>
      </c>
      <c r="AI910" t="str">
        <f>"2         "</f>
        <v xml:space="preserve">2         </v>
      </c>
      <c r="AJ910" t="str">
        <f t="shared" si="1107"/>
        <v>170</v>
      </c>
      <c r="AK910" t="str">
        <f>"08"</f>
        <v>08</v>
      </c>
      <c r="AL910" t="str">
        <f t="shared" si="1105"/>
        <v>001</v>
      </c>
      <c r="AM910" t="str">
        <f>"08"</f>
        <v>08</v>
      </c>
      <c r="AN910" t="str">
        <f>"08001"</f>
        <v>08001</v>
      </c>
      <c r="AO910" t="str">
        <f>"19/02/2020 12:00:00 a. m."</f>
        <v>19/02/2020 12:00:00 a. m.</v>
      </c>
      <c r="AP910" t="str">
        <f>"15/12/2019 12:00:00 a. m."</f>
        <v>15/12/2019 12:00:00 a. m.</v>
      </c>
      <c r="AQ910" t="str">
        <f>"2"</f>
        <v>2</v>
      </c>
      <c r="AR910" t="str">
        <f t="shared" si="1083"/>
        <v>1</v>
      </c>
      <c r="AS910" t="str">
        <f>"19/02/2020 12:00:00 a. m."</f>
        <v>19/02/2020 12:00:00 a. m.</v>
      </c>
      <c r="AT910" t="str">
        <f t="shared" si="1087"/>
        <v>1</v>
      </c>
      <c r="AU910" t="str">
        <f>""</f>
        <v/>
      </c>
      <c r="AV910" t="str">
        <f>"3"</f>
        <v>3</v>
      </c>
      <c r="AW910" t="str">
        <f>"3/12/2007 12:00:00 a. m."</f>
        <v>3/12/2007 12:00:00 a. m.</v>
      </c>
      <c r="AX910" t="str">
        <f>""</f>
        <v/>
      </c>
      <c r="AY910" t="str">
        <f t="shared" si="1092"/>
        <v>30/04/2021 12:00:00 a. m.</v>
      </c>
      <c r="AZ910" t="str">
        <f>"24/11/2020 12:00:00 a. m."</f>
        <v>24/11/2020 12:00:00 a. m.</v>
      </c>
      <c r="BA910" t="str">
        <f>""</f>
        <v/>
      </c>
      <c r="BB910" t="str">
        <f>""</f>
        <v/>
      </c>
      <c r="BC910" t="str">
        <f>""</f>
        <v/>
      </c>
      <c r="BD910" t="str">
        <f t="shared" si="1102"/>
        <v>1</v>
      </c>
      <c r="BE910" t="str">
        <f t="shared" si="1102"/>
        <v>1</v>
      </c>
      <c r="BF910" t="str">
        <f t="shared" si="1093"/>
        <v xml:space="preserve">3         </v>
      </c>
      <c r="BG910" t="str">
        <f t="shared" si="1094"/>
        <v>Confirmado por laboratorio</v>
      </c>
      <c r="BH910" t="str">
        <f>"CLINICA SAN MARTIN BARRANQUILLA"</f>
        <v>CLINICA SAN MARTIN BARRANQUILLA</v>
      </c>
      <c r="BI910" t="str">
        <f t="shared" si="1108"/>
        <v>COLOMBIA</v>
      </c>
      <c r="BJ910" t="str">
        <f t="shared" si="1095"/>
        <v>CANCER INFANTIL</v>
      </c>
      <c r="BK910" t="str">
        <f>"ATLANTICO"</f>
        <v>ATLANTICO</v>
      </c>
      <c r="BL910" t="str">
        <f>"BARRANQUILLA"</f>
        <v>BARRANQUILLA</v>
      </c>
      <c r="BM910" t="str">
        <f t="shared" si="1109"/>
        <v>COLOMBIA</v>
      </c>
      <c r="BN910" t="str">
        <f>"ATLANTICO"</f>
        <v>ATLANTICO</v>
      </c>
      <c r="BO910" t="str">
        <f>"BARRANQUILLA"</f>
        <v>BARRANQUILLA</v>
      </c>
      <c r="BP910" t="str">
        <f>"ATLANTICO"</f>
        <v>ATLANTICO</v>
      </c>
      <c r="BQ910" t="str">
        <f>"BARRANQUILLA"</f>
        <v>BARRANQUILLA</v>
      </c>
    </row>
    <row r="911" spans="1:69" x14ac:dyDescent="0.25">
      <c r="A911" t="str">
        <f>"7285618"</f>
        <v>7285618</v>
      </c>
      <c r="B911" t="str">
        <f t="shared" si="1088"/>
        <v>459</v>
      </c>
      <c r="C911" t="str">
        <f>"13/03/2020 12:00:00 a. m."</f>
        <v>13/03/2020 12:00:00 a. m.</v>
      </c>
      <c r="D911" t="str">
        <f>"11"</f>
        <v>11</v>
      </c>
      <c r="E911" t="str">
        <f t="shared" si="1089"/>
        <v>2020</v>
      </c>
      <c r="F911" t="str">
        <f>"1100109456"</f>
        <v>1100109456</v>
      </c>
      <c r="G911" t="str">
        <f t="shared" si="1101"/>
        <v>01</v>
      </c>
      <c r="H911" t="str">
        <f>"17"</f>
        <v>17</v>
      </c>
      <c r="I911" t="str">
        <f t="shared" si="1111"/>
        <v>1</v>
      </c>
      <c r="J911" t="str">
        <f>"F"</f>
        <v>F</v>
      </c>
      <c r="K911" t="str">
        <f t="shared" si="1106"/>
        <v>170</v>
      </c>
      <c r="L911" t="str">
        <f>"73"</f>
        <v>73</v>
      </c>
      <c r="M911" t="str">
        <f t="shared" si="1103"/>
        <v>001</v>
      </c>
      <c r="N911" t="str">
        <f t="shared" si="1104"/>
        <v>1</v>
      </c>
      <c r="O911" t="str">
        <f>"9997"</f>
        <v>9997</v>
      </c>
      <c r="P911" t="str">
        <f>"C"</f>
        <v>C</v>
      </c>
      <c r="Q911" t="str">
        <f>"EPS005"</f>
        <v>EPS005</v>
      </c>
      <c r="R911" t="str">
        <f t="shared" si="1070"/>
        <v>6</v>
      </c>
      <c r="S911" t="str">
        <f>""</f>
        <v/>
      </c>
      <c r="T911" t="str">
        <f t="shared" si="1071"/>
        <v xml:space="preserve">                                                                                                    </v>
      </c>
      <c r="U911" t="str">
        <f>"2         "</f>
        <v xml:space="preserve">2         </v>
      </c>
      <c r="V911" t="str">
        <f t="shared" si="1075"/>
        <v>2</v>
      </c>
      <c r="W911" t="str">
        <f t="shared" si="1072"/>
        <v>2</v>
      </c>
      <c r="X911" t="str">
        <f t="shared" si="1044"/>
        <v>2</v>
      </c>
      <c r="Y911" t="str">
        <f t="shared" si="1096"/>
        <v>2</v>
      </c>
      <c r="Z911" t="str">
        <f t="shared" si="1096"/>
        <v>2</v>
      </c>
      <c r="AA911" t="str">
        <f t="shared" si="1091"/>
        <v xml:space="preserve">          </v>
      </c>
      <c r="AB911" t="str">
        <f t="shared" si="1085"/>
        <v>2</v>
      </c>
      <c r="AC911" t="str">
        <f t="shared" si="1086"/>
        <v>2</v>
      </c>
      <c r="AD911" t="str">
        <f t="shared" si="1099"/>
        <v>2</v>
      </c>
      <c r="AE911" t="str">
        <f t="shared" si="1099"/>
        <v>2</v>
      </c>
      <c r="AF911" t="str">
        <f t="shared" si="1099"/>
        <v>2</v>
      </c>
      <c r="AG911" t="str">
        <f t="shared" si="1099"/>
        <v>2</v>
      </c>
      <c r="AH911" t="str">
        <f t="shared" si="1073"/>
        <v>1</v>
      </c>
      <c r="AI911" t="str">
        <f>"1         "</f>
        <v xml:space="preserve">1         </v>
      </c>
      <c r="AJ911" t="str">
        <f t="shared" si="1107"/>
        <v>170</v>
      </c>
      <c r="AK911" t="str">
        <f>"73"</f>
        <v>73</v>
      </c>
      <c r="AL911" t="str">
        <f t="shared" si="1105"/>
        <v>001</v>
      </c>
      <c r="AM911" t="str">
        <f>"11"</f>
        <v>11</v>
      </c>
      <c r="AN911" t="str">
        <f>"11001"</f>
        <v>11001</v>
      </c>
      <c r="AO911" t="str">
        <f>"13/03/2020 12:00:00 a. m."</f>
        <v>13/03/2020 12:00:00 a. m.</v>
      </c>
      <c r="AP911" t="str">
        <f>"1/12/2019 12:00:00 a. m."</f>
        <v>1/12/2019 12:00:00 a. m.</v>
      </c>
      <c r="AQ911" t="str">
        <f>"2"</f>
        <v>2</v>
      </c>
      <c r="AR911" t="str">
        <f t="shared" si="1083"/>
        <v>1</v>
      </c>
      <c r="AS911" t="str">
        <f>"13/03/2020 12:00:00 a. m."</f>
        <v>13/03/2020 12:00:00 a. m.</v>
      </c>
      <c r="AT911" t="str">
        <f t="shared" si="1087"/>
        <v>1</v>
      </c>
      <c r="AU911" t="str">
        <f>""</f>
        <v/>
      </c>
      <c r="AV911" t="str">
        <f>"3"</f>
        <v>3</v>
      </c>
      <c r="AW911" t="str">
        <f>"6/11/2002 12:00:00 a. m."</f>
        <v>6/11/2002 12:00:00 a. m.</v>
      </c>
      <c r="AX911" t="str">
        <f>""</f>
        <v/>
      </c>
      <c r="AY911" t="str">
        <f t="shared" si="1092"/>
        <v>30/04/2021 12:00:00 a. m.</v>
      </c>
      <c r="AZ911" t="str">
        <f>"19/03/2020 12:00:00 a. m."</f>
        <v>19/03/2020 12:00:00 a. m.</v>
      </c>
      <c r="BA911" t="str">
        <f>""</f>
        <v/>
      </c>
      <c r="BB911" t="str">
        <f>""</f>
        <v/>
      </c>
      <c r="BC911" t="str">
        <f>""</f>
        <v/>
      </c>
      <c r="BD911" t="str">
        <f t="shared" si="1102"/>
        <v>1</v>
      </c>
      <c r="BE911" t="str">
        <f t="shared" si="1102"/>
        <v>1</v>
      </c>
      <c r="BF911" t="str">
        <f t="shared" si="1093"/>
        <v xml:space="preserve">3         </v>
      </c>
      <c r="BG911" t="str">
        <f t="shared" si="1094"/>
        <v>Confirmado por laboratorio</v>
      </c>
      <c r="BH911" t="str">
        <f>"HOSPITAL UNIVERSITARIO SAN IGNACIO"</f>
        <v>HOSPITAL UNIVERSITARIO SAN IGNACIO</v>
      </c>
      <c r="BI911" t="str">
        <f t="shared" si="1108"/>
        <v>COLOMBIA</v>
      </c>
      <c r="BJ911" t="str">
        <f t="shared" si="1095"/>
        <v>CANCER INFANTIL</v>
      </c>
      <c r="BK911" t="str">
        <f>"TOLIMA"</f>
        <v>TOLIMA</v>
      </c>
      <c r="BL911" t="str">
        <f>"IBAGUE"</f>
        <v>IBAGUE</v>
      </c>
      <c r="BM911" t="str">
        <f t="shared" si="1109"/>
        <v>COLOMBIA</v>
      </c>
      <c r="BN911" t="str">
        <f>"TOLIMA"</f>
        <v>TOLIMA</v>
      </c>
      <c r="BO911" t="str">
        <f>"IBAGUE"</f>
        <v>IBAGUE</v>
      </c>
      <c r="BP911" t="str">
        <f>"BOGOTA"</f>
        <v>BOGOTA</v>
      </c>
      <c r="BQ911" t="str">
        <f>"BOGOTA"</f>
        <v>BOGOTA</v>
      </c>
    </row>
    <row r="912" spans="1:69" x14ac:dyDescent="0.25">
      <c r="A912" t="str">
        <f>"7285689"</f>
        <v>7285689</v>
      </c>
      <c r="B912" t="str">
        <f t="shared" si="1088"/>
        <v>459</v>
      </c>
      <c r="C912" t="str">
        <f>"26/10/2020 12:00:00 a. m."</f>
        <v>26/10/2020 12:00:00 a. m.</v>
      </c>
      <c r="D912" t="str">
        <f>"43"</f>
        <v>43</v>
      </c>
      <c r="E912" t="str">
        <f t="shared" si="1089"/>
        <v>2020</v>
      </c>
      <c r="F912" t="str">
        <f>"7600102870"</f>
        <v>7600102870</v>
      </c>
      <c r="G912" t="str">
        <f t="shared" si="1101"/>
        <v>01</v>
      </c>
      <c r="H912" t="str">
        <f>"10"</f>
        <v>10</v>
      </c>
      <c r="I912" t="str">
        <f t="shared" si="1111"/>
        <v>1</v>
      </c>
      <c r="J912" t="str">
        <f>"M"</f>
        <v>M</v>
      </c>
      <c r="K912" t="str">
        <f t="shared" si="1106"/>
        <v>170</v>
      </c>
      <c r="L912" t="str">
        <f>"76"</f>
        <v>76</v>
      </c>
      <c r="M912" t="str">
        <f>"109"</f>
        <v>109</v>
      </c>
      <c r="N912" t="str">
        <f t="shared" si="1104"/>
        <v>1</v>
      </c>
      <c r="O912" t="str">
        <f>"9999"</f>
        <v>9999</v>
      </c>
      <c r="P912" t="str">
        <f>"S"</f>
        <v>S</v>
      </c>
      <c r="Q912" t="str">
        <f>"ESS118"</f>
        <v>ESS118</v>
      </c>
      <c r="R912" t="str">
        <f t="shared" si="1070"/>
        <v>6</v>
      </c>
      <c r="S912" t="str">
        <f>""</f>
        <v/>
      </c>
      <c r="T912" t="str">
        <f t="shared" si="1071"/>
        <v xml:space="preserve">                                                                                                    </v>
      </c>
      <c r="U912" t="str">
        <f>"          "</f>
        <v xml:space="preserve">          </v>
      </c>
      <c r="V912" t="str">
        <f t="shared" si="1075"/>
        <v>2</v>
      </c>
      <c r="W912" t="str">
        <f t="shared" si="1072"/>
        <v>2</v>
      </c>
      <c r="X912" t="str">
        <f t="shared" si="1044"/>
        <v>2</v>
      </c>
      <c r="Y912" t="str">
        <f t="shared" si="1096"/>
        <v>2</v>
      </c>
      <c r="Z912" t="str">
        <f t="shared" si="1096"/>
        <v>2</v>
      </c>
      <c r="AA912" t="str">
        <f t="shared" si="1091"/>
        <v xml:space="preserve">          </v>
      </c>
      <c r="AB912" t="str">
        <f t="shared" si="1085"/>
        <v>2</v>
      </c>
      <c r="AC912" t="str">
        <f t="shared" si="1086"/>
        <v>2</v>
      </c>
      <c r="AD912" t="str">
        <f t="shared" si="1099"/>
        <v>2</v>
      </c>
      <c r="AE912" t="str">
        <f t="shared" si="1099"/>
        <v>2</v>
      </c>
      <c r="AF912" t="str">
        <f t="shared" si="1099"/>
        <v>2</v>
      </c>
      <c r="AG912" t="str">
        <f t="shared" si="1099"/>
        <v>2</v>
      </c>
      <c r="AH912" t="str">
        <f t="shared" si="1073"/>
        <v>1</v>
      </c>
      <c r="AI912" t="str">
        <f>"1         "</f>
        <v xml:space="preserve">1         </v>
      </c>
      <c r="AJ912" t="str">
        <f t="shared" si="1107"/>
        <v>170</v>
      </c>
      <c r="AK912" t="str">
        <f>"76"</f>
        <v>76</v>
      </c>
      <c r="AL912" t="str">
        <f t="shared" si="1105"/>
        <v>001</v>
      </c>
      <c r="AM912" t="str">
        <f>"76"</f>
        <v>76</v>
      </c>
      <c r="AN912" t="str">
        <f>"76001"</f>
        <v>76001</v>
      </c>
      <c r="AO912" t="str">
        <f>"20/10/2020 12:00:00 a. m."</f>
        <v>20/10/2020 12:00:00 a. m.</v>
      </c>
      <c r="AP912" t="str">
        <f>"20/06/2020 12:00:00 a. m."</f>
        <v>20/06/2020 12:00:00 a. m.</v>
      </c>
      <c r="AQ912" t="str">
        <f>"2"</f>
        <v>2</v>
      </c>
      <c r="AR912" t="str">
        <f t="shared" si="1083"/>
        <v>1</v>
      </c>
      <c r="AS912" t="str">
        <f>"20/10/2020 12:00:00 a. m."</f>
        <v>20/10/2020 12:00:00 a. m.</v>
      </c>
      <c r="AT912" t="str">
        <f t="shared" si="1087"/>
        <v>1</v>
      </c>
      <c r="AU912" t="str">
        <f>""</f>
        <v/>
      </c>
      <c r="AV912" t="str">
        <f>"3"</f>
        <v>3</v>
      </c>
      <c r="AW912" t="str">
        <f>"29/04/2010 12:00:00 a. m."</f>
        <v>29/04/2010 12:00:00 a. m.</v>
      </c>
      <c r="AX912" t="str">
        <f>""</f>
        <v/>
      </c>
      <c r="AY912" t="str">
        <f t="shared" si="1092"/>
        <v>30/04/2021 12:00:00 a. m.</v>
      </c>
      <c r="AZ912" t="str">
        <f>"15/01/2021 12:00:00 a. m."</f>
        <v>15/01/2021 12:00:00 a. m.</v>
      </c>
      <c r="BA912" t="str">
        <f>""</f>
        <v/>
      </c>
      <c r="BB912" t="str">
        <f>""</f>
        <v/>
      </c>
      <c r="BC912" t="str">
        <f>""</f>
        <v/>
      </c>
      <c r="BD912" t="str">
        <f t="shared" si="1102"/>
        <v>1</v>
      </c>
      <c r="BE912" t="str">
        <f t="shared" si="1102"/>
        <v>1</v>
      </c>
      <c r="BF912" t="str">
        <f t="shared" si="1093"/>
        <v xml:space="preserve">3         </v>
      </c>
      <c r="BG912" t="str">
        <f t="shared" si="1094"/>
        <v>Confirmado por laboratorio</v>
      </c>
      <c r="BH912" t="str">
        <f>"FUNDACION VALLE DEL LILI"</f>
        <v>FUNDACION VALLE DEL LILI</v>
      </c>
      <c r="BI912" t="str">
        <f t="shared" si="1108"/>
        <v>COLOMBIA</v>
      </c>
      <c r="BJ912" t="str">
        <f t="shared" si="1095"/>
        <v>CANCER INFANTIL</v>
      </c>
      <c r="BK912" t="str">
        <f>"VALLE"</f>
        <v>VALLE</v>
      </c>
      <c r="BL912" t="str">
        <f>"BUENAVENTURA"</f>
        <v>BUENAVENTURA</v>
      </c>
      <c r="BM912" t="str">
        <f t="shared" si="1109"/>
        <v>COLOMBIA</v>
      </c>
      <c r="BN912" t="str">
        <f>"VALLE"</f>
        <v>VALLE</v>
      </c>
      <c r="BO912" t="str">
        <f>"CALI"</f>
        <v>CALI</v>
      </c>
      <c r="BP912" t="str">
        <f>"VALLE"</f>
        <v>VALLE</v>
      </c>
      <c r="BQ912" t="str">
        <f>"CALI"</f>
        <v>CALI</v>
      </c>
    </row>
    <row r="913" spans="1:69" x14ac:dyDescent="0.25">
      <c r="A913" t="str">
        <f>"7285615"</f>
        <v>7285615</v>
      </c>
      <c r="B913" t="str">
        <f t="shared" si="1088"/>
        <v>459</v>
      </c>
      <c r="C913" t="str">
        <f>"10/11/2020 12:00:00 a. m."</f>
        <v>10/11/2020 12:00:00 a. m.</v>
      </c>
      <c r="D913" t="str">
        <f>"31"</f>
        <v>31</v>
      </c>
      <c r="E913" t="str">
        <f t="shared" si="1089"/>
        <v>2020</v>
      </c>
      <c r="F913" t="str">
        <f>"7600101111"</f>
        <v>7600101111</v>
      </c>
      <c r="G913" t="str">
        <f t="shared" si="1101"/>
        <v>01</v>
      </c>
      <c r="H913" t="str">
        <f>"17"</f>
        <v>17</v>
      </c>
      <c r="I913" t="str">
        <f t="shared" si="1111"/>
        <v>1</v>
      </c>
      <c r="J913" t="str">
        <f>"F"</f>
        <v>F</v>
      </c>
      <c r="K913" t="str">
        <f t="shared" si="1106"/>
        <v>170</v>
      </c>
      <c r="L913" t="str">
        <f>"76"</f>
        <v>76</v>
      </c>
      <c r="M913" t="str">
        <f>"001"</f>
        <v>001</v>
      </c>
      <c r="N913" t="str">
        <f t="shared" si="1104"/>
        <v>1</v>
      </c>
      <c r="O913" t="str">
        <f>"9997"</f>
        <v>9997</v>
      </c>
      <c r="P913" t="str">
        <f>"C"</f>
        <v>C</v>
      </c>
      <c r="Q913" t="str">
        <f>"EMP028"</f>
        <v>EMP028</v>
      </c>
      <c r="R913" t="str">
        <f t="shared" ref="R913:R944" si="1112">"6"</f>
        <v>6</v>
      </c>
      <c r="S913" t="str">
        <f>""</f>
        <v/>
      </c>
      <c r="T913" t="str">
        <f t="shared" ref="T913:T944" si="1113">"                                                                                                    "</f>
        <v xml:space="preserve">                                                                                                    </v>
      </c>
      <c r="U913" t="str">
        <f>"6         "</f>
        <v xml:space="preserve">6         </v>
      </c>
      <c r="V913" t="str">
        <f t="shared" si="1075"/>
        <v>2</v>
      </c>
      <c r="W913" t="str">
        <f t="shared" ref="W913:W944" si="1114">"2"</f>
        <v>2</v>
      </c>
      <c r="X913" t="str">
        <f t="shared" si="1044"/>
        <v>2</v>
      </c>
      <c r="Y913" t="str">
        <f t="shared" si="1096"/>
        <v>2</v>
      </c>
      <c r="Z913" t="str">
        <f t="shared" si="1096"/>
        <v>2</v>
      </c>
      <c r="AA913" t="str">
        <f t="shared" si="1091"/>
        <v xml:space="preserve">          </v>
      </c>
      <c r="AB913" t="str">
        <f t="shared" si="1085"/>
        <v>2</v>
      </c>
      <c r="AC913" t="str">
        <f t="shared" si="1086"/>
        <v>2</v>
      </c>
      <c r="AD913" t="str">
        <f t="shared" si="1099"/>
        <v>2</v>
      </c>
      <c r="AE913" t="str">
        <f t="shared" si="1099"/>
        <v>2</v>
      </c>
      <c r="AF913" t="str">
        <f t="shared" si="1099"/>
        <v>2</v>
      </c>
      <c r="AG913" t="str">
        <f t="shared" si="1099"/>
        <v>2</v>
      </c>
      <c r="AH913" t="str">
        <f t="shared" ref="AH913:AH944" si="1115">"1"</f>
        <v>1</v>
      </c>
      <c r="AI913" t="str">
        <f>"1         "</f>
        <v xml:space="preserve">1         </v>
      </c>
      <c r="AJ913" t="str">
        <f t="shared" si="1107"/>
        <v>170</v>
      </c>
      <c r="AK913" t="str">
        <f>"76"</f>
        <v>76</v>
      </c>
      <c r="AL913" t="str">
        <f t="shared" si="1105"/>
        <v>001</v>
      </c>
      <c r="AM913" t="str">
        <f>"76"</f>
        <v>76</v>
      </c>
      <c r="AN913" t="str">
        <f>"76001"</f>
        <v>76001</v>
      </c>
      <c r="AO913" t="str">
        <f>"27/07/2020 12:00:00 a. m."</f>
        <v>27/07/2020 12:00:00 a. m.</v>
      </c>
      <c r="AP913" t="str">
        <f>"20/07/2020 12:00:00 a. m."</f>
        <v>20/07/2020 12:00:00 a. m.</v>
      </c>
      <c r="AQ913" t="str">
        <f>"3"</f>
        <v>3</v>
      </c>
      <c r="AR913" t="str">
        <f t="shared" si="1083"/>
        <v>1</v>
      </c>
      <c r="AS913" t="str">
        <f>"5/08/2020 12:00:00 a. m."</f>
        <v>5/08/2020 12:00:00 a. m.</v>
      </c>
      <c r="AT913" t="str">
        <f t="shared" si="1087"/>
        <v>1</v>
      </c>
      <c r="AU913" t="str">
        <f>""</f>
        <v/>
      </c>
      <c r="AV913" t="str">
        <f>"0"</f>
        <v>0</v>
      </c>
      <c r="AW913" t="str">
        <f>"28/02/2003 12:00:00 a. m."</f>
        <v>28/02/2003 12:00:00 a. m.</v>
      </c>
      <c r="AX913" t="str">
        <f>""</f>
        <v/>
      </c>
      <c r="AY913" t="str">
        <f t="shared" si="1092"/>
        <v>30/04/2021 12:00:00 a. m.</v>
      </c>
      <c r="AZ913" t="str">
        <f>"10/11/2020 12:00:00 a. m."</f>
        <v>10/11/2020 12:00:00 a. m.</v>
      </c>
      <c r="BA913" t="str">
        <f>""</f>
        <v/>
      </c>
      <c r="BB913" t="str">
        <f>""</f>
        <v/>
      </c>
      <c r="BC913" t="str">
        <f>""</f>
        <v/>
      </c>
      <c r="BD913" t="str">
        <f t="shared" si="1102"/>
        <v>1</v>
      </c>
      <c r="BE913" t="str">
        <f t="shared" si="1102"/>
        <v>1</v>
      </c>
      <c r="BF913" t="str">
        <f t="shared" si="1093"/>
        <v xml:space="preserve">3         </v>
      </c>
      <c r="BG913" t="str">
        <f t="shared" si="1094"/>
        <v>Confirmado por laboratorio</v>
      </c>
      <c r="BH913" t="str">
        <f>"CENTRO MEDICO IMBANACO CMI"</f>
        <v>CENTRO MEDICO IMBANACO CMI</v>
      </c>
      <c r="BI913" t="str">
        <f t="shared" si="1108"/>
        <v>COLOMBIA</v>
      </c>
      <c r="BJ913" t="str">
        <f t="shared" si="1095"/>
        <v>CANCER INFANTIL</v>
      </c>
      <c r="BK913" t="str">
        <f>"VALLE"</f>
        <v>VALLE</v>
      </c>
      <c r="BL913" t="str">
        <f>"CALI"</f>
        <v>CALI</v>
      </c>
      <c r="BM913" t="str">
        <f t="shared" si="1109"/>
        <v>COLOMBIA</v>
      </c>
      <c r="BN913" t="str">
        <f>"VALLE"</f>
        <v>VALLE</v>
      </c>
      <c r="BO913" t="str">
        <f>"CALI"</f>
        <v>CALI</v>
      </c>
      <c r="BP913" t="str">
        <f>"VALLE"</f>
        <v>VALLE</v>
      </c>
      <c r="BQ913" t="str">
        <f>"CALI"</f>
        <v>CALI</v>
      </c>
    </row>
    <row r="914" spans="1:69" x14ac:dyDescent="0.25">
      <c r="A914" t="str">
        <f>"7278852"</f>
        <v>7278852</v>
      </c>
      <c r="B914" t="str">
        <f t="shared" si="1088"/>
        <v>459</v>
      </c>
      <c r="C914" t="str">
        <f>"23/07/2020 12:00:00 a. m."</f>
        <v>23/07/2020 12:00:00 a. m.</v>
      </c>
      <c r="D914" t="str">
        <f>"29"</f>
        <v>29</v>
      </c>
      <c r="E914" t="str">
        <f t="shared" si="1089"/>
        <v>2020</v>
      </c>
      <c r="F914" t="str">
        <f>"1100108171"</f>
        <v>1100108171</v>
      </c>
      <c r="G914" t="str">
        <f>"02"</f>
        <v>02</v>
      </c>
      <c r="H914" t="str">
        <f>"14"</f>
        <v>14</v>
      </c>
      <c r="I914" t="str">
        <f t="shared" si="1111"/>
        <v>1</v>
      </c>
      <c r="J914" t="str">
        <f>"M"</f>
        <v>M</v>
      </c>
      <c r="K914" t="str">
        <f t="shared" si="1106"/>
        <v>170</v>
      </c>
      <c r="L914" t="str">
        <f>"11"</f>
        <v>11</v>
      </c>
      <c r="M914" t="str">
        <f>"001"</f>
        <v>001</v>
      </c>
      <c r="N914" t="str">
        <f t="shared" si="1104"/>
        <v>1</v>
      </c>
      <c r="O914" t="str">
        <f>"9997"</f>
        <v>9997</v>
      </c>
      <c r="P914" t="str">
        <f>"C"</f>
        <v>C</v>
      </c>
      <c r="Q914" t="str">
        <f>"EPS017"</f>
        <v>EPS017</v>
      </c>
      <c r="R914" t="str">
        <f t="shared" si="1112"/>
        <v>6</v>
      </c>
      <c r="S914" t="str">
        <f>""</f>
        <v/>
      </c>
      <c r="T914" t="str">
        <f t="shared" si="1113"/>
        <v xml:space="preserve">                                                                                                    </v>
      </c>
      <c r="U914" t="str">
        <f>"3         "</f>
        <v xml:space="preserve">3         </v>
      </c>
      <c r="V914" t="str">
        <f t="shared" si="1075"/>
        <v>2</v>
      </c>
      <c r="W914" t="str">
        <f t="shared" si="1114"/>
        <v>2</v>
      </c>
      <c r="X914" t="str">
        <f t="shared" si="1044"/>
        <v>2</v>
      </c>
      <c r="Y914" t="str">
        <f t="shared" si="1096"/>
        <v>2</v>
      </c>
      <c r="Z914" t="str">
        <f t="shared" si="1096"/>
        <v>2</v>
      </c>
      <c r="AA914" t="str">
        <f t="shared" si="1091"/>
        <v xml:space="preserve">          </v>
      </c>
      <c r="AB914" t="str">
        <f t="shared" si="1085"/>
        <v>2</v>
      </c>
      <c r="AC914" t="str">
        <f t="shared" si="1086"/>
        <v>2</v>
      </c>
      <c r="AD914" t="str">
        <f t="shared" si="1099"/>
        <v>2</v>
      </c>
      <c r="AE914" t="str">
        <f t="shared" si="1099"/>
        <v>2</v>
      </c>
      <c r="AF914" t="str">
        <f t="shared" si="1099"/>
        <v>2</v>
      </c>
      <c r="AG914" t="str">
        <f t="shared" si="1099"/>
        <v>2</v>
      </c>
      <c r="AH914" t="str">
        <f t="shared" si="1115"/>
        <v>1</v>
      </c>
      <c r="AI914" t="str">
        <f>"2         "</f>
        <v xml:space="preserve">2         </v>
      </c>
      <c r="AJ914" t="str">
        <f t="shared" si="1107"/>
        <v>170</v>
      </c>
      <c r="AK914" t="str">
        <f>"11"</f>
        <v>11</v>
      </c>
      <c r="AL914" t="str">
        <f t="shared" si="1105"/>
        <v>001</v>
      </c>
      <c r="AM914" t="str">
        <f>"11"</f>
        <v>11</v>
      </c>
      <c r="AN914" t="str">
        <f>"11001"</f>
        <v>11001</v>
      </c>
      <c r="AO914" t="str">
        <f>"17/07/2020 12:00:00 a. m."</f>
        <v>17/07/2020 12:00:00 a. m.</v>
      </c>
      <c r="AP914" t="str">
        <f>"10/06/2020 12:00:00 a. m."</f>
        <v>10/06/2020 12:00:00 a. m.</v>
      </c>
      <c r="AQ914" t="str">
        <f>"2"</f>
        <v>2</v>
      </c>
      <c r="AR914" t="str">
        <f t="shared" si="1083"/>
        <v>1</v>
      </c>
      <c r="AS914" t="str">
        <f>"17/07/2020 12:00:00 a. m."</f>
        <v>17/07/2020 12:00:00 a. m.</v>
      </c>
      <c r="AT914" t="str">
        <f t="shared" si="1087"/>
        <v>1</v>
      </c>
      <c r="AU914" t="str">
        <f>""</f>
        <v/>
      </c>
      <c r="AV914" t="str">
        <f>"3"</f>
        <v>3</v>
      </c>
      <c r="AW914" t="str">
        <f>"3/01/2006 12:00:00 a. m."</f>
        <v>3/01/2006 12:00:00 a. m.</v>
      </c>
      <c r="AX914" t="str">
        <f>""</f>
        <v/>
      </c>
      <c r="AY914" t="str">
        <f t="shared" si="1092"/>
        <v>30/04/2021 12:00:00 a. m.</v>
      </c>
      <c r="AZ914" t="str">
        <f>"6/08/2020 12:00:00 a. m."</f>
        <v>6/08/2020 12:00:00 a. m.</v>
      </c>
      <c r="BA914" t="str">
        <f>""</f>
        <v/>
      </c>
      <c r="BB914" t="str">
        <f>""</f>
        <v/>
      </c>
      <c r="BC914" t="str">
        <f>""</f>
        <v/>
      </c>
      <c r="BD914" t="str">
        <f t="shared" si="1102"/>
        <v>1</v>
      </c>
      <c r="BE914" t="str">
        <f t="shared" si="1102"/>
        <v>1</v>
      </c>
      <c r="BF914" t="str">
        <f t="shared" si="1093"/>
        <v xml:space="preserve">3         </v>
      </c>
      <c r="BG914" t="str">
        <f t="shared" si="1094"/>
        <v>Confirmado por laboratorio</v>
      </c>
      <c r="BH914" t="str">
        <f>"CLINICA INFANTIL COLSUBSIDIO"</f>
        <v>CLINICA INFANTIL COLSUBSIDIO</v>
      </c>
      <c r="BI914" t="str">
        <f t="shared" si="1108"/>
        <v>COLOMBIA</v>
      </c>
      <c r="BJ914" t="str">
        <f t="shared" si="1095"/>
        <v>CANCER INFANTIL</v>
      </c>
      <c r="BK914" t="str">
        <f t="shared" ref="BK914:BL916" si="1116">"BOGOTA"</f>
        <v>BOGOTA</v>
      </c>
      <c r="BL914" t="str">
        <f t="shared" si="1116"/>
        <v>BOGOTA</v>
      </c>
      <c r="BM914" t="str">
        <f t="shared" si="1109"/>
        <v>COLOMBIA</v>
      </c>
      <c r="BN914" t="str">
        <f t="shared" ref="BN914:BQ916" si="1117">"BOGOTA"</f>
        <v>BOGOTA</v>
      </c>
      <c r="BO914" t="str">
        <f t="shared" si="1117"/>
        <v>BOGOTA</v>
      </c>
      <c r="BP914" t="str">
        <f t="shared" si="1117"/>
        <v>BOGOTA</v>
      </c>
      <c r="BQ914" t="str">
        <f t="shared" si="1117"/>
        <v>BOGOTA</v>
      </c>
    </row>
    <row r="915" spans="1:69" x14ac:dyDescent="0.25">
      <c r="A915" t="str">
        <f>"7278855"</f>
        <v>7278855</v>
      </c>
      <c r="B915" t="str">
        <f t="shared" si="1088"/>
        <v>459</v>
      </c>
      <c r="C915" t="str">
        <f>"7/10/2020 12:00:00 a. m."</f>
        <v>7/10/2020 12:00:00 a. m.</v>
      </c>
      <c r="D915" t="str">
        <f>"41"</f>
        <v>41</v>
      </c>
      <c r="E915" t="str">
        <f t="shared" si="1089"/>
        <v>2020</v>
      </c>
      <c r="F915" t="str">
        <f>"1100108171"</f>
        <v>1100108171</v>
      </c>
      <c r="G915" t="str">
        <f>"02"</f>
        <v>02</v>
      </c>
      <c r="H915" t="str">
        <f>"16"</f>
        <v>16</v>
      </c>
      <c r="I915" t="str">
        <f t="shared" si="1111"/>
        <v>1</v>
      </c>
      <c r="J915" t="str">
        <f>"M"</f>
        <v>M</v>
      </c>
      <c r="K915" t="str">
        <f t="shared" si="1106"/>
        <v>170</v>
      </c>
      <c r="L915" t="str">
        <f>"11"</f>
        <v>11</v>
      </c>
      <c r="M915" t="str">
        <f>"001"</f>
        <v>001</v>
      </c>
      <c r="N915" t="str">
        <f t="shared" si="1104"/>
        <v>1</v>
      </c>
      <c r="O915" t="str">
        <f>"9997"</f>
        <v>9997</v>
      </c>
      <c r="P915" t="str">
        <f>"C"</f>
        <v>C</v>
      </c>
      <c r="Q915" t="str">
        <f>"EPS017"</f>
        <v>EPS017</v>
      </c>
      <c r="R915" t="str">
        <f t="shared" si="1112"/>
        <v>6</v>
      </c>
      <c r="S915" t="str">
        <f>""</f>
        <v/>
      </c>
      <c r="T915" t="str">
        <f t="shared" si="1113"/>
        <v xml:space="preserve">                                                                                                    </v>
      </c>
      <c r="U915" t="str">
        <f>"2         "</f>
        <v xml:space="preserve">2         </v>
      </c>
      <c r="V915" t="str">
        <f t="shared" si="1075"/>
        <v>2</v>
      </c>
      <c r="W915" t="str">
        <f t="shared" si="1114"/>
        <v>2</v>
      </c>
      <c r="X915" t="str">
        <f t="shared" si="1044"/>
        <v>2</v>
      </c>
      <c r="Y915" t="str">
        <f t="shared" si="1096"/>
        <v>2</v>
      </c>
      <c r="Z915" t="str">
        <f t="shared" si="1096"/>
        <v>2</v>
      </c>
      <c r="AA915" t="str">
        <f t="shared" si="1091"/>
        <v xml:space="preserve">          </v>
      </c>
      <c r="AB915" t="str">
        <f t="shared" si="1085"/>
        <v>2</v>
      </c>
      <c r="AC915" t="str">
        <f t="shared" si="1086"/>
        <v>2</v>
      </c>
      <c r="AD915" t="str">
        <f t="shared" si="1099"/>
        <v>2</v>
      </c>
      <c r="AE915" t="str">
        <f t="shared" si="1099"/>
        <v>2</v>
      </c>
      <c r="AF915" t="str">
        <f t="shared" si="1099"/>
        <v>2</v>
      </c>
      <c r="AG915" t="str">
        <f t="shared" si="1099"/>
        <v>2</v>
      </c>
      <c r="AH915" t="str">
        <f t="shared" si="1115"/>
        <v>1</v>
      </c>
      <c r="AI915" t="str">
        <f>"1         "</f>
        <v xml:space="preserve">1         </v>
      </c>
      <c r="AJ915" t="str">
        <f t="shared" si="1107"/>
        <v>170</v>
      </c>
      <c r="AK915" t="str">
        <f>"11"</f>
        <v>11</v>
      </c>
      <c r="AL915" t="str">
        <f t="shared" si="1105"/>
        <v>001</v>
      </c>
      <c r="AM915" t="str">
        <f>"11"</f>
        <v>11</v>
      </c>
      <c r="AN915" t="str">
        <f>"11001"</f>
        <v>11001</v>
      </c>
      <c r="AO915" t="str">
        <f>"7/10/2020 12:00:00 a. m."</f>
        <v>7/10/2020 12:00:00 a. m.</v>
      </c>
      <c r="AP915" t="str">
        <f>"18/09/2020 12:00:00 a. m."</f>
        <v>18/09/2020 12:00:00 a. m.</v>
      </c>
      <c r="AQ915" t="str">
        <f>"2"</f>
        <v>2</v>
      </c>
      <c r="AR915" t="str">
        <f t="shared" si="1083"/>
        <v>1</v>
      </c>
      <c r="AS915" t="str">
        <f>"7/10/2020 12:00:00 a. m."</f>
        <v>7/10/2020 12:00:00 a. m.</v>
      </c>
      <c r="AT915" t="str">
        <f t="shared" si="1087"/>
        <v>1</v>
      </c>
      <c r="AU915" t="str">
        <f>""</f>
        <v/>
      </c>
      <c r="AV915" t="str">
        <f>"3"</f>
        <v>3</v>
      </c>
      <c r="AW915" t="str">
        <f>"20/09/2004 12:00:00 a. m."</f>
        <v>20/09/2004 12:00:00 a. m.</v>
      </c>
      <c r="AX915" t="str">
        <f>""</f>
        <v/>
      </c>
      <c r="AY915" t="str">
        <f t="shared" si="1092"/>
        <v>30/04/2021 12:00:00 a. m.</v>
      </c>
      <c r="AZ915" t="str">
        <f>"23/10/2020 12:00:00 a. m."</f>
        <v>23/10/2020 12:00:00 a. m.</v>
      </c>
      <c r="BA915" t="str">
        <f>""</f>
        <v/>
      </c>
      <c r="BB915" t="str">
        <f>""</f>
        <v/>
      </c>
      <c r="BC915" t="str">
        <f>""</f>
        <v/>
      </c>
      <c r="BD915" t="str">
        <f t="shared" si="1102"/>
        <v>1</v>
      </c>
      <c r="BE915" t="str">
        <f t="shared" si="1102"/>
        <v>1</v>
      </c>
      <c r="BF915" t="str">
        <f t="shared" si="1093"/>
        <v xml:space="preserve">3         </v>
      </c>
      <c r="BG915" t="str">
        <f t="shared" si="1094"/>
        <v>Confirmado por laboratorio</v>
      </c>
      <c r="BH915" t="str">
        <f>"CLINICA INFANTIL COLSUBSIDIO"</f>
        <v>CLINICA INFANTIL COLSUBSIDIO</v>
      </c>
      <c r="BI915" t="str">
        <f t="shared" si="1108"/>
        <v>COLOMBIA</v>
      </c>
      <c r="BJ915" t="str">
        <f t="shared" si="1095"/>
        <v>CANCER INFANTIL</v>
      </c>
      <c r="BK915" t="str">
        <f t="shared" si="1116"/>
        <v>BOGOTA</v>
      </c>
      <c r="BL915" t="str">
        <f t="shared" si="1116"/>
        <v>BOGOTA</v>
      </c>
      <c r="BM915" t="str">
        <f t="shared" si="1109"/>
        <v>COLOMBIA</v>
      </c>
      <c r="BN915" t="str">
        <f t="shared" si="1117"/>
        <v>BOGOTA</v>
      </c>
      <c r="BO915" t="str">
        <f t="shared" si="1117"/>
        <v>BOGOTA</v>
      </c>
      <c r="BP915" t="str">
        <f t="shared" si="1117"/>
        <v>BOGOTA</v>
      </c>
      <c r="BQ915" t="str">
        <f t="shared" si="1117"/>
        <v>BOGOTA</v>
      </c>
    </row>
    <row r="916" spans="1:69" x14ac:dyDescent="0.25">
      <c r="A916" t="str">
        <f>"7278870"</f>
        <v>7278870</v>
      </c>
      <c r="B916" t="str">
        <f t="shared" si="1088"/>
        <v>459</v>
      </c>
      <c r="C916" t="str">
        <f>"2/09/2020 12:00:00 a. m."</f>
        <v>2/09/2020 12:00:00 a. m.</v>
      </c>
      <c r="D916" t="str">
        <f>"36"</f>
        <v>36</v>
      </c>
      <c r="E916" t="str">
        <f t="shared" si="1089"/>
        <v>2020</v>
      </c>
      <c r="F916" t="str">
        <f>"1100108171"</f>
        <v>1100108171</v>
      </c>
      <c r="G916" t="str">
        <f>"02"</f>
        <v>02</v>
      </c>
      <c r="H916" t="str">
        <f>"16"</f>
        <v>16</v>
      </c>
      <c r="I916" t="str">
        <f t="shared" si="1111"/>
        <v>1</v>
      </c>
      <c r="J916" t="str">
        <f>"F"</f>
        <v>F</v>
      </c>
      <c r="K916" t="str">
        <f t="shared" si="1106"/>
        <v>170</v>
      </c>
      <c r="L916" t="str">
        <f>"11"</f>
        <v>11</v>
      </c>
      <c r="M916" t="str">
        <f>"001"</f>
        <v>001</v>
      </c>
      <c r="N916" t="str">
        <f t="shared" si="1104"/>
        <v>1</v>
      </c>
      <c r="O916" t="str">
        <f>"9997"</f>
        <v>9997</v>
      </c>
      <c r="P916" t="str">
        <f>"C"</f>
        <v>C</v>
      </c>
      <c r="Q916" t="str">
        <f>"EPS017"</f>
        <v>EPS017</v>
      </c>
      <c r="R916" t="str">
        <f t="shared" si="1112"/>
        <v>6</v>
      </c>
      <c r="S916" t="str">
        <f>""</f>
        <v/>
      </c>
      <c r="T916" t="str">
        <f t="shared" si="1113"/>
        <v xml:space="preserve">                                                                                                    </v>
      </c>
      <c r="U916" t="str">
        <f>"1         "</f>
        <v xml:space="preserve">1         </v>
      </c>
      <c r="V916" t="str">
        <f t="shared" si="1075"/>
        <v>2</v>
      </c>
      <c r="W916" t="str">
        <f t="shared" si="1114"/>
        <v>2</v>
      </c>
      <c r="X916" t="str">
        <f t="shared" si="1044"/>
        <v>2</v>
      </c>
      <c r="Y916" t="str">
        <f t="shared" si="1096"/>
        <v>2</v>
      </c>
      <c r="Z916" t="str">
        <f t="shared" si="1096"/>
        <v>2</v>
      </c>
      <c r="AA916" t="str">
        <f t="shared" si="1091"/>
        <v xml:space="preserve">          </v>
      </c>
      <c r="AB916" t="str">
        <f t="shared" si="1085"/>
        <v>2</v>
      </c>
      <c r="AC916" t="str">
        <f t="shared" si="1086"/>
        <v>2</v>
      </c>
      <c r="AD916" t="str">
        <f t="shared" si="1099"/>
        <v>2</v>
      </c>
      <c r="AE916" t="str">
        <f t="shared" si="1099"/>
        <v>2</v>
      </c>
      <c r="AF916" t="str">
        <f t="shared" si="1099"/>
        <v>2</v>
      </c>
      <c r="AG916" t="str">
        <f t="shared" si="1099"/>
        <v>2</v>
      </c>
      <c r="AH916" t="str">
        <f t="shared" si="1115"/>
        <v>1</v>
      </c>
      <c r="AI916" t="str">
        <f>"1         "</f>
        <v xml:space="preserve">1         </v>
      </c>
      <c r="AJ916" t="str">
        <f t="shared" si="1107"/>
        <v>170</v>
      </c>
      <c r="AK916" t="str">
        <f>"11"</f>
        <v>11</v>
      </c>
      <c r="AL916" t="str">
        <f t="shared" si="1105"/>
        <v>001</v>
      </c>
      <c r="AM916" t="str">
        <f>"11"</f>
        <v>11</v>
      </c>
      <c r="AN916" t="str">
        <f>"11001"</f>
        <v>11001</v>
      </c>
      <c r="AO916" t="str">
        <f>"1/09/2020 12:00:00 a. m."</f>
        <v>1/09/2020 12:00:00 a. m.</v>
      </c>
      <c r="AP916" t="str">
        <f>"31/08/2020 12:00:00 a. m."</f>
        <v>31/08/2020 12:00:00 a. m.</v>
      </c>
      <c r="AQ916" t="str">
        <f>"2"</f>
        <v>2</v>
      </c>
      <c r="AR916" t="str">
        <f t="shared" si="1083"/>
        <v>1</v>
      </c>
      <c r="AS916" t="str">
        <f>"1/09/2020 12:00:00 a. m."</f>
        <v>1/09/2020 12:00:00 a. m.</v>
      </c>
      <c r="AT916" t="str">
        <f t="shared" si="1087"/>
        <v>1</v>
      </c>
      <c r="AU916" t="str">
        <f>""</f>
        <v/>
      </c>
      <c r="AV916" t="str">
        <f>"3"</f>
        <v>3</v>
      </c>
      <c r="AW916" t="str">
        <f>"23/10/2003 12:00:00 a. m."</f>
        <v>23/10/2003 12:00:00 a. m.</v>
      </c>
      <c r="AX916" t="str">
        <f>""</f>
        <v/>
      </c>
      <c r="AY916" t="str">
        <f t="shared" si="1092"/>
        <v>30/04/2021 12:00:00 a. m.</v>
      </c>
      <c r="AZ916" t="str">
        <f>"5/10/2020 12:00:00 a. m."</f>
        <v>5/10/2020 12:00:00 a. m.</v>
      </c>
      <c r="BA916" t="str">
        <f>""</f>
        <v/>
      </c>
      <c r="BB916" t="str">
        <f>""</f>
        <v/>
      </c>
      <c r="BC916" t="str">
        <f>""</f>
        <v/>
      </c>
      <c r="BD916" t="str">
        <f t="shared" si="1102"/>
        <v>1</v>
      </c>
      <c r="BE916" t="str">
        <f t="shared" si="1102"/>
        <v>1</v>
      </c>
      <c r="BF916" t="str">
        <f t="shared" si="1093"/>
        <v xml:space="preserve">3         </v>
      </c>
      <c r="BG916" t="str">
        <f t="shared" si="1094"/>
        <v>Confirmado por laboratorio</v>
      </c>
      <c r="BH916" t="str">
        <f>"CLINICA INFANTIL COLSUBSIDIO"</f>
        <v>CLINICA INFANTIL COLSUBSIDIO</v>
      </c>
      <c r="BI916" t="str">
        <f t="shared" si="1108"/>
        <v>COLOMBIA</v>
      </c>
      <c r="BJ916" t="str">
        <f t="shared" si="1095"/>
        <v>CANCER INFANTIL</v>
      </c>
      <c r="BK916" t="str">
        <f t="shared" si="1116"/>
        <v>BOGOTA</v>
      </c>
      <c r="BL916" t="str">
        <f t="shared" si="1116"/>
        <v>BOGOTA</v>
      </c>
      <c r="BM916" t="str">
        <f t="shared" si="1109"/>
        <v>COLOMBIA</v>
      </c>
      <c r="BN916" t="str">
        <f t="shared" si="1117"/>
        <v>BOGOTA</v>
      </c>
      <c r="BO916" t="str">
        <f t="shared" si="1117"/>
        <v>BOGOTA</v>
      </c>
      <c r="BP916" t="str">
        <f t="shared" si="1117"/>
        <v>BOGOTA</v>
      </c>
      <c r="BQ916" t="str">
        <f t="shared" si="1117"/>
        <v>BOGOTA</v>
      </c>
    </row>
    <row r="917" spans="1:69" x14ac:dyDescent="0.25">
      <c r="A917" t="str">
        <f>"7291400"</f>
        <v>7291400</v>
      </c>
      <c r="B917" t="str">
        <f t="shared" si="1088"/>
        <v>459</v>
      </c>
      <c r="C917" t="str">
        <f>"24/01/2020 12:00:00 a. m."</f>
        <v>24/01/2020 12:00:00 a. m.</v>
      </c>
      <c r="D917" t="str">
        <f>"03"</f>
        <v>03</v>
      </c>
      <c r="E917" t="str">
        <f t="shared" si="1089"/>
        <v>2020</v>
      </c>
      <c r="F917" t="str">
        <f>"6854704947"</f>
        <v>6854704947</v>
      </c>
      <c r="G917" t="str">
        <f t="shared" ref="G917:G924" si="1118">"01"</f>
        <v>01</v>
      </c>
      <c r="H917" t="str">
        <f>"2"</f>
        <v>2</v>
      </c>
      <c r="I917" t="str">
        <f t="shared" si="1111"/>
        <v>1</v>
      </c>
      <c r="J917" t="str">
        <f>"F"</f>
        <v>F</v>
      </c>
      <c r="K917" t="str">
        <f t="shared" si="1106"/>
        <v>170</v>
      </c>
      <c r="L917" t="str">
        <f>"73"</f>
        <v>73</v>
      </c>
      <c r="M917" t="str">
        <f>"624"</f>
        <v>624</v>
      </c>
      <c r="N917" t="str">
        <f>"3"</f>
        <v>3</v>
      </c>
      <c r="O917" t="str">
        <f>"9999"</f>
        <v>9999</v>
      </c>
      <c r="P917" t="str">
        <f>"S"</f>
        <v>S</v>
      </c>
      <c r="Q917" t="str">
        <f>"EPSS41"</f>
        <v>EPSS41</v>
      </c>
      <c r="R917" t="str">
        <f t="shared" si="1112"/>
        <v>6</v>
      </c>
      <c r="S917" t="str">
        <f>""</f>
        <v/>
      </c>
      <c r="T917" t="str">
        <f t="shared" si="1113"/>
        <v xml:space="preserve">                                                                                                    </v>
      </c>
      <c r="U917" t="str">
        <f>"1         "</f>
        <v xml:space="preserve">1         </v>
      </c>
      <c r="V917" t="str">
        <f t="shared" si="1075"/>
        <v>2</v>
      </c>
      <c r="W917" t="str">
        <f t="shared" si="1114"/>
        <v>2</v>
      </c>
      <c r="X917" t="str">
        <f t="shared" si="1044"/>
        <v>2</v>
      </c>
      <c r="Y917" t="str">
        <f t="shared" si="1096"/>
        <v>2</v>
      </c>
      <c r="Z917" t="str">
        <f t="shared" si="1096"/>
        <v>2</v>
      </c>
      <c r="AA917" t="str">
        <f t="shared" si="1091"/>
        <v xml:space="preserve">          </v>
      </c>
      <c r="AB917" t="str">
        <f t="shared" si="1085"/>
        <v>2</v>
      </c>
      <c r="AC917" t="str">
        <f t="shared" si="1086"/>
        <v>2</v>
      </c>
      <c r="AD917" t="str">
        <f t="shared" si="1099"/>
        <v>2</v>
      </c>
      <c r="AE917" t="str">
        <f t="shared" si="1099"/>
        <v>2</v>
      </c>
      <c r="AF917" t="str">
        <f t="shared" si="1099"/>
        <v>2</v>
      </c>
      <c r="AG917" t="str">
        <f t="shared" si="1099"/>
        <v>2</v>
      </c>
      <c r="AH917" t="str">
        <f t="shared" si="1115"/>
        <v>1</v>
      </c>
      <c r="AI917" t="str">
        <f>"1         "</f>
        <v xml:space="preserve">1         </v>
      </c>
      <c r="AJ917" t="str">
        <f t="shared" si="1107"/>
        <v>170</v>
      </c>
      <c r="AK917" t="str">
        <f>"73"</f>
        <v>73</v>
      </c>
      <c r="AL917" t="str">
        <f>"624"</f>
        <v>624</v>
      </c>
      <c r="AM917" t="str">
        <f>"68"</f>
        <v>68</v>
      </c>
      <c r="AN917" t="str">
        <f>"68547"</f>
        <v>68547</v>
      </c>
      <c r="AO917" t="str">
        <f>"13/01/2020 12:00:00 a. m."</f>
        <v>13/01/2020 12:00:00 a. m.</v>
      </c>
      <c r="AP917" t="str">
        <f>"10/01/2020 12:00:00 a. m."</f>
        <v>10/01/2020 12:00:00 a. m.</v>
      </c>
      <c r="AQ917" t="str">
        <f>"3"</f>
        <v>3</v>
      </c>
      <c r="AR917" t="str">
        <f t="shared" si="1083"/>
        <v>1</v>
      </c>
      <c r="AS917" t="str">
        <f>"14/01/2020 12:00:00 a. m."</f>
        <v>14/01/2020 12:00:00 a. m.</v>
      </c>
      <c r="AT917" t="str">
        <f t="shared" si="1087"/>
        <v>1</v>
      </c>
      <c r="AU917" t="str">
        <f>""</f>
        <v/>
      </c>
      <c r="AV917" t="str">
        <f>"0"</f>
        <v>0</v>
      </c>
      <c r="AW917" t="str">
        <f>"6/12/2017 12:00:00 a. m."</f>
        <v>6/12/2017 12:00:00 a. m.</v>
      </c>
      <c r="AX917" t="str">
        <f>""</f>
        <v/>
      </c>
      <c r="AY917" t="str">
        <f t="shared" si="1092"/>
        <v>30/04/2021 12:00:00 a. m.</v>
      </c>
      <c r="AZ917" t="str">
        <f>"24/01/2020 12:00:00 a. m."</f>
        <v>24/01/2020 12:00:00 a. m.</v>
      </c>
      <c r="BA917" t="str">
        <f>""</f>
        <v/>
      </c>
      <c r="BB917" t="str">
        <f>""</f>
        <v/>
      </c>
      <c r="BC917" t="str">
        <f>""</f>
        <v/>
      </c>
      <c r="BD917" t="str">
        <f t="shared" si="1102"/>
        <v>1</v>
      </c>
      <c r="BE917" t="str">
        <f t="shared" si="1102"/>
        <v>1</v>
      </c>
      <c r="BF917" t="str">
        <f t="shared" si="1093"/>
        <v xml:space="preserve">3         </v>
      </c>
      <c r="BG917" t="str">
        <f t="shared" si="1094"/>
        <v>Confirmado por laboratorio</v>
      </c>
      <c r="BH917" t="str">
        <f>"HOSPITAL INTERNACIONAL DE COLOMBIA"</f>
        <v>HOSPITAL INTERNACIONAL DE COLOMBIA</v>
      </c>
      <c r="BI917" t="str">
        <f t="shared" si="1108"/>
        <v>COLOMBIA</v>
      </c>
      <c r="BJ917" t="str">
        <f t="shared" si="1095"/>
        <v>CANCER INFANTIL</v>
      </c>
      <c r="BK917" t="str">
        <f>"TOLIMA"</f>
        <v>TOLIMA</v>
      </c>
      <c r="BL917" t="str">
        <f>"ROVIRA"</f>
        <v>ROVIRA</v>
      </c>
      <c r="BM917" t="str">
        <f t="shared" si="1109"/>
        <v>COLOMBIA</v>
      </c>
      <c r="BN917" t="str">
        <f>"TOLIMA"</f>
        <v>TOLIMA</v>
      </c>
      <c r="BO917" t="str">
        <f>"ROVIRA"</f>
        <v>ROVIRA</v>
      </c>
      <c r="BP917" t="str">
        <f>"SANTANDER"</f>
        <v>SANTANDER</v>
      </c>
      <c r="BQ917" t="str">
        <f>"PIEDECUESTA"</f>
        <v>PIEDECUESTA</v>
      </c>
    </row>
    <row r="918" spans="1:69" x14ac:dyDescent="0.25">
      <c r="A918" t="str">
        <f>"7291382"</f>
        <v>7291382</v>
      </c>
      <c r="B918" t="str">
        <f t="shared" si="1088"/>
        <v>459</v>
      </c>
      <c r="C918" t="str">
        <f>"20/10/2020 12:00:00 a. m."</f>
        <v>20/10/2020 12:00:00 a. m.</v>
      </c>
      <c r="D918" t="str">
        <f>"39"</f>
        <v>39</v>
      </c>
      <c r="E918" t="str">
        <f t="shared" si="1089"/>
        <v>2020</v>
      </c>
      <c r="F918" t="str">
        <f>"1100105681"</f>
        <v>1100105681</v>
      </c>
      <c r="G918" t="str">
        <f t="shared" si="1118"/>
        <v>01</v>
      </c>
      <c r="H918" t="str">
        <f>"14"</f>
        <v>14</v>
      </c>
      <c r="I918" t="str">
        <f t="shared" si="1111"/>
        <v>1</v>
      </c>
      <c r="J918" t="str">
        <f>"M"</f>
        <v>M</v>
      </c>
      <c r="K918" t="str">
        <f t="shared" si="1106"/>
        <v>170</v>
      </c>
      <c r="L918" t="str">
        <f>"25"</f>
        <v>25</v>
      </c>
      <c r="M918" t="str">
        <f>"430"</f>
        <v>430</v>
      </c>
      <c r="N918" t="str">
        <f>"1"</f>
        <v>1</v>
      </c>
      <c r="O918" t="str">
        <f>"9997"</f>
        <v>9997</v>
      </c>
      <c r="P918" t="str">
        <f>"C"</f>
        <v>C</v>
      </c>
      <c r="Q918" t="str">
        <f>"EPS017"</f>
        <v>EPS017</v>
      </c>
      <c r="R918" t="str">
        <f t="shared" si="1112"/>
        <v>6</v>
      </c>
      <c r="S918" t="str">
        <f>""</f>
        <v/>
      </c>
      <c r="T918" t="str">
        <f t="shared" si="1113"/>
        <v xml:space="preserve">                                                                                                    </v>
      </c>
      <c r="U918" t="str">
        <f>"2         "</f>
        <v xml:space="preserve">2         </v>
      </c>
      <c r="V918" t="str">
        <f t="shared" si="1075"/>
        <v>2</v>
      </c>
      <c r="W918" t="str">
        <f t="shared" si="1114"/>
        <v>2</v>
      </c>
      <c r="X918" t="str">
        <f t="shared" si="1044"/>
        <v>2</v>
      </c>
      <c r="Y918" t="str">
        <f t="shared" si="1096"/>
        <v>2</v>
      </c>
      <c r="Z918" t="str">
        <f t="shared" si="1096"/>
        <v>2</v>
      </c>
      <c r="AA918" t="str">
        <f t="shared" si="1091"/>
        <v xml:space="preserve">          </v>
      </c>
      <c r="AB918" t="str">
        <f t="shared" si="1085"/>
        <v>2</v>
      </c>
      <c r="AC918" t="str">
        <f t="shared" si="1086"/>
        <v>2</v>
      </c>
      <c r="AD918" t="str">
        <f t="shared" si="1099"/>
        <v>2</v>
      </c>
      <c r="AE918" t="str">
        <f t="shared" si="1099"/>
        <v>2</v>
      </c>
      <c r="AF918" t="str">
        <f t="shared" si="1099"/>
        <v>2</v>
      </c>
      <c r="AG918" t="str">
        <f t="shared" si="1099"/>
        <v>2</v>
      </c>
      <c r="AH918" t="str">
        <f t="shared" si="1115"/>
        <v>1</v>
      </c>
      <c r="AI918" t="str">
        <f>"2         "</f>
        <v xml:space="preserve">2         </v>
      </c>
      <c r="AJ918" t="str">
        <f t="shared" si="1107"/>
        <v>170</v>
      </c>
      <c r="AK918" t="str">
        <f>"25"</f>
        <v>25</v>
      </c>
      <c r="AL918" t="str">
        <f>"430"</f>
        <v>430</v>
      </c>
      <c r="AM918" t="str">
        <f>"11"</f>
        <v>11</v>
      </c>
      <c r="AN918" t="str">
        <f>"11001"</f>
        <v>11001</v>
      </c>
      <c r="AO918" t="str">
        <f>"22/09/2020 12:00:00 a. m."</f>
        <v>22/09/2020 12:00:00 a. m.</v>
      </c>
      <c r="AP918" t="str">
        <f>"22/08/2020 12:00:00 a. m."</f>
        <v>22/08/2020 12:00:00 a. m.</v>
      </c>
      <c r="AQ918" t="str">
        <f>"3"</f>
        <v>3</v>
      </c>
      <c r="AR918" t="str">
        <f t="shared" si="1083"/>
        <v>1</v>
      </c>
      <c r="AS918" t="str">
        <f>"22/09/2020 12:00:00 a. m."</f>
        <v>22/09/2020 12:00:00 a. m.</v>
      </c>
      <c r="AT918" t="str">
        <f t="shared" si="1087"/>
        <v>1</v>
      </c>
      <c r="AU918" t="str">
        <f>""</f>
        <v/>
      </c>
      <c r="AV918" t="str">
        <f>"0"</f>
        <v>0</v>
      </c>
      <c r="AW918" t="str">
        <f>"9/05/2006 12:00:00 a. m."</f>
        <v>9/05/2006 12:00:00 a. m.</v>
      </c>
      <c r="AX918" t="str">
        <f>""</f>
        <v/>
      </c>
      <c r="AY918" t="str">
        <f t="shared" si="1092"/>
        <v>30/04/2021 12:00:00 a. m.</v>
      </c>
      <c r="AZ918" t="str">
        <f>"15/12/2020 12:00:00 a. m."</f>
        <v>15/12/2020 12:00:00 a. m.</v>
      </c>
      <c r="BA918" t="str">
        <f>""</f>
        <v/>
      </c>
      <c r="BB918" t="str">
        <f>""</f>
        <v/>
      </c>
      <c r="BC918" t="str">
        <f>""</f>
        <v/>
      </c>
      <c r="BD918" t="str">
        <f t="shared" si="1102"/>
        <v>1</v>
      </c>
      <c r="BE918" t="str">
        <f t="shared" si="1102"/>
        <v>1</v>
      </c>
      <c r="BF918" t="str">
        <f t="shared" si="1093"/>
        <v xml:space="preserve">3         </v>
      </c>
      <c r="BG918" t="str">
        <f t="shared" si="1094"/>
        <v>Confirmado por laboratorio</v>
      </c>
      <c r="BH918" t="str">
        <f>"FUNDACION HOSPITAL DE LA MISERICORDIA"</f>
        <v>FUNDACION HOSPITAL DE LA MISERICORDIA</v>
      </c>
      <c r="BI918" t="str">
        <f t="shared" si="1108"/>
        <v>COLOMBIA</v>
      </c>
      <c r="BJ918" t="str">
        <f t="shared" si="1095"/>
        <v>CANCER INFANTIL</v>
      </c>
      <c r="BK918" t="str">
        <f>"CUNDINAMARCA"</f>
        <v>CUNDINAMARCA</v>
      </c>
      <c r="BL918" t="str">
        <f>"MADRID"</f>
        <v>MADRID</v>
      </c>
      <c r="BM918" t="str">
        <f t="shared" si="1109"/>
        <v>COLOMBIA</v>
      </c>
      <c r="BN918" t="str">
        <f>"CUNDINAMARCA"</f>
        <v>CUNDINAMARCA</v>
      </c>
      <c r="BO918" t="str">
        <f>"MADRID"</f>
        <v>MADRID</v>
      </c>
      <c r="BP918" t="str">
        <f>"BOGOTA"</f>
        <v>BOGOTA</v>
      </c>
      <c r="BQ918" t="str">
        <f>"BOGOTA"</f>
        <v>BOGOTA</v>
      </c>
    </row>
    <row r="919" spans="1:69" x14ac:dyDescent="0.25">
      <c r="A919" t="str">
        <f>"7278764"</f>
        <v>7278764</v>
      </c>
      <c r="B919" t="str">
        <f t="shared" si="1088"/>
        <v>459</v>
      </c>
      <c r="C919" t="str">
        <f>"12/06/2020 12:00:00 a. m."</f>
        <v>12/06/2020 12:00:00 a. m.</v>
      </c>
      <c r="D919" t="str">
        <f>"18"</f>
        <v>18</v>
      </c>
      <c r="E919" t="str">
        <f t="shared" si="1089"/>
        <v>2020</v>
      </c>
      <c r="F919" t="str">
        <f>"7600102870"</f>
        <v>7600102870</v>
      </c>
      <c r="G919" t="str">
        <f t="shared" si="1118"/>
        <v>01</v>
      </c>
      <c r="H919" t="str">
        <f>"15"</f>
        <v>15</v>
      </c>
      <c r="I919" t="str">
        <f t="shared" si="1111"/>
        <v>1</v>
      </c>
      <c r="J919" t="str">
        <f>"F"</f>
        <v>F</v>
      </c>
      <c r="K919" t="str">
        <f t="shared" si="1106"/>
        <v>170</v>
      </c>
      <c r="L919" t="str">
        <f>"52"</f>
        <v>52</v>
      </c>
      <c r="M919" t="str">
        <f>"001"</f>
        <v>001</v>
      </c>
      <c r="N919" t="str">
        <f>"1"</f>
        <v>1</v>
      </c>
      <c r="O919" t="str">
        <f>"9999"</f>
        <v>9999</v>
      </c>
      <c r="P919" t="str">
        <f>"C"</f>
        <v>C</v>
      </c>
      <c r="Q919" t="str">
        <f>"EPS037"</f>
        <v>EPS037</v>
      </c>
      <c r="R919" t="str">
        <f t="shared" si="1112"/>
        <v>6</v>
      </c>
      <c r="S919" t="str">
        <f>""</f>
        <v/>
      </c>
      <c r="T919" t="str">
        <f t="shared" si="1113"/>
        <v xml:space="preserve">                                                                                                    </v>
      </c>
      <c r="U919" t="str">
        <f>"          "</f>
        <v xml:space="preserve">          </v>
      </c>
      <c r="V919" t="str">
        <f t="shared" si="1075"/>
        <v>2</v>
      </c>
      <c r="W919" t="str">
        <f t="shared" si="1114"/>
        <v>2</v>
      </c>
      <c r="X919" t="str">
        <f t="shared" si="1044"/>
        <v>2</v>
      </c>
      <c r="Y919" t="str">
        <f t="shared" ref="Y919:Z938" si="1119">"2"</f>
        <v>2</v>
      </c>
      <c r="Z919" t="str">
        <f t="shared" si="1119"/>
        <v>2</v>
      </c>
      <c r="AA919" t="str">
        <f t="shared" si="1091"/>
        <v xml:space="preserve">          </v>
      </c>
      <c r="AB919" t="str">
        <f t="shared" si="1085"/>
        <v>2</v>
      </c>
      <c r="AC919" t="str">
        <f t="shared" si="1086"/>
        <v>2</v>
      </c>
      <c r="AD919" t="str">
        <f t="shared" si="1099"/>
        <v>2</v>
      </c>
      <c r="AE919" t="str">
        <f t="shared" si="1099"/>
        <v>2</v>
      </c>
      <c r="AF919" t="str">
        <f t="shared" si="1099"/>
        <v>2</v>
      </c>
      <c r="AG919" t="str">
        <f t="shared" si="1099"/>
        <v>2</v>
      </c>
      <c r="AH919" t="str">
        <f t="shared" si="1115"/>
        <v>1</v>
      </c>
      <c r="AI919" t="str">
        <f t="shared" ref="AI919:AI927" si="1120">"1         "</f>
        <v xml:space="preserve">1         </v>
      </c>
      <c r="AJ919" t="str">
        <f t="shared" si="1107"/>
        <v>170</v>
      </c>
      <c r="AK919" t="str">
        <f>"52"</f>
        <v>52</v>
      </c>
      <c r="AL919" t="str">
        <f>"001"</f>
        <v>001</v>
      </c>
      <c r="AM919" t="str">
        <f>"76"</f>
        <v>76</v>
      </c>
      <c r="AN919" t="str">
        <f>"76001"</f>
        <v>76001</v>
      </c>
      <c r="AO919" t="str">
        <f>"26/04/2020 12:00:00 a. m."</f>
        <v>26/04/2020 12:00:00 a. m.</v>
      </c>
      <c r="AP919" t="str">
        <f>"16/04/2020 12:00:00 a. m."</f>
        <v>16/04/2020 12:00:00 a. m.</v>
      </c>
      <c r="AQ919" t="str">
        <f>"3"</f>
        <v>3</v>
      </c>
      <c r="AR919" t="str">
        <f t="shared" si="1083"/>
        <v>1</v>
      </c>
      <c r="AS919" t="str">
        <f>"26/04/2020 12:00:00 a. m."</f>
        <v>26/04/2020 12:00:00 a. m.</v>
      </c>
      <c r="AT919" t="str">
        <f t="shared" si="1087"/>
        <v>1</v>
      </c>
      <c r="AU919" t="str">
        <f>""</f>
        <v/>
      </c>
      <c r="AV919" t="str">
        <f>"0"</f>
        <v>0</v>
      </c>
      <c r="AW919" t="str">
        <f>"18/08/2004 12:00:00 a. m."</f>
        <v>18/08/2004 12:00:00 a. m.</v>
      </c>
      <c r="AX919" t="str">
        <f>""</f>
        <v/>
      </c>
      <c r="AY919" t="str">
        <f t="shared" si="1092"/>
        <v>30/04/2021 12:00:00 a. m.</v>
      </c>
      <c r="AZ919" t="str">
        <f>"12/06/2020 12:00:00 a. m."</f>
        <v>12/06/2020 12:00:00 a. m.</v>
      </c>
      <c r="BA919" t="str">
        <f>""</f>
        <v/>
      </c>
      <c r="BB919" t="str">
        <f>""</f>
        <v/>
      </c>
      <c r="BC919" t="str">
        <f>""</f>
        <v/>
      </c>
      <c r="BD919" t="str">
        <f t="shared" si="1102"/>
        <v>1</v>
      </c>
      <c r="BE919" t="str">
        <f t="shared" si="1102"/>
        <v>1</v>
      </c>
      <c r="BF919" t="str">
        <f t="shared" si="1093"/>
        <v xml:space="preserve">3         </v>
      </c>
      <c r="BG919" t="str">
        <f t="shared" si="1094"/>
        <v>Confirmado por laboratorio</v>
      </c>
      <c r="BH919" t="str">
        <f>"FUNDACION VALLE DEL LILI"</f>
        <v>FUNDACION VALLE DEL LILI</v>
      </c>
      <c r="BI919" t="str">
        <f t="shared" si="1108"/>
        <v>COLOMBIA</v>
      </c>
      <c r="BJ919" t="str">
        <f t="shared" si="1095"/>
        <v>CANCER INFANTIL</v>
      </c>
      <c r="BK919" t="str">
        <f>"NARIÑO"</f>
        <v>NARIÑO</v>
      </c>
      <c r="BL919" t="str">
        <f>"PASTO"</f>
        <v>PASTO</v>
      </c>
      <c r="BM919" t="str">
        <f t="shared" si="1109"/>
        <v>COLOMBIA</v>
      </c>
      <c r="BN919" t="str">
        <f>"NARIÑO"</f>
        <v>NARIÑO</v>
      </c>
      <c r="BO919" t="str">
        <f>"PASTO"</f>
        <v>PASTO</v>
      </c>
      <c r="BP919" t="str">
        <f>"VALLE"</f>
        <v>VALLE</v>
      </c>
      <c r="BQ919" t="str">
        <f>"CALI"</f>
        <v>CALI</v>
      </c>
    </row>
    <row r="920" spans="1:69" x14ac:dyDescent="0.25">
      <c r="A920" t="str">
        <f>"7291364"</f>
        <v>7291364</v>
      </c>
      <c r="B920" t="str">
        <f t="shared" si="1088"/>
        <v>459</v>
      </c>
      <c r="C920" t="str">
        <f>"19/01/2021 12:00:00 a. m."</f>
        <v>19/01/2021 12:00:00 a. m.</v>
      </c>
      <c r="D920" t="str">
        <f>"48"</f>
        <v>48</v>
      </c>
      <c r="E920" t="str">
        <f t="shared" si="1089"/>
        <v>2020</v>
      </c>
      <c r="F920" t="str">
        <f>"0800100544"</f>
        <v>0800100544</v>
      </c>
      <c r="G920" t="str">
        <f t="shared" si="1118"/>
        <v>01</v>
      </c>
      <c r="H920" t="str">
        <f>"11"</f>
        <v>11</v>
      </c>
      <c r="I920" t="str">
        <f>"2"</f>
        <v>2</v>
      </c>
      <c r="J920" t="str">
        <f>"M"</f>
        <v>M</v>
      </c>
      <c r="K920" t="str">
        <f t="shared" si="1106"/>
        <v>170</v>
      </c>
      <c r="L920" t="str">
        <f>"70"</f>
        <v>70</v>
      </c>
      <c r="M920" t="str">
        <f>"001"</f>
        <v>001</v>
      </c>
      <c r="N920" t="str">
        <f>"2"</f>
        <v>2</v>
      </c>
      <c r="O920" t="str">
        <f>"9999"</f>
        <v>9999</v>
      </c>
      <c r="P920" t="str">
        <f>"S"</f>
        <v>S</v>
      </c>
      <c r="Q920" t="str">
        <f>"ESS076"</f>
        <v>ESS076</v>
      </c>
      <c r="R920" t="str">
        <f t="shared" si="1112"/>
        <v>6</v>
      </c>
      <c r="S920" t="str">
        <f>""</f>
        <v/>
      </c>
      <c r="T920" t="str">
        <f t="shared" si="1113"/>
        <v xml:space="preserve">                                                                                                    </v>
      </c>
      <c r="U920" t="str">
        <f>"2         "</f>
        <v xml:space="preserve">2         </v>
      </c>
      <c r="V920" t="str">
        <f t="shared" si="1075"/>
        <v>2</v>
      </c>
      <c r="W920" t="str">
        <f t="shared" si="1114"/>
        <v>2</v>
      </c>
      <c r="X920" t="str">
        <f t="shared" si="1044"/>
        <v>2</v>
      </c>
      <c r="Y920" t="str">
        <f t="shared" si="1119"/>
        <v>2</v>
      </c>
      <c r="Z920" t="str">
        <f t="shared" si="1119"/>
        <v>2</v>
      </c>
      <c r="AA920" t="str">
        <f t="shared" si="1091"/>
        <v xml:space="preserve">          </v>
      </c>
      <c r="AB920" t="str">
        <f t="shared" si="1085"/>
        <v>2</v>
      </c>
      <c r="AC920" t="str">
        <f t="shared" si="1086"/>
        <v>2</v>
      </c>
      <c r="AD920" t="str">
        <f t="shared" ref="AD920:AG939" si="1121">"2"</f>
        <v>2</v>
      </c>
      <c r="AE920" t="str">
        <f t="shared" si="1121"/>
        <v>2</v>
      </c>
      <c r="AF920" t="str">
        <f t="shared" si="1121"/>
        <v>2</v>
      </c>
      <c r="AG920" t="str">
        <f t="shared" si="1121"/>
        <v>2</v>
      </c>
      <c r="AH920" t="str">
        <f t="shared" si="1115"/>
        <v>1</v>
      </c>
      <c r="AI920" t="str">
        <f t="shared" si="1120"/>
        <v xml:space="preserve">1         </v>
      </c>
      <c r="AJ920" t="str">
        <f t="shared" si="1107"/>
        <v>170</v>
      </c>
      <c r="AK920" t="str">
        <f>"70"</f>
        <v>70</v>
      </c>
      <c r="AL920" t="str">
        <f>"001"</f>
        <v>001</v>
      </c>
      <c r="AM920" t="str">
        <f>"08"</f>
        <v>08</v>
      </c>
      <c r="AN920" t="str">
        <f>"08001"</f>
        <v>08001</v>
      </c>
      <c r="AO920" t="str">
        <f>"26/11/2020 12:00:00 a. m."</f>
        <v>26/11/2020 12:00:00 a. m.</v>
      </c>
      <c r="AP920" t="str">
        <f>"15/11/2020 12:00:00 a. m."</f>
        <v>15/11/2020 12:00:00 a. m.</v>
      </c>
      <c r="AQ920" t="str">
        <f>"3"</f>
        <v>3</v>
      </c>
      <c r="AR920" t="str">
        <f t="shared" si="1083"/>
        <v>1</v>
      </c>
      <c r="AS920" t="str">
        <f>"26/11/2020 12:00:00 a. m."</f>
        <v>26/11/2020 12:00:00 a. m.</v>
      </c>
      <c r="AT920" t="str">
        <f t="shared" si="1087"/>
        <v>1</v>
      </c>
      <c r="AU920" t="str">
        <f>""</f>
        <v/>
      </c>
      <c r="AV920" t="str">
        <f>"0"</f>
        <v>0</v>
      </c>
      <c r="AW920" t="str">
        <f>"12/02/2020 12:00:00 a. m."</f>
        <v>12/02/2020 12:00:00 a. m.</v>
      </c>
      <c r="AX920" t="str">
        <f>""</f>
        <v/>
      </c>
      <c r="AY920" t="str">
        <f t="shared" si="1092"/>
        <v>30/04/2021 12:00:00 a. m.</v>
      </c>
      <c r="AZ920" t="str">
        <f>"23/01/2021 12:00:00 a. m."</f>
        <v>23/01/2021 12:00:00 a. m.</v>
      </c>
      <c r="BA920" t="str">
        <f>""</f>
        <v/>
      </c>
      <c r="BB920" t="str">
        <f>""</f>
        <v/>
      </c>
      <c r="BC920" t="str">
        <f>""</f>
        <v/>
      </c>
      <c r="BD920" t="str">
        <f t="shared" si="1102"/>
        <v>1</v>
      </c>
      <c r="BE920" t="str">
        <f t="shared" si="1102"/>
        <v>1</v>
      </c>
      <c r="BF920" t="str">
        <f t="shared" si="1093"/>
        <v xml:space="preserve">3         </v>
      </c>
      <c r="BG920" t="str">
        <f t="shared" si="1094"/>
        <v>Confirmado por laboratorio</v>
      </c>
      <c r="BH920" t="str">
        <f>"ORGANIZACION CLINICA BONNADONA PREVENIR SA"</f>
        <v>ORGANIZACION CLINICA BONNADONA PREVENIR SA</v>
      </c>
      <c r="BI920" t="str">
        <f t="shared" si="1108"/>
        <v>COLOMBIA</v>
      </c>
      <c r="BJ920" t="str">
        <f t="shared" si="1095"/>
        <v>CANCER INFANTIL</v>
      </c>
      <c r="BK920" t="str">
        <f>"SUCRE"</f>
        <v>SUCRE</v>
      </c>
      <c r="BL920" t="str">
        <f>"SINCELEJO"</f>
        <v>SINCELEJO</v>
      </c>
      <c r="BM920" t="str">
        <f t="shared" si="1109"/>
        <v>COLOMBIA</v>
      </c>
      <c r="BN920" t="str">
        <f>"SUCRE"</f>
        <v>SUCRE</v>
      </c>
      <c r="BO920" t="str">
        <f>"SINCELEJO"</f>
        <v>SINCELEJO</v>
      </c>
      <c r="BP920" t="str">
        <f>"ATLANTICO"</f>
        <v>ATLANTICO</v>
      </c>
      <c r="BQ920" t="str">
        <f>"BARRANQUILLA"</f>
        <v>BARRANQUILLA</v>
      </c>
    </row>
    <row r="921" spans="1:69" x14ac:dyDescent="0.25">
      <c r="A921" t="str">
        <f>"7279016"</f>
        <v>7279016</v>
      </c>
      <c r="B921" t="str">
        <f t="shared" si="1088"/>
        <v>459</v>
      </c>
      <c r="C921" t="str">
        <f>"8/01/2020 12:00:00 a. m."</f>
        <v>8/01/2020 12:00:00 a. m.</v>
      </c>
      <c r="D921" t="str">
        <f>"02"</f>
        <v>02</v>
      </c>
      <c r="E921" t="str">
        <f t="shared" si="1089"/>
        <v>2020</v>
      </c>
      <c r="F921" t="str">
        <f>"5200100283"</f>
        <v>5200100283</v>
      </c>
      <c r="G921" t="str">
        <f t="shared" si="1118"/>
        <v>01</v>
      </c>
      <c r="H921" t="str">
        <f>"5"</f>
        <v>5</v>
      </c>
      <c r="I921" t="str">
        <f t="shared" ref="I921:I947" si="1122">"1"</f>
        <v>1</v>
      </c>
      <c r="J921" t="str">
        <f>"F"</f>
        <v>F</v>
      </c>
      <c r="K921" t="str">
        <f t="shared" si="1106"/>
        <v>170</v>
      </c>
      <c r="L921" t="str">
        <f>"52"</f>
        <v>52</v>
      </c>
      <c r="M921" t="str">
        <f>"210"</f>
        <v>210</v>
      </c>
      <c r="N921" t="str">
        <f t="shared" ref="N921:N931" si="1123">"1"</f>
        <v>1</v>
      </c>
      <c r="O921" t="str">
        <f>"9997"</f>
        <v>9997</v>
      </c>
      <c r="P921" t="str">
        <f>"P"</f>
        <v>P</v>
      </c>
      <c r="Q921" t="str">
        <f>"RES001"</f>
        <v>RES001</v>
      </c>
      <c r="R921" t="str">
        <f t="shared" si="1112"/>
        <v>6</v>
      </c>
      <c r="S921" t="str">
        <f>""</f>
        <v/>
      </c>
      <c r="T921" t="str">
        <f t="shared" si="1113"/>
        <v xml:space="preserve">                                                                                                    </v>
      </c>
      <c r="U921" t="str">
        <f>"1         "</f>
        <v xml:space="preserve">1         </v>
      </c>
      <c r="V921" t="str">
        <f t="shared" si="1075"/>
        <v>2</v>
      </c>
      <c r="W921" t="str">
        <f t="shared" si="1114"/>
        <v>2</v>
      </c>
      <c r="X921" t="str">
        <f t="shared" si="1044"/>
        <v>2</v>
      </c>
      <c r="Y921" t="str">
        <f t="shared" si="1119"/>
        <v>2</v>
      </c>
      <c r="Z921" t="str">
        <f t="shared" si="1119"/>
        <v>2</v>
      </c>
      <c r="AA921" t="str">
        <f t="shared" si="1091"/>
        <v xml:space="preserve">          </v>
      </c>
      <c r="AB921" t="str">
        <f t="shared" si="1085"/>
        <v>2</v>
      </c>
      <c r="AC921" t="str">
        <f t="shared" si="1086"/>
        <v>2</v>
      </c>
      <c r="AD921" t="str">
        <f t="shared" si="1121"/>
        <v>2</v>
      </c>
      <c r="AE921" t="str">
        <f t="shared" si="1121"/>
        <v>2</v>
      </c>
      <c r="AF921" t="str">
        <f t="shared" si="1121"/>
        <v>2</v>
      </c>
      <c r="AG921" t="str">
        <f t="shared" si="1121"/>
        <v>2</v>
      </c>
      <c r="AH921" t="str">
        <f t="shared" si="1115"/>
        <v>1</v>
      </c>
      <c r="AI921" t="str">
        <f t="shared" si="1120"/>
        <v xml:space="preserve">1         </v>
      </c>
      <c r="AJ921" t="str">
        <f t="shared" si="1107"/>
        <v>170</v>
      </c>
      <c r="AK921" t="str">
        <f>"52"</f>
        <v>52</v>
      </c>
      <c r="AL921" t="str">
        <f>"210"</f>
        <v>210</v>
      </c>
      <c r="AM921" t="str">
        <f>"52"</f>
        <v>52</v>
      </c>
      <c r="AN921" t="str">
        <f>"52001"</f>
        <v>52001</v>
      </c>
      <c r="AO921" t="str">
        <f>"7/01/2020 12:00:00 a. m."</f>
        <v>7/01/2020 12:00:00 a. m.</v>
      </c>
      <c r="AP921" t="str">
        <f>"1/01/2020 12:00:00 a. m."</f>
        <v>1/01/2020 12:00:00 a. m.</v>
      </c>
      <c r="AQ921" t="str">
        <f>"2"</f>
        <v>2</v>
      </c>
      <c r="AR921" t="str">
        <f t="shared" si="1083"/>
        <v>1</v>
      </c>
      <c r="AS921" t="str">
        <f>"7/01/2020 12:00:00 a. m."</f>
        <v>7/01/2020 12:00:00 a. m.</v>
      </c>
      <c r="AT921" t="str">
        <f t="shared" si="1087"/>
        <v>1</v>
      </c>
      <c r="AU921" t="str">
        <f>""</f>
        <v/>
      </c>
      <c r="AV921" t="str">
        <f>"3"</f>
        <v>3</v>
      </c>
      <c r="AW921" t="str">
        <f>"4/02/2014 12:00:00 a. m."</f>
        <v>4/02/2014 12:00:00 a. m.</v>
      </c>
      <c r="AX921" t="str">
        <f>""</f>
        <v/>
      </c>
      <c r="AY921" t="str">
        <f t="shared" si="1092"/>
        <v>30/04/2021 12:00:00 a. m.</v>
      </c>
      <c r="AZ921" t="str">
        <f>"10/06/2020 12:00:00 a. m."</f>
        <v>10/06/2020 12:00:00 a. m.</v>
      </c>
      <c r="BA921" t="str">
        <f>""</f>
        <v/>
      </c>
      <c r="BB921" t="str">
        <f>""</f>
        <v/>
      </c>
      <c r="BC921" t="str">
        <f>""</f>
        <v/>
      </c>
      <c r="BD921" t="str">
        <f t="shared" si="1102"/>
        <v>1</v>
      </c>
      <c r="BE921" t="str">
        <f t="shared" si="1102"/>
        <v>1</v>
      </c>
      <c r="BF921" t="str">
        <f t="shared" si="1093"/>
        <v xml:space="preserve">3         </v>
      </c>
      <c r="BG921" t="str">
        <f t="shared" si="1094"/>
        <v>Confirmado por laboratorio</v>
      </c>
      <c r="BH921" t="str">
        <f>"HOSPITAL INFANTIL LOS ANGELES"</f>
        <v>HOSPITAL INFANTIL LOS ANGELES</v>
      </c>
      <c r="BI921" t="str">
        <f t="shared" si="1108"/>
        <v>COLOMBIA</v>
      </c>
      <c r="BJ921" t="str">
        <f t="shared" si="1095"/>
        <v>CANCER INFANTIL</v>
      </c>
      <c r="BK921" t="str">
        <f>"NARIÑO"</f>
        <v>NARIÑO</v>
      </c>
      <c r="BL921" t="str">
        <f>"CONTADERO"</f>
        <v>CONTADERO</v>
      </c>
      <c r="BM921" t="str">
        <f t="shared" si="1109"/>
        <v>COLOMBIA</v>
      </c>
      <c r="BN921" t="str">
        <f>"NARIÑO"</f>
        <v>NARIÑO</v>
      </c>
      <c r="BO921" t="str">
        <f>"CONTADERO"</f>
        <v>CONTADERO</v>
      </c>
      <c r="BP921" t="str">
        <f>"NARIÑO"</f>
        <v>NARIÑO</v>
      </c>
      <c r="BQ921" t="str">
        <f>"PASTO"</f>
        <v>PASTO</v>
      </c>
    </row>
    <row r="922" spans="1:69" x14ac:dyDescent="0.25">
      <c r="A922" t="str">
        <f>"7285738"</f>
        <v>7285738</v>
      </c>
      <c r="B922" t="str">
        <f t="shared" si="1088"/>
        <v>459</v>
      </c>
      <c r="C922" t="str">
        <f>"28/12/2020 12:00:00 a. m."</f>
        <v>28/12/2020 12:00:00 a. m.</v>
      </c>
      <c r="D922" t="str">
        <f>"52"</f>
        <v>52</v>
      </c>
      <c r="E922" t="str">
        <f t="shared" si="1089"/>
        <v>2020</v>
      </c>
      <c r="F922" t="str">
        <f>"0500102175"</f>
        <v>0500102175</v>
      </c>
      <c r="G922" t="str">
        <f t="shared" si="1118"/>
        <v>01</v>
      </c>
      <c r="H922" t="str">
        <f>"1"</f>
        <v>1</v>
      </c>
      <c r="I922" t="str">
        <f t="shared" si="1122"/>
        <v>1</v>
      </c>
      <c r="J922" t="str">
        <f>"M"</f>
        <v>M</v>
      </c>
      <c r="K922" t="str">
        <f>"152"</f>
        <v>152</v>
      </c>
      <c r="L922" t="str">
        <f>"01"</f>
        <v>01</v>
      </c>
      <c r="M922" t="str">
        <f>"152"</f>
        <v>152</v>
      </c>
      <c r="N922" t="str">
        <f t="shared" si="1123"/>
        <v>1</v>
      </c>
      <c r="O922" t="str">
        <f>"9999"</f>
        <v>9999</v>
      </c>
      <c r="P922" t="str">
        <f t="shared" ref="P922:P929" si="1124">"C"</f>
        <v>C</v>
      </c>
      <c r="Q922" t="str">
        <f>"EPS010"</f>
        <v>EPS010</v>
      </c>
      <c r="R922" t="str">
        <f t="shared" si="1112"/>
        <v>6</v>
      </c>
      <c r="S922" t="str">
        <f>""</f>
        <v/>
      </c>
      <c r="T922" t="str">
        <f t="shared" si="1113"/>
        <v xml:space="preserve">                                                                                                    </v>
      </c>
      <c r="U922" t="str">
        <f>"3         "</f>
        <v xml:space="preserve">3         </v>
      </c>
      <c r="V922" t="str">
        <f t="shared" si="1075"/>
        <v>2</v>
      </c>
      <c r="W922" t="str">
        <f t="shared" si="1114"/>
        <v>2</v>
      </c>
      <c r="X922" t="str">
        <f t="shared" ref="X922:X985" si="1125">"2"</f>
        <v>2</v>
      </c>
      <c r="Y922" t="str">
        <f t="shared" si="1119"/>
        <v>2</v>
      </c>
      <c r="Z922" t="str">
        <f t="shared" si="1119"/>
        <v>2</v>
      </c>
      <c r="AA922" t="str">
        <f t="shared" si="1091"/>
        <v xml:space="preserve">          </v>
      </c>
      <c r="AB922" t="str">
        <f t="shared" si="1085"/>
        <v>2</v>
      </c>
      <c r="AC922" t="str">
        <f t="shared" si="1086"/>
        <v>2</v>
      </c>
      <c r="AD922" t="str">
        <f t="shared" si="1121"/>
        <v>2</v>
      </c>
      <c r="AE922" t="str">
        <f t="shared" si="1121"/>
        <v>2</v>
      </c>
      <c r="AF922" t="str">
        <f t="shared" si="1121"/>
        <v>2</v>
      </c>
      <c r="AG922" t="str">
        <f t="shared" si="1121"/>
        <v>2</v>
      </c>
      <c r="AH922" t="str">
        <f t="shared" si="1115"/>
        <v>1</v>
      </c>
      <c r="AI922" t="str">
        <f t="shared" si="1120"/>
        <v xml:space="preserve">1         </v>
      </c>
      <c r="AJ922" t="str">
        <f t="shared" si="1107"/>
        <v>170</v>
      </c>
      <c r="AK922" t="str">
        <f>"05"</f>
        <v>05</v>
      </c>
      <c r="AL922" t="str">
        <f t="shared" ref="AL922:AL938" si="1126">"001"</f>
        <v>001</v>
      </c>
      <c r="AM922" t="str">
        <f>"05"</f>
        <v>05</v>
      </c>
      <c r="AN922" t="str">
        <f>"05001"</f>
        <v>05001</v>
      </c>
      <c r="AO922" t="str">
        <f>"21/12/2020 12:00:00 a. m."</f>
        <v>21/12/2020 12:00:00 a. m.</v>
      </c>
      <c r="AP922" t="str">
        <f>"21/10/2020 12:00:00 a. m."</f>
        <v>21/10/2020 12:00:00 a. m.</v>
      </c>
      <c r="AQ922" t="str">
        <f>"3"</f>
        <v>3</v>
      </c>
      <c r="AR922" t="str">
        <f t="shared" si="1083"/>
        <v>1</v>
      </c>
      <c r="AS922" t="str">
        <f>"21/12/2020 12:00:00 a. m."</f>
        <v>21/12/2020 12:00:00 a. m.</v>
      </c>
      <c r="AT922" t="str">
        <f t="shared" si="1087"/>
        <v>1</v>
      </c>
      <c r="AU922" t="str">
        <f>""</f>
        <v/>
      </c>
      <c r="AV922" t="str">
        <f>"0"</f>
        <v>0</v>
      </c>
      <c r="AW922" t="str">
        <f>"6/01/2019 12:00:00 a. m."</f>
        <v>6/01/2019 12:00:00 a. m.</v>
      </c>
      <c r="AX922" t="str">
        <f>""</f>
        <v/>
      </c>
      <c r="AY922" t="str">
        <f t="shared" si="1092"/>
        <v>30/04/2021 12:00:00 a. m.</v>
      </c>
      <c r="AZ922" t="str">
        <f>"28/12/2020 12:00:00 a. m."</f>
        <v>28/12/2020 12:00:00 a. m.</v>
      </c>
      <c r="BA922" t="str">
        <f>""</f>
        <v/>
      </c>
      <c r="BB922" t="str">
        <f>""</f>
        <v/>
      </c>
      <c r="BC922" t="str">
        <f>""</f>
        <v/>
      </c>
      <c r="BD922" t="str">
        <f t="shared" ref="BD922:BE941" si="1127">"1"</f>
        <v>1</v>
      </c>
      <c r="BE922" t="str">
        <f t="shared" si="1127"/>
        <v>1</v>
      </c>
      <c r="BF922" t="str">
        <f t="shared" si="1093"/>
        <v xml:space="preserve">3         </v>
      </c>
      <c r="BG922" t="str">
        <f t="shared" si="1094"/>
        <v>Confirmado por laboratorio</v>
      </c>
      <c r="BH922" t="str">
        <f>"FUNDACION HOSPITALARIA SAN VICENTE DE PAUL"</f>
        <v>FUNDACION HOSPITALARIA SAN VICENTE DE PAUL</v>
      </c>
      <c r="BI922" t="str">
        <f>"CHILE"</f>
        <v>CHILE</v>
      </c>
      <c r="BJ922" t="str">
        <f t="shared" si="1095"/>
        <v>CANCER INFANTIL</v>
      </c>
      <c r="BK922" t="str">
        <f>"EXTERIOR"</f>
        <v>EXTERIOR</v>
      </c>
      <c r="BL922" t="str">
        <f>"EXTERIOR_CHILE"</f>
        <v>EXTERIOR_CHILE</v>
      </c>
      <c r="BM922" t="str">
        <f t="shared" si="1109"/>
        <v>COLOMBIA</v>
      </c>
      <c r="BN922" t="str">
        <f>"ANTIOQUIA"</f>
        <v>ANTIOQUIA</v>
      </c>
      <c r="BO922" t="str">
        <f>"MEDELLIN"</f>
        <v>MEDELLIN</v>
      </c>
      <c r="BP922" t="str">
        <f>"ANTIOQUIA"</f>
        <v>ANTIOQUIA</v>
      </c>
      <c r="BQ922" t="str">
        <f>"MEDELLIN"</f>
        <v>MEDELLIN</v>
      </c>
    </row>
    <row r="923" spans="1:69" x14ac:dyDescent="0.25">
      <c r="A923" t="str">
        <f>"7291355"</f>
        <v>7291355</v>
      </c>
      <c r="B923" t="str">
        <f t="shared" si="1088"/>
        <v>459</v>
      </c>
      <c r="C923" t="str">
        <f>"10/06/2020 12:00:00 a. m."</f>
        <v>10/06/2020 12:00:00 a. m.</v>
      </c>
      <c r="D923" t="str">
        <f>"24"</f>
        <v>24</v>
      </c>
      <c r="E923" t="str">
        <f t="shared" si="1089"/>
        <v>2020</v>
      </c>
      <c r="F923" t="str">
        <f>"7600102870"</f>
        <v>7600102870</v>
      </c>
      <c r="G923" t="str">
        <f t="shared" si="1118"/>
        <v>01</v>
      </c>
      <c r="H923" t="str">
        <f>"12"</f>
        <v>12</v>
      </c>
      <c r="I923" t="str">
        <f t="shared" si="1122"/>
        <v>1</v>
      </c>
      <c r="J923" t="str">
        <f>"M"</f>
        <v>M</v>
      </c>
      <c r="K923" t="str">
        <f t="shared" ref="K923:K954" si="1128">"170"</f>
        <v>170</v>
      </c>
      <c r="L923" t="str">
        <f>"76"</f>
        <v>76</v>
      </c>
      <c r="M923" t="str">
        <f t="shared" ref="M923:M931" si="1129">"001"</f>
        <v>001</v>
      </c>
      <c r="N923" t="str">
        <f t="shared" si="1123"/>
        <v>1</v>
      </c>
      <c r="O923" t="str">
        <f>"9999"</f>
        <v>9999</v>
      </c>
      <c r="P923" t="str">
        <f t="shared" si="1124"/>
        <v>C</v>
      </c>
      <c r="Q923" t="str">
        <f>"EPS005"</f>
        <v>EPS005</v>
      </c>
      <c r="R923" t="str">
        <f t="shared" si="1112"/>
        <v>6</v>
      </c>
      <c r="S923" t="str">
        <f>""</f>
        <v/>
      </c>
      <c r="T923" t="str">
        <f t="shared" si="1113"/>
        <v xml:space="preserve">                                                                                                    </v>
      </c>
      <c r="U923" t="str">
        <f>"4         "</f>
        <v xml:space="preserve">4         </v>
      </c>
      <c r="V923" t="str">
        <f t="shared" si="1075"/>
        <v>2</v>
      </c>
      <c r="W923" t="str">
        <f t="shared" si="1114"/>
        <v>2</v>
      </c>
      <c r="X923" t="str">
        <f t="shared" si="1125"/>
        <v>2</v>
      </c>
      <c r="Y923" t="str">
        <f t="shared" si="1119"/>
        <v>2</v>
      </c>
      <c r="Z923" t="str">
        <f t="shared" si="1119"/>
        <v>2</v>
      </c>
      <c r="AA923" t="str">
        <f t="shared" si="1091"/>
        <v xml:space="preserve">          </v>
      </c>
      <c r="AB923" t="str">
        <f t="shared" si="1085"/>
        <v>2</v>
      </c>
      <c r="AC923" t="str">
        <f t="shared" si="1086"/>
        <v>2</v>
      </c>
      <c r="AD923" t="str">
        <f t="shared" si="1121"/>
        <v>2</v>
      </c>
      <c r="AE923" t="str">
        <f t="shared" si="1121"/>
        <v>2</v>
      </c>
      <c r="AF923" t="str">
        <f t="shared" si="1121"/>
        <v>2</v>
      </c>
      <c r="AG923" t="str">
        <f t="shared" si="1121"/>
        <v>2</v>
      </c>
      <c r="AH923" t="str">
        <f t="shared" si="1115"/>
        <v>1</v>
      </c>
      <c r="AI923" t="str">
        <f t="shared" si="1120"/>
        <v xml:space="preserve">1         </v>
      </c>
      <c r="AJ923" t="str">
        <f t="shared" si="1107"/>
        <v>170</v>
      </c>
      <c r="AK923" t="str">
        <f>"76"</f>
        <v>76</v>
      </c>
      <c r="AL923" t="str">
        <f t="shared" si="1126"/>
        <v>001</v>
      </c>
      <c r="AM923" t="str">
        <f>"76"</f>
        <v>76</v>
      </c>
      <c r="AN923" t="str">
        <f>"76001"</f>
        <v>76001</v>
      </c>
      <c r="AO923" t="str">
        <f>"8/06/2020 12:00:00 a. m."</f>
        <v>8/06/2020 12:00:00 a. m.</v>
      </c>
      <c r="AP923" t="str">
        <f>"25/05/2020 12:00:00 a. m."</f>
        <v>25/05/2020 12:00:00 a. m.</v>
      </c>
      <c r="AQ923" t="str">
        <f>"2"</f>
        <v>2</v>
      </c>
      <c r="AR923" t="str">
        <f t="shared" si="1083"/>
        <v>1</v>
      </c>
      <c r="AS923" t="str">
        <f>"8/06/2020 12:00:00 a. m."</f>
        <v>8/06/2020 12:00:00 a. m.</v>
      </c>
      <c r="AT923" t="str">
        <f t="shared" si="1087"/>
        <v>1</v>
      </c>
      <c r="AU923" t="str">
        <f>""</f>
        <v/>
      </c>
      <c r="AV923" t="str">
        <f>"3"</f>
        <v>3</v>
      </c>
      <c r="AW923" t="str">
        <f>"21/06/2007 12:00:00 a. m."</f>
        <v>21/06/2007 12:00:00 a. m.</v>
      </c>
      <c r="AX923" t="str">
        <f>""</f>
        <v/>
      </c>
      <c r="AY923" t="str">
        <f t="shared" si="1092"/>
        <v>30/04/2021 12:00:00 a. m.</v>
      </c>
      <c r="AZ923" t="str">
        <f>"9/07/2020 12:00:00 a. m."</f>
        <v>9/07/2020 12:00:00 a. m.</v>
      </c>
      <c r="BA923" t="str">
        <f>""</f>
        <v/>
      </c>
      <c r="BB923" t="str">
        <f>""</f>
        <v/>
      </c>
      <c r="BC923" t="str">
        <f>""</f>
        <v/>
      </c>
      <c r="BD923" t="str">
        <f t="shared" si="1127"/>
        <v>1</v>
      </c>
      <c r="BE923" t="str">
        <f t="shared" si="1127"/>
        <v>1</v>
      </c>
      <c r="BF923" t="str">
        <f t="shared" si="1093"/>
        <v xml:space="preserve">3         </v>
      </c>
      <c r="BG923" t="str">
        <f t="shared" si="1094"/>
        <v>Confirmado por laboratorio</v>
      </c>
      <c r="BH923" t="str">
        <f>"FUNDACION VALLE DEL LILI"</f>
        <v>FUNDACION VALLE DEL LILI</v>
      </c>
      <c r="BI923" t="str">
        <f t="shared" ref="BI923:BI954" si="1130">"COLOMBIA"</f>
        <v>COLOMBIA</v>
      </c>
      <c r="BJ923" t="str">
        <f t="shared" si="1095"/>
        <v>CANCER INFANTIL</v>
      </c>
      <c r="BK923" t="str">
        <f>"VALLE"</f>
        <v>VALLE</v>
      </c>
      <c r="BL923" t="str">
        <f>"CALI"</f>
        <v>CALI</v>
      </c>
      <c r="BM923" t="str">
        <f t="shared" si="1109"/>
        <v>COLOMBIA</v>
      </c>
      <c r="BN923" t="str">
        <f>"VALLE"</f>
        <v>VALLE</v>
      </c>
      <c r="BO923" t="str">
        <f>"CALI"</f>
        <v>CALI</v>
      </c>
      <c r="BP923" t="str">
        <f>"VALLE"</f>
        <v>VALLE</v>
      </c>
      <c r="BQ923" t="str">
        <f>"CALI"</f>
        <v>CALI</v>
      </c>
    </row>
    <row r="924" spans="1:69" x14ac:dyDescent="0.25">
      <c r="A924" t="str">
        <f>"7291356"</f>
        <v>7291356</v>
      </c>
      <c r="B924" t="str">
        <f t="shared" si="1088"/>
        <v>459</v>
      </c>
      <c r="C924" t="str">
        <f>"24/08/2020 12:00:00 a. m."</f>
        <v>24/08/2020 12:00:00 a. m.</v>
      </c>
      <c r="D924" t="str">
        <f>"23"</f>
        <v>23</v>
      </c>
      <c r="E924" t="str">
        <f t="shared" si="1089"/>
        <v>2020</v>
      </c>
      <c r="F924" t="str">
        <f>"7600101111"</f>
        <v>7600101111</v>
      </c>
      <c r="G924" t="str">
        <f t="shared" si="1118"/>
        <v>01</v>
      </c>
      <c r="H924" t="str">
        <f>"12"</f>
        <v>12</v>
      </c>
      <c r="I924" t="str">
        <f t="shared" si="1122"/>
        <v>1</v>
      </c>
      <c r="J924" t="str">
        <f>"M"</f>
        <v>M</v>
      </c>
      <c r="K924" t="str">
        <f t="shared" si="1128"/>
        <v>170</v>
      </c>
      <c r="L924" t="str">
        <f>"76"</f>
        <v>76</v>
      </c>
      <c r="M924" t="str">
        <f t="shared" si="1129"/>
        <v>001</v>
      </c>
      <c r="N924" t="str">
        <f t="shared" si="1123"/>
        <v>1</v>
      </c>
      <c r="O924" t="str">
        <f>"9997"</f>
        <v>9997</v>
      </c>
      <c r="P924" t="str">
        <f t="shared" si="1124"/>
        <v>C</v>
      </c>
      <c r="Q924" t="str">
        <f>"EMP021"</f>
        <v>EMP021</v>
      </c>
      <c r="R924" t="str">
        <f t="shared" si="1112"/>
        <v>6</v>
      </c>
      <c r="S924" t="str">
        <f>""</f>
        <v/>
      </c>
      <c r="T924" t="str">
        <f t="shared" si="1113"/>
        <v xml:space="preserve">                                                                                                    </v>
      </c>
      <c r="U924" t="str">
        <f>"6         "</f>
        <v xml:space="preserve">6         </v>
      </c>
      <c r="V924" t="str">
        <f t="shared" si="1075"/>
        <v>2</v>
      </c>
      <c r="W924" t="str">
        <f t="shared" si="1114"/>
        <v>2</v>
      </c>
      <c r="X924" t="str">
        <f t="shared" si="1125"/>
        <v>2</v>
      </c>
      <c r="Y924" t="str">
        <f t="shared" si="1119"/>
        <v>2</v>
      </c>
      <c r="Z924" t="str">
        <f t="shared" si="1119"/>
        <v>2</v>
      </c>
      <c r="AA924" t="str">
        <f t="shared" si="1091"/>
        <v xml:space="preserve">          </v>
      </c>
      <c r="AB924" t="str">
        <f t="shared" si="1085"/>
        <v>2</v>
      </c>
      <c r="AC924" t="str">
        <f t="shared" si="1086"/>
        <v>2</v>
      </c>
      <c r="AD924" t="str">
        <f t="shared" si="1121"/>
        <v>2</v>
      </c>
      <c r="AE924" t="str">
        <f t="shared" si="1121"/>
        <v>2</v>
      </c>
      <c r="AF924" t="str">
        <f t="shared" si="1121"/>
        <v>2</v>
      </c>
      <c r="AG924" t="str">
        <f t="shared" si="1121"/>
        <v>2</v>
      </c>
      <c r="AH924" t="str">
        <f t="shared" si="1115"/>
        <v>1</v>
      </c>
      <c r="AI924" t="str">
        <f t="shared" si="1120"/>
        <v xml:space="preserve">1         </v>
      </c>
      <c r="AJ924" t="str">
        <f t="shared" si="1107"/>
        <v>170</v>
      </c>
      <c r="AK924" t="str">
        <f>"76"</f>
        <v>76</v>
      </c>
      <c r="AL924" t="str">
        <f t="shared" si="1126"/>
        <v>001</v>
      </c>
      <c r="AM924" t="str">
        <f>"76"</f>
        <v>76</v>
      </c>
      <c r="AN924" t="str">
        <f>"76001"</f>
        <v>76001</v>
      </c>
      <c r="AO924" t="str">
        <f>"6/06/2020 12:00:00 a. m."</f>
        <v>6/06/2020 12:00:00 a. m.</v>
      </c>
      <c r="AP924" t="str">
        <f>"3/06/2020 12:00:00 a. m."</f>
        <v>3/06/2020 12:00:00 a. m.</v>
      </c>
      <c r="AQ924" t="str">
        <f>"3"</f>
        <v>3</v>
      </c>
      <c r="AR924" t="str">
        <f t="shared" si="1083"/>
        <v>1</v>
      </c>
      <c r="AS924" t="str">
        <f>"6/06/2020 12:00:00 a. m."</f>
        <v>6/06/2020 12:00:00 a. m.</v>
      </c>
      <c r="AT924" t="str">
        <f t="shared" si="1087"/>
        <v>1</v>
      </c>
      <c r="AU924" t="str">
        <f>""</f>
        <v/>
      </c>
      <c r="AV924" t="str">
        <f>"7"</f>
        <v>7</v>
      </c>
      <c r="AW924" t="str">
        <f>"24/09/2007 12:00:00 a. m."</f>
        <v>24/09/2007 12:00:00 a. m.</v>
      </c>
      <c r="AX924" t="str">
        <f>""</f>
        <v/>
      </c>
      <c r="AY924" t="str">
        <f t="shared" si="1092"/>
        <v>30/04/2021 12:00:00 a. m.</v>
      </c>
      <c r="AZ924" t="str">
        <f>"20/01/2021 12:00:00 a. m."</f>
        <v>20/01/2021 12:00:00 a. m.</v>
      </c>
      <c r="BA924" t="str">
        <f>""</f>
        <v/>
      </c>
      <c r="BB924" t="str">
        <f>""</f>
        <v/>
      </c>
      <c r="BC924" t="str">
        <f>""</f>
        <v/>
      </c>
      <c r="BD924" t="str">
        <f t="shared" si="1127"/>
        <v>1</v>
      </c>
      <c r="BE924" t="str">
        <f t="shared" si="1127"/>
        <v>1</v>
      </c>
      <c r="BF924" t="str">
        <f t="shared" si="1093"/>
        <v xml:space="preserve">3         </v>
      </c>
      <c r="BG924" t="str">
        <f t="shared" si="1094"/>
        <v>Confirmado por laboratorio</v>
      </c>
      <c r="BH924" t="str">
        <f>"CENTRO MEDICO IMBANACO CMI"</f>
        <v>CENTRO MEDICO IMBANACO CMI</v>
      </c>
      <c r="BI924" t="str">
        <f t="shared" si="1130"/>
        <v>COLOMBIA</v>
      </c>
      <c r="BJ924" t="str">
        <f t="shared" si="1095"/>
        <v>CANCER INFANTIL</v>
      </c>
      <c r="BK924" t="str">
        <f>"VALLE"</f>
        <v>VALLE</v>
      </c>
      <c r="BL924" t="str">
        <f>"CALI"</f>
        <v>CALI</v>
      </c>
      <c r="BM924" t="str">
        <f t="shared" si="1109"/>
        <v>COLOMBIA</v>
      </c>
      <c r="BN924" t="str">
        <f>"VALLE"</f>
        <v>VALLE</v>
      </c>
      <c r="BO924" t="str">
        <f>"CALI"</f>
        <v>CALI</v>
      </c>
      <c r="BP924" t="str">
        <f>"VALLE"</f>
        <v>VALLE</v>
      </c>
      <c r="BQ924" t="str">
        <f>"CALI"</f>
        <v>CALI</v>
      </c>
    </row>
    <row r="925" spans="1:69" x14ac:dyDescent="0.25">
      <c r="A925" t="str">
        <f>"7291455"</f>
        <v>7291455</v>
      </c>
      <c r="B925" t="str">
        <f t="shared" si="1088"/>
        <v>459</v>
      </c>
      <c r="C925" t="str">
        <f>"4/02/2020 12:00:00 a. m."</f>
        <v>4/02/2020 12:00:00 a. m.</v>
      </c>
      <c r="D925" t="str">
        <f>"05"</f>
        <v>05</v>
      </c>
      <c r="E925" t="str">
        <f t="shared" si="1089"/>
        <v>2020</v>
      </c>
      <c r="F925" t="str">
        <f>"1100108171"</f>
        <v>1100108171</v>
      </c>
      <c r="G925" t="str">
        <f>"02"</f>
        <v>02</v>
      </c>
      <c r="H925" t="str">
        <f>"15"</f>
        <v>15</v>
      </c>
      <c r="I925" t="str">
        <f t="shared" si="1122"/>
        <v>1</v>
      </c>
      <c r="J925" t="str">
        <f>"F"</f>
        <v>F</v>
      </c>
      <c r="K925" t="str">
        <f t="shared" si="1128"/>
        <v>170</v>
      </c>
      <c r="L925" t="str">
        <f>"11"</f>
        <v>11</v>
      </c>
      <c r="M925" t="str">
        <f t="shared" si="1129"/>
        <v>001</v>
      </c>
      <c r="N925" t="str">
        <f t="shared" si="1123"/>
        <v>1</v>
      </c>
      <c r="O925" t="str">
        <f>"9997"</f>
        <v>9997</v>
      </c>
      <c r="P925" t="str">
        <f t="shared" si="1124"/>
        <v>C</v>
      </c>
      <c r="Q925" t="str">
        <f>"EPS017"</f>
        <v>EPS017</v>
      </c>
      <c r="R925" t="str">
        <f t="shared" si="1112"/>
        <v>6</v>
      </c>
      <c r="S925" t="str">
        <f>""</f>
        <v/>
      </c>
      <c r="T925" t="str">
        <f t="shared" si="1113"/>
        <v xml:space="preserve">                                                                                                    </v>
      </c>
      <c r="U925" t="str">
        <f>"1         "</f>
        <v xml:space="preserve">1         </v>
      </c>
      <c r="V925" t="str">
        <f t="shared" si="1075"/>
        <v>2</v>
      </c>
      <c r="W925" t="str">
        <f t="shared" si="1114"/>
        <v>2</v>
      </c>
      <c r="X925" t="str">
        <f t="shared" si="1125"/>
        <v>2</v>
      </c>
      <c r="Y925" t="str">
        <f t="shared" si="1119"/>
        <v>2</v>
      </c>
      <c r="Z925" t="str">
        <f t="shared" si="1119"/>
        <v>2</v>
      </c>
      <c r="AA925" t="str">
        <f t="shared" si="1091"/>
        <v xml:space="preserve">          </v>
      </c>
      <c r="AB925" t="str">
        <f t="shared" si="1085"/>
        <v>2</v>
      </c>
      <c r="AC925" t="str">
        <f t="shared" si="1086"/>
        <v>2</v>
      </c>
      <c r="AD925" t="str">
        <f t="shared" si="1121"/>
        <v>2</v>
      </c>
      <c r="AE925" t="str">
        <f t="shared" si="1121"/>
        <v>2</v>
      </c>
      <c r="AF925" t="str">
        <f t="shared" si="1121"/>
        <v>2</v>
      </c>
      <c r="AG925" t="str">
        <f t="shared" si="1121"/>
        <v>2</v>
      </c>
      <c r="AH925" t="str">
        <f t="shared" si="1115"/>
        <v>1</v>
      </c>
      <c r="AI925" t="str">
        <f t="shared" si="1120"/>
        <v xml:space="preserve">1         </v>
      </c>
      <c r="AJ925" t="str">
        <f t="shared" si="1107"/>
        <v>170</v>
      </c>
      <c r="AK925" t="str">
        <f>"11"</f>
        <v>11</v>
      </c>
      <c r="AL925" t="str">
        <f t="shared" si="1126"/>
        <v>001</v>
      </c>
      <c r="AM925" t="str">
        <f t="shared" ref="AM925:AM931" si="1131">"11"</f>
        <v>11</v>
      </c>
      <c r="AN925" t="str">
        <f t="shared" ref="AN925:AN931" si="1132">"11001"</f>
        <v>11001</v>
      </c>
      <c r="AO925" t="str">
        <f>"31/01/2020 12:00:00 a. m."</f>
        <v>31/01/2020 12:00:00 a. m.</v>
      </c>
      <c r="AP925" t="str">
        <f>"27/01/2020 12:00:00 a. m."</f>
        <v>27/01/2020 12:00:00 a. m.</v>
      </c>
      <c r="AQ925" t="str">
        <f>"2"</f>
        <v>2</v>
      </c>
      <c r="AR925" t="str">
        <f t="shared" si="1083"/>
        <v>1</v>
      </c>
      <c r="AS925" t="str">
        <f>"31/01/2020 12:00:00 a. m."</f>
        <v>31/01/2020 12:00:00 a. m.</v>
      </c>
      <c r="AT925" t="str">
        <f>"2"</f>
        <v>2</v>
      </c>
      <c r="AU925" t="str">
        <f>"15/02/2020 12:00:00 a. m."</f>
        <v>15/02/2020 12:00:00 a. m.</v>
      </c>
      <c r="AV925" t="str">
        <f>"3"</f>
        <v>3</v>
      </c>
      <c r="AW925" t="str">
        <f>"8/12/2004 12:00:00 a. m."</f>
        <v>8/12/2004 12:00:00 a. m.</v>
      </c>
      <c r="AX925" t="str">
        <f>"C710"</f>
        <v>C710</v>
      </c>
      <c r="AY925" t="str">
        <f t="shared" si="1092"/>
        <v>30/04/2021 12:00:00 a. m.</v>
      </c>
      <c r="AZ925" t="str">
        <f>"12/03/2020 12:00:00 a. m."</f>
        <v>12/03/2020 12:00:00 a. m.</v>
      </c>
      <c r="BA925" t="str">
        <f>""</f>
        <v/>
      </c>
      <c r="BB925" t="str">
        <f>""</f>
        <v/>
      </c>
      <c r="BC925" t="str">
        <f>""</f>
        <v/>
      </c>
      <c r="BD925" t="str">
        <f t="shared" si="1127"/>
        <v>1</v>
      </c>
      <c r="BE925" t="str">
        <f t="shared" si="1127"/>
        <v>1</v>
      </c>
      <c r="BF925" t="str">
        <f t="shared" si="1093"/>
        <v xml:space="preserve">3         </v>
      </c>
      <c r="BG925" t="str">
        <f t="shared" si="1094"/>
        <v>Confirmado por laboratorio</v>
      </c>
      <c r="BH925" t="str">
        <f>"CLINICA INFANTIL COLSUBSIDIO"</f>
        <v>CLINICA INFANTIL COLSUBSIDIO</v>
      </c>
      <c r="BI925" t="str">
        <f t="shared" si="1130"/>
        <v>COLOMBIA</v>
      </c>
      <c r="BJ925" t="str">
        <f t="shared" si="1095"/>
        <v>CANCER INFANTIL</v>
      </c>
      <c r="BK925" t="str">
        <f>"BOGOTA"</f>
        <v>BOGOTA</v>
      </c>
      <c r="BL925" t="str">
        <f>"BOGOTA"</f>
        <v>BOGOTA</v>
      </c>
      <c r="BM925" t="str">
        <f t="shared" si="1109"/>
        <v>COLOMBIA</v>
      </c>
      <c r="BN925" t="str">
        <f>"BOGOTA"</f>
        <v>BOGOTA</v>
      </c>
      <c r="BO925" t="str">
        <f>"BOGOTA"</f>
        <v>BOGOTA</v>
      </c>
      <c r="BP925" t="str">
        <f>"BOGOTA"</f>
        <v>BOGOTA</v>
      </c>
      <c r="BQ925" t="str">
        <f>"BOGOTA"</f>
        <v>BOGOTA</v>
      </c>
    </row>
    <row r="926" spans="1:69" x14ac:dyDescent="0.25">
      <c r="A926" t="str">
        <f>"7291347"</f>
        <v>7291347</v>
      </c>
      <c r="B926" t="str">
        <f t="shared" si="1088"/>
        <v>459</v>
      </c>
      <c r="C926" t="str">
        <f>"4/08/2020 12:00:00 a. m."</f>
        <v>4/08/2020 12:00:00 a. m.</v>
      </c>
      <c r="D926" t="str">
        <f>"32"</f>
        <v>32</v>
      </c>
      <c r="E926" t="str">
        <f t="shared" si="1089"/>
        <v>2020</v>
      </c>
      <c r="F926" t="str">
        <f>"1100109456"</f>
        <v>1100109456</v>
      </c>
      <c r="G926" t="str">
        <f t="shared" ref="G926:G952" si="1133">"01"</f>
        <v>01</v>
      </c>
      <c r="H926" t="str">
        <f>"1"</f>
        <v>1</v>
      </c>
      <c r="I926" t="str">
        <f t="shared" si="1122"/>
        <v>1</v>
      </c>
      <c r="J926" t="str">
        <f>"F"</f>
        <v>F</v>
      </c>
      <c r="K926" t="str">
        <f t="shared" si="1128"/>
        <v>170</v>
      </c>
      <c r="L926" t="str">
        <f>"73"</f>
        <v>73</v>
      </c>
      <c r="M926" t="str">
        <f t="shared" si="1129"/>
        <v>001</v>
      </c>
      <c r="N926" t="str">
        <f t="shared" si="1123"/>
        <v>1</v>
      </c>
      <c r="O926" t="str">
        <f>"9999"</f>
        <v>9999</v>
      </c>
      <c r="P926" t="str">
        <f t="shared" si="1124"/>
        <v>C</v>
      </c>
      <c r="Q926" t="str">
        <f>"EPS005"</f>
        <v>EPS005</v>
      </c>
      <c r="R926" t="str">
        <f t="shared" si="1112"/>
        <v>6</v>
      </c>
      <c r="S926" t="str">
        <f>""</f>
        <v/>
      </c>
      <c r="T926" t="str">
        <f t="shared" si="1113"/>
        <v xml:space="preserve">                                                                                                    </v>
      </c>
      <c r="U926" t="str">
        <f>"2         "</f>
        <v xml:space="preserve">2         </v>
      </c>
      <c r="V926" t="str">
        <f t="shared" si="1075"/>
        <v>2</v>
      </c>
      <c r="W926" t="str">
        <f t="shared" si="1114"/>
        <v>2</v>
      </c>
      <c r="X926" t="str">
        <f t="shared" si="1125"/>
        <v>2</v>
      </c>
      <c r="Y926" t="str">
        <f t="shared" si="1119"/>
        <v>2</v>
      </c>
      <c r="Z926" t="str">
        <f t="shared" si="1119"/>
        <v>2</v>
      </c>
      <c r="AA926" t="str">
        <f t="shared" si="1091"/>
        <v xml:space="preserve">          </v>
      </c>
      <c r="AB926" t="str">
        <f t="shared" si="1085"/>
        <v>2</v>
      </c>
      <c r="AC926" t="str">
        <f t="shared" si="1086"/>
        <v>2</v>
      </c>
      <c r="AD926" t="str">
        <f t="shared" si="1121"/>
        <v>2</v>
      </c>
      <c r="AE926" t="str">
        <f t="shared" si="1121"/>
        <v>2</v>
      </c>
      <c r="AF926" t="str">
        <f t="shared" si="1121"/>
        <v>2</v>
      </c>
      <c r="AG926" t="str">
        <f t="shared" si="1121"/>
        <v>2</v>
      </c>
      <c r="AH926" t="str">
        <f t="shared" si="1115"/>
        <v>1</v>
      </c>
      <c r="AI926" t="str">
        <f t="shared" si="1120"/>
        <v xml:space="preserve">1         </v>
      </c>
      <c r="AJ926" t="str">
        <f t="shared" si="1107"/>
        <v>170</v>
      </c>
      <c r="AK926" t="str">
        <f>"73"</f>
        <v>73</v>
      </c>
      <c r="AL926" t="str">
        <f t="shared" si="1126"/>
        <v>001</v>
      </c>
      <c r="AM926" t="str">
        <f t="shared" si="1131"/>
        <v>11</v>
      </c>
      <c r="AN926" t="str">
        <f t="shared" si="1132"/>
        <v>11001</v>
      </c>
      <c r="AO926" t="str">
        <f>"4/08/2020 12:00:00 a. m."</f>
        <v>4/08/2020 12:00:00 a. m.</v>
      </c>
      <c r="AP926" t="str">
        <f>"22/06/2020 12:00:00 a. m."</f>
        <v>22/06/2020 12:00:00 a. m.</v>
      </c>
      <c r="AQ926" t="str">
        <f>"2"</f>
        <v>2</v>
      </c>
      <c r="AR926" t="str">
        <f>"2"</f>
        <v>2</v>
      </c>
      <c r="AS926" t="str">
        <f>""</f>
        <v/>
      </c>
      <c r="AT926" t="str">
        <f>"1"</f>
        <v>1</v>
      </c>
      <c r="AU926" t="str">
        <f>""</f>
        <v/>
      </c>
      <c r="AV926" t="str">
        <f>"3"</f>
        <v>3</v>
      </c>
      <c r="AW926" t="str">
        <f>"6/02/2019 12:00:00 a. m."</f>
        <v>6/02/2019 12:00:00 a. m.</v>
      </c>
      <c r="AX926" t="str">
        <f>""</f>
        <v/>
      </c>
      <c r="AY926" t="str">
        <f t="shared" si="1092"/>
        <v>30/04/2021 12:00:00 a. m.</v>
      </c>
      <c r="AZ926" t="str">
        <f>"22/09/2020 12:00:00 a. m."</f>
        <v>22/09/2020 12:00:00 a. m.</v>
      </c>
      <c r="BA926" t="str">
        <f>""</f>
        <v/>
      </c>
      <c r="BB926" t="str">
        <f>""</f>
        <v/>
      </c>
      <c r="BC926" t="str">
        <f>""</f>
        <v/>
      </c>
      <c r="BD926" t="str">
        <f t="shared" si="1127"/>
        <v>1</v>
      </c>
      <c r="BE926" t="str">
        <f t="shared" si="1127"/>
        <v>1</v>
      </c>
      <c r="BF926" t="str">
        <f t="shared" si="1093"/>
        <v xml:space="preserve">3         </v>
      </c>
      <c r="BG926" t="str">
        <f t="shared" si="1094"/>
        <v>Confirmado por laboratorio</v>
      </c>
      <c r="BH926" t="str">
        <f>"HOSPITAL UNIVERSITARIO SAN IGNACIO"</f>
        <v>HOSPITAL UNIVERSITARIO SAN IGNACIO</v>
      </c>
      <c r="BI926" t="str">
        <f t="shared" si="1130"/>
        <v>COLOMBIA</v>
      </c>
      <c r="BJ926" t="str">
        <f t="shared" si="1095"/>
        <v>CANCER INFANTIL</v>
      </c>
      <c r="BK926" t="str">
        <f>"TOLIMA"</f>
        <v>TOLIMA</v>
      </c>
      <c r="BL926" t="str">
        <f>"IBAGUE"</f>
        <v>IBAGUE</v>
      </c>
      <c r="BM926" t="str">
        <f t="shared" si="1109"/>
        <v>COLOMBIA</v>
      </c>
      <c r="BN926" t="str">
        <f>"TOLIMA"</f>
        <v>TOLIMA</v>
      </c>
      <c r="BO926" t="str">
        <f>"IBAGUE"</f>
        <v>IBAGUE</v>
      </c>
      <c r="BP926" t="str">
        <f t="shared" ref="BP926:BQ931" si="1134">"BOGOTA"</f>
        <v>BOGOTA</v>
      </c>
      <c r="BQ926" t="str">
        <f t="shared" si="1134"/>
        <v>BOGOTA</v>
      </c>
    </row>
    <row r="927" spans="1:69" x14ac:dyDescent="0.25">
      <c r="A927" t="str">
        <f>"7285549"</f>
        <v>7285549</v>
      </c>
      <c r="B927" t="str">
        <f t="shared" si="1088"/>
        <v>459</v>
      </c>
      <c r="C927" t="str">
        <f>"24/07/2020 12:00:00 a. m."</f>
        <v>24/07/2020 12:00:00 a. m.</v>
      </c>
      <c r="D927" t="str">
        <f>"19"</f>
        <v>19</v>
      </c>
      <c r="E927" t="str">
        <f t="shared" si="1089"/>
        <v>2020</v>
      </c>
      <c r="F927" t="str">
        <f>"1100109599"</f>
        <v>1100109599</v>
      </c>
      <c r="G927" t="str">
        <f t="shared" si="1133"/>
        <v>01</v>
      </c>
      <c r="H927" t="str">
        <f>"15"</f>
        <v>15</v>
      </c>
      <c r="I927" t="str">
        <f t="shared" si="1122"/>
        <v>1</v>
      </c>
      <c r="J927" t="str">
        <f>"M"</f>
        <v>M</v>
      </c>
      <c r="K927" t="str">
        <f t="shared" si="1128"/>
        <v>170</v>
      </c>
      <c r="L927" t="str">
        <f>"11"</f>
        <v>11</v>
      </c>
      <c r="M927" t="str">
        <f t="shared" si="1129"/>
        <v>001</v>
      </c>
      <c r="N927" t="str">
        <f t="shared" si="1123"/>
        <v>1</v>
      </c>
      <c r="O927" t="str">
        <f>"9997"</f>
        <v>9997</v>
      </c>
      <c r="P927" t="str">
        <f t="shared" si="1124"/>
        <v>C</v>
      </c>
      <c r="Q927" t="str">
        <f>"EPS008"</f>
        <v>EPS008</v>
      </c>
      <c r="R927" t="str">
        <f t="shared" si="1112"/>
        <v>6</v>
      </c>
      <c r="S927" t="str">
        <f>""</f>
        <v/>
      </c>
      <c r="T927" t="str">
        <f t="shared" si="1113"/>
        <v xml:space="preserve">                                                                                                    </v>
      </c>
      <c r="U927" t="str">
        <f>"4         "</f>
        <v xml:space="preserve">4         </v>
      </c>
      <c r="V927" t="str">
        <f t="shared" si="1075"/>
        <v>2</v>
      </c>
      <c r="W927" t="str">
        <f t="shared" si="1114"/>
        <v>2</v>
      </c>
      <c r="X927" t="str">
        <f t="shared" si="1125"/>
        <v>2</v>
      </c>
      <c r="Y927" t="str">
        <f t="shared" si="1119"/>
        <v>2</v>
      </c>
      <c r="Z927" t="str">
        <f t="shared" si="1119"/>
        <v>2</v>
      </c>
      <c r="AA927" t="str">
        <f t="shared" si="1091"/>
        <v xml:space="preserve">          </v>
      </c>
      <c r="AB927" t="str">
        <f t="shared" si="1085"/>
        <v>2</v>
      </c>
      <c r="AC927" t="str">
        <f t="shared" si="1086"/>
        <v>2</v>
      </c>
      <c r="AD927" t="str">
        <f t="shared" si="1121"/>
        <v>2</v>
      </c>
      <c r="AE927" t="str">
        <f t="shared" si="1121"/>
        <v>2</v>
      </c>
      <c r="AF927" t="str">
        <f t="shared" si="1121"/>
        <v>2</v>
      </c>
      <c r="AG927" t="str">
        <f t="shared" si="1121"/>
        <v>2</v>
      </c>
      <c r="AH927" t="str">
        <f t="shared" si="1115"/>
        <v>1</v>
      </c>
      <c r="AI927" t="str">
        <f t="shared" si="1120"/>
        <v xml:space="preserve">1         </v>
      </c>
      <c r="AJ927" t="str">
        <f t="shared" si="1107"/>
        <v>170</v>
      </c>
      <c r="AK927" t="str">
        <f>"11"</f>
        <v>11</v>
      </c>
      <c r="AL927" t="str">
        <f t="shared" si="1126"/>
        <v>001</v>
      </c>
      <c r="AM927" t="str">
        <f t="shared" si="1131"/>
        <v>11</v>
      </c>
      <c r="AN927" t="str">
        <f t="shared" si="1132"/>
        <v>11001</v>
      </c>
      <c r="AO927" t="str">
        <f>"3/05/2020 12:00:00 a. m."</f>
        <v>3/05/2020 12:00:00 a. m.</v>
      </c>
      <c r="AP927" t="str">
        <f>"15/04/2020 12:00:00 a. m."</f>
        <v>15/04/2020 12:00:00 a. m.</v>
      </c>
      <c r="AQ927" t="str">
        <f>"3"</f>
        <v>3</v>
      </c>
      <c r="AR927" t="str">
        <f>"1"</f>
        <v>1</v>
      </c>
      <c r="AS927" t="str">
        <f>"3/05/2020 12:00:00 a. m."</f>
        <v>3/05/2020 12:00:00 a. m.</v>
      </c>
      <c r="AT927" t="str">
        <f>"2"</f>
        <v>2</v>
      </c>
      <c r="AU927" t="str">
        <f>"23/06/2020 12:00:00 a. m."</f>
        <v>23/06/2020 12:00:00 a. m.</v>
      </c>
      <c r="AV927" t="str">
        <f>"7"</f>
        <v>7</v>
      </c>
      <c r="AW927" t="str">
        <f>"21/08/2004 12:00:00 a. m."</f>
        <v>21/08/2004 12:00:00 a. m.</v>
      </c>
      <c r="AX927" t="str">
        <f>"C845"</f>
        <v>C845</v>
      </c>
      <c r="AY927" t="str">
        <f t="shared" si="1092"/>
        <v>30/04/2021 12:00:00 a. m.</v>
      </c>
      <c r="AZ927" t="str">
        <f>"28/08/2020 12:00:00 a. m."</f>
        <v>28/08/2020 12:00:00 a. m.</v>
      </c>
      <c r="BA927" t="str">
        <f>""</f>
        <v/>
      </c>
      <c r="BB927" t="str">
        <f>""</f>
        <v/>
      </c>
      <c r="BC927" t="str">
        <f>""</f>
        <v/>
      </c>
      <c r="BD927" t="str">
        <f t="shared" si="1127"/>
        <v>1</v>
      </c>
      <c r="BE927" t="str">
        <f t="shared" si="1127"/>
        <v>1</v>
      </c>
      <c r="BF927" t="str">
        <f t="shared" si="1093"/>
        <v xml:space="preserve">3         </v>
      </c>
      <c r="BG927" t="str">
        <f t="shared" si="1094"/>
        <v>Confirmado por laboratorio</v>
      </c>
      <c r="BH927" t="str">
        <f>"ADMINISTRADORA COUNTRY SA"</f>
        <v>ADMINISTRADORA COUNTRY SA</v>
      </c>
      <c r="BI927" t="str">
        <f t="shared" si="1130"/>
        <v>COLOMBIA</v>
      </c>
      <c r="BJ927" t="str">
        <f t="shared" si="1095"/>
        <v>CANCER INFANTIL</v>
      </c>
      <c r="BK927" t="str">
        <f t="shared" ref="BK927:BL931" si="1135">"BOGOTA"</f>
        <v>BOGOTA</v>
      </c>
      <c r="BL927" t="str">
        <f t="shared" si="1135"/>
        <v>BOGOTA</v>
      </c>
      <c r="BM927" t="str">
        <f t="shared" si="1109"/>
        <v>COLOMBIA</v>
      </c>
      <c r="BN927" t="str">
        <f t="shared" ref="BN927:BO931" si="1136">"BOGOTA"</f>
        <v>BOGOTA</v>
      </c>
      <c r="BO927" t="str">
        <f t="shared" si="1136"/>
        <v>BOGOTA</v>
      </c>
      <c r="BP927" t="str">
        <f t="shared" si="1134"/>
        <v>BOGOTA</v>
      </c>
      <c r="BQ927" t="str">
        <f t="shared" si="1134"/>
        <v>BOGOTA</v>
      </c>
    </row>
    <row r="928" spans="1:69" x14ac:dyDescent="0.25">
      <c r="A928" t="str">
        <f>"7285647"</f>
        <v>7285647</v>
      </c>
      <c r="B928" t="str">
        <f t="shared" si="1088"/>
        <v>459</v>
      </c>
      <c r="C928" t="str">
        <f>"17/12/2020 12:00:00 a. m."</f>
        <v>17/12/2020 12:00:00 a. m.</v>
      </c>
      <c r="D928" t="str">
        <f>"48"</f>
        <v>48</v>
      </c>
      <c r="E928" t="str">
        <f t="shared" si="1089"/>
        <v>2020</v>
      </c>
      <c r="F928" t="str">
        <f>"1100105618"</f>
        <v>1100105618</v>
      </c>
      <c r="G928" t="str">
        <f t="shared" si="1133"/>
        <v>01</v>
      </c>
      <c r="H928" t="str">
        <f>"12"</f>
        <v>12</v>
      </c>
      <c r="I928" t="str">
        <f t="shared" si="1122"/>
        <v>1</v>
      </c>
      <c r="J928" t="str">
        <f>"M"</f>
        <v>M</v>
      </c>
      <c r="K928" t="str">
        <f t="shared" si="1128"/>
        <v>170</v>
      </c>
      <c r="L928" t="str">
        <f>"11"</f>
        <v>11</v>
      </c>
      <c r="M928" t="str">
        <f t="shared" si="1129"/>
        <v>001</v>
      </c>
      <c r="N928" t="str">
        <f t="shared" si="1123"/>
        <v>1</v>
      </c>
      <c r="O928" t="str">
        <f>"9997"</f>
        <v>9997</v>
      </c>
      <c r="P928" t="str">
        <f t="shared" si="1124"/>
        <v>C</v>
      </c>
      <c r="Q928" t="str">
        <f>"EPS008"</f>
        <v>EPS008</v>
      </c>
      <c r="R928" t="str">
        <f t="shared" si="1112"/>
        <v>6</v>
      </c>
      <c r="S928" t="str">
        <f>""</f>
        <v/>
      </c>
      <c r="T928" t="str">
        <f t="shared" si="1113"/>
        <v xml:space="preserve">                                                                                                    </v>
      </c>
      <c r="U928" t="str">
        <f>"3         "</f>
        <v xml:space="preserve">3         </v>
      </c>
      <c r="V928" t="str">
        <f t="shared" si="1075"/>
        <v>2</v>
      </c>
      <c r="W928" t="str">
        <f t="shared" si="1114"/>
        <v>2</v>
      </c>
      <c r="X928" t="str">
        <f t="shared" si="1125"/>
        <v>2</v>
      </c>
      <c r="Y928" t="str">
        <f t="shared" si="1119"/>
        <v>2</v>
      </c>
      <c r="Z928" t="str">
        <f t="shared" si="1119"/>
        <v>2</v>
      </c>
      <c r="AA928" t="str">
        <f t="shared" si="1091"/>
        <v xml:space="preserve">          </v>
      </c>
      <c r="AB928" t="str">
        <f t="shared" si="1085"/>
        <v>2</v>
      </c>
      <c r="AC928" t="str">
        <f t="shared" si="1086"/>
        <v>2</v>
      </c>
      <c r="AD928" t="str">
        <f t="shared" si="1121"/>
        <v>2</v>
      </c>
      <c r="AE928" t="str">
        <f t="shared" si="1121"/>
        <v>2</v>
      </c>
      <c r="AF928" t="str">
        <f t="shared" si="1121"/>
        <v>2</v>
      </c>
      <c r="AG928" t="str">
        <f t="shared" si="1121"/>
        <v>2</v>
      </c>
      <c r="AH928" t="str">
        <f t="shared" si="1115"/>
        <v>1</v>
      </c>
      <c r="AI928" t="str">
        <f>"2         "</f>
        <v xml:space="preserve">2         </v>
      </c>
      <c r="AJ928" t="str">
        <f t="shared" si="1107"/>
        <v>170</v>
      </c>
      <c r="AK928" t="str">
        <f>"11"</f>
        <v>11</v>
      </c>
      <c r="AL928" t="str">
        <f t="shared" si="1126"/>
        <v>001</v>
      </c>
      <c r="AM928" t="str">
        <f t="shared" si="1131"/>
        <v>11</v>
      </c>
      <c r="AN928" t="str">
        <f t="shared" si="1132"/>
        <v>11001</v>
      </c>
      <c r="AO928" t="str">
        <f>"27/11/2020 12:00:00 a. m."</f>
        <v>27/11/2020 12:00:00 a. m.</v>
      </c>
      <c r="AP928" t="str">
        <f>"26/11/2020 12:00:00 a. m."</f>
        <v>26/11/2020 12:00:00 a. m.</v>
      </c>
      <c r="AQ928" t="str">
        <f>"2"</f>
        <v>2</v>
      </c>
      <c r="AR928" t="str">
        <f>"1"</f>
        <v>1</v>
      </c>
      <c r="AS928" t="str">
        <f>"27/11/2020 12:00:00 a. m."</f>
        <v>27/11/2020 12:00:00 a. m.</v>
      </c>
      <c r="AT928" t="str">
        <f>"1"</f>
        <v>1</v>
      </c>
      <c r="AU928" t="str">
        <f>""</f>
        <v/>
      </c>
      <c r="AV928" t="str">
        <f>"3"</f>
        <v>3</v>
      </c>
      <c r="AW928" t="str">
        <f>"6/10/2008 12:00:00 a. m."</f>
        <v>6/10/2008 12:00:00 a. m.</v>
      </c>
      <c r="AX928" t="str">
        <f>""</f>
        <v/>
      </c>
      <c r="AY928" t="str">
        <f t="shared" si="1092"/>
        <v>30/04/2021 12:00:00 a. m.</v>
      </c>
      <c r="AZ928" t="str">
        <f>"12/01/2021 12:00:00 a. m."</f>
        <v>12/01/2021 12:00:00 a. m.</v>
      </c>
      <c r="BA928" t="str">
        <f>""</f>
        <v/>
      </c>
      <c r="BB928" t="str">
        <f>""</f>
        <v/>
      </c>
      <c r="BC928" t="str">
        <f>""</f>
        <v/>
      </c>
      <c r="BD928" t="str">
        <f t="shared" si="1127"/>
        <v>1</v>
      </c>
      <c r="BE928" t="str">
        <f t="shared" si="1127"/>
        <v>1</v>
      </c>
      <c r="BF928" t="str">
        <f t="shared" si="1093"/>
        <v xml:space="preserve">3         </v>
      </c>
      <c r="BG928" t="str">
        <f t="shared" si="1094"/>
        <v>Confirmado por laboratorio</v>
      </c>
      <c r="BH928" t="str">
        <f>"HOSPITAL UNIVERSITARIO FUNDACION SANTA FE - USAQU"</f>
        <v>HOSPITAL UNIVERSITARIO FUNDACION SANTA FE - USAQU</v>
      </c>
      <c r="BI928" t="str">
        <f t="shared" si="1130"/>
        <v>COLOMBIA</v>
      </c>
      <c r="BJ928" t="str">
        <f t="shared" si="1095"/>
        <v>CANCER INFANTIL</v>
      </c>
      <c r="BK928" t="str">
        <f t="shared" si="1135"/>
        <v>BOGOTA</v>
      </c>
      <c r="BL928" t="str">
        <f t="shared" si="1135"/>
        <v>BOGOTA</v>
      </c>
      <c r="BM928" t="str">
        <f t="shared" si="1109"/>
        <v>COLOMBIA</v>
      </c>
      <c r="BN928" t="str">
        <f t="shared" si="1136"/>
        <v>BOGOTA</v>
      </c>
      <c r="BO928" t="str">
        <f t="shared" si="1136"/>
        <v>BOGOTA</v>
      </c>
      <c r="BP928" t="str">
        <f t="shared" si="1134"/>
        <v>BOGOTA</v>
      </c>
      <c r="BQ928" t="str">
        <f t="shared" si="1134"/>
        <v>BOGOTA</v>
      </c>
    </row>
    <row r="929" spans="1:69" x14ac:dyDescent="0.25">
      <c r="A929" t="str">
        <f>"7285677"</f>
        <v>7285677</v>
      </c>
      <c r="B929" t="str">
        <f t="shared" si="1088"/>
        <v>459</v>
      </c>
      <c r="C929" t="str">
        <f>"15/02/2021 12:00:00 a. m."</f>
        <v>15/02/2021 12:00:00 a. m.</v>
      </c>
      <c r="D929" t="str">
        <f>"53"</f>
        <v>53</v>
      </c>
      <c r="E929" t="str">
        <f t="shared" si="1089"/>
        <v>2020</v>
      </c>
      <c r="F929" t="str">
        <f>"1100105618"</f>
        <v>1100105618</v>
      </c>
      <c r="G929" t="str">
        <f t="shared" si="1133"/>
        <v>01</v>
      </c>
      <c r="H929" t="str">
        <f>"10"</f>
        <v>10</v>
      </c>
      <c r="I929" t="str">
        <f t="shared" si="1122"/>
        <v>1</v>
      </c>
      <c r="J929" t="str">
        <f>"F"</f>
        <v>F</v>
      </c>
      <c r="K929" t="str">
        <f t="shared" si="1128"/>
        <v>170</v>
      </c>
      <c r="L929" t="str">
        <f>"11"</f>
        <v>11</v>
      </c>
      <c r="M929" t="str">
        <f t="shared" si="1129"/>
        <v>001</v>
      </c>
      <c r="N929" t="str">
        <f t="shared" si="1123"/>
        <v>1</v>
      </c>
      <c r="O929" t="str">
        <f>"9997"</f>
        <v>9997</v>
      </c>
      <c r="P929" t="str">
        <f t="shared" si="1124"/>
        <v>C</v>
      </c>
      <c r="Q929" t="str">
        <f>"EPS001"</f>
        <v>EPS001</v>
      </c>
      <c r="R929" t="str">
        <f t="shared" si="1112"/>
        <v>6</v>
      </c>
      <c r="S929" t="str">
        <f>""</f>
        <v/>
      </c>
      <c r="T929" t="str">
        <f t="shared" si="1113"/>
        <v xml:space="preserve">                                                                                                    </v>
      </c>
      <c r="U929" t="str">
        <f>"4         "</f>
        <v xml:space="preserve">4         </v>
      </c>
      <c r="V929" t="str">
        <f t="shared" si="1075"/>
        <v>2</v>
      </c>
      <c r="W929" t="str">
        <f t="shared" si="1114"/>
        <v>2</v>
      </c>
      <c r="X929" t="str">
        <f t="shared" si="1125"/>
        <v>2</v>
      </c>
      <c r="Y929" t="str">
        <f t="shared" si="1119"/>
        <v>2</v>
      </c>
      <c r="Z929" t="str">
        <f t="shared" si="1119"/>
        <v>2</v>
      </c>
      <c r="AA929" t="str">
        <f t="shared" si="1091"/>
        <v xml:space="preserve">          </v>
      </c>
      <c r="AB929" t="str">
        <f t="shared" si="1085"/>
        <v>2</v>
      </c>
      <c r="AC929" t="str">
        <f t="shared" si="1086"/>
        <v>2</v>
      </c>
      <c r="AD929" t="str">
        <f t="shared" si="1121"/>
        <v>2</v>
      </c>
      <c r="AE929" t="str">
        <f t="shared" si="1121"/>
        <v>2</v>
      </c>
      <c r="AF929" t="str">
        <f t="shared" si="1121"/>
        <v>2</v>
      </c>
      <c r="AG929" t="str">
        <f t="shared" si="1121"/>
        <v>2</v>
      </c>
      <c r="AH929" t="str">
        <f t="shared" si="1115"/>
        <v>1</v>
      </c>
      <c r="AI929" t="str">
        <f>"2         "</f>
        <v xml:space="preserve">2         </v>
      </c>
      <c r="AJ929" t="str">
        <f t="shared" si="1107"/>
        <v>170</v>
      </c>
      <c r="AK929" t="str">
        <f>"11"</f>
        <v>11</v>
      </c>
      <c r="AL929" t="str">
        <f t="shared" si="1126"/>
        <v>001</v>
      </c>
      <c r="AM929" t="str">
        <f t="shared" si="1131"/>
        <v>11</v>
      </c>
      <c r="AN929" t="str">
        <f t="shared" si="1132"/>
        <v>11001</v>
      </c>
      <c r="AO929" t="str">
        <f>"31/12/2020 12:00:00 a. m."</f>
        <v>31/12/2020 12:00:00 a. m.</v>
      </c>
      <c r="AP929" t="str">
        <f>"28/12/2020 12:00:00 a. m."</f>
        <v>28/12/2020 12:00:00 a. m.</v>
      </c>
      <c r="AQ929" t="str">
        <f>"3"</f>
        <v>3</v>
      </c>
      <c r="AR929" t="str">
        <f>"1"</f>
        <v>1</v>
      </c>
      <c r="AS929" t="str">
        <f>"31/12/2020 12:00:00 a. m."</f>
        <v>31/12/2020 12:00:00 a. m.</v>
      </c>
      <c r="AT929" t="str">
        <f>"1"</f>
        <v>1</v>
      </c>
      <c r="AU929" t="str">
        <f>""</f>
        <v/>
      </c>
      <c r="AV929" t="str">
        <f>"0"</f>
        <v>0</v>
      </c>
      <c r="AW929" t="str">
        <f>"20/07/2010 12:00:00 a. m."</f>
        <v>20/07/2010 12:00:00 a. m.</v>
      </c>
      <c r="AX929" t="str">
        <f>""</f>
        <v/>
      </c>
      <c r="AY929" t="str">
        <f t="shared" si="1092"/>
        <v>30/04/2021 12:00:00 a. m.</v>
      </c>
      <c r="AZ929" t="str">
        <f>"15/02/2021 12:00:00 a. m."</f>
        <v>15/02/2021 12:00:00 a. m.</v>
      </c>
      <c r="BA929" t="str">
        <f>""</f>
        <v/>
      </c>
      <c r="BB929" t="str">
        <f>""</f>
        <v/>
      </c>
      <c r="BC929" t="str">
        <f>""</f>
        <v/>
      </c>
      <c r="BD929" t="str">
        <f t="shared" si="1127"/>
        <v>1</v>
      </c>
      <c r="BE929" t="str">
        <f t="shared" si="1127"/>
        <v>1</v>
      </c>
      <c r="BF929" t="str">
        <f t="shared" si="1093"/>
        <v xml:space="preserve">3         </v>
      </c>
      <c r="BG929" t="str">
        <f t="shared" si="1094"/>
        <v>Confirmado por laboratorio</v>
      </c>
      <c r="BH929" t="str">
        <f>"HOSPITAL UNIVERSITARIO FUNDACION SANTA FE - USAQU"</f>
        <v>HOSPITAL UNIVERSITARIO FUNDACION SANTA FE - USAQU</v>
      </c>
      <c r="BI929" t="str">
        <f t="shared" si="1130"/>
        <v>COLOMBIA</v>
      </c>
      <c r="BJ929" t="str">
        <f t="shared" si="1095"/>
        <v>CANCER INFANTIL</v>
      </c>
      <c r="BK929" t="str">
        <f t="shared" si="1135"/>
        <v>BOGOTA</v>
      </c>
      <c r="BL929" t="str">
        <f t="shared" si="1135"/>
        <v>BOGOTA</v>
      </c>
      <c r="BM929" t="str">
        <f t="shared" si="1109"/>
        <v>COLOMBIA</v>
      </c>
      <c r="BN929" t="str">
        <f t="shared" si="1136"/>
        <v>BOGOTA</v>
      </c>
      <c r="BO929" t="str">
        <f t="shared" si="1136"/>
        <v>BOGOTA</v>
      </c>
      <c r="BP929" t="str">
        <f t="shared" si="1134"/>
        <v>BOGOTA</v>
      </c>
      <c r="BQ929" t="str">
        <f t="shared" si="1134"/>
        <v>BOGOTA</v>
      </c>
    </row>
    <row r="930" spans="1:69" x14ac:dyDescent="0.25">
      <c r="A930" t="str">
        <f>"7285557"</f>
        <v>7285557</v>
      </c>
      <c r="B930" t="str">
        <f t="shared" si="1088"/>
        <v>459</v>
      </c>
      <c r="C930" t="str">
        <f>"23/09/2020 12:00:00 a. m."</f>
        <v>23/09/2020 12:00:00 a. m.</v>
      </c>
      <c r="D930" t="str">
        <f>"31"</f>
        <v>31</v>
      </c>
      <c r="E930" t="str">
        <f t="shared" si="1089"/>
        <v>2020</v>
      </c>
      <c r="F930" t="str">
        <f>"1100116133"</f>
        <v>1100116133</v>
      </c>
      <c r="G930" t="str">
        <f t="shared" si="1133"/>
        <v>01</v>
      </c>
      <c r="H930" t="str">
        <f>"12"</f>
        <v>12</v>
      </c>
      <c r="I930" t="str">
        <f t="shared" si="1122"/>
        <v>1</v>
      </c>
      <c r="J930" t="str">
        <f>"F"</f>
        <v>F</v>
      </c>
      <c r="K930" t="str">
        <f t="shared" si="1128"/>
        <v>170</v>
      </c>
      <c r="L930" t="str">
        <f>"11"</f>
        <v>11</v>
      </c>
      <c r="M930" t="str">
        <f t="shared" si="1129"/>
        <v>001</v>
      </c>
      <c r="N930" t="str">
        <f t="shared" si="1123"/>
        <v>1</v>
      </c>
      <c r="O930" t="str">
        <f>"9997"</f>
        <v>9997</v>
      </c>
      <c r="P930" t="str">
        <f>"S"</f>
        <v>S</v>
      </c>
      <c r="Q930" t="str">
        <f>"EPSS37"</f>
        <v>EPSS37</v>
      </c>
      <c r="R930" t="str">
        <f t="shared" si="1112"/>
        <v>6</v>
      </c>
      <c r="S930" t="str">
        <f>""</f>
        <v/>
      </c>
      <c r="T930" t="str">
        <f t="shared" si="1113"/>
        <v xml:space="preserve">                                                                                                    </v>
      </c>
      <c r="U930" t="str">
        <f>"3         "</f>
        <v xml:space="preserve">3         </v>
      </c>
      <c r="V930" t="str">
        <f t="shared" si="1075"/>
        <v>2</v>
      </c>
      <c r="W930" t="str">
        <f t="shared" si="1114"/>
        <v>2</v>
      </c>
      <c r="X930" t="str">
        <f t="shared" si="1125"/>
        <v>2</v>
      </c>
      <c r="Y930" t="str">
        <f t="shared" si="1119"/>
        <v>2</v>
      </c>
      <c r="Z930" t="str">
        <f t="shared" si="1119"/>
        <v>2</v>
      </c>
      <c r="AA930" t="str">
        <f t="shared" si="1091"/>
        <v xml:space="preserve">          </v>
      </c>
      <c r="AB930" t="str">
        <f t="shared" si="1085"/>
        <v>2</v>
      </c>
      <c r="AC930" t="str">
        <f t="shared" si="1086"/>
        <v>2</v>
      </c>
      <c r="AD930" t="str">
        <f t="shared" si="1121"/>
        <v>2</v>
      </c>
      <c r="AE930" t="str">
        <f t="shared" si="1121"/>
        <v>2</v>
      </c>
      <c r="AF930" t="str">
        <f t="shared" si="1121"/>
        <v>2</v>
      </c>
      <c r="AG930" t="str">
        <f t="shared" si="1121"/>
        <v>2</v>
      </c>
      <c r="AH930" t="str">
        <f t="shared" si="1115"/>
        <v>1</v>
      </c>
      <c r="AI930" t="str">
        <f>"2         "</f>
        <v xml:space="preserve">2         </v>
      </c>
      <c r="AJ930" t="str">
        <f t="shared" si="1107"/>
        <v>170</v>
      </c>
      <c r="AK930" t="str">
        <f>"11"</f>
        <v>11</v>
      </c>
      <c r="AL930" t="str">
        <f t="shared" si="1126"/>
        <v>001</v>
      </c>
      <c r="AM930" t="str">
        <f t="shared" si="1131"/>
        <v>11</v>
      </c>
      <c r="AN930" t="str">
        <f t="shared" si="1132"/>
        <v>11001</v>
      </c>
      <c r="AO930" t="str">
        <f>"30/07/2020 12:00:00 a. m."</f>
        <v>30/07/2020 12:00:00 a. m.</v>
      </c>
      <c r="AP930" t="str">
        <f>"1/01/2020 12:00:00 a. m."</f>
        <v>1/01/2020 12:00:00 a. m.</v>
      </c>
      <c r="AQ930" t="str">
        <f>"3"</f>
        <v>3</v>
      </c>
      <c r="AR930" t="str">
        <f>"2"</f>
        <v>2</v>
      </c>
      <c r="AS930" t="str">
        <f>""</f>
        <v/>
      </c>
      <c r="AT930" t="str">
        <f>"1"</f>
        <v>1</v>
      </c>
      <c r="AU930" t="str">
        <f>""</f>
        <v/>
      </c>
      <c r="AV930" t="str">
        <f>"0"</f>
        <v>0</v>
      </c>
      <c r="AW930" t="str">
        <f>"29/05/2008 12:00:00 a. m."</f>
        <v>29/05/2008 12:00:00 a. m.</v>
      </c>
      <c r="AX930" t="str">
        <f>""</f>
        <v/>
      </c>
      <c r="AY930" t="str">
        <f t="shared" si="1092"/>
        <v>30/04/2021 12:00:00 a. m.</v>
      </c>
      <c r="AZ930" t="str">
        <f>"24/09/2020 12:00:00 a. m."</f>
        <v>24/09/2020 12:00:00 a. m.</v>
      </c>
      <c r="BA930" t="str">
        <f>""</f>
        <v/>
      </c>
      <c r="BB930" t="str">
        <f>""</f>
        <v/>
      </c>
      <c r="BC930" t="str">
        <f>""</f>
        <v/>
      </c>
      <c r="BD930" t="str">
        <f t="shared" si="1127"/>
        <v>1</v>
      </c>
      <c r="BE930" t="str">
        <f t="shared" si="1127"/>
        <v>1</v>
      </c>
      <c r="BF930" t="str">
        <f t="shared" si="1093"/>
        <v xml:space="preserve">3         </v>
      </c>
      <c r="BG930" t="str">
        <f t="shared" si="1094"/>
        <v>Confirmado por laboratorio</v>
      </c>
      <c r="BH930" t="str">
        <f>"FUNDACION HOSPITAL INFANTIL UNIVERSITARIO DE SAN"</f>
        <v>FUNDACION HOSPITAL INFANTIL UNIVERSITARIO DE SAN</v>
      </c>
      <c r="BI930" t="str">
        <f t="shared" si="1130"/>
        <v>COLOMBIA</v>
      </c>
      <c r="BJ930" t="str">
        <f t="shared" si="1095"/>
        <v>CANCER INFANTIL</v>
      </c>
      <c r="BK930" t="str">
        <f t="shared" si="1135"/>
        <v>BOGOTA</v>
      </c>
      <c r="BL930" t="str">
        <f t="shared" si="1135"/>
        <v>BOGOTA</v>
      </c>
      <c r="BM930" t="str">
        <f t="shared" si="1109"/>
        <v>COLOMBIA</v>
      </c>
      <c r="BN930" t="str">
        <f t="shared" si="1136"/>
        <v>BOGOTA</v>
      </c>
      <c r="BO930" t="str">
        <f t="shared" si="1136"/>
        <v>BOGOTA</v>
      </c>
      <c r="BP930" t="str">
        <f t="shared" si="1134"/>
        <v>BOGOTA</v>
      </c>
      <c r="BQ930" t="str">
        <f t="shared" si="1134"/>
        <v>BOGOTA</v>
      </c>
    </row>
    <row r="931" spans="1:69" x14ac:dyDescent="0.25">
      <c r="A931" t="str">
        <f>"7285478"</f>
        <v>7285478</v>
      </c>
      <c r="B931" t="str">
        <f t="shared" si="1088"/>
        <v>459</v>
      </c>
      <c r="C931" t="str">
        <f>"14/02/2020 12:00:00 a. m."</f>
        <v>14/02/2020 12:00:00 a. m.</v>
      </c>
      <c r="D931" t="str">
        <f>"05"</f>
        <v>05</v>
      </c>
      <c r="E931" t="str">
        <f t="shared" si="1089"/>
        <v>2020</v>
      </c>
      <c r="F931" t="str">
        <f>"1100116133"</f>
        <v>1100116133</v>
      </c>
      <c r="G931" t="str">
        <f t="shared" si="1133"/>
        <v>01</v>
      </c>
      <c r="H931" t="str">
        <f>"1"</f>
        <v>1</v>
      </c>
      <c r="I931" t="str">
        <f t="shared" si="1122"/>
        <v>1</v>
      </c>
      <c r="J931" t="str">
        <f>"F"</f>
        <v>F</v>
      </c>
      <c r="K931" t="str">
        <f t="shared" si="1128"/>
        <v>170</v>
      </c>
      <c r="L931" t="str">
        <f>"11"</f>
        <v>11</v>
      </c>
      <c r="M931" t="str">
        <f t="shared" si="1129"/>
        <v>001</v>
      </c>
      <c r="N931" t="str">
        <f t="shared" si="1123"/>
        <v>1</v>
      </c>
      <c r="O931" t="str">
        <f>"9999"</f>
        <v>9999</v>
      </c>
      <c r="P931" t="str">
        <f>"C"</f>
        <v>C</v>
      </c>
      <c r="Q931" t="str">
        <f>"EPS016"</f>
        <v>EPS016</v>
      </c>
      <c r="R931" t="str">
        <f t="shared" si="1112"/>
        <v>6</v>
      </c>
      <c r="S931" t="str">
        <f>""</f>
        <v/>
      </c>
      <c r="T931" t="str">
        <f t="shared" si="1113"/>
        <v xml:space="preserve">                                                                                                    </v>
      </c>
      <c r="U931" t="str">
        <f>"3         "</f>
        <v xml:space="preserve">3         </v>
      </c>
      <c r="V931" t="str">
        <f t="shared" si="1075"/>
        <v>2</v>
      </c>
      <c r="W931" t="str">
        <f t="shared" si="1114"/>
        <v>2</v>
      </c>
      <c r="X931" t="str">
        <f t="shared" si="1125"/>
        <v>2</v>
      </c>
      <c r="Y931" t="str">
        <f t="shared" si="1119"/>
        <v>2</v>
      </c>
      <c r="Z931" t="str">
        <f t="shared" si="1119"/>
        <v>2</v>
      </c>
      <c r="AA931" t="str">
        <f t="shared" si="1091"/>
        <v xml:space="preserve">          </v>
      </c>
      <c r="AB931" t="str">
        <f t="shared" si="1085"/>
        <v>2</v>
      </c>
      <c r="AC931" t="str">
        <f t="shared" si="1086"/>
        <v>2</v>
      </c>
      <c r="AD931" t="str">
        <f t="shared" si="1121"/>
        <v>2</v>
      </c>
      <c r="AE931" t="str">
        <f t="shared" si="1121"/>
        <v>2</v>
      </c>
      <c r="AF931" t="str">
        <f t="shared" si="1121"/>
        <v>2</v>
      </c>
      <c r="AG931" t="str">
        <f t="shared" si="1121"/>
        <v>2</v>
      </c>
      <c r="AH931" t="str">
        <f t="shared" si="1115"/>
        <v>1</v>
      </c>
      <c r="AI931" t="str">
        <f>"1         "</f>
        <v xml:space="preserve">1         </v>
      </c>
      <c r="AJ931" t="str">
        <f t="shared" si="1107"/>
        <v>170</v>
      </c>
      <c r="AK931" t="str">
        <f>"11"</f>
        <v>11</v>
      </c>
      <c r="AL931" t="str">
        <f t="shared" si="1126"/>
        <v>001</v>
      </c>
      <c r="AM931" t="str">
        <f t="shared" si="1131"/>
        <v>11</v>
      </c>
      <c r="AN931" t="str">
        <f t="shared" si="1132"/>
        <v>11001</v>
      </c>
      <c r="AO931" t="str">
        <f>"29/01/2020 12:00:00 a. m."</f>
        <v>29/01/2020 12:00:00 a. m.</v>
      </c>
      <c r="AP931" t="str">
        <f>"19/01/2020 12:00:00 a. m."</f>
        <v>19/01/2020 12:00:00 a. m.</v>
      </c>
      <c r="AQ931" t="str">
        <f>"3"</f>
        <v>3</v>
      </c>
      <c r="AR931" t="str">
        <f t="shared" ref="AR931:AR938" si="1137">"1"</f>
        <v>1</v>
      </c>
      <c r="AS931" t="str">
        <f>"29/01/2020 12:00:00 a. m."</f>
        <v>29/01/2020 12:00:00 a. m.</v>
      </c>
      <c r="AT931" t="str">
        <f>"1"</f>
        <v>1</v>
      </c>
      <c r="AU931" t="str">
        <f>""</f>
        <v/>
      </c>
      <c r="AV931" t="str">
        <f>"0"</f>
        <v>0</v>
      </c>
      <c r="AW931" t="str">
        <f>"7/05/2018 12:00:00 a. m."</f>
        <v>7/05/2018 12:00:00 a. m.</v>
      </c>
      <c r="AX931" t="str">
        <f>""</f>
        <v/>
      </c>
      <c r="AY931" t="str">
        <f t="shared" si="1092"/>
        <v>30/04/2021 12:00:00 a. m.</v>
      </c>
      <c r="AZ931" t="str">
        <f>"17/02/2020 12:00:00 a. m."</f>
        <v>17/02/2020 12:00:00 a. m.</v>
      </c>
      <c r="BA931" t="str">
        <f>""</f>
        <v/>
      </c>
      <c r="BB931" t="str">
        <f>""</f>
        <v/>
      </c>
      <c r="BC931" t="str">
        <f>""</f>
        <v/>
      </c>
      <c r="BD931" t="str">
        <f t="shared" si="1127"/>
        <v>1</v>
      </c>
      <c r="BE931" t="str">
        <f t="shared" si="1127"/>
        <v>1</v>
      </c>
      <c r="BF931" t="str">
        <f t="shared" si="1093"/>
        <v xml:space="preserve">3         </v>
      </c>
      <c r="BG931" t="str">
        <f t="shared" si="1094"/>
        <v>Confirmado por laboratorio</v>
      </c>
      <c r="BH931" t="str">
        <f>"FUNDACION HOSPITAL INFANTIL UNIVERSITARIO DE SAN"</f>
        <v>FUNDACION HOSPITAL INFANTIL UNIVERSITARIO DE SAN</v>
      </c>
      <c r="BI931" t="str">
        <f t="shared" si="1130"/>
        <v>COLOMBIA</v>
      </c>
      <c r="BJ931" t="str">
        <f t="shared" si="1095"/>
        <v>CANCER INFANTIL</v>
      </c>
      <c r="BK931" t="str">
        <f t="shared" si="1135"/>
        <v>BOGOTA</v>
      </c>
      <c r="BL931" t="str">
        <f t="shared" si="1135"/>
        <v>BOGOTA</v>
      </c>
      <c r="BM931" t="str">
        <f t="shared" si="1109"/>
        <v>COLOMBIA</v>
      </c>
      <c r="BN931" t="str">
        <f t="shared" si="1136"/>
        <v>BOGOTA</v>
      </c>
      <c r="BO931" t="str">
        <f t="shared" si="1136"/>
        <v>BOGOTA</v>
      </c>
      <c r="BP931" t="str">
        <f t="shared" si="1134"/>
        <v>BOGOTA</v>
      </c>
      <c r="BQ931" t="str">
        <f t="shared" si="1134"/>
        <v>BOGOTA</v>
      </c>
    </row>
    <row r="932" spans="1:69" x14ac:dyDescent="0.25">
      <c r="A932" t="str">
        <f>"7285621"</f>
        <v>7285621</v>
      </c>
      <c r="B932" t="str">
        <f t="shared" si="1088"/>
        <v>459</v>
      </c>
      <c r="C932" t="str">
        <f>"13/03/2021 12:00:00 a. m."</f>
        <v>13/03/2021 12:00:00 a. m.</v>
      </c>
      <c r="D932" t="str">
        <f>"11"</f>
        <v>11</v>
      </c>
      <c r="E932" t="str">
        <f t="shared" si="1089"/>
        <v>2020</v>
      </c>
      <c r="F932" t="str">
        <f>"7300101047"</f>
        <v>7300101047</v>
      </c>
      <c r="G932" t="str">
        <f t="shared" si="1133"/>
        <v>01</v>
      </c>
      <c r="H932" t="str">
        <f>"17"</f>
        <v>17</v>
      </c>
      <c r="I932" t="str">
        <f t="shared" si="1122"/>
        <v>1</v>
      </c>
      <c r="J932" t="str">
        <f>"F"</f>
        <v>F</v>
      </c>
      <c r="K932" t="str">
        <f t="shared" si="1128"/>
        <v>170</v>
      </c>
      <c r="L932" t="str">
        <f>"73"</f>
        <v>73</v>
      </c>
      <c r="M932" t="str">
        <f>"504"</f>
        <v>504</v>
      </c>
      <c r="N932" t="str">
        <f>"3"</f>
        <v>3</v>
      </c>
      <c r="O932" t="str">
        <f t="shared" ref="O932:O940" si="1138">"9997"</f>
        <v>9997</v>
      </c>
      <c r="P932" t="str">
        <f>"S"</f>
        <v>S</v>
      </c>
      <c r="Q932" t="str">
        <f>"EPSI06"</f>
        <v>EPSI06</v>
      </c>
      <c r="R932" t="str">
        <f t="shared" si="1112"/>
        <v>6</v>
      </c>
      <c r="S932" t="str">
        <f>""</f>
        <v/>
      </c>
      <c r="T932" t="str">
        <f t="shared" si="1113"/>
        <v xml:space="preserve">                                                                                                    </v>
      </c>
      <c r="U932" t="str">
        <f>"1         "</f>
        <v xml:space="preserve">1         </v>
      </c>
      <c r="V932" t="str">
        <f t="shared" si="1075"/>
        <v>2</v>
      </c>
      <c r="W932" t="str">
        <f t="shared" si="1114"/>
        <v>2</v>
      </c>
      <c r="X932" t="str">
        <f t="shared" si="1125"/>
        <v>2</v>
      </c>
      <c r="Y932" t="str">
        <f t="shared" si="1119"/>
        <v>2</v>
      </c>
      <c r="Z932" t="str">
        <f t="shared" si="1119"/>
        <v>2</v>
      </c>
      <c r="AA932" t="str">
        <f t="shared" si="1091"/>
        <v xml:space="preserve">          </v>
      </c>
      <c r="AB932" t="str">
        <f t="shared" si="1085"/>
        <v>2</v>
      </c>
      <c r="AC932" t="str">
        <f t="shared" si="1086"/>
        <v>2</v>
      </c>
      <c r="AD932" t="str">
        <f t="shared" si="1121"/>
        <v>2</v>
      </c>
      <c r="AE932" t="str">
        <f t="shared" si="1121"/>
        <v>2</v>
      </c>
      <c r="AF932" t="str">
        <f t="shared" si="1121"/>
        <v>2</v>
      </c>
      <c r="AG932" t="str">
        <f t="shared" si="1121"/>
        <v>2</v>
      </c>
      <c r="AH932" t="str">
        <f t="shared" si="1115"/>
        <v>1</v>
      </c>
      <c r="AI932" t="str">
        <f>"1         "</f>
        <v xml:space="preserve">1         </v>
      </c>
      <c r="AJ932" t="str">
        <f t="shared" si="1107"/>
        <v>170</v>
      </c>
      <c r="AK932" t="str">
        <f>"73"</f>
        <v>73</v>
      </c>
      <c r="AL932" t="str">
        <f t="shared" si="1126"/>
        <v>001</v>
      </c>
      <c r="AM932" t="str">
        <f>"73"</f>
        <v>73</v>
      </c>
      <c r="AN932" t="str">
        <f>"73001"</f>
        <v>73001</v>
      </c>
      <c r="AO932" t="str">
        <f>"13/03/2020 12:00:00 a. m."</f>
        <v>13/03/2020 12:00:00 a. m.</v>
      </c>
      <c r="AP932" t="str">
        <f>"28/01/2020 12:00:00 a. m."</f>
        <v>28/01/2020 12:00:00 a. m.</v>
      </c>
      <c r="AQ932" t="str">
        <f>"3"</f>
        <v>3</v>
      </c>
      <c r="AR932" t="str">
        <f t="shared" si="1137"/>
        <v>1</v>
      </c>
      <c r="AS932" t="str">
        <f>"12/03/2021 12:00:00 a. m."</f>
        <v>12/03/2021 12:00:00 a. m.</v>
      </c>
      <c r="AT932" t="str">
        <f>"2"</f>
        <v>2</v>
      </c>
      <c r="AU932" t="str">
        <f>"16/03/2021 12:00:00 a. m."</f>
        <v>16/03/2021 12:00:00 a. m.</v>
      </c>
      <c r="AV932" t="str">
        <f>"0"</f>
        <v>0</v>
      </c>
      <c r="AW932" t="str">
        <f>"24/03/2003 12:00:00 a. m."</f>
        <v>24/03/2003 12:00:00 a. m.</v>
      </c>
      <c r="AX932" t="str">
        <f>"C461"</f>
        <v>C461</v>
      </c>
      <c r="AY932" t="str">
        <f t="shared" si="1092"/>
        <v>30/04/2021 12:00:00 a. m.</v>
      </c>
      <c r="AZ932" t="str">
        <f>"19/03/2021 12:00:00 a. m."</f>
        <v>19/03/2021 12:00:00 a. m.</v>
      </c>
      <c r="BA932" t="str">
        <f>""</f>
        <v/>
      </c>
      <c r="BB932" t="str">
        <f>""</f>
        <v/>
      </c>
      <c r="BC932" t="str">
        <f>""</f>
        <v/>
      </c>
      <c r="BD932" t="str">
        <f t="shared" si="1127"/>
        <v>1</v>
      </c>
      <c r="BE932" t="str">
        <f t="shared" si="1127"/>
        <v>1</v>
      </c>
      <c r="BF932" t="str">
        <f t="shared" si="1093"/>
        <v xml:space="preserve">3         </v>
      </c>
      <c r="BG932" t="str">
        <f t="shared" si="1094"/>
        <v>Confirmado por laboratorio</v>
      </c>
      <c r="BH932" t="str">
        <f>"HOSPITAL FEDERICO LLERAS ACOSTA ESE SEDE LA FRANC"</f>
        <v>HOSPITAL FEDERICO LLERAS ACOSTA ESE SEDE LA FRANC</v>
      </c>
      <c r="BI932" t="str">
        <f t="shared" si="1130"/>
        <v>COLOMBIA</v>
      </c>
      <c r="BJ932" t="str">
        <f t="shared" si="1095"/>
        <v>CANCER INFANTIL</v>
      </c>
      <c r="BK932" t="str">
        <f>"TOLIMA"</f>
        <v>TOLIMA</v>
      </c>
      <c r="BL932" t="str">
        <f>"ORTEGA"</f>
        <v>ORTEGA</v>
      </c>
      <c r="BM932" t="str">
        <f t="shared" si="1109"/>
        <v>COLOMBIA</v>
      </c>
      <c r="BN932" t="str">
        <f>"TOLIMA"</f>
        <v>TOLIMA</v>
      </c>
      <c r="BO932" t="str">
        <f>"IBAGUE"</f>
        <v>IBAGUE</v>
      </c>
      <c r="BP932" t="str">
        <f>"TOLIMA"</f>
        <v>TOLIMA</v>
      </c>
      <c r="BQ932" t="str">
        <f>"IBAGUE"</f>
        <v>IBAGUE</v>
      </c>
    </row>
    <row r="933" spans="1:69" x14ac:dyDescent="0.25">
      <c r="A933" t="str">
        <f>"7279090"</f>
        <v>7279090</v>
      </c>
      <c r="B933" t="str">
        <f t="shared" si="1088"/>
        <v>459</v>
      </c>
      <c r="C933" t="str">
        <f>"15/09/2020 12:00:00 a. m."</f>
        <v>15/09/2020 12:00:00 a. m.</v>
      </c>
      <c r="D933" t="str">
        <f>"22"</f>
        <v>22</v>
      </c>
      <c r="E933" t="str">
        <f t="shared" si="1089"/>
        <v>2020</v>
      </c>
      <c r="F933" t="str">
        <f>"1100105681"</f>
        <v>1100105681</v>
      </c>
      <c r="G933" t="str">
        <f t="shared" si="1133"/>
        <v>01</v>
      </c>
      <c r="H933" t="str">
        <f>"7"</f>
        <v>7</v>
      </c>
      <c r="I933" t="str">
        <f t="shared" si="1122"/>
        <v>1</v>
      </c>
      <c r="J933" t="str">
        <f>"M"</f>
        <v>M</v>
      </c>
      <c r="K933" t="str">
        <f t="shared" si="1128"/>
        <v>170</v>
      </c>
      <c r="L933" t="str">
        <f>"11"</f>
        <v>11</v>
      </c>
      <c r="M933" t="str">
        <f t="shared" ref="M933:M938" si="1139">"001"</f>
        <v>001</v>
      </c>
      <c r="N933" t="str">
        <f t="shared" ref="N933:N949" si="1140">"1"</f>
        <v>1</v>
      </c>
      <c r="O933" t="str">
        <f t="shared" si="1138"/>
        <v>9997</v>
      </c>
      <c r="P933" t="str">
        <f>"C"</f>
        <v>C</v>
      </c>
      <c r="Q933" t="str">
        <f>"EPS002"</f>
        <v>EPS002</v>
      </c>
      <c r="R933" t="str">
        <f t="shared" si="1112"/>
        <v>6</v>
      </c>
      <c r="S933" t="str">
        <f>""</f>
        <v/>
      </c>
      <c r="T933" t="str">
        <f t="shared" si="1113"/>
        <v xml:space="preserve">                                                                                                    </v>
      </c>
      <c r="U933" t="str">
        <f t="shared" ref="U933:U940" si="1141">"2         "</f>
        <v xml:space="preserve">2         </v>
      </c>
      <c r="V933" t="str">
        <f t="shared" si="1075"/>
        <v>2</v>
      </c>
      <c r="W933" t="str">
        <f t="shared" si="1114"/>
        <v>2</v>
      </c>
      <c r="X933" t="str">
        <f t="shared" si="1125"/>
        <v>2</v>
      </c>
      <c r="Y933" t="str">
        <f t="shared" si="1119"/>
        <v>2</v>
      </c>
      <c r="Z933" t="str">
        <f t="shared" si="1119"/>
        <v>2</v>
      </c>
      <c r="AA933" t="str">
        <f t="shared" si="1091"/>
        <v xml:space="preserve">          </v>
      </c>
      <c r="AB933" t="str">
        <f t="shared" si="1085"/>
        <v>2</v>
      </c>
      <c r="AC933" t="str">
        <f t="shared" si="1086"/>
        <v>2</v>
      </c>
      <c r="AD933" t="str">
        <f t="shared" si="1121"/>
        <v>2</v>
      </c>
      <c r="AE933" t="str">
        <f t="shared" si="1121"/>
        <v>2</v>
      </c>
      <c r="AF933" t="str">
        <f t="shared" si="1121"/>
        <v>2</v>
      </c>
      <c r="AG933" t="str">
        <f t="shared" si="1121"/>
        <v>2</v>
      </c>
      <c r="AH933" t="str">
        <f t="shared" si="1115"/>
        <v>1</v>
      </c>
      <c r="AI933" t="str">
        <f>"1         "</f>
        <v xml:space="preserve">1         </v>
      </c>
      <c r="AJ933" t="str">
        <f t="shared" si="1107"/>
        <v>170</v>
      </c>
      <c r="AK933" t="str">
        <f>"11"</f>
        <v>11</v>
      </c>
      <c r="AL933" t="str">
        <f t="shared" si="1126"/>
        <v>001</v>
      </c>
      <c r="AM933" t="str">
        <f>"11"</f>
        <v>11</v>
      </c>
      <c r="AN933" t="str">
        <f>"11001"</f>
        <v>11001</v>
      </c>
      <c r="AO933" t="str">
        <f>"26/05/2020 12:00:00 a. m."</f>
        <v>26/05/2020 12:00:00 a. m.</v>
      </c>
      <c r="AP933" t="str">
        <f>"23/05/2020 12:00:00 a. m."</f>
        <v>23/05/2020 12:00:00 a. m.</v>
      </c>
      <c r="AQ933" t="str">
        <f>"3"</f>
        <v>3</v>
      </c>
      <c r="AR933" t="str">
        <f t="shared" si="1137"/>
        <v>1</v>
      </c>
      <c r="AS933" t="str">
        <f>"26/05/2020 12:00:00 a. m."</f>
        <v>26/05/2020 12:00:00 a. m.</v>
      </c>
      <c r="AT933" t="str">
        <f t="shared" ref="AT933:AT947" si="1142">"1"</f>
        <v>1</v>
      </c>
      <c r="AU933" t="str">
        <f>""</f>
        <v/>
      </c>
      <c r="AV933" t="str">
        <f>"0"</f>
        <v>0</v>
      </c>
      <c r="AW933" t="str">
        <f>"11/08/2013 12:00:00 a. m."</f>
        <v>11/08/2013 12:00:00 a. m.</v>
      </c>
      <c r="AX933" t="str">
        <f>""</f>
        <v/>
      </c>
      <c r="AY933" t="str">
        <f t="shared" si="1092"/>
        <v>30/04/2021 12:00:00 a. m.</v>
      </c>
      <c r="AZ933" t="str">
        <f>"15/09/2020 12:00:00 a. m."</f>
        <v>15/09/2020 12:00:00 a. m.</v>
      </c>
      <c r="BA933" t="str">
        <f>""</f>
        <v/>
      </c>
      <c r="BB933" t="str">
        <f>""</f>
        <v/>
      </c>
      <c r="BC933" t="str">
        <f>""</f>
        <v/>
      </c>
      <c r="BD933" t="str">
        <f t="shared" si="1127"/>
        <v>1</v>
      </c>
      <c r="BE933" t="str">
        <f t="shared" si="1127"/>
        <v>1</v>
      </c>
      <c r="BF933" t="str">
        <f t="shared" si="1093"/>
        <v xml:space="preserve">3         </v>
      </c>
      <c r="BG933" t="str">
        <f t="shared" si="1094"/>
        <v>Confirmado por laboratorio</v>
      </c>
      <c r="BH933" t="str">
        <f>"FUNDACION HOSPITAL DE LA MISERICORDIA"</f>
        <v>FUNDACION HOSPITAL DE LA MISERICORDIA</v>
      </c>
      <c r="BI933" t="str">
        <f t="shared" si="1130"/>
        <v>COLOMBIA</v>
      </c>
      <c r="BJ933" t="str">
        <f t="shared" si="1095"/>
        <v>CANCER INFANTIL</v>
      </c>
      <c r="BK933" t="str">
        <f>"BOGOTA"</f>
        <v>BOGOTA</v>
      </c>
      <c r="BL933" t="str">
        <f>"BOGOTA"</f>
        <v>BOGOTA</v>
      </c>
      <c r="BM933" t="str">
        <f t="shared" si="1109"/>
        <v>COLOMBIA</v>
      </c>
      <c r="BN933" t="str">
        <f>"BOGOTA"</f>
        <v>BOGOTA</v>
      </c>
      <c r="BO933" t="str">
        <f>"BOGOTA"</f>
        <v>BOGOTA</v>
      </c>
      <c r="BP933" t="str">
        <f>"BOGOTA"</f>
        <v>BOGOTA</v>
      </c>
      <c r="BQ933" t="str">
        <f>"BOGOTA"</f>
        <v>BOGOTA</v>
      </c>
    </row>
    <row r="934" spans="1:69" x14ac:dyDescent="0.25">
      <c r="A934" t="str">
        <f>"7279078"</f>
        <v>7279078</v>
      </c>
      <c r="B934" t="str">
        <f t="shared" si="1088"/>
        <v>459</v>
      </c>
      <c r="C934" t="str">
        <f>"3/07/2020 12:00:00 a. m."</f>
        <v>3/07/2020 12:00:00 a. m.</v>
      </c>
      <c r="D934" t="str">
        <f>"25"</f>
        <v>25</v>
      </c>
      <c r="E934" t="str">
        <f t="shared" si="1089"/>
        <v>2020</v>
      </c>
      <c r="F934" t="str">
        <f>"7300101047"</f>
        <v>7300101047</v>
      </c>
      <c r="G934" t="str">
        <f t="shared" si="1133"/>
        <v>01</v>
      </c>
      <c r="H934" t="str">
        <f>"11"</f>
        <v>11</v>
      </c>
      <c r="I934" t="str">
        <f t="shared" si="1122"/>
        <v>1</v>
      </c>
      <c r="J934" t="str">
        <f>"M"</f>
        <v>M</v>
      </c>
      <c r="K934" t="str">
        <f t="shared" si="1128"/>
        <v>170</v>
      </c>
      <c r="L934" t="str">
        <f>"73"</f>
        <v>73</v>
      </c>
      <c r="M934" t="str">
        <f t="shared" si="1139"/>
        <v>001</v>
      </c>
      <c r="N934" t="str">
        <f t="shared" si="1140"/>
        <v>1</v>
      </c>
      <c r="O934" t="str">
        <f t="shared" si="1138"/>
        <v>9997</v>
      </c>
      <c r="P934" t="str">
        <f>"S"</f>
        <v>S</v>
      </c>
      <c r="Q934" t="str">
        <f>"EPS106"</f>
        <v>EPS106</v>
      </c>
      <c r="R934" t="str">
        <f t="shared" si="1112"/>
        <v>6</v>
      </c>
      <c r="S934" t="str">
        <f>""</f>
        <v/>
      </c>
      <c r="T934" t="str">
        <f t="shared" si="1113"/>
        <v xml:space="preserve">                                                                                                    </v>
      </c>
      <c r="U934" t="str">
        <f t="shared" si="1141"/>
        <v xml:space="preserve">2         </v>
      </c>
      <c r="V934" t="str">
        <f t="shared" si="1075"/>
        <v>2</v>
      </c>
      <c r="W934" t="str">
        <f t="shared" si="1114"/>
        <v>2</v>
      </c>
      <c r="X934" t="str">
        <f t="shared" si="1125"/>
        <v>2</v>
      </c>
      <c r="Y934" t="str">
        <f t="shared" si="1119"/>
        <v>2</v>
      </c>
      <c r="Z934" t="str">
        <f t="shared" si="1119"/>
        <v>2</v>
      </c>
      <c r="AA934" t="str">
        <f t="shared" si="1091"/>
        <v xml:space="preserve">          </v>
      </c>
      <c r="AB934" t="str">
        <f t="shared" si="1085"/>
        <v>2</v>
      </c>
      <c r="AC934" t="str">
        <f t="shared" si="1086"/>
        <v>2</v>
      </c>
      <c r="AD934" t="str">
        <f t="shared" si="1121"/>
        <v>2</v>
      </c>
      <c r="AE934" t="str">
        <f t="shared" si="1121"/>
        <v>2</v>
      </c>
      <c r="AF934" t="str">
        <f t="shared" si="1121"/>
        <v>2</v>
      </c>
      <c r="AG934" t="str">
        <f t="shared" si="1121"/>
        <v>2</v>
      </c>
      <c r="AH934" t="str">
        <f t="shared" si="1115"/>
        <v>1</v>
      </c>
      <c r="AI934" t="str">
        <f>"1         "</f>
        <v xml:space="preserve">1         </v>
      </c>
      <c r="AJ934" t="str">
        <f t="shared" si="1107"/>
        <v>170</v>
      </c>
      <c r="AK934" t="str">
        <f>"73"</f>
        <v>73</v>
      </c>
      <c r="AL934" t="str">
        <f t="shared" si="1126"/>
        <v>001</v>
      </c>
      <c r="AM934" t="str">
        <f>"73"</f>
        <v>73</v>
      </c>
      <c r="AN934" t="str">
        <f>"73001"</f>
        <v>73001</v>
      </c>
      <c r="AO934" t="str">
        <f>"19/06/2020 12:00:00 a. m."</f>
        <v>19/06/2020 12:00:00 a. m.</v>
      </c>
      <c r="AP934" t="str">
        <f>"19/05/2020 12:00:00 a. m."</f>
        <v>19/05/2020 12:00:00 a. m.</v>
      </c>
      <c r="AQ934" t="str">
        <f>"2"</f>
        <v>2</v>
      </c>
      <c r="AR934" t="str">
        <f t="shared" si="1137"/>
        <v>1</v>
      </c>
      <c r="AS934" t="str">
        <f>"19/06/2020 12:00:00 a. m."</f>
        <v>19/06/2020 12:00:00 a. m.</v>
      </c>
      <c r="AT934" t="str">
        <f t="shared" si="1142"/>
        <v>1</v>
      </c>
      <c r="AU934" t="str">
        <f>""</f>
        <v/>
      </c>
      <c r="AV934" t="str">
        <f>"3"</f>
        <v>3</v>
      </c>
      <c r="AW934" t="str">
        <f>"5/12/2008 12:00:00 a. m."</f>
        <v>5/12/2008 12:00:00 a. m.</v>
      </c>
      <c r="AX934" t="str">
        <f>""</f>
        <v/>
      </c>
      <c r="AY934" t="str">
        <f t="shared" si="1092"/>
        <v>30/04/2021 12:00:00 a. m.</v>
      </c>
      <c r="AZ934" t="str">
        <f>"6/04/2021 12:00:00 a. m."</f>
        <v>6/04/2021 12:00:00 a. m.</v>
      </c>
      <c r="BA934" t="str">
        <f>""</f>
        <v/>
      </c>
      <c r="BB934" t="str">
        <f>""</f>
        <v/>
      </c>
      <c r="BC934" t="str">
        <f>""</f>
        <v/>
      </c>
      <c r="BD934" t="str">
        <f t="shared" si="1127"/>
        <v>1</v>
      </c>
      <c r="BE934" t="str">
        <f t="shared" si="1127"/>
        <v>1</v>
      </c>
      <c r="BF934" t="str">
        <f t="shared" si="1093"/>
        <v xml:space="preserve">3         </v>
      </c>
      <c r="BG934" t="str">
        <f t="shared" si="1094"/>
        <v>Confirmado por laboratorio</v>
      </c>
      <c r="BH934" t="str">
        <f>"HOSPITAL FEDERICO LLERAS ACOSTA ESE SEDE LA FRANC"</f>
        <v>HOSPITAL FEDERICO LLERAS ACOSTA ESE SEDE LA FRANC</v>
      </c>
      <c r="BI934" t="str">
        <f t="shared" si="1130"/>
        <v>COLOMBIA</v>
      </c>
      <c r="BJ934" t="str">
        <f t="shared" si="1095"/>
        <v>CANCER INFANTIL</v>
      </c>
      <c r="BK934" t="str">
        <f>"TOLIMA"</f>
        <v>TOLIMA</v>
      </c>
      <c r="BL934" t="str">
        <f>"IBAGUE"</f>
        <v>IBAGUE</v>
      </c>
      <c r="BM934" t="str">
        <f t="shared" si="1109"/>
        <v>COLOMBIA</v>
      </c>
      <c r="BN934" t="str">
        <f>"TOLIMA"</f>
        <v>TOLIMA</v>
      </c>
      <c r="BO934" t="str">
        <f>"IBAGUE"</f>
        <v>IBAGUE</v>
      </c>
      <c r="BP934" t="str">
        <f>"TOLIMA"</f>
        <v>TOLIMA</v>
      </c>
      <c r="BQ934" t="str">
        <f>"IBAGUE"</f>
        <v>IBAGUE</v>
      </c>
    </row>
    <row r="935" spans="1:69" x14ac:dyDescent="0.25">
      <c r="A935" t="str">
        <f>"7279079"</f>
        <v>7279079</v>
      </c>
      <c r="B935" t="str">
        <f t="shared" si="1088"/>
        <v>459</v>
      </c>
      <c r="C935" t="str">
        <f>"13/06/2020 12:00:00 a. m."</f>
        <v>13/06/2020 12:00:00 a. m.</v>
      </c>
      <c r="D935" t="str">
        <f>"24"</f>
        <v>24</v>
      </c>
      <c r="E935" t="str">
        <f t="shared" si="1089"/>
        <v>2020</v>
      </c>
      <c r="F935" t="str">
        <f>"7300101047"</f>
        <v>7300101047</v>
      </c>
      <c r="G935" t="str">
        <f t="shared" si="1133"/>
        <v>01</v>
      </c>
      <c r="H935" t="str">
        <f>"8"</f>
        <v>8</v>
      </c>
      <c r="I935" t="str">
        <f t="shared" si="1122"/>
        <v>1</v>
      </c>
      <c r="J935" t="str">
        <f>"F"</f>
        <v>F</v>
      </c>
      <c r="K935" t="str">
        <f t="shared" si="1128"/>
        <v>170</v>
      </c>
      <c r="L935" t="str">
        <f>"73"</f>
        <v>73</v>
      </c>
      <c r="M935" t="str">
        <f t="shared" si="1139"/>
        <v>001</v>
      </c>
      <c r="N935" t="str">
        <f t="shared" si="1140"/>
        <v>1</v>
      </c>
      <c r="O935" t="str">
        <f t="shared" si="1138"/>
        <v>9997</v>
      </c>
      <c r="P935" t="str">
        <f>"S"</f>
        <v>S</v>
      </c>
      <c r="Q935" t="str">
        <f>"EPSS44"</f>
        <v>EPSS44</v>
      </c>
      <c r="R935" t="str">
        <f t="shared" si="1112"/>
        <v>6</v>
      </c>
      <c r="S935" t="str">
        <f>""</f>
        <v/>
      </c>
      <c r="T935" t="str">
        <f t="shared" si="1113"/>
        <v xml:space="preserve">                                                                                                    </v>
      </c>
      <c r="U935" t="str">
        <f t="shared" si="1141"/>
        <v xml:space="preserve">2         </v>
      </c>
      <c r="V935" t="str">
        <f t="shared" si="1075"/>
        <v>2</v>
      </c>
      <c r="W935" t="str">
        <f t="shared" si="1114"/>
        <v>2</v>
      </c>
      <c r="X935" t="str">
        <f t="shared" si="1125"/>
        <v>2</v>
      </c>
      <c r="Y935" t="str">
        <f t="shared" si="1119"/>
        <v>2</v>
      </c>
      <c r="Z935" t="str">
        <f t="shared" si="1119"/>
        <v>2</v>
      </c>
      <c r="AA935" t="str">
        <f t="shared" si="1091"/>
        <v xml:space="preserve">          </v>
      </c>
      <c r="AB935" t="str">
        <f t="shared" si="1085"/>
        <v>2</v>
      </c>
      <c r="AC935" t="str">
        <f t="shared" si="1086"/>
        <v>2</v>
      </c>
      <c r="AD935" t="str">
        <f t="shared" si="1121"/>
        <v>2</v>
      </c>
      <c r="AE935" t="str">
        <f t="shared" si="1121"/>
        <v>2</v>
      </c>
      <c r="AF935" t="str">
        <f t="shared" si="1121"/>
        <v>2</v>
      </c>
      <c r="AG935" t="str">
        <f t="shared" si="1121"/>
        <v>2</v>
      </c>
      <c r="AH935" t="str">
        <f t="shared" si="1115"/>
        <v>1</v>
      </c>
      <c r="AI935" t="str">
        <f>"1         "</f>
        <v xml:space="preserve">1         </v>
      </c>
      <c r="AJ935" t="str">
        <f t="shared" si="1107"/>
        <v>170</v>
      </c>
      <c r="AK935" t="str">
        <f>"73"</f>
        <v>73</v>
      </c>
      <c r="AL935" t="str">
        <f t="shared" si="1126"/>
        <v>001</v>
      </c>
      <c r="AM935" t="str">
        <f>"73"</f>
        <v>73</v>
      </c>
      <c r="AN935" t="str">
        <f>"73001"</f>
        <v>73001</v>
      </c>
      <c r="AO935" t="str">
        <f>"8/06/2020 12:00:00 a. m."</f>
        <v>8/06/2020 12:00:00 a. m.</v>
      </c>
      <c r="AP935" t="str">
        <f>"7/05/2020 12:00:00 a. m."</f>
        <v>7/05/2020 12:00:00 a. m.</v>
      </c>
      <c r="AQ935" t="str">
        <f>"2"</f>
        <v>2</v>
      </c>
      <c r="AR935" t="str">
        <f t="shared" si="1137"/>
        <v>1</v>
      </c>
      <c r="AS935" t="str">
        <f>"8/06/2020 12:00:00 a. m."</f>
        <v>8/06/2020 12:00:00 a. m.</v>
      </c>
      <c r="AT935" t="str">
        <f t="shared" si="1142"/>
        <v>1</v>
      </c>
      <c r="AU935" t="str">
        <f>""</f>
        <v/>
      </c>
      <c r="AV935" t="str">
        <f>"3"</f>
        <v>3</v>
      </c>
      <c r="AW935" t="str">
        <f>"6/04/2012 12:00:00 a. m."</f>
        <v>6/04/2012 12:00:00 a. m.</v>
      </c>
      <c r="AX935" t="str">
        <f>""</f>
        <v/>
      </c>
      <c r="AY935" t="str">
        <f t="shared" si="1092"/>
        <v>30/04/2021 12:00:00 a. m.</v>
      </c>
      <c r="AZ935" t="str">
        <f>"6/04/2021 12:00:00 a. m."</f>
        <v>6/04/2021 12:00:00 a. m.</v>
      </c>
      <c r="BA935" t="str">
        <f>""</f>
        <v/>
      </c>
      <c r="BB935" t="str">
        <f>""</f>
        <v/>
      </c>
      <c r="BC935" t="str">
        <f>""</f>
        <v/>
      </c>
      <c r="BD935" t="str">
        <f t="shared" si="1127"/>
        <v>1</v>
      </c>
      <c r="BE935" t="str">
        <f t="shared" si="1127"/>
        <v>1</v>
      </c>
      <c r="BF935" t="str">
        <f t="shared" si="1093"/>
        <v xml:space="preserve">3         </v>
      </c>
      <c r="BG935" t="str">
        <f t="shared" si="1094"/>
        <v>Confirmado por laboratorio</v>
      </c>
      <c r="BH935" t="str">
        <f>"HOSPITAL FEDERICO LLERAS ACOSTA ESE SEDE LA FRANC"</f>
        <v>HOSPITAL FEDERICO LLERAS ACOSTA ESE SEDE LA FRANC</v>
      </c>
      <c r="BI935" t="str">
        <f t="shared" si="1130"/>
        <v>COLOMBIA</v>
      </c>
      <c r="BJ935" t="str">
        <f t="shared" si="1095"/>
        <v>CANCER INFANTIL</v>
      </c>
      <c r="BK935" t="str">
        <f>"TOLIMA"</f>
        <v>TOLIMA</v>
      </c>
      <c r="BL935" t="str">
        <f>"IBAGUE"</f>
        <v>IBAGUE</v>
      </c>
      <c r="BM935" t="str">
        <f t="shared" si="1109"/>
        <v>COLOMBIA</v>
      </c>
      <c r="BN935" t="str">
        <f>"TOLIMA"</f>
        <v>TOLIMA</v>
      </c>
      <c r="BO935" t="str">
        <f>"IBAGUE"</f>
        <v>IBAGUE</v>
      </c>
      <c r="BP935" t="str">
        <f>"TOLIMA"</f>
        <v>TOLIMA</v>
      </c>
      <c r="BQ935" t="str">
        <f>"IBAGUE"</f>
        <v>IBAGUE</v>
      </c>
    </row>
    <row r="936" spans="1:69" x14ac:dyDescent="0.25">
      <c r="A936" t="str">
        <f>"7279093"</f>
        <v>7279093</v>
      </c>
      <c r="B936" t="str">
        <f t="shared" si="1088"/>
        <v>459</v>
      </c>
      <c r="C936" t="str">
        <f>"11/12/2020 12:00:00 a. m."</f>
        <v>11/12/2020 12:00:00 a. m.</v>
      </c>
      <c r="D936" t="str">
        <f>"41"</f>
        <v>41</v>
      </c>
      <c r="E936" t="str">
        <f t="shared" si="1089"/>
        <v>2020</v>
      </c>
      <c r="F936" t="str">
        <f>"1100105681"</f>
        <v>1100105681</v>
      </c>
      <c r="G936" t="str">
        <f t="shared" si="1133"/>
        <v>01</v>
      </c>
      <c r="H936" t="str">
        <f>"13"</f>
        <v>13</v>
      </c>
      <c r="I936" t="str">
        <f t="shared" si="1122"/>
        <v>1</v>
      </c>
      <c r="J936" t="str">
        <f>"F"</f>
        <v>F</v>
      </c>
      <c r="K936" t="str">
        <f t="shared" si="1128"/>
        <v>170</v>
      </c>
      <c r="L936" t="str">
        <f>"11"</f>
        <v>11</v>
      </c>
      <c r="M936" t="str">
        <f t="shared" si="1139"/>
        <v>001</v>
      </c>
      <c r="N936" t="str">
        <f t="shared" si="1140"/>
        <v>1</v>
      </c>
      <c r="O936" t="str">
        <f t="shared" si="1138"/>
        <v>9997</v>
      </c>
      <c r="P936" t="str">
        <f>"C"</f>
        <v>C</v>
      </c>
      <c r="Q936" t="str">
        <f>"EPS008"</f>
        <v>EPS008</v>
      </c>
      <c r="R936" t="str">
        <f t="shared" si="1112"/>
        <v>6</v>
      </c>
      <c r="S936" t="str">
        <f>""</f>
        <v/>
      </c>
      <c r="T936" t="str">
        <f t="shared" si="1113"/>
        <v xml:space="preserve">                                                                                                    </v>
      </c>
      <c r="U936" t="str">
        <f t="shared" si="1141"/>
        <v xml:space="preserve">2         </v>
      </c>
      <c r="V936" t="str">
        <f t="shared" si="1075"/>
        <v>2</v>
      </c>
      <c r="W936" t="str">
        <f t="shared" si="1114"/>
        <v>2</v>
      </c>
      <c r="X936" t="str">
        <f t="shared" si="1125"/>
        <v>2</v>
      </c>
      <c r="Y936" t="str">
        <f t="shared" si="1119"/>
        <v>2</v>
      </c>
      <c r="Z936" t="str">
        <f t="shared" si="1119"/>
        <v>2</v>
      </c>
      <c r="AA936" t="str">
        <f t="shared" si="1091"/>
        <v xml:space="preserve">          </v>
      </c>
      <c r="AB936" t="str">
        <f t="shared" si="1085"/>
        <v>2</v>
      </c>
      <c r="AC936" t="str">
        <f t="shared" si="1086"/>
        <v>2</v>
      </c>
      <c r="AD936" t="str">
        <f t="shared" si="1121"/>
        <v>2</v>
      </c>
      <c r="AE936" t="str">
        <f t="shared" si="1121"/>
        <v>2</v>
      </c>
      <c r="AF936" t="str">
        <f t="shared" si="1121"/>
        <v>2</v>
      </c>
      <c r="AG936" t="str">
        <f t="shared" si="1121"/>
        <v>2</v>
      </c>
      <c r="AH936" t="str">
        <f t="shared" si="1115"/>
        <v>1</v>
      </c>
      <c r="AI936" t="str">
        <f>"2         "</f>
        <v xml:space="preserve">2         </v>
      </c>
      <c r="AJ936" t="str">
        <f t="shared" si="1107"/>
        <v>170</v>
      </c>
      <c r="AK936" t="str">
        <f>"11"</f>
        <v>11</v>
      </c>
      <c r="AL936" t="str">
        <f t="shared" si="1126"/>
        <v>001</v>
      </c>
      <c r="AM936" t="str">
        <f>"11"</f>
        <v>11</v>
      </c>
      <c r="AN936" t="str">
        <f>"11001"</f>
        <v>11001</v>
      </c>
      <c r="AO936" t="str">
        <f>"8/10/2020 12:00:00 a. m."</f>
        <v>8/10/2020 12:00:00 a. m.</v>
      </c>
      <c r="AP936" t="str">
        <f>"8/10/2019 12:00:00 a. m."</f>
        <v>8/10/2019 12:00:00 a. m.</v>
      </c>
      <c r="AQ936" t="str">
        <f t="shared" ref="AQ936:AQ942" si="1143">"3"</f>
        <v>3</v>
      </c>
      <c r="AR936" t="str">
        <f t="shared" si="1137"/>
        <v>1</v>
      </c>
      <c r="AS936" t="str">
        <f>"8/10/2020 12:00:00 a. m."</f>
        <v>8/10/2020 12:00:00 a. m.</v>
      </c>
      <c r="AT936" t="str">
        <f t="shared" si="1142"/>
        <v>1</v>
      </c>
      <c r="AU936" t="str">
        <f>""</f>
        <v/>
      </c>
      <c r="AV936" t="str">
        <f>"7"</f>
        <v>7</v>
      </c>
      <c r="AW936" t="str">
        <f>"30/10/2007 12:00:00 a. m."</f>
        <v>30/10/2007 12:00:00 a. m.</v>
      </c>
      <c r="AX936" t="str">
        <f>""</f>
        <v/>
      </c>
      <c r="AY936" t="str">
        <f t="shared" si="1092"/>
        <v>30/04/2021 12:00:00 a. m.</v>
      </c>
      <c r="AZ936" t="str">
        <f>"1/02/2021 12:00:00 a. m."</f>
        <v>1/02/2021 12:00:00 a. m.</v>
      </c>
      <c r="BA936" t="str">
        <f>""</f>
        <v/>
      </c>
      <c r="BB936" t="str">
        <f>""</f>
        <v/>
      </c>
      <c r="BC936" t="str">
        <f>""</f>
        <v/>
      </c>
      <c r="BD936" t="str">
        <f t="shared" si="1127"/>
        <v>1</v>
      </c>
      <c r="BE936" t="str">
        <f t="shared" si="1127"/>
        <v>1</v>
      </c>
      <c r="BF936" t="str">
        <f t="shared" si="1093"/>
        <v xml:space="preserve">3         </v>
      </c>
      <c r="BG936" t="str">
        <f t="shared" si="1094"/>
        <v>Confirmado por laboratorio</v>
      </c>
      <c r="BH936" t="str">
        <f>"FUNDACION HOSPITAL DE LA MISERICORDIA"</f>
        <v>FUNDACION HOSPITAL DE LA MISERICORDIA</v>
      </c>
      <c r="BI936" t="str">
        <f t="shared" si="1130"/>
        <v>COLOMBIA</v>
      </c>
      <c r="BJ936" t="str">
        <f t="shared" si="1095"/>
        <v>CANCER INFANTIL</v>
      </c>
      <c r="BK936" t="str">
        <f t="shared" ref="BK936:BL938" si="1144">"BOGOTA"</f>
        <v>BOGOTA</v>
      </c>
      <c r="BL936" t="str">
        <f t="shared" si="1144"/>
        <v>BOGOTA</v>
      </c>
      <c r="BM936" t="str">
        <f t="shared" si="1109"/>
        <v>COLOMBIA</v>
      </c>
      <c r="BN936" t="str">
        <f t="shared" ref="BN936:BQ938" si="1145">"BOGOTA"</f>
        <v>BOGOTA</v>
      </c>
      <c r="BO936" t="str">
        <f t="shared" si="1145"/>
        <v>BOGOTA</v>
      </c>
      <c r="BP936" t="str">
        <f t="shared" si="1145"/>
        <v>BOGOTA</v>
      </c>
      <c r="BQ936" t="str">
        <f t="shared" si="1145"/>
        <v>BOGOTA</v>
      </c>
    </row>
    <row r="937" spans="1:69" x14ac:dyDescent="0.25">
      <c r="A937" t="str">
        <f>"7279097"</f>
        <v>7279097</v>
      </c>
      <c r="B937" t="str">
        <f t="shared" si="1088"/>
        <v>459</v>
      </c>
      <c r="C937" t="str">
        <f>"18/10/2020 12:00:00 a. m."</f>
        <v>18/10/2020 12:00:00 a. m.</v>
      </c>
      <c r="D937" t="str">
        <f>"43"</f>
        <v>43</v>
      </c>
      <c r="E937" t="str">
        <f t="shared" si="1089"/>
        <v>2020</v>
      </c>
      <c r="F937" t="str">
        <f>"1100105681"</f>
        <v>1100105681</v>
      </c>
      <c r="G937" t="str">
        <f t="shared" si="1133"/>
        <v>01</v>
      </c>
      <c r="H937" t="str">
        <f>"9"</f>
        <v>9</v>
      </c>
      <c r="I937" t="str">
        <f t="shared" si="1122"/>
        <v>1</v>
      </c>
      <c r="J937" t="str">
        <f>"M"</f>
        <v>M</v>
      </c>
      <c r="K937" t="str">
        <f t="shared" si="1128"/>
        <v>170</v>
      </c>
      <c r="L937" t="str">
        <f>"11"</f>
        <v>11</v>
      </c>
      <c r="M937" t="str">
        <f t="shared" si="1139"/>
        <v>001</v>
      </c>
      <c r="N937" t="str">
        <f t="shared" si="1140"/>
        <v>1</v>
      </c>
      <c r="O937" t="str">
        <f t="shared" si="1138"/>
        <v>9997</v>
      </c>
      <c r="P937" t="str">
        <f>"C"</f>
        <v>C</v>
      </c>
      <c r="Q937" t="str">
        <f>"EPS008"</f>
        <v>EPS008</v>
      </c>
      <c r="R937" t="str">
        <f t="shared" si="1112"/>
        <v>6</v>
      </c>
      <c r="S937" t="str">
        <f>""</f>
        <v/>
      </c>
      <c r="T937" t="str">
        <f t="shared" si="1113"/>
        <v xml:space="preserve">                                                                                                    </v>
      </c>
      <c r="U937" t="str">
        <f t="shared" si="1141"/>
        <v xml:space="preserve">2         </v>
      </c>
      <c r="V937" t="str">
        <f t="shared" si="1075"/>
        <v>2</v>
      </c>
      <c r="W937" t="str">
        <f t="shared" si="1114"/>
        <v>2</v>
      </c>
      <c r="X937" t="str">
        <f t="shared" si="1125"/>
        <v>2</v>
      </c>
      <c r="Y937" t="str">
        <f t="shared" si="1119"/>
        <v>2</v>
      </c>
      <c r="Z937" t="str">
        <f t="shared" si="1119"/>
        <v>2</v>
      </c>
      <c r="AA937" t="str">
        <f t="shared" si="1091"/>
        <v xml:space="preserve">          </v>
      </c>
      <c r="AB937" t="str">
        <f t="shared" si="1085"/>
        <v>2</v>
      </c>
      <c r="AC937" t="str">
        <f t="shared" si="1086"/>
        <v>2</v>
      </c>
      <c r="AD937" t="str">
        <f t="shared" si="1121"/>
        <v>2</v>
      </c>
      <c r="AE937" t="str">
        <f t="shared" si="1121"/>
        <v>2</v>
      </c>
      <c r="AF937" t="str">
        <f t="shared" si="1121"/>
        <v>2</v>
      </c>
      <c r="AG937" t="str">
        <f t="shared" si="1121"/>
        <v>2</v>
      </c>
      <c r="AH937" t="str">
        <f t="shared" si="1115"/>
        <v>1</v>
      </c>
      <c r="AI937" t="str">
        <f>"1         "</f>
        <v xml:space="preserve">1         </v>
      </c>
      <c r="AJ937" t="str">
        <f t="shared" si="1107"/>
        <v>170</v>
      </c>
      <c r="AK937" t="str">
        <f>"11"</f>
        <v>11</v>
      </c>
      <c r="AL937" t="str">
        <f t="shared" si="1126"/>
        <v>001</v>
      </c>
      <c r="AM937" t="str">
        <f>"11"</f>
        <v>11</v>
      </c>
      <c r="AN937" t="str">
        <f>"11001"</f>
        <v>11001</v>
      </c>
      <c r="AO937" t="str">
        <f>"18/10/2020 12:00:00 a. m."</f>
        <v>18/10/2020 12:00:00 a. m.</v>
      </c>
      <c r="AP937" t="str">
        <f>"1/03/2020 12:00:00 a. m."</f>
        <v>1/03/2020 12:00:00 a. m.</v>
      </c>
      <c r="AQ937" t="str">
        <f t="shared" si="1143"/>
        <v>3</v>
      </c>
      <c r="AR937" t="str">
        <f t="shared" si="1137"/>
        <v>1</v>
      </c>
      <c r="AS937" t="str">
        <f>"18/10/2020 12:00:00 a. m."</f>
        <v>18/10/2020 12:00:00 a. m.</v>
      </c>
      <c r="AT937" t="str">
        <f t="shared" si="1142"/>
        <v>1</v>
      </c>
      <c r="AU937" t="str">
        <f>""</f>
        <v/>
      </c>
      <c r="AV937" t="str">
        <f>"0"</f>
        <v>0</v>
      </c>
      <c r="AW937" t="str">
        <f>"4/12/2011 12:00:00 a. m."</f>
        <v>4/12/2011 12:00:00 a. m.</v>
      </c>
      <c r="AX937" t="str">
        <f>""</f>
        <v/>
      </c>
      <c r="AY937" t="str">
        <f t="shared" si="1092"/>
        <v>30/04/2021 12:00:00 a. m.</v>
      </c>
      <c r="AZ937" t="str">
        <f>"21/01/2021 12:00:00 a. m."</f>
        <v>21/01/2021 12:00:00 a. m.</v>
      </c>
      <c r="BA937" t="str">
        <f>""</f>
        <v/>
      </c>
      <c r="BB937" t="str">
        <f>""</f>
        <v/>
      </c>
      <c r="BC937" t="str">
        <f>""</f>
        <v/>
      </c>
      <c r="BD937" t="str">
        <f t="shared" si="1127"/>
        <v>1</v>
      </c>
      <c r="BE937" t="str">
        <f t="shared" si="1127"/>
        <v>1</v>
      </c>
      <c r="BF937" t="str">
        <f t="shared" si="1093"/>
        <v xml:space="preserve">3         </v>
      </c>
      <c r="BG937" t="str">
        <f t="shared" si="1094"/>
        <v>Confirmado por laboratorio</v>
      </c>
      <c r="BH937" t="str">
        <f>"FUNDACION HOSPITAL DE LA MISERICORDIA"</f>
        <v>FUNDACION HOSPITAL DE LA MISERICORDIA</v>
      </c>
      <c r="BI937" t="str">
        <f t="shared" si="1130"/>
        <v>COLOMBIA</v>
      </c>
      <c r="BJ937" t="str">
        <f t="shared" si="1095"/>
        <v>CANCER INFANTIL</v>
      </c>
      <c r="BK937" t="str">
        <f t="shared" si="1144"/>
        <v>BOGOTA</v>
      </c>
      <c r="BL937" t="str">
        <f t="shared" si="1144"/>
        <v>BOGOTA</v>
      </c>
      <c r="BM937" t="str">
        <f t="shared" si="1109"/>
        <v>COLOMBIA</v>
      </c>
      <c r="BN937" t="str">
        <f t="shared" si="1145"/>
        <v>BOGOTA</v>
      </c>
      <c r="BO937" t="str">
        <f t="shared" si="1145"/>
        <v>BOGOTA</v>
      </c>
      <c r="BP937" t="str">
        <f t="shared" si="1145"/>
        <v>BOGOTA</v>
      </c>
      <c r="BQ937" t="str">
        <f t="shared" si="1145"/>
        <v>BOGOTA</v>
      </c>
    </row>
    <row r="938" spans="1:69" x14ac:dyDescent="0.25">
      <c r="A938" t="str">
        <f>"7279104"</f>
        <v>7279104</v>
      </c>
      <c r="B938" t="str">
        <f t="shared" si="1088"/>
        <v>459</v>
      </c>
      <c r="C938" t="str">
        <f>"16/04/2020 12:00:00 a. m."</f>
        <v>16/04/2020 12:00:00 a. m.</v>
      </c>
      <c r="D938" t="str">
        <f>"10"</f>
        <v>10</v>
      </c>
      <c r="E938" t="str">
        <f t="shared" si="1089"/>
        <v>2020</v>
      </c>
      <c r="F938" t="str">
        <f>"1100105681"</f>
        <v>1100105681</v>
      </c>
      <c r="G938" t="str">
        <f t="shared" si="1133"/>
        <v>01</v>
      </c>
      <c r="H938" t="str">
        <f>"11"</f>
        <v>11</v>
      </c>
      <c r="I938" t="str">
        <f t="shared" si="1122"/>
        <v>1</v>
      </c>
      <c r="J938" t="str">
        <f>"F"</f>
        <v>F</v>
      </c>
      <c r="K938" t="str">
        <f t="shared" si="1128"/>
        <v>170</v>
      </c>
      <c r="L938" t="str">
        <f>"11"</f>
        <v>11</v>
      </c>
      <c r="M938" t="str">
        <f t="shared" si="1139"/>
        <v>001</v>
      </c>
      <c r="N938" t="str">
        <f t="shared" si="1140"/>
        <v>1</v>
      </c>
      <c r="O938" t="str">
        <f t="shared" si="1138"/>
        <v>9997</v>
      </c>
      <c r="P938" t="str">
        <f>"C"</f>
        <v>C</v>
      </c>
      <c r="Q938" t="str">
        <f>"EPS008"</f>
        <v>EPS008</v>
      </c>
      <c r="R938" t="str">
        <f t="shared" si="1112"/>
        <v>6</v>
      </c>
      <c r="S938" t="str">
        <f>""</f>
        <v/>
      </c>
      <c r="T938" t="str">
        <f t="shared" si="1113"/>
        <v xml:space="preserve">                                                                                                    </v>
      </c>
      <c r="U938" t="str">
        <f t="shared" si="1141"/>
        <v xml:space="preserve">2         </v>
      </c>
      <c r="V938" t="str">
        <f t="shared" si="1075"/>
        <v>2</v>
      </c>
      <c r="W938" t="str">
        <f t="shared" si="1114"/>
        <v>2</v>
      </c>
      <c r="X938" t="str">
        <f t="shared" si="1125"/>
        <v>2</v>
      </c>
      <c r="Y938" t="str">
        <f t="shared" si="1119"/>
        <v>2</v>
      </c>
      <c r="Z938" t="str">
        <f t="shared" si="1119"/>
        <v>2</v>
      </c>
      <c r="AA938" t="str">
        <f t="shared" si="1091"/>
        <v xml:space="preserve">          </v>
      </c>
      <c r="AB938" t="str">
        <f t="shared" si="1085"/>
        <v>2</v>
      </c>
      <c r="AC938" t="str">
        <f t="shared" si="1086"/>
        <v>2</v>
      </c>
      <c r="AD938" t="str">
        <f t="shared" si="1121"/>
        <v>2</v>
      </c>
      <c r="AE938" t="str">
        <f t="shared" si="1121"/>
        <v>2</v>
      </c>
      <c r="AF938" t="str">
        <f t="shared" si="1121"/>
        <v>2</v>
      </c>
      <c r="AG938" t="str">
        <f t="shared" si="1121"/>
        <v>2</v>
      </c>
      <c r="AH938" t="str">
        <f t="shared" si="1115"/>
        <v>1</v>
      </c>
      <c r="AI938" t="str">
        <f>"1         "</f>
        <v xml:space="preserve">1         </v>
      </c>
      <c r="AJ938" t="str">
        <f t="shared" si="1107"/>
        <v>170</v>
      </c>
      <c r="AK938" t="str">
        <f>"11"</f>
        <v>11</v>
      </c>
      <c r="AL938" t="str">
        <f t="shared" si="1126"/>
        <v>001</v>
      </c>
      <c r="AM938" t="str">
        <f>"11"</f>
        <v>11</v>
      </c>
      <c r="AN938" t="str">
        <f>"11001"</f>
        <v>11001</v>
      </c>
      <c r="AO938" t="str">
        <f>"2/03/2020 12:00:00 a. m."</f>
        <v>2/03/2020 12:00:00 a. m.</v>
      </c>
      <c r="AP938" t="str">
        <f>"2/03/2019 12:00:00 a. m."</f>
        <v>2/03/2019 12:00:00 a. m.</v>
      </c>
      <c r="AQ938" t="str">
        <f t="shared" si="1143"/>
        <v>3</v>
      </c>
      <c r="AR938" t="str">
        <f t="shared" si="1137"/>
        <v>1</v>
      </c>
      <c r="AS938" t="str">
        <f>"2/03/2020 12:00:00 a. m."</f>
        <v>2/03/2020 12:00:00 a. m.</v>
      </c>
      <c r="AT938" t="str">
        <f t="shared" si="1142"/>
        <v>1</v>
      </c>
      <c r="AU938" t="str">
        <f>""</f>
        <v/>
      </c>
      <c r="AV938" t="str">
        <f>"7"</f>
        <v>7</v>
      </c>
      <c r="AW938" t="str">
        <f>"2/02/2009 12:00:00 a. m."</f>
        <v>2/02/2009 12:00:00 a. m.</v>
      </c>
      <c r="AX938" t="str">
        <f>""</f>
        <v/>
      </c>
      <c r="AY938" t="str">
        <f t="shared" si="1092"/>
        <v>30/04/2021 12:00:00 a. m.</v>
      </c>
      <c r="AZ938" t="str">
        <f>"18/08/2020 12:00:00 a. m."</f>
        <v>18/08/2020 12:00:00 a. m.</v>
      </c>
      <c r="BA938" t="str">
        <f>""</f>
        <v/>
      </c>
      <c r="BB938" t="str">
        <f>""</f>
        <v/>
      </c>
      <c r="BC938" t="str">
        <f>""</f>
        <v/>
      </c>
      <c r="BD938" t="str">
        <f t="shared" si="1127"/>
        <v>1</v>
      </c>
      <c r="BE938" t="str">
        <f t="shared" si="1127"/>
        <v>1</v>
      </c>
      <c r="BF938" t="str">
        <f t="shared" si="1093"/>
        <v xml:space="preserve">3         </v>
      </c>
      <c r="BG938" t="str">
        <f t="shared" si="1094"/>
        <v>Confirmado por laboratorio</v>
      </c>
      <c r="BH938" t="str">
        <f>"FUNDACION HOSPITAL DE LA MISERICORDIA"</f>
        <v>FUNDACION HOSPITAL DE LA MISERICORDIA</v>
      </c>
      <c r="BI938" t="str">
        <f t="shared" si="1130"/>
        <v>COLOMBIA</v>
      </c>
      <c r="BJ938" t="str">
        <f t="shared" si="1095"/>
        <v>CANCER INFANTIL</v>
      </c>
      <c r="BK938" t="str">
        <f t="shared" si="1144"/>
        <v>BOGOTA</v>
      </c>
      <c r="BL938" t="str">
        <f t="shared" si="1144"/>
        <v>BOGOTA</v>
      </c>
      <c r="BM938" t="str">
        <f t="shared" si="1109"/>
        <v>COLOMBIA</v>
      </c>
      <c r="BN938" t="str">
        <f t="shared" si="1145"/>
        <v>BOGOTA</v>
      </c>
      <c r="BO938" t="str">
        <f t="shared" si="1145"/>
        <v>BOGOTA</v>
      </c>
      <c r="BP938" t="str">
        <f t="shared" si="1145"/>
        <v>BOGOTA</v>
      </c>
      <c r="BQ938" t="str">
        <f t="shared" si="1145"/>
        <v>BOGOTA</v>
      </c>
    </row>
    <row r="939" spans="1:69" x14ac:dyDescent="0.25">
      <c r="A939" t="str">
        <f>"7285606"</f>
        <v>7285606</v>
      </c>
      <c r="B939" t="str">
        <f t="shared" si="1088"/>
        <v>459</v>
      </c>
      <c r="C939" t="str">
        <f>"13/03/2020 12:00:00 a. m."</f>
        <v>13/03/2020 12:00:00 a. m.</v>
      </c>
      <c r="D939" t="str">
        <f>"03"</f>
        <v>03</v>
      </c>
      <c r="E939" t="str">
        <f t="shared" si="1089"/>
        <v>2020</v>
      </c>
      <c r="F939" t="str">
        <f>"6800100792"</f>
        <v>6800100792</v>
      </c>
      <c r="G939" t="str">
        <f t="shared" si="1133"/>
        <v>01</v>
      </c>
      <c r="H939" t="str">
        <f>"17"</f>
        <v>17</v>
      </c>
      <c r="I939" t="str">
        <f t="shared" si="1122"/>
        <v>1</v>
      </c>
      <c r="J939" t="str">
        <f>"F"</f>
        <v>F</v>
      </c>
      <c r="K939" t="str">
        <f t="shared" si="1128"/>
        <v>170</v>
      </c>
      <c r="L939" t="str">
        <f>"68"</f>
        <v>68</v>
      </c>
      <c r="M939" t="str">
        <f>"307"</f>
        <v>307</v>
      </c>
      <c r="N939" t="str">
        <f t="shared" si="1140"/>
        <v>1</v>
      </c>
      <c r="O939" t="str">
        <f t="shared" si="1138"/>
        <v>9997</v>
      </c>
      <c r="P939" t="str">
        <f>"S"</f>
        <v>S</v>
      </c>
      <c r="Q939" t="str">
        <f>"EPSS41"</f>
        <v>EPSS41</v>
      </c>
      <c r="R939" t="str">
        <f t="shared" si="1112"/>
        <v>6</v>
      </c>
      <c r="S939" t="str">
        <f>""</f>
        <v/>
      </c>
      <c r="T939" t="str">
        <f t="shared" si="1113"/>
        <v xml:space="preserve">                                                                                                    </v>
      </c>
      <c r="U939" t="str">
        <f t="shared" si="1141"/>
        <v xml:space="preserve">2         </v>
      </c>
      <c r="V939" t="str">
        <f t="shared" si="1075"/>
        <v>2</v>
      </c>
      <c r="W939" t="str">
        <f t="shared" si="1114"/>
        <v>2</v>
      </c>
      <c r="X939" t="str">
        <f t="shared" si="1125"/>
        <v>2</v>
      </c>
      <c r="Y939" t="str">
        <f t="shared" ref="Y939:Z958" si="1146">"2"</f>
        <v>2</v>
      </c>
      <c r="Z939" t="str">
        <f t="shared" si="1146"/>
        <v>2</v>
      </c>
      <c r="AA939" t="str">
        <f t="shared" si="1091"/>
        <v xml:space="preserve">          </v>
      </c>
      <c r="AB939" t="str">
        <f t="shared" si="1085"/>
        <v>2</v>
      </c>
      <c r="AC939" t="str">
        <f t="shared" si="1086"/>
        <v>2</v>
      </c>
      <c r="AD939" t="str">
        <f t="shared" si="1121"/>
        <v>2</v>
      </c>
      <c r="AE939" t="str">
        <f t="shared" si="1121"/>
        <v>2</v>
      </c>
      <c r="AF939" t="str">
        <f t="shared" si="1121"/>
        <v>2</v>
      </c>
      <c r="AG939" t="str">
        <f t="shared" si="1121"/>
        <v>2</v>
      </c>
      <c r="AH939" t="str">
        <f t="shared" si="1115"/>
        <v>1</v>
      </c>
      <c r="AI939" t="str">
        <f>"2         "</f>
        <v xml:space="preserve">2         </v>
      </c>
      <c r="AJ939" t="str">
        <f t="shared" si="1107"/>
        <v>170</v>
      </c>
      <c r="AK939" t="str">
        <f>"68"</f>
        <v>68</v>
      </c>
      <c r="AL939" t="str">
        <f>"307"</f>
        <v>307</v>
      </c>
      <c r="AM939" t="str">
        <f>"68"</f>
        <v>68</v>
      </c>
      <c r="AN939" t="str">
        <f>"68001"</f>
        <v>68001</v>
      </c>
      <c r="AO939" t="str">
        <f>"13/01/2020 12:00:00 a. m."</f>
        <v>13/01/2020 12:00:00 a. m.</v>
      </c>
      <c r="AP939" t="str">
        <f>"13/01/2020 12:00:00 a. m."</f>
        <v>13/01/2020 12:00:00 a. m.</v>
      </c>
      <c r="AQ939" t="str">
        <f t="shared" si="1143"/>
        <v>3</v>
      </c>
      <c r="AR939" t="str">
        <f>"2"</f>
        <v>2</v>
      </c>
      <c r="AS939" t="str">
        <f>""</f>
        <v/>
      </c>
      <c r="AT939" t="str">
        <f t="shared" si="1142"/>
        <v>1</v>
      </c>
      <c r="AU939" t="str">
        <f>""</f>
        <v/>
      </c>
      <c r="AV939" t="str">
        <f>"3"</f>
        <v>3</v>
      </c>
      <c r="AW939" t="str">
        <f>"31/07/2002 12:00:00 a. m."</f>
        <v>31/07/2002 12:00:00 a. m.</v>
      </c>
      <c r="AX939" t="str">
        <f>""</f>
        <v/>
      </c>
      <c r="AY939" t="str">
        <f t="shared" si="1092"/>
        <v>30/04/2021 12:00:00 a. m.</v>
      </c>
      <c r="AZ939" t="str">
        <f>"24/04/2020 12:00:00 a. m."</f>
        <v>24/04/2020 12:00:00 a. m.</v>
      </c>
      <c r="BA939" t="str">
        <f>""</f>
        <v/>
      </c>
      <c r="BB939" t="str">
        <f>""</f>
        <v/>
      </c>
      <c r="BC939" t="str">
        <f>""</f>
        <v/>
      </c>
      <c r="BD939" t="str">
        <f t="shared" si="1127"/>
        <v>1</v>
      </c>
      <c r="BE939" t="str">
        <f t="shared" si="1127"/>
        <v>1</v>
      </c>
      <c r="BF939" t="str">
        <f t="shared" si="1093"/>
        <v xml:space="preserve">3         </v>
      </c>
      <c r="BG939" t="str">
        <f t="shared" si="1094"/>
        <v>Confirmado por laboratorio</v>
      </c>
      <c r="BH939" t="str">
        <f>"ESE HOSPITAL UNIVERSITARIO DE SANTANDER"</f>
        <v>ESE HOSPITAL UNIVERSITARIO DE SANTANDER</v>
      </c>
      <c r="BI939" t="str">
        <f t="shared" si="1130"/>
        <v>COLOMBIA</v>
      </c>
      <c r="BJ939" t="str">
        <f t="shared" si="1095"/>
        <v>CANCER INFANTIL</v>
      </c>
      <c r="BK939" t="str">
        <f>"SANTANDER"</f>
        <v>SANTANDER</v>
      </c>
      <c r="BL939" t="str">
        <f>"GIRON"</f>
        <v>GIRON</v>
      </c>
      <c r="BM939" t="str">
        <f t="shared" si="1109"/>
        <v>COLOMBIA</v>
      </c>
      <c r="BN939" t="str">
        <f>"SANTANDER"</f>
        <v>SANTANDER</v>
      </c>
      <c r="BO939" t="str">
        <f>"GIRON"</f>
        <v>GIRON</v>
      </c>
      <c r="BP939" t="str">
        <f>"SANTANDER"</f>
        <v>SANTANDER</v>
      </c>
      <c r="BQ939" t="str">
        <f>"BUCARAMANGA"</f>
        <v>BUCARAMANGA</v>
      </c>
    </row>
    <row r="940" spans="1:69" x14ac:dyDescent="0.25">
      <c r="A940" t="str">
        <f>"7285556"</f>
        <v>7285556</v>
      </c>
      <c r="B940" t="str">
        <f t="shared" si="1088"/>
        <v>459</v>
      </c>
      <c r="C940" t="str">
        <f>"4/02/2020 12:00:00 a. m."</f>
        <v>4/02/2020 12:00:00 a. m.</v>
      </c>
      <c r="D940" t="str">
        <f>"03"</f>
        <v>03</v>
      </c>
      <c r="E940" t="str">
        <f t="shared" si="1089"/>
        <v>2020</v>
      </c>
      <c r="F940" t="str">
        <f>"6827601666"</f>
        <v>6827601666</v>
      </c>
      <c r="G940" t="str">
        <f t="shared" si="1133"/>
        <v>01</v>
      </c>
      <c r="H940" t="str">
        <f>"7"</f>
        <v>7</v>
      </c>
      <c r="I940" t="str">
        <f t="shared" si="1122"/>
        <v>1</v>
      </c>
      <c r="J940" t="str">
        <f>"F"</f>
        <v>F</v>
      </c>
      <c r="K940" t="str">
        <f t="shared" si="1128"/>
        <v>170</v>
      </c>
      <c r="L940" t="str">
        <f>"68"</f>
        <v>68</v>
      </c>
      <c r="M940" t="str">
        <f>"307"</f>
        <v>307</v>
      </c>
      <c r="N940" t="str">
        <f t="shared" si="1140"/>
        <v>1</v>
      </c>
      <c r="O940" t="str">
        <f t="shared" si="1138"/>
        <v>9997</v>
      </c>
      <c r="P940" t="str">
        <f>"C"</f>
        <v>C</v>
      </c>
      <c r="Q940" t="str">
        <f>"EPS037"</f>
        <v>EPS037</v>
      </c>
      <c r="R940" t="str">
        <f t="shared" si="1112"/>
        <v>6</v>
      </c>
      <c r="S940" t="str">
        <f>""</f>
        <v/>
      </c>
      <c r="T940" t="str">
        <f t="shared" si="1113"/>
        <v xml:space="preserve">                                                                                                    </v>
      </c>
      <c r="U940" t="str">
        <f t="shared" si="1141"/>
        <v xml:space="preserve">2         </v>
      </c>
      <c r="V940" t="str">
        <f t="shared" si="1075"/>
        <v>2</v>
      </c>
      <c r="W940" t="str">
        <f t="shared" si="1114"/>
        <v>2</v>
      </c>
      <c r="X940" t="str">
        <f t="shared" si="1125"/>
        <v>2</v>
      </c>
      <c r="Y940" t="str">
        <f t="shared" si="1146"/>
        <v>2</v>
      </c>
      <c r="Z940" t="str">
        <f t="shared" si="1146"/>
        <v>2</v>
      </c>
      <c r="AA940" t="str">
        <f t="shared" si="1091"/>
        <v xml:space="preserve">          </v>
      </c>
      <c r="AB940" t="str">
        <f t="shared" si="1085"/>
        <v>2</v>
      </c>
      <c r="AC940" t="str">
        <f t="shared" si="1086"/>
        <v>2</v>
      </c>
      <c r="AD940" t="str">
        <f t="shared" ref="AD940:AG959" si="1147">"2"</f>
        <v>2</v>
      </c>
      <c r="AE940" t="str">
        <f t="shared" si="1147"/>
        <v>2</v>
      </c>
      <c r="AF940" t="str">
        <f t="shared" si="1147"/>
        <v>2</v>
      </c>
      <c r="AG940" t="str">
        <f t="shared" si="1147"/>
        <v>2</v>
      </c>
      <c r="AH940" t="str">
        <f t="shared" si="1115"/>
        <v>1</v>
      </c>
      <c r="AI940" t="str">
        <f>"1         "</f>
        <v xml:space="preserve">1         </v>
      </c>
      <c r="AJ940" t="str">
        <f t="shared" si="1107"/>
        <v>170</v>
      </c>
      <c r="AK940" t="str">
        <f>"68"</f>
        <v>68</v>
      </c>
      <c r="AL940" t="str">
        <f>"307"</f>
        <v>307</v>
      </c>
      <c r="AM940" t="str">
        <f>"68"</f>
        <v>68</v>
      </c>
      <c r="AN940" t="str">
        <f>"68276"</f>
        <v>68276</v>
      </c>
      <c r="AO940" t="str">
        <f>"18/01/2020 12:00:00 a. m."</f>
        <v>18/01/2020 12:00:00 a. m.</v>
      </c>
      <c r="AP940" t="str">
        <f>"12/01/2020 12:00:00 a. m."</f>
        <v>12/01/2020 12:00:00 a. m.</v>
      </c>
      <c r="AQ940" t="str">
        <f t="shared" si="1143"/>
        <v>3</v>
      </c>
      <c r="AR940" t="str">
        <f t="shared" ref="AR940:AR946" si="1148">"1"</f>
        <v>1</v>
      </c>
      <c r="AS940" t="str">
        <f>"18/01/2020 12:00:00 a. m."</f>
        <v>18/01/2020 12:00:00 a. m.</v>
      </c>
      <c r="AT940" t="str">
        <f t="shared" si="1142"/>
        <v>1</v>
      </c>
      <c r="AU940" t="str">
        <f>""</f>
        <v/>
      </c>
      <c r="AV940" t="str">
        <f>"0"</f>
        <v>0</v>
      </c>
      <c r="AW940" t="str">
        <f>"30/05/2012 12:00:00 a. m."</f>
        <v>30/05/2012 12:00:00 a. m.</v>
      </c>
      <c r="AX940" t="str">
        <f>""</f>
        <v/>
      </c>
      <c r="AY940" t="str">
        <f t="shared" si="1092"/>
        <v>30/04/2021 12:00:00 a. m.</v>
      </c>
      <c r="AZ940" t="str">
        <f>"10/02/2020 12:00:00 a. m."</f>
        <v>10/02/2020 12:00:00 a. m.</v>
      </c>
      <c r="BA940" t="str">
        <f>""</f>
        <v/>
      </c>
      <c r="BB940" t="str">
        <f>""</f>
        <v/>
      </c>
      <c r="BC940" t="str">
        <f>""</f>
        <v/>
      </c>
      <c r="BD940" t="str">
        <f t="shared" si="1127"/>
        <v>1</v>
      </c>
      <c r="BE940" t="str">
        <f t="shared" si="1127"/>
        <v>1</v>
      </c>
      <c r="BF940" t="str">
        <f t="shared" si="1093"/>
        <v xml:space="preserve">3         </v>
      </c>
      <c r="BG940" t="str">
        <f t="shared" si="1094"/>
        <v>Confirmado por laboratorio</v>
      </c>
      <c r="BH940" t="str">
        <f>"FUNDACION OFTALMOLOGICA DE SDER FOSCAL"</f>
        <v>FUNDACION OFTALMOLOGICA DE SDER FOSCAL</v>
      </c>
      <c r="BI940" t="str">
        <f t="shared" si="1130"/>
        <v>COLOMBIA</v>
      </c>
      <c r="BJ940" t="str">
        <f t="shared" si="1095"/>
        <v>CANCER INFANTIL</v>
      </c>
      <c r="BK940" t="str">
        <f>"SANTANDER"</f>
        <v>SANTANDER</v>
      </c>
      <c r="BL940" t="str">
        <f>"GIRON"</f>
        <v>GIRON</v>
      </c>
      <c r="BM940" t="str">
        <f t="shared" si="1109"/>
        <v>COLOMBIA</v>
      </c>
      <c r="BN940" t="str">
        <f>"SANTANDER"</f>
        <v>SANTANDER</v>
      </c>
      <c r="BO940" t="str">
        <f>"GIRON"</f>
        <v>GIRON</v>
      </c>
      <c r="BP940" t="str">
        <f>"SANTANDER"</f>
        <v>SANTANDER</v>
      </c>
      <c r="BQ940" t="str">
        <f>"FLORIDABLANCA"</f>
        <v>FLORIDABLANCA</v>
      </c>
    </row>
    <row r="941" spans="1:69" x14ac:dyDescent="0.25">
      <c r="A941" t="str">
        <f>"7285620"</f>
        <v>7285620</v>
      </c>
      <c r="B941" t="str">
        <f t="shared" si="1088"/>
        <v>459</v>
      </c>
      <c r="C941" t="str">
        <f>"16/07/2020 12:00:00 a. m."</f>
        <v>16/07/2020 12:00:00 a. m.</v>
      </c>
      <c r="D941" t="str">
        <f>"26"</f>
        <v>26</v>
      </c>
      <c r="E941" t="str">
        <f t="shared" si="1089"/>
        <v>2020</v>
      </c>
      <c r="F941" t="str">
        <f>"7600103799"</f>
        <v>7600103799</v>
      </c>
      <c r="G941" t="str">
        <f t="shared" si="1133"/>
        <v>01</v>
      </c>
      <c r="H941" t="str">
        <f>"17"</f>
        <v>17</v>
      </c>
      <c r="I941" t="str">
        <f t="shared" si="1122"/>
        <v>1</v>
      </c>
      <c r="J941" t="str">
        <f>"M"</f>
        <v>M</v>
      </c>
      <c r="K941" t="str">
        <f t="shared" si="1128"/>
        <v>170</v>
      </c>
      <c r="L941" t="str">
        <f>"76"</f>
        <v>76</v>
      </c>
      <c r="M941" t="str">
        <f>"001"</f>
        <v>001</v>
      </c>
      <c r="N941" t="str">
        <f t="shared" si="1140"/>
        <v>1</v>
      </c>
      <c r="O941" t="str">
        <f>"9999"</f>
        <v>9999</v>
      </c>
      <c r="P941" t="str">
        <f>"S"</f>
        <v>S</v>
      </c>
      <c r="Q941" t="str">
        <f>"ESS118"</f>
        <v>ESS118</v>
      </c>
      <c r="R941" t="str">
        <f t="shared" si="1112"/>
        <v>6</v>
      </c>
      <c r="S941" t="str">
        <f>""</f>
        <v/>
      </c>
      <c r="T941" t="str">
        <f t="shared" si="1113"/>
        <v xml:space="preserve">                                                                                                    </v>
      </c>
      <c r="U941" t="str">
        <f>"3         "</f>
        <v xml:space="preserve">3         </v>
      </c>
      <c r="V941" t="str">
        <f t="shared" si="1075"/>
        <v>2</v>
      </c>
      <c r="W941" t="str">
        <f t="shared" si="1114"/>
        <v>2</v>
      </c>
      <c r="X941" t="str">
        <f t="shared" si="1125"/>
        <v>2</v>
      </c>
      <c r="Y941" t="str">
        <f t="shared" si="1146"/>
        <v>2</v>
      </c>
      <c r="Z941" t="str">
        <f t="shared" si="1146"/>
        <v>2</v>
      </c>
      <c r="AA941" t="str">
        <f t="shared" si="1091"/>
        <v xml:space="preserve">          </v>
      </c>
      <c r="AB941" t="str">
        <f t="shared" si="1085"/>
        <v>2</v>
      </c>
      <c r="AC941" t="str">
        <f t="shared" si="1086"/>
        <v>2</v>
      </c>
      <c r="AD941" t="str">
        <f t="shared" si="1147"/>
        <v>2</v>
      </c>
      <c r="AE941" t="str">
        <f t="shared" si="1147"/>
        <v>2</v>
      </c>
      <c r="AF941" t="str">
        <f t="shared" si="1147"/>
        <v>2</v>
      </c>
      <c r="AG941" t="str">
        <f t="shared" si="1147"/>
        <v>2</v>
      </c>
      <c r="AH941" t="str">
        <f t="shared" si="1115"/>
        <v>1</v>
      </c>
      <c r="AI941" t="str">
        <f>"1         "</f>
        <v xml:space="preserve">1         </v>
      </c>
      <c r="AJ941" t="str">
        <f t="shared" si="1107"/>
        <v>170</v>
      </c>
      <c r="AK941" t="str">
        <f>"76"</f>
        <v>76</v>
      </c>
      <c r="AL941" t="str">
        <f>"001"</f>
        <v>001</v>
      </c>
      <c r="AM941" t="str">
        <f>"76"</f>
        <v>76</v>
      </c>
      <c r="AN941" t="str">
        <f>"76001"</f>
        <v>76001</v>
      </c>
      <c r="AO941" t="str">
        <f>"25/06/2020 12:00:00 a. m."</f>
        <v>25/06/2020 12:00:00 a. m.</v>
      </c>
      <c r="AP941" t="str">
        <f>"1/06/2020 12:00:00 a. m."</f>
        <v>1/06/2020 12:00:00 a. m.</v>
      </c>
      <c r="AQ941" t="str">
        <f t="shared" si="1143"/>
        <v>3</v>
      </c>
      <c r="AR941" t="str">
        <f t="shared" si="1148"/>
        <v>1</v>
      </c>
      <c r="AS941" t="str">
        <f>"25/06/2020 12:00:00 a. m."</f>
        <v>25/06/2020 12:00:00 a. m.</v>
      </c>
      <c r="AT941" t="str">
        <f t="shared" si="1142"/>
        <v>1</v>
      </c>
      <c r="AU941" t="str">
        <f>""</f>
        <v/>
      </c>
      <c r="AV941" t="str">
        <f>"0"</f>
        <v>0</v>
      </c>
      <c r="AW941" t="str">
        <f>"15/12/2002 12:00:00 a. m."</f>
        <v>15/12/2002 12:00:00 a. m.</v>
      </c>
      <c r="AX941" t="str">
        <f>""</f>
        <v/>
      </c>
      <c r="AY941" t="str">
        <f t="shared" si="1092"/>
        <v>30/04/2021 12:00:00 a. m.</v>
      </c>
      <c r="AZ941" t="str">
        <f>"16/07/2020 12:00:00 a. m."</f>
        <v>16/07/2020 12:00:00 a. m.</v>
      </c>
      <c r="BA941" t="str">
        <f>""</f>
        <v/>
      </c>
      <c r="BB941" t="str">
        <f>""</f>
        <v/>
      </c>
      <c r="BC941" t="str">
        <f>""</f>
        <v/>
      </c>
      <c r="BD941" t="str">
        <f t="shared" si="1127"/>
        <v>1</v>
      </c>
      <c r="BE941" t="str">
        <f t="shared" si="1127"/>
        <v>1</v>
      </c>
      <c r="BF941" t="str">
        <f t="shared" si="1093"/>
        <v xml:space="preserve">3         </v>
      </c>
      <c r="BG941" t="str">
        <f t="shared" si="1094"/>
        <v>Confirmado por laboratorio</v>
      </c>
      <c r="BH941" t="str">
        <f>"HOSPITAL UNIVERSITARIO DEL VALLE EVARISTO GARCIA"</f>
        <v>HOSPITAL UNIVERSITARIO DEL VALLE EVARISTO GARCIA</v>
      </c>
      <c r="BI941" t="str">
        <f t="shared" si="1130"/>
        <v>COLOMBIA</v>
      </c>
      <c r="BJ941" t="str">
        <f t="shared" si="1095"/>
        <v>CANCER INFANTIL</v>
      </c>
      <c r="BK941" t="str">
        <f>"VALLE"</f>
        <v>VALLE</v>
      </c>
      <c r="BL941" t="str">
        <f>"CALI"</f>
        <v>CALI</v>
      </c>
      <c r="BM941" t="str">
        <f t="shared" si="1109"/>
        <v>COLOMBIA</v>
      </c>
      <c r="BN941" t="str">
        <f>"VALLE"</f>
        <v>VALLE</v>
      </c>
      <c r="BO941" t="str">
        <f>"CALI"</f>
        <v>CALI</v>
      </c>
      <c r="BP941" t="str">
        <f>"VALLE"</f>
        <v>VALLE</v>
      </c>
      <c r="BQ941" t="str">
        <f>"CALI"</f>
        <v>CALI</v>
      </c>
    </row>
    <row r="942" spans="1:69" x14ac:dyDescent="0.25">
      <c r="A942" t="str">
        <f>"7278766"</f>
        <v>7278766</v>
      </c>
      <c r="B942" t="str">
        <f t="shared" si="1088"/>
        <v>459</v>
      </c>
      <c r="C942" t="str">
        <f>"22/09/2020 12:00:00 a. m."</f>
        <v>22/09/2020 12:00:00 a. m.</v>
      </c>
      <c r="D942" t="str">
        <f>"19"</f>
        <v>19</v>
      </c>
      <c r="E942" t="str">
        <f t="shared" si="1089"/>
        <v>2020</v>
      </c>
      <c r="F942" t="str">
        <f>"0800100544"</f>
        <v>0800100544</v>
      </c>
      <c r="G942" t="str">
        <f t="shared" si="1133"/>
        <v>01</v>
      </c>
      <c r="H942" t="str">
        <f>"17"</f>
        <v>17</v>
      </c>
      <c r="I942" t="str">
        <f t="shared" si="1122"/>
        <v>1</v>
      </c>
      <c r="J942" t="str">
        <f>"F"</f>
        <v>F</v>
      </c>
      <c r="K942" t="str">
        <f t="shared" si="1128"/>
        <v>170</v>
      </c>
      <c r="L942" t="str">
        <f>"47"</f>
        <v>47</v>
      </c>
      <c r="M942" t="str">
        <f>"707"</f>
        <v>707</v>
      </c>
      <c r="N942" t="str">
        <f t="shared" si="1140"/>
        <v>1</v>
      </c>
      <c r="O942" t="str">
        <f>"9997"</f>
        <v>9997</v>
      </c>
      <c r="P942" t="str">
        <f>"C"</f>
        <v>C</v>
      </c>
      <c r="Q942" t="str">
        <f>"EPS041"</f>
        <v>EPS041</v>
      </c>
      <c r="R942" t="str">
        <f t="shared" si="1112"/>
        <v>6</v>
      </c>
      <c r="S942" t="str">
        <f>""</f>
        <v/>
      </c>
      <c r="T942" t="str">
        <f t="shared" si="1113"/>
        <v xml:space="preserve">                                                                                                    </v>
      </c>
      <c r="U942" t="str">
        <f>"2         "</f>
        <v xml:space="preserve">2         </v>
      </c>
      <c r="V942" t="str">
        <f t="shared" si="1075"/>
        <v>2</v>
      </c>
      <c r="W942" t="str">
        <f t="shared" si="1114"/>
        <v>2</v>
      </c>
      <c r="X942" t="str">
        <f t="shared" si="1125"/>
        <v>2</v>
      </c>
      <c r="Y942" t="str">
        <f t="shared" si="1146"/>
        <v>2</v>
      </c>
      <c r="Z942" t="str">
        <f t="shared" si="1146"/>
        <v>2</v>
      </c>
      <c r="AA942" t="str">
        <f t="shared" si="1091"/>
        <v xml:space="preserve">          </v>
      </c>
      <c r="AB942" t="str">
        <f t="shared" si="1085"/>
        <v>2</v>
      </c>
      <c r="AC942" t="str">
        <f t="shared" si="1086"/>
        <v>2</v>
      </c>
      <c r="AD942" t="str">
        <f t="shared" si="1147"/>
        <v>2</v>
      </c>
      <c r="AE942" t="str">
        <f t="shared" si="1147"/>
        <v>2</v>
      </c>
      <c r="AF942" t="str">
        <f t="shared" si="1147"/>
        <v>2</v>
      </c>
      <c r="AG942" t="str">
        <f t="shared" si="1147"/>
        <v>2</v>
      </c>
      <c r="AH942" t="str">
        <f t="shared" si="1115"/>
        <v>1</v>
      </c>
      <c r="AI942" t="str">
        <f>"2         "</f>
        <v xml:space="preserve">2         </v>
      </c>
      <c r="AJ942" t="str">
        <f t="shared" si="1107"/>
        <v>170</v>
      </c>
      <c r="AK942" t="str">
        <f>"47"</f>
        <v>47</v>
      </c>
      <c r="AL942" t="str">
        <f>"707"</f>
        <v>707</v>
      </c>
      <c r="AM942" t="str">
        <f>"08"</f>
        <v>08</v>
      </c>
      <c r="AN942" t="str">
        <f>"08001"</f>
        <v>08001</v>
      </c>
      <c r="AO942" t="str">
        <f>"9/05/2020 12:00:00 a. m."</f>
        <v>9/05/2020 12:00:00 a. m.</v>
      </c>
      <c r="AP942" t="str">
        <f>"10/04/2020 12:00:00 a. m."</f>
        <v>10/04/2020 12:00:00 a. m.</v>
      </c>
      <c r="AQ942" t="str">
        <f t="shared" si="1143"/>
        <v>3</v>
      </c>
      <c r="AR942" t="str">
        <f t="shared" si="1148"/>
        <v>1</v>
      </c>
      <c r="AS942" t="str">
        <f>"9/05/2020 12:00:00 a. m."</f>
        <v>9/05/2020 12:00:00 a. m.</v>
      </c>
      <c r="AT942" t="str">
        <f t="shared" si="1142"/>
        <v>1</v>
      </c>
      <c r="AU942" t="str">
        <f>""</f>
        <v/>
      </c>
      <c r="AV942" t="str">
        <f>"0"</f>
        <v>0</v>
      </c>
      <c r="AW942" t="str">
        <f>"20/08/2003 12:00:00 a. m."</f>
        <v>20/08/2003 12:00:00 a. m.</v>
      </c>
      <c r="AX942" t="str">
        <f>""</f>
        <v/>
      </c>
      <c r="AY942" t="str">
        <f t="shared" si="1092"/>
        <v>30/04/2021 12:00:00 a. m.</v>
      </c>
      <c r="AZ942" t="str">
        <f>"28/09/2020 12:00:00 a. m."</f>
        <v>28/09/2020 12:00:00 a. m.</v>
      </c>
      <c r="BA942" t="str">
        <f>""</f>
        <v/>
      </c>
      <c r="BB942" t="str">
        <f>""</f>
        <v/>
      </c>
      <c r="BC942" t="str">
        <f>""</f>
        <v/>
      </c>
      <c r="BD942" t="str">
        <f t="shared" ref="BD942:BE961" si="1149">"1"</f>
        <v>1</v>
      </c>
      <c r="BE942" t="str">
        <f t="shared" si="1149"/>
        <v>1</v>
      </c>
      <c r="BF942" t="str">
        <f t="shared" si="1093"/>
        <v xml:space="preserve">3         </v>
      </c>
      <c r="BG942" t="str">
        <f t="shared" si="1094"/>
        <v>Confirmado por laboratorio</v>
      </c>
      <c r="BH942" t="str">
        <f>"ORGANIZACION CLINICA BONNADONA PREVENIR SA"</f>
        <v>ORGANIZACION CLINICA BONNADONA PREVENIR SA</v>
      </c>
      <c r="BI942" t="str">
        <f t="shared" si="1130"/>
        <v>COLOMBIA</v>
      </c>
      <c r="BJ942" t="str">
        <f t="shared" si="1095"/>
        <v>CANCER INFANTIL</v>
      </c>
      <c r="BK942" t="str">
        <f>"MAGDALENA"</f>
        <v>MAGDALENA</v>
      </c>
      <c r="BL942" t="str">
        <f>"SANTA ANA"</f>
        <v>SANTA ANA</v>
      </c>
      <c r="BM942" t="str">
        <f t="shared" si="1109"/>
        <v>COLOMBIA</v>
      </c>
      <c r="BN942" t="str">
        <f>"MAGDALENA"</f>
        <v>MAGDALENA</v>
      </c>
      <c r="BO942" t="str">
        <f>"SANTA ANA"</f>
        <v>SANTA ANA</v>
      </c>
      <c r="BP942" t="str">
        <f>"ATLANTICO"</f>
        <v>ATLANTICO</v>
      </c>
      <c r="BQ942" t="str">
        <f>"BARRANQUILLA"</f>
        <v>BARRANQUILLA</v>
      </c>
    </row>
    <row r="943" spans="1:69" x14ac:dyDescent="0.25">
      <c r="A943" t="str">
        <f>"7278748"</f>
        <v>7278748</v>
      </c>
      <c r="B943" t="str">
        <f t="shared" si="1088"/>
        <v>459</v>
      </c>
      <c r="C943" t="str">
        <f>"21/06/2020 12:00:00 a. m."</f>
        <v>21/06/2020 12:00:00 a. m.</v>
      </c>
      <c r="D943" t="str">
        <f>"26"</f>
        <v>26</v>
      </c>
      <c r="E943" t="str">
        <f t="shared" si="1089"/>
        <v>2020</v>
      </c>
      <c r="F943" t="str">
        <f>"2300100949"</f>
        <v>2300100949</v>
      </c>
      <c r="G943" t="str">
        <f t="shared" si="1133"/>
        <v>01</v>
      </c>
      <c r="H943" t="str">
        <f>"8"</f>
        <v>8</v>
      </c>
      <c r="I943" t="str">
        <f t="shared" si="1122"/>
        <v>1</v>
      </c>
      <c r="J943" t="str">
        <f>"M"</f>
        <v>M</v>
      </c>
      <c r="K943" t="str">
        <f t="shared" si="1128"/>
        <v>170</v>
      </c>
      <c r="L943" t="str">
        <f>"23"</f>
        <v>23</v>
      </c>
      <c r="M943" t="str">
        <f>"090"</f>
        <v>090</v>
      </c>
      <c r="N943" t="str">
        <f t="shared" si="1140"/>
        <v>1</v>
      </c>
      <c r="O943" t="str">
        <f>"9997"</f>
        <v>9997</v>
      </c>
      <c r="P943" t="str">
        <f>"C"</f>
        <v>C</v>
      </c>
      <c r="Q943" t="str">
        <f>"EPS041"</f>
        <v>EPS041</v>
      </c>
      <c r="R943" t="str">
        <f t="shared" si="1112"/>
        <v>6</v>
      </c>
      <c r="S943" t="str">
        <f>""</f>
        <v/>
      </c>
      <c r="T943" t="str">
        <f t="shared" si="1113"/>
        <v xml:space="preserve">                                                                                                    </v>
      </c>
      <c r="U943" t="str">
        <f>"1         "</f>
        <v xml:space="preserve">1         </v>
      </c>
      <c r="V943" t="str">
        <f t="shared" si="1075"/>
        <v>2</v>
      </c>
      <c r="W943" t="str">
        <f t="shared" si="1114"/>
        <v>2</v>
      </c>
      <c r="X943" t="str">
        <f t="shared" si="1125"/>
        <v>2</v>
      </c>
      <c r="Y943" t="str">
        <f t="shared" si="1146"/>
        <v>2</v>
      </c>
      <c r="Z943" t="str">
        <f t="shared" si="1146"/>
        <v>2</v>
      </c>
      <c r="AA943" t="str">
        <f t="shared" si="1091"/>
        <v xml:space="preserve">          </v>
      </c>
      <c r="AB943" t="str">
        <f t="shared" si="1085"/>
        <v>2</v>
      </c>
      <c r="AC943" t="str">
        <f t="shared" si="1086"/>
        <v>2</v>
      </c>
      <c r="AD943" t="str">
        <f t="shared" si="1147"/>
        <v>2</v>
      </c>
      <c r="AE943" t="str">
        <f t="shared" si="1147"/>
        <v>2</v>
      </c>
      <c r="AF943" t="str">
        <f t="shared" si="1147"/>
        <v>2</v>
      </c>
      <c r="AG943" t="str">
        <f t="shared" si="1147"/>
        <v>2</v>
      </c>
      <c r="AH943" t="str">
        <f t="shared" si="1115"/>
        <v>1</v>
      </c>
      <c r="AI943" t="str">
        <f>"1         "</f>
        <v xml:space="preserve">1         </v>
      </c>
      <c r="AJ943" t="str">
        <f t="shared" si="1107"/>
        <v>170</v>
      </c>
      <c r="AK943" t="str">
        <f>"23"</f>
        <v>23</v>
      </c>
      <c r="AL943" t="str">
        <f>"090"</f>
        <v>090</v>
      </c>
      <c r="AM943" t="str">
        <f>"23"</f>
        <v>23</v>
      </c>
      <c r="AN943" t="str">
        <f>"23001"</f>
        <v>23001</v>
      </c>
      <c r="AO943" t="str">
        <f>"21/06/2020 12:00:00 a. m."</f>
        <v>21/06/2020 12:00:00 a. m.</v>
      </c>
      <c r="AP943" t="str">
        <f>"20/04/2020 12:00:00 a. m."</f>
        <v>20/04/2020 12:00:00 a. m.</v>
      </c>
      <c r="AQ943" t="str">
        <f>"2"</f>
        <v>2</v>
      </c>
      <c r="AR943" t="str">
        <f t="shared" si="1148"/>
        <v>1</v>
      </c>
      <c r="AS943" t="str">
        <f>"21/06/2020 12:00:00 a. m."</f>
        <v>21/06/2020 12:00:00 a. m.</v>
      </c>
      <c r="AT943" t="str">
        <f t="shared" si="1142"/>
        <v>1</v>
      </c>
      <c r="AU943" t="str">
        <f>""</f>
        <v/>
      </c>
      <c r="AV943" t="str">
        <f>"3"</f>
        <v>3</v>
      </c>
      <c r="AW943" t="str">
        <f>"16/05/2012 12:00:00 a. m."</f>
        <v>16/05/2012 12:00:00 a. m.</v>
      </c>
      <c r="AX943" t="str">
        <f>""</f>
        <v/>
      </c>
      <c r="AY943" t="str">
        <f t="shared" si="1092"/>
        <v>30/04/2021 12:00:00 a. m.</v>
      </c>
      <c r="AZ943" t="str">
        <f>"31/07/2020 12:00:00 a. m."</f>
        <v>31/07/2020 12:00:00 a. m.</v>
      </c>
      <c r="BA943" t="str">
        <f>""</f>
        <v/>
      </c>
      <c r="BB943" t="str">
        <f>""</f>
        <v/>
      </c>
      <c r="BC943" t="str">
        <f>""</f>
        <v/>
      </c>
      <c r="BD943" t="str">
        <f t="shared" si="1149"/>
        <v>1</v>
      </c>
      <c r="BE943" t="str">
        <f t="shared" si="1149"/>
        <v>1</v>
      </c>
      <c r="BF943" t="str">
        <f t="shared" si="1093"/>
        <v xml:space="preserve">3         </v>
      </c>
      <c r="BG943" t="str">
        <f t="shared" si="1094"/>
        <v>Confirmado por laboratorio</v>
      </c>
      <c r="BH943" t="str">
        <f>"ONCOMEDICA S A"</f>
        <v>ONCOMEDICA S A</v>
      </c>
      <c r="BI943" t="str">
        <f t="shared" si="1130"/>
        <v>COLOMBIA</v>
      </c>
      <c r="BJ943" t="str">
        <f t="shared" si="1095"/>
        <v>CANCER INFANTIL</v>
      </c>
      <c r="BK943" t="str">
        <f>"CORDOBA"</f>
        <v>CORDOBA</v>
      </c>
      <c r="BL943" t="str">
        <f>"CANALETE"</f>
        <v>CANALETE</v>
      </c>
      <c r="BM943" t="str">
        <f t="shared" si="1109"/>
        <v>COLOMBIA</v>
      </c>
      <c r="BN943" t="str">
        <f>"CORDOBA"</f>
        <v>CORDOBA</v>
      </c>
      <c r="BO943" t="str">
        <f>"CANALETE"</f>
        <v>CANALETE</v>
      </c>
      <c r="BP943" t="str">
        <f>"CORDOBA"</f>
        <v>CORDOBA</v>
      </c>
      <c r="BQ943" t="str">
        <f>"MONTERIA"</f>
        <v>MONTERIA</v>
      </c>
    </row>
    <row r="944" spans="1:69" x14ac:dyDescent="0.25">
      <c r="A944" t="str">
        <f>"7278752"</f>
        <v>7278752</v>
      </c>
      <c r="B944" t="str">
        <f t="shared" si="1088"/>
        <v>459</v>
      </c>
      <c r="C944" t="str">
        <f>"23/10/2020 12:00:00 a. m."</f>
        <v>23/10/2020 12:00:00 a. m.</v>
      </c>
      <c r="D944" t="str">
        <f>"25"</f>
        <v>25</v>
      </c>
      <c r="E944" t="str">
        <f t="shared" si="1089"/>
        <v>2020</v>
      </c>
      <c r="F944" t="str">
        <f>"2300100949"</f>
        <v>2300100949</v>
      </c>
      <c r="G944" t="str">
        <f t="shared" si="1133"/>
        <v>01</v>
      </c>
      <c r="H944" t="str">
        <f>"3"</f>
        <v>3</v>
      </c>
      <c r="I944" t="str">
        <f t="shared" si="1122"/>
        <v>1</v>
      </c>
      <c r="J944" t="str">
        <f>"M"</f>
        <v>M</v>
      </c>
      <c r="K944" t="str">
        <f t="shared" si="1128"/>
        <v>170</v>
      </c>
      <c r="L944" t="str">
        <f>"23"</f>
        <v>23</v>
      </c>
      <c r="M944" t="str">
        <f>"001"</f>
        <v>001</v>
      </c>
      <c r="N944" t="str">
        <f t="shared" si="1140"/>
        <v>1</v>
      </c>
      <c r="O944" t="str">
        <f>"9999"</f>
        <v>9999</v>
      </c>
      <c r="P944" t="str">
        <f>"S"</f>
        <v>S</v>
      </c>
      <c r="Q944" t="str">
        <f>"EPSS48"</f>
        <v>EPSS48</v>
      </c>
      <c r="R944" t="str">
        <f t="shared" si="1112"/>
        <v>6</v>
      </c>
      <c r="S944" t="str">
        <f>""</f>
        <v/>
      </c>
      <c r="T944" t="str">
        <f t="shared" si="1113"/>
        <v xml:space="preserve">                                                                                                    </v>
      </c>
      <c r="U944" t="str">
        <f>"1         "</f>
        <v xml:space="preserve">1         </v>
      </c>
      <c r="V944" t="str">
        <f t="shared" si="1075"/>
        <v>2</v>
      </c>
      <c r="W944" t="str">
        <f t="shared" si="1114"/>
        <v>2</v>
      </c>
      <c r="X944" t="str">
        <f t="shared" si="1125"/>
        <v>2</v>
      </c>
      <c r="Y944" t="str">
        <f t="shared" si="1146"/>
        <v>2</v>
      </c>
      <c r="Z944" t="str">
        <f t="shared" si="1146"/>
        <v>2</v>
      </c>
      <c r="AA944" t="str">
        <f t="shared" si="1091"/>
        <v xml:space="preserve">          </v>
      </c>
      <c r="AB944" t="str">
        <f t="shared" si="1085"/>
        <v>2</v>
      </c>
      <c r="AC944" t="str">
        <f t="shared" si="1086"/>
        <v>2</v>
      </c>
      <c r="AD944" t="str">
        <f t="shared" si="1147"/>
        <v>2</v>
      </c>
      <c r="AE944" t="str">
        <f t="shared" si="1147"/>
        <v>2</v>
      </c>
      <c r="AF944" t="str">
        <f t="shared" si="1147"/>
        <v>2</v>
      </c>
      <c r="AG944" t="str">
        <f t="shared" si="1147"/>
        <v>2</v>
      </c>
      <c r="AH944" t="str">
        <f t="shared" si="1115"/>
        <v>1</v>
      </c>
      <c r="AI944" t="str">
        <f>"2         "</f>
        <v xml:space="preserve">2         </v>
      </c>
      <c r="AJ944" t="str">
        <f t="shared" si="1107"/>
        <v>170</v>
      </c>
      <c r="AK944" t="str">
        <f>"23"</f>
        <v>23</v>
      </c>
      <c r="AL944" t="str">
        <f>"001"</f>
        <v>001</v>
      </c>
      <c r="AM944" t="str">
        <f>"23"</f>
        <v>23</v>
      </c>
      <c r="AN944" t="str">
        <f>"23001"</f>
        <v>23001</v>
      </c>
      <c r="AO944" t="str">
        <f>"20/06/2020 12:00:00 a. m."</f>
        <v>20/06/2020 12:00:00 a. m.</v>
      </c>
      <c r="AP944" t="str">
        <f>"1/01/2020 12:00:00 a. m."</f>
        <v>1/01/2020 12:00:00 a. m.</v>
      </c>
      <c r="AQ944" t="str">
        <f>"3"</f>
        <v>3</v>
      </c>
      <c r="AR944" t="str">
        <f t="shared" si="1148"/>
        <v>1</v>
      </c>
      <c r="AS944" t="str">
        <f>"23/06/2020 12:00:00 a. m."</f>
        <v>23/06/2020 12:00:00 a. m.</v>
      </c>
      <c r="AT944" t="str">
        <f t="shared" si="1142"/>
        <v>1</v>
      </c>
      <c r="AU944" t="str">
        <f>""</f>
        <v/>
      </c>
      <c r="AV944" t="str">
        <f>"7"</f>
        <v>7</v>
      </c>
      <c r="AW944" t="str">
        <f>"19/08/2017 12:00:00 a. m."</f>
        <v>19/08/2017 12:00:00 a. m.</v>
      </c>
      <c r="AX944" t="str">
        <f>""</f>
        <v/>
      </c>
      <c r="AY944" t="str">
        <f t="shared" si="1092"/>
        <v>30/04/2021 12:00:00 a. m.</v>
      </c>
      <c r="AZ944" t="str">
        <f>"4/12/2020 12:00:00 a. m."</f>
        <v>4/12/2020 12:00:00 a. m.</v>
      </c>
      <c r="BA944" t="str">
        <f>""</f>
        <v/>
      </c>
      <c r="BB944" t="str">
        <f>""</f>
        <v/>
      </c>
      <c r="BC944" t="str">
        <f>""</f>
        <v/>
      </c>
      <c r="BD944" t="str">
        <f t="shared" si="1149"/>
        <v>1</v>
      </c>
      <c r="BE944" t="str">
        <f t="shared" si="1149"/>
        <v>1</v>
      </c>
      <c r="BF944" t="str">
        <f t="shared" si="1093"/>
        <v xml:space="preserve">3         </v>
      </c>
      <c r="BG944" t="str">
        <f t="shared" si="1094"/>
        <v>Confirmado por laboratorio</v>
      </c>
      <c r="BH944" t="str">
        <f>"ONCOMEDICA S A"</f>
        <v>ONCOMEDICA S A</v>
      </c>
      <c r="BI944" t="str">
        <f t="shared" si="1130"/>
        <v>COLOMBIA</v>
      </c>
      <c r="BJ944" t="str">
        <f t="shared" si="1095"/>
        <v>CANCER INFANTIL</v>
      </c>
      <c r="BK944" t="str">
        <f>"CORDOBA"</f>
        <v>CORDOBA</v>
      </c>
      <c r="BL944" t="str">
        <f>"MONTERIA"</f>
        <v>MONTERIA</v>
      </c>
      <c r="BM944" t="str">
        <f t="shared" si="1109"/>
        <v>COLOMBIA</v>
      </c>
      <c r="BN944" t="str">
        <f>"CORDOBA"</f>
        <v>CORDOBA</v>
      </c>
      <c r="BO944" t="str">
        <f>"MONTERIA"</f>
        <v>MONTERIA</v>
      </c>
      <c r="BP944" t="str">
        <f>"CORDOBA"</f>
        <v>CORDOBA</v>
      </c>
      <c r="BQ944" t="str">
        <f>"MONTERIA"</f>
        <v>MONTERIA</v>
      </c>
    </row>
    <row r="945" spans="1:69" x14ac:dyDescent="0.25">
      <c r="A945" t="str">
        <f>"7291361"</f>
        <v>7291361</v>
      </c>
      <c r="B945" t="str">
        <f t="shared" si="1088"/>
        <v>459</v>
      </c>
      <c r="C945" t="str">
        <f>"20/11/2020 12:00:00 a. m."</f>
        <v>20/11/2020 12:00:00 a. m.</v>
      </c>
      <c r="D945" t="str">
        <f>"46"</f>
        <v>46</v>
      </c>
      <c r="E945" t="str">
        <f t="shared" si="1089"/>
        <v>2020</v>
      </c>
      <c r="F945" t="str">
        <f>"7300101047"</f>
        <v>7300101047</v>
      </c>
      <c r="G945" t="str">
        <f t="shared" si="1133"/>
        <v>01</v>
      </c>
      <c r="H945" t="str">
        <f>"1"</f>
        <v>1</v>
      </c>
      <c r="I945" t="str">
        <f t="shared" si="1122"/>
        <v>1</v>
      </c>
      <c r="J945" t="str">
        <f>"M"</f>
        <v>M</v>
      </c>
      <c r="K945" t="str">
        <f t="shared" si="1128"/>
        <v>170</v>
      </c>
      <c r="L945" t="str">
        <f>"73"</f>
        <v>73</v>
      </c>
      <c r="M945" t="str">
        <f>"001"</f>
        <v>001</v>
      </c>
      <c r="N945" t="str">
        <f t="shared" si="1140"/>
        <v>1</v>
      </c>
      <c r="O945" t="str">
        <f>"9999"</f>
        <v>9999</v>
      </c>
      <c r="P945" t="str">
        <f>"S"</f>
        <v>S</v>
      </c>
      <c r="Q945" t="str">
        <f>"ESS133"</f>
        <v>ESS133</v>
      </c>
      <c r="R945" t="str">
        <f t="shared" ref="R945:R954" si="1150">"6"</f>
        <v>6</v>
      </c>
      <c r="S945" t="str">
        <f>""</f>
        <v/>
      </c>
      <c r="T945" t="str">
        <f t="shared" ref="T945:T976" si="1151">"                                                                                                    "</f>
        <v xml:space="preserve">                                                                                                    </v>
      </c>
      <c r="U945" t="str">
        <f>"1         "</f>
        <v xml:space="preserve">1         </v>
      </c>
      <c r="V945" t="str">
        <f t="shared" si="1075"/>
        <v>2</v>
      </c>
      <c r="W945" t="str">
        <f t="shared" ref="W945:W976" si="1152">"2"</f>
        <v>2</v>
      </c>
      <c r="X945" t="str">
        <f t="shared" si="1125"/>
        <v>2</v>
      </c>
      <c r="Y945" t="str">
        <f t="shared" si="1146"/>
        <v>2</v>
      </c>
      <c r="Z945" t="str">
        <f t="shared" si="1146"/>
        <v>2</v>
      </c>
      <c r="AA945" t="str">
        <f t="shared" si="1091"/>
        <v xml:space="preserve">          </v>
      </c>
      <c r="AB945" t="str">
        <f t="shared" si="1085"/>
        <v>2</v>
      </c>
      <c r="AC945" t="str">
        <f t="shared" si="1086"/>
        <v>2</v>
      </c>
      <c r="AD945" t="str">
        <f t="shared" si="1147"/>
        <v>2</v>
      </c>
      <c r="AE945" t="str">
        <f t="shared" si="1147"/>
        <v>2</v>
      </c>
      <c r="AF945" t="str">
        <f t="shared" si="1147"/>
        <v>2</v>
      </c>
      <c r="AG945" t="str">
        <f t="shared" si="1147"/>
        <v>2</v>
      </c>
      <c r="AH945" t="str">
        <f t="shared" ref="AH945:AH976" si="1153">"1"</f>
        <v>1</v>
      </c>
      <c r="AI945" t="str">
        <f>"1         "</f>
        <v xml:space="preserve">1         </v>
      </c>
      <c r="AJ945" t="str">
        <f t="shared" si="1107"/>
        <v>170</v>
      </c>
      <c r="AK945" t="str">
        <f>"73"</f>
        <v>73</v>
      </c>
      <c r="AL945" t="str">
        <f>"001"</f>
        <v>001</v>
      </c>
      <c r="AM945" t="str">
        <f>"73"</f>
        <v>73</v>
      </c>
      <c r="AN945" t="str">
        <f>"73001"</f>
        <v>73001</v>
      </c>
      <c r="AO945" t="str">
        <f>"11/11/2020 12:00:00 a. m."</f>
        <v>11/11/2020 12:00:00 a. m.</v>
      </c>
      <c r="AP945" t="str">
        <f>"9/09/2020 12:00:00 a. m."</f>
        <v>9/09/2020 12:00:00 a. m.</v>
      </c>
      <c r="AQ945" t="str">
        <f>"3"</f>
        <v>3</v>
      </c>
      <c r="AR945" t="str">
        <f t="shared" si="1148"/>
        <v>1</v>
      </c>
      <c r="AS945" t="str">
        <f>"11/11/2020 12:00:00 a. m."</f>
        <v>11/11/2020 12:00:00 a. m.</v>
      </c>
      <c r="AT945" t="str">
        <f t="shared" si="1142"/>
        <v>1</v>
      </c>
      <c r="AU945" t="str">
        <f>""</f>
        <v/>
      </c>
      <c r="AV945" t="str">
        <f>"0"</f>
        <v>0</v>
      </c>
      <c r="AW945" t="str">
        <f>"20/11/2019 12:00:00 a. m."</f>
        <v>20/11/2019 12:00:00 a. m.</v>
      </c>
      <c r="AX945" t="str">
        <f>""</f>
        <v/>
      </c>
      <c r="AY945" t="str">
        <f t="shared" si="1092"/>
        <v>30/04/2021 12:00:00 a. m.</v>
      </c>
      <c r="AZ945" t="str">
        <f>"22/11/2020 12:00:00 a. m."</f>
        <v>22/11/2020 12:00:00 a. m.</v>
      </c>
      <c r="BA945" t="str">
        <f>""</f>
        <v/>
      </c>
      <c r="BB945" t="str">
        <f>""</f>
        <v/>
      </c>
      <c r="BC945" t="str">
        <f>""</f>
        <v/>
      </c>
      <c r="BD945" t="str">
        <f t="shared" si="1149"/>
        <v>1</v>
      </c>
      <c r="BE945" t="str">
        <f t="shared" si="1149"/>
        <v>1</v>
      </c>
      <c r="BF945" t="str">
        <f t="shared" si="1093"/>
        <v xml:space="preserve">3         </v>
      </c>
      <c r="BG945" t="str">
        <f t="shared" si="1094"/>
        <v>Confirmado por laboratorio</v>
      </c>
      <c r="BH945" t="str">
        <f>"HOSPITAL FEDERICO LLERAS ACOSTA ESE SEDE LA FRANC"</f>
        <v>HOSPITAL FEDERICO LLERAS ACOSTA ESE SEDE LA FRANC</v>
      </c>
      <c r="BI945" t="str">
        <f t="shared" si="1130"/>
        <v>COLOMBIA</v>
      </c>
      <c r="BJ945" t="str">
        <f t="shared" si="1095"/>
        <v>CANCER INFANTIL</v>
      </c>
      <c r="BK945" t="str">
        <f>"TOLIMA"</f>
        <v>TOLIMA</v>
      </c>
      <c r="BL945" t="str">
        <f>"IBAGUE"</f>
        <v>IBAGUE</v>
      </c>
      <c r="BM945" t="str">
        <f t="shared" si="1109"/>
        <v>COLOMBIA</v>
      </c>
      <c r="BN945" t="str">
        <f>"TOLIMA"</f>
        <v>TOLIMA</v>
      </c>
      <c r="BO945" t="str">
        <f>"IBAGUE"</f>
        <v>IBAGUE</v>
      </c>
      <c r="BP945" t="str">
        <f>"TOLIMA"</f>
        <v>TOLIMA</v>
      </c>
      <c r="BQ945" t="str">
        <f>"IBAGUE"</f>
        <v>IBAGUE</v>
      </c>
    </row>
    <row r="946" spans="1:69" x14ac:dyDescent="0.25">
      <c r="A946" t="str">
        <f>"7291479"</f>
        <v>7291479</v>
      </c>
      <c r="B946" t="str">
        <f t="shared" si="1088"/>
        <v>459</v>
      </c>
      <c r="C946" t="str">
        <f>"6/04/2020 12:00:00 a. m."</f>
        <v>6/04/2020 12:00:00 a. m.</v>
      </c>
      <c r="D946" t="str">
        <f>"14"</f>
        <v>14</v>
      </c>
      <c r="E946" t="str">
        <f t="shared" si="1089"/>
        <v>2020</v>
      </c>
      <c r="F946" t="str">
        <f>"7600103799"</f>
        <v>7600103799</v>
      </c>
      <c r="G946" t="str">
        <f t="shared" si="1133"/>
        <v>01</v>
      </c>
      <c r="H946" t="str">
        <f>"9"</f>
        <v>9</v>
      </c>
      <c r="I946" t="str">
        <f t="shared" si="1122"/>
        <v>1</v>
      </c>
      <c r="J946" t="str">
        <f>"M"</f>
        <v>M</v>
      </c>
      <c r="K946" t="str">
        <f t="shared" si="1128"/>
        <v>170</v>
      </c>
      <c r="L946" t="str">
        <f>"76"</f>
        <v>76</v>
      </c>
      <c r="M946" t="str">
        <f>"001"</f>
        <v>001</v>
      </c>
      <c r="N946" t="str">
        <f t="shared" si="1140"/>
        <v>1</v>
      </c>
      <c r="O946" t="str">
        <f>"9999"</f>
        <v>9999</v>
      </c>
      <c r="P946" t="str">
        <f>"P"</f>
        <v>P</v>
      </c>
      <c r="Q946" t="str">
        <f>"RES007"</f>
        <v>RES007</v>
      </c>
      <c r="R946" t="str">
        <f t="shared" si="1150"/>
        <v>6</v>
      </c>
      <c r="S946" t="str">
        <f>""</f>
        <v/>
      </c>
      <c r="T946" t="str">
        <f t="shared" si="1151"/>
        <v xml:space="preserve">                                                                                                    </v>
      </c>
      <c r="U946" t="str">
        <f>"3         "</f>
        <v xml:space="preserve">3         </v>
      </c>
      <c r="V946" t="str">
        <f t="shared" si="1075"/>
        <v>2</v>
      </c>
      <c r="W946" t="str">
        <f t="shared" si="1152"/>
        <v>2</v>
      </c>
      <c r="X946" t="str">
        <f t="shared" si="1125"/>
        <v>2</v>
      </c>
      <c r="Y946" t="str">
        <f t="shared" si="1146"/>
        <v>2</v>
      </c>
      <c r="Z946" t="str">
        <f t="shared" si="1146"/>
        <v>2</v>
      </c>
      <c r="AA946" t="str">
        <f t="shared" si="1091"/>
        <v xml:space="preserve">          </v>
      </c>
      <c r="AB946" t="str">
        <f t="shared" si="1085"/>
        <v>2</v>
      </c>
      <c r="AC946" t="str">
        <f t="shared" si="1086"/>
        <v>2</v>
      </c>
      <c r="AD946" t="str">
        <f t="shared" si="1147"/>
        <v>2</v>
      </c>
      <c r="AE946" t="str">
        <f t="shared" si="1147"/>
        <v>2</v>
      </c>
      <c r="AF946" t="str">
        <f t="shared" si="1147"/>
        <v>2</v>
      </c>
      <c r="AG946" t="str">
        <f t="shared" si="1147"/>
        <v>2</v>
      </c>
      <c r="AH946" t="str">
        <f t="shared" si="1153"/>
        <v>1</v>
      </c>
      <c r="AI946" t="str">
        <f>"1         "</f>
        <v xml:space="preserve">1         </v>
      </c>
      <c r="AJ946" t="str">
        <f t="shared" si="1107"/>
        <v>170</v>
      </c>
      <c r="AK946" t="str">
        <f>"76"</f>
        <v>76</v>
      </c>
      <c r="AL946" t="str">
        <f>"001"</f>
        <v>001</v>
      </c>
      <c r="AM946" t="str">
        <f>"76"</f>
        <v>76</v>
      </c>
      <c r="AN946" t="str">
        <f>"76001"</f>
        <v>76001</v>
      </c>
      <c r="AO946" t="str">
        <f>"2/04/2020 12:00:00 a. m."</f>
        <v>2/04/2020 12:00:00 a. m.</v>
      </c>
      <c r="AP946" t="str">
        <f>"1/08/2019 12:00:00 a. m."</f>
        <v>1/08/2019 12:00:00 a. m.</v>
      </c>
      <c r="AQ946" t="str">
        <f>"2"</f>
        <v>2</v>
      </c>
      <c r="AR946" t="str">
        <f t="shared" si="1148"/>
        <v>1</v>
      </c>
      <c r="AS946" t="str">
        <f>"2/04/2020 12:00:00 a. m."</f>
        <v>2/04/2020 12:00:00 a. m.</v>
      </c>
      <c r="AT946" t="str">
        <f t="shared" si="1142"/>
        <v>1</v>
      </c>
      <c r="AU946" t="str">
        <f>""</f>
        <v/>
      </c>
      <c r="AV946" t="str">
        <f>"3"</f>
        <v>3</v>
      </c>
      <c r="AW946" t="str">
        <f>"23/03/2011 12:00:00 a. m."</f>
        <v>23/03/2011 12:00:00 a. m.</v>
      </c>
      <c r="AX946" t="str">
        <f>""</f>
        <v/>
      </c>
      <c r="AY946" t="str">
        <f t="shared" si="1092"/>
        <v>30/04/2021 12:00:00 a. m.</v>
      </c>
      <c r="AZ946" t="str">
        <f>"11/05/2020 12:00:00 a. m."</f>
        <v>11/05/2020 12:00:00 a. m.</v>
      </c>
      <c r="BA946" t="str">
        <f>""</f>
        <v/>
      </c>
      <c r="BB946" t="str">
        <f>""</f>
        <v/>
      </c>
      <c r="BC946" t="str">
        <f>""</f>
        <v/>
      </c>
      <c r="BD946" t="str">
        <f t="shared" si="1149"/>
        <v>1</v>
      </c>
      <c r="BE946" t="str">
        <f t="shared" si="1149"/>
        <v>1</v>
      </c>
      <c r="BF946" t="str">
        <f t="shared" si="1093"/>
        <v xml:space="preserve">3         </v>
      </c>
      <c r="BG946" t="str">
        <f t="shared" si="1094"/>
        <v>Confirmado por laboratorio</v>
      </c>
      <c r="BH946" t="str">
        <f>"HOSPITAL UNIVERSITARIO DEL VALLE EVARISTO GARCIA"</f>
        <v>HOSPITAL UNIVERSITARIO DEL VALLE EVARISTO GARCIA</v>
      </c>
      <c r="BI946" t="str">
        <f t="shared" si="1130"/>
        <v>COLOMBIA</v>
      </c>
      <c r="BJ946" t="str">
        <f t="shared" si="1095"/>
        <v>CANCER INFANTIL</v>
      </c>
      <c r="BK946" t="str">
        <f>"VALLE"</f>
        <v>VALLE</v>
      </c>
      <c r="BL946" t="str">
        <f>"CALI"</f>
        <v>CALI</v>
      </c>
      <c r="BM946" t="str">
        <f t="shared" si="1109"/>
        <v>COLOMBIA</v>
      </c>
      <c r="BN946" t="str">
        <f>"VALLE"</f>
        <v>VALLE</v>
      </c>
      <c r="BO946" t="str">
        <f>"CALI"</f>
        <v>CALI</v>
      </c>
      <c r="BP946" t="str">
        <f>"VALLE"</f>
        <v>VALLE</v>
      </c>
      <c r="BQ946" t="str">
        <f>"CALI"</f>
        <v>CALI</v>
      </c>
    </row>
    <row r="947" spans="1:69" x14ac:dyDescent="0.25">
      <c r="A947" t="str">
        <f>"7291404"</f>
        <v>7291404</v>
      </c>
      <c r="B947" t="str">
        <f t="shared" si="1088"/>
        <v>459</v>
      </c>
      <c r="C947" t="str">
        <f>"13/03/2020 12:00:00 a. m."</f>
        <v>13/03/2020 12:00:00 a. m.</v>
      </c>
      <c r="D947" t="str">
        <f>"11"</f>
        <v>11</v>
      </c>
      <c r="E947" t="str">
        <f t="shared" si="1089"/>
        <v>2020</v>
      </c>
      <c r="F947" t="str">
        <f>"7600103799"</f>
        <v>7600103799</v>
      </c>
      <c r="G947" t="str">
        <f t="shared" si="1133"/>
        <v>01</v>
      </c>
      <c r="H947" t="str">
        <f>"9"</f>
        <v>9</v>
      </c>
      <c r="I947" t="str">
        <f t="shared" si="1122"/>
        <v>1</v>
      </c>
      <c r="J947" t="str">
        <f>"M"</f>
        <v>M</v>
      </c>
      <c r="K947" t="str">
        <f t="shared" si="1128"/>
        <v>170</v>
      </c>
      <c r="L947" t="str">
        <f>"76"</f>
        <v>76</v>
      </c>
      <c r="M947" t="str">
        <f>"001"</f>
        <v>001</v>
      </c>
      <c r="N947" t="str">
        <f t="shared" si="1140"/>
        <v>1</v>
      </c>
      <c r="O947" t="str">
        <f>"9999"</f>
        <v>9999</v>
      </c>
      <c r="P947" t="str">
        <f>"S"</f>
        <v>S</v>
      </c>
      <c r="Q947" t="str">
        <f>"ESS118"</f>
        <v>ESS118</v>
      </c>
      <c r="R947" t="str">
        <f t="shared" si="1150"/>
        <v>6</v>
      </c>
      <c r="S947" t="str">
        <f>""</f>
        <v/>
      </c>
      <c r="T947" t="str">
        <f t="shared" si="1151"/>
        <v xml:space="preserve">                                                                                                    </v>
      </c>
      <c r="U947" t="str">
        <f>"          "</f>
        <v xml:space="preserve">          </v>
      </c>
      <c r="V947" t="str">
        <f t="shared" ref="V947:V1010" si="1154">"2"</f>
        <v>2</v>
      </c>
      <c r="W947" t="str">
        <f t="shared" si="1152"/>
        <v>2</v>
      </c>
      <c r="X947" t="str">
        <f t="shared" si="1125"/>
        <v>2</v>
      </c>
      <c r="Y947" t="str">
        <f t="shared" si="1146"/>
        <v>2</v>
      </c>
      <c r="Z947" t="str">
        <f t="shared" si="1146"/>
        <v>2</v>
      </c>
      <c r="AA947" t="str">
        <f t="shared" si="1091"/>
        <v xml:space="preserve">          </v>
      </c>
      <c r="AB947" t="str">
        <f t="shared" si="1085"/>
        <v>2</v>
      </c>
      <c r="AC947" t="str">
        <f t="shared" si="1086"/>
        <v>2</v>
      </c>
      <c r="AD947" t="str">
        <f t="shared" si="1147"/>
        <v>2</v>
      </c>
      <c r="AE947" t="str">
        <f t="shared" si="1147"/>
        <v>2</v>
      </c>
      <c r="AF947" t="str">
        <f t="shared" si="1147"/>
        <v>2</v>
      </c>
      <c r="AG947" t="str">
        <f t="shared" si="1147"/>
        <v>2</v>
      </c>
      <c r="AH947" t="str">
        <f t="shared" si="1153"/>
        <v>1</v>
      </c>
      <c r="AI947" t="str">
        <f>"1         "</f>
        <v xml:space="preserve">1         </v>
      </c>
      <c r="AJ947" t="str">
        <f t="shared" si="1107"/>
        <v>170</v>
      </c>
      <c r="AK947" t="str">
        <f>"76"</f>
        <v>76</v>
      </c>
      <c r="AL947" t="str">
        <f>"001"</f>
        <v>001</v>
      </c>
      <c r="AM947" t="str">
        <f>"76"</f>
        <v>76</v>
      </c>
      <c r="AN947" t="str">
        <f>"76001"</f>
        <v>76001</v>
      </c>
      <c r="AO947" t="str">
        <f>"11/03/2020 12:00:00 a. m."</f>
        <v>11/03/2020 12:00:00 a. m.</v>
      </c>
      <c r="AP947" t="str">
        <f>"16/11/2019 12:00:00 a. m."</f>
        <v>16/11/2019 12:00:00 a. m.</v>
      </c>
      <c r="AQ947" t="str">
        <f>"2"</f>
        <v>2</v>
      </c>
      <c r="AR947" t="str">
        <f>"2"</f>
        <v>2</v>
      </c>
      <c r="AS947" t="str">
        <f>""</f>
        <v/>
      </c>
      <c r="AT947" t="str">
        <f t="shared" si="1142"/>
        <v>1</v>
      </c>
      <c r="AU947" t="str">
        <f>""</f>
        <v/>
      </c>
      <c r="AV947" t="str">
        <f>"3"</f>
        <v>3</v>
      </c>
      <c r="AW947" t="str">
        <f>"6/09/2010 12:00:00 a. m."</f>
        <v>6/09/2010 12:00:00 a. m.</v>
      </c>
      <c r="AX947" t="str">
        <f>""</f>
        <v/>
      </c>
      <c r="AY947" t="str">
        <f t="shared" si="1092"/>
        <v>30/04/2021 12:00:00 a. m.</v>
      </c>
      <c r="AZ947" t="str">
        <f>"29/07/2020 12:00:00 a. m."</f>
        <v>29/07/2020 12:00:00 a. m.</v>
      </c>
      <c r="BA947" t="str">
        <f>""</f>
        <v/>
      </c>
      <c r="BB947" t="str">
        <f>""</f>
        <v/>
      </c>
      <c r="BC947" t="str">
        <f>""</f>
        <v/>
      </c>
      <c r="BD947" t="str">
        <f t="shared" si="1149"/>
        <v>1</v>
      </c>
      <c r="BE947" t="str">
        <f t="shared" si="1149"/>
        <v>1</v>
      </c>
      <c r="BF947" t="str">
        <f t="shared" si="1093"/>
        <v xml:space="preserve">3         </v>
      </c>
      <c r="BG947" t="str">
        <f t="shared" si="1094"/>
        <v>Confirmado por laboratorio</v>
      </c>
      <c r="BH947" t="str">
        <f>"HOSPITAL UNIVERSITARIO DEL VALLE EVARISTO GARCIA"</f>
        <v>HOSPITAL UNIVERSITARIO DEL VALLE EVARISTO GARCIA</v>
      </c>
      <c r="BI947" t="str">
        <f t="shared" si="1130"/>
        <v>COLOMBIA</v>
      </c>
      <c r="BJ947" t="str">
        <f t="shared" si="1095"/>
        <v>CANCER INFANTIL</v>
      </c>
      <c r="BK947" t="str">
        <f>"VALLE"</f>
        <v>VALLE</v>
      </c>
      <c r="BL947" t="str">
        <f>"CALI"</f>
        <v>CALI</v>
      </c>
      <c r="BM947" t="str">
        <f t="shared" si="1109"/>
        <v>COLOMBIA</v>
      </c>
      <c r="BN947" t="str">
        <f>"VALLE"</f>
        <v>VALLE</v>
      </c>
      <c r="BO947" t="str">
        <f>"CALI"</f>
        <v>CALI</v>
      </c>
      <c r="BP947" t="str">
        <f>"VALLE"</f>
        <v>VALLE</v>
      </c>
      <c r="BQ947" t="str">
        <f>"CALI"</f>
        <v>CALI</v>
      </c>
    </row>
    <row r="948" spans="1:69" x14ac:dyDescent="0.25">
      <c r="A948" t="str">
        <f>"7279148"</f>
        <v>7279148</v>
      </c>
      <c r="B948" t="str">
        <f t="shared" si="1088"/>
        <v>459</v>
      </c>
      <c r="C948" t="str">
        <f>"8/07/2020 12:00:00 a. m."</f>
        <v>8/07/2020 12:00:00 a. m.</v>
      </c>
      <c r="D948" t="str">
        <f>"28"</f>
        <v>28</v>
      </c>
      <c r="E948" t="str">
        <f t="shared" si="1089"/>
        <v>2020</v>
      </c>
      <c r="F948" t="str">
        <f>"0800103250"</f>
        <v>0800103250</v>
      </c>
      <c r="G948" t="str">
        <f t="shared" si="1133"/>
        <v>01</v>
      </c>
      <c r="H948" t="str">
        <f>"11"</f>
        <v>11</v>
      </c>
      <c r="I948" t="str">
        <f>"2"</f>
        <v>2</v>
      </c>
      <c r="J948" t="str">
        <f>"F"</f>
        <v>F</v>
      </c>
      <c r="K948" t="str">
        <f t="shared" si="1128"/>
        <v>170</v>
      </c>
      <c r="L948" t="str">
        <f>"08"</f>
        <v>08</v>
      </c>
      <c r="M948" t="str">
        <f>"758"</f>
        <v>758</v>
      </c>
      <c r="N948" t="str">
        <f t="shared" si="1140"/>
        <v>1</v>
      </c>
      <c r="O948" t="str">
        <f>"9999"</f>
        <v>9999</v>
      </c>
      <c r="P948" t="str">
        <f>"S"</f>
        <v>S</v>
      </c>
      <c r="Q948" t="str">
        <f>"ESS207"</f>
        <v>ESS207</v>
      </c>
      <c r="R948" t="str">
        <f t="shared" si="1150"/>
        <v>6</v>
      </c>
      <c r="S948" t="str">
        <f>""</f>
        <v/>
      </c>
      <c r="T948" t="str">
        <f t="shared" si="1151"/>
        <v xml:space="preserve">                                                                                                    </v>
      </c>
      <c r="U948" t="str">
        <f>"1         "</f>
        <v xml:space="preserve">1         </v>
      </c>
      <c r="V948" t="str">
        <f t="shared" si="1154"/>
        <v>2</v>
      </c>
      <c r="W948" t="str">
        <f t="shared" si="1152"/>
        <v>2</v>
      </c>
      <c r="X948" t="str">
        <f t="shared" si="1125"/>
        <v>2</v>
      </c>
      <c r="Y948" t="str">
        <f t="shared" si="1146"/>
        <v>2</v>
      </c>
      <c r="Z948" t="str">
        <f t="shared" si="1146"/>
        <v>2</v>
      </c>
      <c r="AA948" t="str">
        <f t="shared" si="1091"/>
        <v xml:space="preserve">          </v>
      </c>
      <c r="AB948" t="str">
        <f t="shared" si="1085"/>
        <v>2</v>
      </c>
      <c r="AC948" t="str">
        <f t="shared" si="1086"/>
        <v>2</v>
      </c>
      <c r="AD948" t="str">
        <f t="shared" si="1147"/>
        <v>2</v>
      </c>
      <c r="AE948" t="str">
        <f t="shared" si="1147"/>
        <v>2</v>
      </c>
      <c r="AF948" t="str">
        <f t="shared" si="1147"/>
        <v>2</v>
      </c>
      <c r="AG948" t="str">
        <f t="shared" si="1147"/>
        <v>2</v>
      </c>
      <c r="AH948" t="str">
        <f t="shared" si="1153"/>
        <v>1</v>
      </c>
      <c r="AI948" t="str">
        <f>"2         "</f>
        <v xml:space="preserve">2         </v>
      </c>
      <c r="AJ948" t="str">
        <f t="shared" si="1107"/>
        <v>170</v>
      </c>
      <c r="AK948" t="str">
        <f>"08"</f>
        <v>08</v>
      </c>
      <c r="AL948" t="str">
        <f>"758"</f>
        <v>758</v>
      </c>
      <c r="AM948" t="str">
        <f>"08"</f>
        <v>08</v>
      </c>
      <c r="AN948" t="str">
        <f>"08001"</f>
        <v>08001</v>
      </c>
      <c r="AO948" t="str">
        <f>"7/07/2020 12:00:00 a. m."</f>
        <v>7/07/2020 12:00:00 a. m.</v>
      </c>
      <c r="AP948" t="str">
        <f>"21/06/2020 12:00:00 a. m."</f>
        <v>21/06/2020 12:00:00 a. m.</v>
      </c>
      <c r="AQ948" t="str">
        <f>"2"</f>
        <v>2</v>
      </c>
      <c r="AR948" t="str">
        <f t="shared" ref="AR948:AR955" si="1155">"1"</f>
        <v>1</v>
      </c>
      <c r="AS948" t="str">
        <f>"7/07/2020 12:00:00 a. m."</f>
        <v>7/07/2020 12:00:00 a. m.</v>
      </c>
      <c r="AT948" t="str">
        <f>"2"</f>
        <v>2</v>
      </c>
      <c r="AU948" t="str">
        <f>"12/07/2020 12:00:00 a. m."</f>
        <v>12/07/2020 12:00:00 a. m.</v>
      </c>
      <c r="AV948" t="str">
        <f>"3"</f>
        <v>3</v>
      </c>
      <c r="AW948" t="str">
        <f>"6/08/2019 12:00:00 a. m."</f>
        <v>6/08/2019 12:00:00 a. m.</v>
      </c>
      <c r="AX948" t="str">
        <f>"I469"</f>
        <v>I469</v>
      </c>
      <c r="AY948" t="str">
        <f t="shared" si="1092"/>
        <v>30/04/2021 12:00:00 a. m.</v>
      </c>
      <c r="AZ948" t="str">
        <f>"29/03/2021 12:00:00 a. m."</f>
        <v>29/03/2021 12:00:00 a. m.</v>
      </c>
      <c r="BA948" t="str">
        <f>""</f>
        <v/>
      </c>
      <c r="BB948" t="str">
        <f>""</f>
        <v/>
      </c>
      <c r="BC948" t="str">
        <f>""</f>
        <v/>
      </c>
      <c r="BD948" t="str">
        <f t="shared" si="1149"/>
        <v>1</v>
      </c>
      <c r="BE948" t="str">
        <f t="shared" si="1149"/>
        <v>1</v>
      </c>
      <c r="BF948" t="str">
        <f t="shared" si="1093"/>
        <v xml:space="preserve">3         </v>
      </c>
      <c r="BG948" t="str">
        <f t="shared" si="1094"/>
        <v>Confirmado por laboratorio</v>
      </c>
      <c r="BH948" t="str">
        <f>"CLINICA SAN MARTIN BARRANQUILLA"</f>
        <v>CLINICA SAN MARTIN BARRANQUILLA</v>
      </c>
      <c r="BI948" t="str">
        <f t="shared" si="1130"/>
        <v>COLOMBIA</v>
      </c>
      <c r="BJ948" t="str">
        <f t="shared" si="1095"/>
        <v>CANCER INFANTIL</v>
      </c>
      <c r="BK948" t="str">
        <f>"ATLANTICO"</f>
        <v>ATLANTICO</v>
      </c>
      <c r="BL948" t="str">
        <f>"SOLEDAD"</f>
        <v>SOLEDAD</v>
      </c>
      <c r="BM948" t="str">
        <f t="shared" si="1109"/>
        <v>COLOMBIA</v>
      </c>
      <c r="BN948" t="str">
        <f>"ATLANTICO"</f>
        <v>ATLANTICO</v>
      </c>
      <c r="BO948" t="str">
        <f>"SOLEDAD"</f>
        <v>SOLEDAD</v>
      </c>
      <c r="BP948" t="str">
        <f>"ATLANTICO"</f>
        <v>ATLANTICO</v>
      </c>
      <c r="BQ948" t="str">
        <f>"BARRANQUILLA"</f>
        <v>BARRANQUILLA</v>
      </c>
    </row>
    <row r="949" spans="1:69" x14ac:dyDescent="0.25">
      <c r="A949" t="str">
        <f>"7279056"</f>
        <v>7279056</v>
      </c>
      <c r="B949" t="str">
        <f t="shared" si="1088"/>
        <v>459</v>
      </c>
      <c r="C949" t="str">
        <f>"28/01/2021 12:00:00 a. m."</f>
        <v>28/01/2021 12:00:00 a. m.</v>
      </c>
      <c r="D949" t="str">
        <f>"50"</f>
        <v>50</v>
      </c>
      <c r="E949" t="str">
        <f t="shared" si="1089"/>
        <v>2020</v>
      </c>
      <c r="F949" t="str">
        <f>"0800100544"</f>
        <v>0800100544</v>
      </c>
      <c r="G949" t="str">
        <f t="shared" si="1133"/>
        <v>01</v>
      </c>
      <c r="H949" t="str">
        <f>"17"</f>
        <v>17</v>
      </c>
      <c r="I949" t="str">
        <f t="shared" ref="I949:I959" si="1156">"1"</f>
        <v>1</v>
      </c>
      <c r="J949" t="str">
        <f>"M"</f>
        <v>M</v>
      </c>
      <c r="K949" t="str">
        <f t="shared" si="1128"/>
        <v>170</v>
      </c>
      <c r="L949" t="str">
        <f>"47"</f>
        <v>47</v>
      </c>
      <c r="M949" t="str">
        <f>"001"</f>
        <v>001</v>
      </c>
      <c r="N949" t="str">
        <f t="shared" si="1140"/>
        <v>1</v>
      </c>
      <c r="O949" t="str">
        <f>"9997"</f>
        <v>9997</v>
      </c>
      <c r="P949" t="str">
        <f>"S"</f>
        <v>S</v>
      </c>
      <c r="Q949" t="str">
        <f>"ESS024"</f>
        <v>ESS024</v>
      </c>
      <c r="R949" t="str">
        <f t="shared" si="1150"/>
        <v>6</v>
      </c>
      <c r="S949" t="str">
        <f>""</f>
        <v/>
      </c>
      <c r="T949" t="str">
        <f t="shared" si="1151"/>
        <v xml:space="preserve">                                                                                                    </v>
      </c>
      <c r="U949" t="str">
        <f>"2         "</f>
        <v xml:space="preserve">2         </v>
      </c>
      <c r="V949" t="str">
        <f t="shared" si="1154"/>
        <v>2</v>
      </c>
      <c r="W949" t="str">
        <f t="shared" si="1152"/>
        <v>2</v>
      </c>
      <c r="X949" t="str">
        <f t="shared" si="1125"/>
        <v>2</v>
      </c>
      <c r="Y949" t="str">
        <f t="shared" si="1146"/>
        <v>2</v>
      </c>
      <c r="Z949" t="str">
        <f t="shared" si="1146"/>
        <v>2</v>
      </c>
      <c r="AA949" t="str">
        <f t="shared" si="1091"/>
        <v xml:space="preserve">          </v>
      </c>
      <c r="AB949" t="str">
        <f t="shared" si="1085"/>
        <v>2</v>
      </c>
      <c r="AC949" t="str">
        <f t="shared" si="1086"/>
        <v>2</v>
      </c>
      <c r="AD949" t="str">
        <f t="shared" si="1147"/>
        <v>2</v>
      </c>
      <c r="AE949" t="str">
        <f t="shared" si="1147"/>
        <v>2</v>
      </c>
      <c r="AF949" t="str">
        <f t="shared" si="1147"/>
        <v>2</v>
      </c>
      <c r="AG949" t="str">
        <f t="shared" si="1147"/>
        <v>2</v>
      </c>
      <c r="AH949" t="str">
        <f t="shared" si="1153"/>
        <v>1</v>
      </c>
      <c r="AI949" t="str">
        <f>"1         "</f>
        <v xml:space="preserve">1         </v>
      </c>
      <c r="AJ949" t="str">
        <f t="shared" si="1107"/>
        <v>170</v>
      </c>
      <c r="AK949" t="str">
        <f>"47"</f>
        <v>47</v>
      </c>
      <c r="AL949" t="str">
        <f>"001"</f>
        <v>001</v>
      </c>
      <c r="AM949" t="str">
        <f>"08"</f>
        <v>08</v>
      </c>
      <c r="AN949" t="str">
        <f>"08001"</f>
        <v>08001</v>
      </c>
      <c r="AO949" t="str">
        <f>"9/12/2020 12:00:00 a. m."</f>
        <v>9/12/2020 12:00:00 a. m.</v>
      </c>
      <c r="AP949" t="str">
        <f>"1/12/2020 12:00:00 a. m."</f>
        <v>1/12/2020 12:00:00 a. m.</v>
      </c>
      <c r="AQ949" t="str">
        <f>"3"</f>
        <v>3</v>
      </c>
      <c r="AR949" t="str">
        <f t="shared" si="1155"/>
        <v>1</v>
      </c>
      <c r="AS949" t="str">
        <f>"9/12/2020 12:00:00 a. m."</f>
        <v>9/12/2020 12:00:00 a. m.</v>
      </c>
      <c r="AT949" t="str">
        <f t="shared" ref="AT949:AT974" si="1157">"1"</f>
        <v>1</v>
      </c>
      <c r="AU949" t="str">
        <f>""</f>
        <v/>
      </c>
      <c r="AV949" t="str">
        <f>"0"</f>
        <v>0</v>
      </c>
      <c r="AW949" t="str">
        <f>"27/01/2004 12:00:00 a. m."</f>
        <v>27/01/2004 12:00:00 a. m.</v>
      </c>
      <c r="AX949" t="str">
        <f>""</f>
        <v/>
      </c>
      <c r="AY949" t="str">
        <f t="shared" si="1092"/>
        <v>30/04/2021 12:00:00 a. m.</v>
      </c>
      <c r="AZ949" t="str">
        <f>"28/01/2021 12:00:00 a. m."</f>
        <v>28/01/2021 12:00:00 a. m.</v>
      </c>
      <c r="BA949" t="str">
        <f>""</f>
        <v/>
      </c>
      <c r="BB949" t="str">
        <f>""</f>
        <v/>
      </c>
      <c r="BC949" t="str">
        <f>""</f>
        <v/>
      </c>
      <c r="BD949" t="str">
        <f t="shared" si="1149"/>
        <v>1</v>
      </c>
      <c r="BE949" t="str">
        <f t="shared" si="1149"/>
        <v>1</v>
      </c>
      <c r="BF949" t="str">
        <f t="shared" si="1093"/>
        <v xml:space="preserve">3         </v>
      </c>
      <c r="BG949" t="str">
        <f t="shared" si="1094"/>
        <v>Confirmado por laboratorio</v>
      </c>
      <c r="BH949" t="str">
        <f>"ORGANIZACION CLINICA BONNADONA PREVENIR SA"</f>
        <v>ORGANIZACION CLINICA BONNADONA PREVENIR SA</v>
      </c>
      <c r="BI949" t="str">
        <f t="shared" si="1130"/>
        <v>COLOMBIA</v>
      </c>
      <c r="BJ949" t="str">
        <f t="shared" si="1095"/>
        <v>CANCER INFANTIL</v>
      </c>
      <c r="BK949" t="str">
        <f>"MAGDALENA"</f>
        <v>MAGDALENA</v>
      </c>
      <c r="BL949" t="str">
        <f>"SANTA MARTA"</f>
        <v>SANTA MARTA</v>
      </c>
      <c r="BM949" t="str">
        <f t="shared" si="1109"/>
        <v>COLOMBIA</v>
      </c>
      <c r="BN949" t="str">
        <f>"MAGDALENA"</f>
        <v>MAGDALENA</v>
      </c>
      <c r="BO949" t="str">
        <f>"SANTA MARTA"</f>
        <v>SANTA MARTA</v>
      </c>
      <c r="BP949" t="str">
        <f>"ATLANTICO"</f>
        <v>ATLANTICO</v>
      </c>
      <c r="BQ949" t="str">
        <f>"BARRANQUILLA"</f>
        <v>BARRANQUILLA</v>
      </c>
    </row>
    <row r="950" spans="1:69" x14ac:dyDescent="0.25">
      <c r="A950" t="str">
        <f>"7279135"</f>
        <v>7279135</v>
      </c>
      <c r="B950" t="str">
        <f t="shared" si="1088"/>
        <v>459</v>
      </c>
      <c r="C950" t="str">
        <f>"24/02/2020 12:00:00 a. m."</f>
        <v>24/02/2020 12:00:00 a. m.</v>
      </c>
      <c r="D950" t="str">
        <f>"05"</f>
        <v>05</v>
      </c>
      <c r="E950" t="str">
        <f t="shared" si="1089"/>
        <v>2020</v>
      </c>
      <c r="F950" t="str">
        <f>"2300100949"</f>
        <v>2300100949</v>
      </c>
      <c r="G950" t="str">
        <f t="shared" si="1133"/>
        <v>01</v>
      </c>
      <c r="H950" t="str">
        <f>"15"</f>
        <v>15</v>
      </c>
      <c r="I950" t="str">
        <f t="shared" si="1156"/>
        <v>1</v>
      </c>
      <c r="J950" t="str">
        <f>"M"</f>
        <v>M</v>
      </c>
      <c r="K950" t="str">
        <f t="shared" si="1128"/>
        <v>170</v>
      </c>
      <c r="L950" t="str">
        <f>"23"</f>
        <v>23</v>
      </c>
      <c r="M950" t="str">
        <f>"001"</f>
        <v>001</v>
      </c>
      <c r="N950" t="str">
        <f>"3"</f>
        <v>3</v>
      </c>
      <c r="O950" t="str">
        <f>"9997"</f>
        <v>9997</v>
      </c>
      <c r="P950" t="str">
        <f>"S"</f>
        <v>S</v>
      </c>
      <c r="Q950" t="str">
        <f>"ESS207"</f>
        <v>ESS207</v>
      </c>
      <c r="R950" t="str">
        <f t="shared" si="1150"/>
        <v>6</v>
      </c>
      <c r="S950" t="str">
        <f>""</f>
        <v/>
      </c>
      <c r="T950" t="str">
        <f t="shared" si="1151"/>
        <v xml:space="preserve">                                                                                                    </v>
      </c>
      <c r="U950" t="str">
        <f>"1         "</f>
        <v xml:space="preserve">1         </v>
      </c>
      <c r="V950" t="str">
        <f t="shared" si="1154"/>
        <v>2</v>
      </c>
      <c r="W950" t="str">
        <f t="shared" si="1152"/>
        <v>2</v>
      </c>
      <c r="X950" t="str">
        <f t="shared" si="1125"/>
        <v>2</v>
      </c>
      <c r="Y950" t="str">
        <f t="shared" si="1146"/>
        <v>2</v>
      </c>
      <c r="Z950" t="str">
        <f t="shared" si="1146"/>
        <v>2</v>
      </c>
      <c r="AA950" t="str">
        <f t="shared" si="1091"/>
        <v xml:space="preserve">          </v>
      </c>
      <c r="AB950" t="str">
        <f t="shared" si="1085"/>
        <v>2</v>
      </c>
      <c r="AC950" t="str">
        <f t="shared" si="1086"/>
        <v>2</v>
      </c>
      <c r="AD950" t="str">
        <f t="shared" si="1147"/>
        <v>2</v>
      </c>
      <c r="AE950" t="str">
        <f t="shared" si="1147"/>
        <v>2</v>
      </c>
      <c r="AF950" t="str">
        <f t="shared" si="1147"/>
        <v>2</v>
      </c>
      <c r="AG950" t="str">
        <f t="shared" si="1147"/>
        <v>2</v>
      </c>
      <c r="AH950" t="str">
        <f t="shared" si="1153"/>
        <v>1</v>
      </c>
      <c r="AI950" t="str">
        <f>"2         "</f>
        <v xml:space="preserve">2         </v>
      </c>
      <c r="AJ950" t="str">
        <f t="shared" si="1107"/>
        <v>170</v>
      </c>
      <c r="AK950" t="str">
        <f>"23"</f>
        <v>23</v>
      </c>
      <c r="AL950" t="str">
        <f>"001"</f>
        <v>001</v>
      </c>
      <c r="AM950" t="str">
        <f>"23"</f>
        <v>23</v>
      </c>
      <c r="AN950" t="str">
        <f>"23001"</f>
        <v>23001</v>
      </c>
      <c r="AO950" t="str">
        <f>"29/01/2020 12:00:00 a. m."</f>
        <v>29/01/2020 12:00:00 a. m.</v>
      </c>
      <c r="AP950" t="str">
        <f>"1/11/2019 12:00:00 a. m."</f>
        <v>1/11/2019 12:00:00 a. m.</v>
      </c>
      <c r="AQ950" t="str">
        <f>"3"</f>
        <v>3</v>
      </c>
      <c r="AR950" t="str">
        <f t="shared" si="1155"/>
        <v>1</v>
      </c>
      <c r="AS950" t="str">
        <f>"29/01/2020 12:00:00 a. m."</f>
        <v>29/01/2020 12:00:00 a. m.</v>
      </c>
      <c r="AT950" t="str">
        <f t="shared" si="1157"/>
        <v>1</v>
      </c>
      <c r="AU950" t="str">
        <f>""</f>
        <v/>
      </c>
      <c r="AV950" t="str">
        <f>"7"</f>
        <v>7</v>
      </c>
      <c r="AW950" t="str">
        <f>"27/01/2005 12:00:00 a. m."</f>
        <v>27/01/2005 12:00:00 a. m.</v>
      </c>
      <c r="AX950" t="str">
        <f>""</f>
        <v/>
      </c>
      <c r="AY950" t="str">
        <f t="shared" si="1092"/>
        <v>30/04/2021 12:00:00 a. m.</v>
      </c>
      <c r="AZ950" t="str">
        <f>"15/10/2020 12:00:00 a. m."</f>
        <v>15/10/2020 12:00:00 a. m.</v>
      </c>
      <c r="BA950" t="str">
        <f>""</f>
        <v/>
      </c>
      <c r="BB950" t="str">
        <f>""</f>
        <v/>
      </c>
      <c r="BC950" t="str">
        <f>""</f>
        <v/>
      </c>
      <c r="BD950" t="str">
        <f t="shared" si="1149"/>
        <v>1</v>
      </c>
      <c r="BE950" t="str">
        <f t="shared" si="1149"/>
        <v>1</v>
      </c>
      <c r="BF950" t="str">
        <f t="shared" si="1093"/>
        <v xml:space="preserve">3         </v>
      </c>
      <c r="BG950" t="str">
        <f t="shared" si="1094"/>
        <v>Confirmado por laboratorio</v>
      </c>
      <c r="BH950" t="str">
        <f>"ONCOMEDICA S A"</f>
        <v>ONCOMEDICA S A</v>
      </c>
      <c r="BI950" t="str">
        <f t="shared" si="1130"/>
        <v>COLOMBIA</v>
      </c>
      <c r="BJ950" t="str">
        <f t="shared" si="1095"/>
        <v>CANCER INFANTIL</v>
      </c>
      <c r="BK950" t="str">
        <f>"CORDOBA"</f>
        <v>CORDOBA</v>
      </c>
      <c r="BL950" t="str">
        <f>"MONTERIA"</f>
        <v>MONTERIA</v>
      </c>
      <c r="BM950" t="str">
        <f t="shared" si="1109"/>
        <v>COLOMBIA</v>
      </c>
      <c r="BN950" t="str">
        <f>"CORDOBA"</f>
        <v>CORDOBA</v>
      </c>
      <c r="BO950" t="str">
        <f>"MONTERIA"</f>
        <v>MONTERIA</v>
      </c>
      <c r="BP950" t="str">
        <f>"CORDOBA"</f>
        <v>CORDOBA</v>
      </c>
      <c r="BQ950" t="str">
        <f>"MONTERIA"</f>
        <v>MONTERIA</v>
      </c>
    </row>
    <row r="951" spans="1:69" x14ac:dyDescent="0.25">
      <c r="A951" t="str">
        <f>"7278707"</f>
        <v>7278707</v>
      </c>
      <c r="B951" t="str">
        <f t="shared" si="1088"/>
        <v>459</v>
      </c>
      <c r="C951" t="str">
        <f>"20/12/2020 12:00:00 a. m."</f>
        <v>20/12/2020 12:00:00 a. m.</v>
      </c>
      <c r="D951" t="str">
        <f>"51"</f>
        <v>51</v>
      </c>
      <c r="E951" t="str">
        <f t="shared" si="1089"/>
        <v>2020</v>
      </c>
      <c r="F951" t="str">
        <f>"1100105681"</f>
        <v>1100105681</v>
      </c>
      <c r="G951" t="str">
        <f t="shared" si="1133"/>
        <v>01</v>
      </c>
      <c r="H951" t="str">
        <f>"1"</f>
        <v>1</v>
      </c>
      <c r="I951" t="str">
        <f t="shared" si="1156"/>
        <v>1</v>
      </c>
      <c r="J951" t="str">
        <f>"F"</f>
        <v>F</v>
      </c>
      <c r="K951" t="str">
        <f t="shared" si="1128"/>
        <v>170</v>
      </c>
      <c r="L951" t="str">
        <f>"11"</f>
        <v>11</v>
      </c>
      <c r="M951" t="str">
        <f>"001"</f>
        <v>001</v>
      </c>
      <c r="N951" t="str">
        <f t="shared" ref="N951:N957" si="1158">"1"</f>
        <v>1</v>
      </c>
      <c r="O951" t="str">
        <f>"9999"</f>
        <v>9999</v>
      </c>
      <c r="P951" t="str">
        <f>"C"</f>
        <v>C</v>
      </c>
      <c r="Q951" t="str">
        <f>"EPS008"</f>
        <v>EPS008</v>
      </c>
      <c r="R951" t="str">
        <f t="shared" si="1150"/>
        <v>6</v>
      </c>
      <c r="S951" t="str">
        <f>""</f>
        <v/>
      </c>
      <c r="T951" t="str">
        <f t="shared" si="1151"/>
        <v xml:space="preserve">                                                                                                    </v>
      </c>
      <c r="U951" t="str">
        <f>"2         "</f>
        <v xml:space="preserve">2         </v>
      </c>
      <c r="V951" t="str">
        <f t="shared" si="1154"/>
        <v>2</v>
      </c>
      <c r="W951" t="str">
        <f t="shared" si="1152"/>
        <v>2</v>
      </c>
      <c r="X951" t="str">
        <f t="shared" si="1125"/>
        <v>2</v>
      </c>
      <c r="Y951" t="str">
        <f t="shared" si="1146"/>
        <v>2</v>
      </c>
      <c r="Z951" t="str">
        <f t="shared" si="1146"/>
        <v>2</v>
      </c>
      <c r="AA951" t="str">
        <f t="shared" si="1091"/>
        <v xml:space="preserve">          </v>
      </c>
      <c r="AB951" t="str">
        <f t="shared" si="1085"/>
        <v>2</v>
      </c>
      <c r="AC951" t="str">
        <f t="shared" si="1086"/>
        <v>2</v>
      </c>
      <c r="AD951" t="str">
        <f t="shared" si="1147"/>
        <v>2</v>
      </c>
      <c r="AE951" t="str">
        <f t="shared" si="1147"/>
        <v>2</v>
      </c>
      <c r="AF951" t="str">
        <f t="shared" si="1147"/>
        <v>2</v>
      </c>
      <c r="AG951" t="str">
        <f t="shared" si="1147"/>
        <v>2</v>
      </c>
      <c r="AH951" t="str">
        <f t="shared" si="1153"/>
        <v>1</v>
      </c>
      <c r="AI951" t="str">
        <f>"1         "</f>
        <v xml:space="preserve">1         </v>
      </c>
      <c r="AJ951" t="str">
        <f t="shared" si="1107"/>
        <v>170</v>
      </c>
      <c r="AK951" t="str">
        <f>"11"</f>
        <v>11</v>
      </c>
      <c r="AL951" t="str">
        <f>"001"</f>
        <v>001</v>
      </c>
      <c r="AM951" t="str">
        <f>"11"</f>
        <v>11</v>
      </c>
      <c r="AN951" t="str">
        <f>"11001"</f>
        <v>11001</v>
      </c>
      <c r="AO951" t="str">
        <f>"15/12/2020 12:00:00 a. m."</f>
        <v>15/12/2020 12:00:00 a. m.</v>
      </c>
      <c r="AP951" t="str">
        <f>"15/07/2020 12:00:00 a. m."</f>
        <v>15/07/2020 12:00:00 a. m.</v>
      </c>
      <c r="AQ951" t="str">
        <f>"3"</f>
        <v>3</v>
      </c>
      <c r="AR951" t="str">
        <f t="shared" si="1155"/>
        <v>1</v>
      </c>
      <c r="AS951" t="str">
        <f>"15/12/2020 12:00:00 a. m."</f>
        <v>15/12/2020 12:00:00 a. m.</v>
      </c>
      <c r="AT951" t="str">
        <f t="shared" si="1157"/>
        <v>1</v>
      </c>
      <c r="AU951" t="str">
        <f>""</f>
        <v/>
      </c>
      <c r="AV951" t="str">
        <f>"0"</f>
        <v>0</v>
      </c>
      <c r="AW951" t="str">
        <f>"10/03/2020 12:00:00 a. m."</f>
        <v>10/03/2020 12:00:00 a. m.</v>
      </c>
      <c r="AX951" t="str">
        <f>""</f>
        <v/>
      </c>
      <c r="AY951" t="str">
        <f t="shared" si="1092"/>
        <v>30/04/2021 12:00:00 a. m.</v>
      </c>
      <c r="AZ951" t="str">
        <f>"17/03/2021 12:00:00 a. m."</f>
        <v>17/03/2021 12:00:00 a. m.</v>
      </c>
      <c r="BA951" t="str">
        <f>""</f>
        <v/>
      </c>
      <c r="BB951" t="str">
        <f>""</f>
        <v/>
      </c>
      <c r="BC951" t="str">
        <f>""</f>
        <v/>
      </c>
      <c r="BD951" t="str">
        <f t="shared" si="1149"/>
        <v>1</v>
      </c>
      <c r="BE951" t="str">
        <f t="shared" si="1149"/>
        <v>1</v>
      </c>
      <c r="BF951" t="str">
        <f t="shared" si="1093"/>
        <v xml:space="preserve">3         </v>
      </c>
      <c r="BG951" t="str">
        <f t="shared" si="1094"/>
        <v>Confirmado por laboratorio</v>
      </c>
      <c r="BH951" t="str">
        <f>"FUNDACION HOSPITAL DE LA MISERICORDIA"</f>
        <v>FUNDACION HOSPITAL DE LA MISERICORDIA</v>
      </c>
      <c r="BI951" t="str">
        <f t="shared" si="1130"/>
        <v>COLOMBIA</v>
      </c>
      <c r="BJ951" t="str">
        <f t="shared" si="1095"/>
        <v>CANCER INFANTIL</v>
      </c>
      <c r="BK951" t="str">
        <f t="shared" ref="BK951:BL953" si="1159">"BOGOTA"</f>
        <v>BOGOTA</v>
      </c>
      <c r="BL951" t="str">
        <f t="shared" si="1159"/>
        <v>BOGOTA</v>
      </c>
      <c r="BM951" t="str">
        <f t="shared" si="1109"/>
        <v>COLOMBIA</v>
      </c>
      <c r="BN951" t="str">
        <f t="shared" ref="BN951:BQ953" si="1160">"BOGOTA"</f>
        <v>BOGOTA</v>
      </c>
      <c r="BO951" t="str">
        <f t="shared" si="1160"/>
        <v>BOGOTA</v>
      </c>
      <c r="BP951" t="str">
        <f t="shared" si="1160"/>
        <v>BOGOTA</v>
      </c>
      <c r="BQ951" t="str">
        <f t="shared" si="1160"/>
        <v>BOGOTA</v>
      </c>
    </row>
    <row r="952" spans="1:69" x14ac:dyDescent="0.25">
      <c r="A952" t="str">
        <f>"7278710"</f>
        <v>7278710</v>
      </c>
      <c r="B952" t="str">
        <f t="shared" si="1088"/>
        <v>459</v>
      </c>
      <c r="C952" t="str">
        <f>"4/02/2021 12:00:00 a. m."</f>
        <v>4/02/2021 12:00:00 a. m.</v>
      </c>
      <c r="D952" t="str">
        <f>"48"</f>
        <v>48</v>
      </c>
      <c r="E952" t="str">
        <f t="shared" si="1089"/>
        <v>2020</v>
      </c>
      <c r="F952" t="str">
        <f>"1100105681"</f>
        <v>1100105681</v>
      </c>
      <c r="G952" t="str">
        <f t="shared" si="1133"/>
        <v>01</v>
      </c>
      <c r="H952" t="str">
        <f>"13"</f>
        <v>13</v>
      </c>
      <c r="I952" t="str">
        <f t="shared" si="1156"/>
        <v>1</v>
      </c>
      <c r="J952" t="str">
        <f>"F"</f>
        <v>F</v>
      </c>
      <c r="K952" t="str">
        <f t="shared" si="1128"/>
        <v>170</v>
      </c>
      <c r="L952" t="str">
        <f>"11"</f>
        <v>11</v>
      </c>
      <c r="M952" t="str">
        <f>"001"</f>
        <v>001</v>
      </c>
      <c r="N952" t="str">
        <f t="shared" si="1158"/>
        <v>1</v>
      </c>
      <c r="O952" t="str">
        <f>"9997"</f>
        <v>9997</v>
      </c>
      <c r="P952" t="str">
        <f>"C"</f>
        <v>C</v>
      </c>
      <c r="Q952" t="str">
        <f>"EPS017"</f>
        <v>EPS017</v>
      </c>
      <c r="R952" t="str">
        <f t="shared" si="1150"/>
        <v>6</v>
      </c>
      <c r="S952" t="str">
        <f>""</f>
        <v/>
      </c>
      <c r="T952" t="str">
        <f t="shared" si="1151"/>
        <v xml:space="preserve">                                                                                                    </v>
      </c>
      <c r="U952" t="str">
        <f>"2         "</f>
        <v xml:space="preserve">2         </v>
      </c>
      <c r="V952" t="str">
        <f t="shared" si="1154"/>
        <v>2</v>
      </c>
      <c r="W952" t="str">
        <f t="shared" si="1152"/>
        <v>2</v>
      </c>
      <c r="X952" t="str">
        <f t="shared" si="1125"/>
        <v>2</v>
      </c>
      <c r="Y952" t="str">
        <f t="shared" si="1146"/>
        <v>2</v>
      </c>
      <c r="Z952" t="str">
        <f t="shared" si="1146"/>
        <v>2</v>
      </c>
      <c r="AA952" t="str">
        <f t="shared" si="1091"/>
        <v xml:space="preserve">          </v>
      </c>
      <c r="AB952" t="str">
        <f t="shared" si="1085"/>
        <v>2</v>
      </c>
      <c r="AC952" t="str">
        <f t="shared" si="1086"/>
        <v>2</v>
      </c>
      <c r="AD952" t="str">
        <f t="shared" si="1147"/>
        <v>2</v>
      </c>
      <c r="AE952" t="str">
        <f t="shared" si="1147"/>
        <v>2</v>
      </c>
      <c r="AF952" t="str">
        <f t="shared" si="1147"/>
        <v>2</v>
      </c>
      <c r="AG952" t="str">
        <f t="shared" si="1147"/>
        <v>2</v>
      </c>
      <c r="AH952" t="str">
        <f t="shared" si="1153"/>
        <v>1</v>
      </c>
      <c r="AI952" t="str">
        <f>"1         "</f>
        <v xml:space="preserve">1         </v>
      </c>
      <c r="AJ952" t="str">
        <f t="shared" si="1107"/>
        <v>170</v>
      </c>
      <c r="AK952" t="str">
        <f>"11"</f>
        <v>11</v>
      </c>
      <c r="AL952" t="str">
        <f>"001"</f>
        <v>001</v>
      </c>
      <c r="AM952" t="str">
        <f>"11"</f>
        <v>11</v>
      </c>
      <c r="AN952" t="str">
        <f>"11001"</f>
        <v>11001</v>
      </c>
      <c r="AO952" t="str">
        <f>"24/11/2020 12:00:00 a. m."</f>
        <v>24/11/2020 12:00:00 a. m.</v>
      </c>
      <c r="AP952" t="str">
        <f>"24/05/2020 12:00:00 a. m."</f>
        <v>24/05/2020 12:00:00 a. m.</v>
      </c>
      <c r="AQ952" t="str">
        <f>"3"</f>
        <v>3</v>
      </c>
      <c r="AR952" t="str">
        <f t="shared" si="1155"/>
        <v>1</v>
      </c>
      <c r="AS952" t="str">
        <f>"24/11/2020 12:00:00 a. m."</f>
        <v>24/11/2020 12:00:00 a. m.</v>
      </c>
      <c r="AT952" t="str">
        <f t="shared" si="1157"/>
        <v>1</v>
      </c>
      <c r="AU952" t="str">
        <f>""</f>
        <v/>
      </c>
      <c r="AV952" t="str">
        <f>"0"</f>
        <v>0</v>
      </c>
      <c r="AW952" t="str">
        <f>"24/01/2008 12:00:00 a. m."</f>
        <v>24/01/2008 12:00:00 a. m.</v>
      </c>
      <c r="AX952" t="str">
        <f>""</f>
        <v/>
      </c>
      <c r="AY952" t="str">
        <f t="shared" si="1092"/>
        <v>30/04/2021 12:00:00 a. m.</v>
      </c>
      <c r="AZ952" t="str">
        <f>"4/02/2021 12:00:00 a. m."</f>
        <v>4/02/2021 12:00:00 a. m.</v>
      </c>
      <c r="BA952" t="str">
        <f>""</f>
        <v/>
      </c>
      <c r="BB952" t="str">
        <f>""</f>
        <v/>
      </c>
      <c r="BC952" t="str">
        <f>""</f>
        <v/>
      </c>
      <c r="BD952" t="str">
        <f t="shared" si="1149"/>
        <v>1</v>
      </c>
      <c r="BE952" t="str">
        <f t="shared" si="1149"/>
        <v>1</v>
      </c>
      <c r="BF952" t="str">
        <f t="shared" si="1093"/>
        <v xml:space="preserve">3         </v>
      </c>
      <c r="BG952" t="str">
        <f t="shared" si="1094"/>
        <v>Confirmado por laboratorio</v>
      </c>
      <c r="BH952" t="str">
        <f>"FUNDACION HOSPITAL DE LA MISERICORDIA"</f>
        <v>FUNDACION HOSPITAL DE LA MISERICORDIA</v>
      </c>
      <c r="BI952" t="str">
        <f t="shared" si="1130"/>
        <v>COLOMBIA</v>
      </c>
      <c r="BJ952" t="str">
        <f t="shared" si="1095"/>
        <v>CANCER INFANTIL</v>
      </c>
      <c r="BK952" t="str">
        <f t="shared" si="1159"/>
        <v>BOGOTA</v>
      </c>
      <c r="BL952" t="str">
        <f t="shared" si="1159"/>
        <v>BOGOTA</v>
      </c>
      <c r="BM952" t="str">
        <f t="shared" si="1109"/>
        <v>COLOMBIA</v>
      </c>
      <c r="BN952" t="str">
        <f t="shared" si="1160"/>
        <v>BOGOTA</v>
      </c>
      <c r="BO952" t="str">
        <f t="shared" si="1160"/>
        <v>BOGOTA</v>
      </c>
      <c r="BP952" t="str">
        <f t="shared" si="1160"/>
        <v>BOGOTA</v>
      </c>
      <c r="BQ952" t="str">
        <f t="shared" si="1160"/>
        <v>BOGOTA</v>
      </c>
    </row>
    <row r="953" spans="1:69" x14ac:dyDescent="0.25">
      <c r="A953" t="str">
        <f>"7278709"</f>
        <v>7278709</v>
      </c>
      <c r="B953" t="str">
        <f t="shared" si="1088"/>
        <v>459</v>
      </c>
      <c r="C953" t="str">
        <f>"8/07/2020 12:00:00 a. m."</f>
        <v>8/07/2020 12:00:00 a. m.</v>
      </c>
      <c r="D953" t="str">
        <f>"24"</f>
        <v>24</v>
      </c>
      <c r="E953" t="str">
        <f t="shared" si="1089"/>
        <v>2020</v>
      </c>
      <c r="F953" t="str">
        <f>"1100130294"</f>
        <v>1100130294</v>
      </c>
      <c r="G953" t="str">
        <f>"02"</f>
        <v>02</v>
      </c>
      <c r="H953" t="str">
        <f>"6"</f>
        <v>6</v>
      </c>
      <c r="I953" t="str">
        <f t="shared" si="1156"/>
        <v>1</v>
      </c>
      <c r="J953" t="str">
        <f>"F"</f>
        <v>F</v>
      </c>
      <c r="K953" t="str">
        <f t="shared" si="1128"/>
        <v>170</v>
      </c>
      <c r="L953" t="str">
        <f>"11"</f>
        <v>11</v>
      </c>
      <c r="M953" t="str">
        <f>"001"</f>
        <v>001</v>
      </c>
      <c r="N953" t="str">
        <f t="shared" si="1158"/>
        <v>1</v>
      </c>
      <c r="O953" t="str">
        <f>"9997"</f>
        <v>9997</v>
      </c>
      <c r="P953" t="str">
        <f>"S"</f>
        <v>S</v>
      </c>
      <c r="Q953" t="str">
        <f>"EPSS34"</f>
        <v>EPSS34</v>
      </c>
      <c r="R953" t="str">
        <f t="shared" si="1150"/>
        <v>6</v>
      </c>
      <c r="S953" t="str">
        <f>""</f>
        <v/>
      </c>
      <c r="T953" t="str">
        <f t="shared" si="1151"/>
        <v xml:space="preserve">                                                                                                    </v>
      </c>
      <c r="U953" t="str">
        <f>"1         "</f>
        <v xml:space="preserve">1         </v>
      </c>
      <c r="V953" t="str">
        <f t="shared" si="1154"/>
        <v>2</v>
      </c>
      <c r="W953" t="str">
        <f t="shared" si="1152"/>
        <v>2</v>
      </c>
      <c r="X953" t="str">
        <f t="shared" si="1125"/>
        <v>2</v>
      </c>
      <c r="Y953" t="str">
        <f t="shared" si="1146"/>
        <v>2</v>
      </c>
      <c r="Z953" t="str">
        <f t="shared" si="1146"/>
        <v>2</v>
      </c>
      <c r="AA953" t="str">
        <f t="shared" si="1091"/>
        <v xml:space="preserve">          </v>
      </c>
      <c r="AB953" t="str">
        <f t="shared" si="1085"/>
        <v>2</v>
      </c>
      <c r="AC953" t="str">
        <f t="shared" si="1086"/>
        <v>2</v>
      </c>
      <c r="AD953" t="str">
        <f t="shared" si="1147"/>
        <v>2</v>
      </c>
      <c r="AE953" t="str">
        <f t="shared" si="1147"/>
        <v>2</v>
      </c>
      <c r="AF953" t="str">
        <f t="shared" si="1147"/>
        <v>2</v>
      </c>
      <c r="AG953" t="str">
        <f t="shared" si="1147"/>
        <v>2</v>
      </c>
      <c r="AH953" t="str">
        <f t="shared" si="1153"/>
        <v>1</v>
      </c>
      <c r="AI953" t="str">
        <f>"2         "</f>
        <v xml:space="preserve">2         </v>
      </c>
      <c r="AJ953" t="str">
        <f t="shared" si="1107"/>
        <v>170</v>
      </c>
      <c r="AK953" t="str">
        <f>"11"</f>
        <v>11</v>
      </c>
      <c r="AL953" t="str">
        <f>"001"</f>
        <v>001</v>
      </c>
      <c r="AM953" t="str">
        <f>"11"</f>
        <v>11</v>
      </c>
      <c r="AN953" t="str">
        <f>"11001"</f>
        <v>11001</v>
      </c>
      <c r="AO953" t="str">
        <f>"11/06/2020 12:00:00 a. m."</f>
        <v>11/06/2020 12:00:00 a. m.</v>
      </c>
      <c r="AP953" t="str">
        <f>"11/06/2020 12:00:00 a. m."</f>
        <v>11/06/2020 12:00:00 a. m.</v>
      </c>
      <c r="AQ953" t="str">
        <f>"3"</f>
        <v>3</v>
      </c>
      <c r="AR953" t="str">
        <f t="shared" si="1155"/>
        <v>1</v>
      </c>
      <c r="AS953" t="str">
        <f>"11/06/2020 12:00:00 a. m."</f>
        <v>11/06/2020 12:00:00 a. m.</v>
      </c>
      <c r="AT953" t="str">
        <f t="shared" si="1157"/>
        <v>1</v>
      </c>
      <c r="AU953" t="str">
        <f>""</f>
        <v/>
      </c>
      <c r="AV953" t="str">
        <f>"7"</f>
        <v>7</v>
      </c>
      <c r="AW953" t="str">
        <f>"29/03/2014 12:00:00 a. m."</f>
        <v>29/03/2014 12:00:00 a. m.</v>
      </c>
      <c r="AX953" t="str">
        <f>""</f>
        <v/>
      </c>
      <c r="AY953" t="str">
        <f t="shared" si="1092"/>
        <v>30/04/2021 12:00:00 a. m.</v>
      </c>
      <c r="AZ953" t="str">
        <f>"7/09/2020 12:00:00 a. m."</f>
        <v>7/09/2020 12:00:00 a. m.</v>
      </c>
      <c r="BA953" t="str">
        <f>""</f>
        <v/>
      </c>
      <c r="BB953" t="str">
        <f>""</f>
        <v/>
      </c>
      <c r="BC953" t="str">
        <f>""</f>
        <v/>
      </c>
      <c r="BD953" t="str">
        <f t="shared" si="1149"/>
        <v>1</v>
      </c>
      <c r="BE953" t="str">
        <f t="shared" si="1149"/>
        <v>1</v>
      </c>
      <c r="BF953" t="str">
        <f t="shared" si="1093"/>
        <v xml:space="preserve">3         </v>
      </c>
      <c r="BG953" t="str">
        <f t="shared" si="1094"/>
        <v>Confirmado por laboratorio</v>
      </c>
      <c r="BH953" t="str">
        <f>"USS MEISSEN"</f>
        <v>USS MEISSEN</v>
      </c>
      <c r="BI953" t="str">
        <f t="shared" si="1130"/>
        <v>COLOMBIA</v>
      </c>
      <c r="BJ953" t="str">
        <f t="shared" si="1095"/>
        <v>CANCER INFANTIL</v>
      </c>
      <c r="BK953" t="str">
        <f t="shared" si="1159"/>
        <v>BOGOTA</v>
      </c>
      <c r="BL953" t="str">
        <f t="shared" si="1159"/>
        <v>BOGOTA</v>
      </c>
      <c r="BM953" t="str">
        <f t="shared" si="1109"/>
        <v>COLOMBIA</v>
      </c>
      <c r="BN953" t="str">
        <f t="shared" si="1160"/>
        <v>BOGOTA</v>
      </c>
      <c r="BO953" t="str">
        <f t="shared" si="1160"/>
        <v>BOGOTA</v>
      </c>
      <c r="BP953" t="str">
        <f t="shared" si="1160"/>
        <v>BOGOTA</v>
      </c>
      <c r="BQ953" t="str">
        <f t="shared" si="1160"/>
        <v>BOGOTA</v>
      </c>
    </row>
    <row r="954" spans="1:69" x14ac:dyDescent="0.25">
      <c r="A954" t="str">
        <f>"7279232"</f>
        <v>7279232</v>
      </c>
      <c r="B954" t="str">
        <f t="shared" si="1088"/>
        <v>459</v>
      </c>
      <c r="C954" t="str">
        <f>"15/12/2020 12:00:00 a. m."</f>
        <v>15/12/2020 12:00:00 a. m.</v>
      </c>
      <c r="D954" t="str">
        <f>"44"</f>
        <v>44</v>
      </c>
      <c r="E954" t="str">
        <f t="shared" si="1089"/>
        <v>2020</v>
      </c>
      <c r="F954" t="str">
        <f>"1100105681"</f>
        <v>1100105681</v>
      </c>
      <c r="G954" t="str">
        <f t="shared" ref="G954:G966" si="1161">"01"</f>
        <v>01</v>
      </c>
      <c r="H954" t="str">
        <f>"17"</f>
        <v>17</v>
      </c>
      <c r="I954" t="str">
        <f t="shared" si="1156"/>
        <v>1</v>
      </c>
      <c r="J954" t="str">
        <f>"M"</f>
        <v>M</v>
      </c>
      <c r="K954" t="str">
        <f t="shared" si="1128"/>
        <v>170</v>
      </c>
      <c r="L954" t="str">
        <f>"68"</f>
        <v>68</v>
      </c>
      <c r="M954" t="str">
        <f>"655"</f>
        <v>655</v>
      </c>
      <c r="N954" t="str">
        <f t="shared" si="1158"/>
        <v>1</v>
      </c>
      <c r="O954" t="str">
        <f>"9997"</f>
        <v>9997</v>
      </c>
      <c r="P954" t="str">
        <f>"S"</f>
        <v>S</v>
      </c>
      <c r="Q954" t="str">
        <f>"ESS133"</f>
        <v>ESS133</v>
      </c>
      <c r="R954" t="str">
        <f t="shared" si="1150"/>
        <v>6</v>
      </c>
      <c r="S954" t="str">
        <f>""</f>
        <v/>
      </c>
      <c r="T954" t="str">
        <f t="shared" si="1151"/>
        <v xml:space="preserve">                                                                                                    </v>
      </c>
      <c r="U954" t="str">
        <f>"2         "</f>
        <v xml:space="preserve">2         </v>
      </c>
      <c r="V954" t="str">
        <f t="shared" si="1154"/>
        <v>2</v>
      </c>
      <c r="W954" t="str">
        <f t="shared" si="1152"/>
        <v>2</v>
      </c>
      <c r="X954" t="str">
        <f t="shared" si="1125"/>
        <v>2</v>
      </c>
      <c r="Y954" t="str">
        <f t="shared" si="1146"/>
        <v>2</v>
      </c>
      <c r="Z954" t="str">
        <f t="shared" si="1146"/>
        <v>2</v>
      </c>
      <c r="AA954" t="str">
        <f t="shared" si="1091"/>
        <v xml:space="preserve">          </v>
      </c>
      <c r="AB954" t="str">
        <f t="shared" si="1085"/>
        <v>2</v>
      </c>
      <c r="AC954" t="str">
        <f t="shared" si="1086"/>
        <v>2</v>
      </c>
      <c r="AD954" t="str">
        <f t="shared" si="1147"/>
        <v>2</v>
      </c>
      <c r="AE954" t="str">
        <f t="shared" si="1147"/>
        <v>2</v>
      </c>
      <c r="AF954" t="str">
        <f t="shared" si="1147"/>
        <v>2</v>
      </c>
      <c r="AG954" t="str">
        <f t="shared" si="1147"/>
        <v>2</v>
      </c>
      <c r="AH954" t="str">
        <f t="shared" si="1153"/>
        <v>1</v>
      </c>
      <c r="AI954" t="str">
        <f>"2         "</f>
        <v xml:space="preserve">2         </v>
      </c>
      <c r="AJ954" t="str">
        <f t="shared" si="1107"/>
        <v>170</v>
      </c>
      <c r="AK954" t="str">
        <f>"68"</f>
        <v>68</v>
      </c>
      <c r="AL954" t="str">
        <f>"655"</f>
        <v>655</v>
      </c>
      <c r="AM954" t="str">
        <f>"11"</f>
        <v>11</v>
      </c>
      <c r="AN954" t="str">
        <f>"11001"</f>
        <v>11001</v>
      </c>
      <c r="AO954" t="str">
        <f>"28/10/2020 12:00:00 a. m."</f>
        <v>28/10/2020 12:00:00 a. m.</v>
      </c>
      <c r="AP954" t="str">
        <f>"26/10/2020 12:00:00 a. m."</f>
        <v>26/10/2020 12:00:00 a. m.</v>
      </c>
      <c r="AQ954" t="str">
        <f>"2"</f>
        <v>2</v>
      </c>
      <c r="AR954" t="str">
        <f t="shared" si="1155"/>
        <v>1</v>
      </c>
      <c r="AS954" t="str">
        <f>"28/10/2020 12:00:00 a. m."</f>
        <v>28/10/2020 12:00:00 a. m.</v>
      </c>
      <c r="AT954" t="str">
        <f t="shared" si="1157"/>
        <v>1</v>
      </c>
      <c r="AU954" t="str">
        <f>""</f>
        <v/>
      </c>
      <c r="AV954" t="str">
        <f>"3"</f>
        <v>3</v>
      </c>
      <c r="AW954" t="str">
        <f>"11/10/2003 12:00:00 a. m."</f>
        <v>11/10/2003 12:00:00 a. m.</v>
      </c>
      <c r="AX954" t="str">
        <f>""</f>
        <v/>
      </c>
      <c r="AY954" t="str">
        <f t="shared" si="1092"/>
        <v>30/04/2021 12:00:00 a. m.</v>
      </c>
      <c r="AZ954" t="str">
        <f>"6/04/2021 12:00:00 a. m."</f>
        <v>6/04/2021 12:00:00 a. m.</v>
      </c>
      <c r="BA954" t="str">
        <f>""</f>
        <v/>
      </c>
      <c r="BB954" t="str">
        <f>""</f>
        <v/>
      </c>
      <c r="BC954" t="str">
        <f>""</f>
        <v/>
      </c>
      <c r="BD954" t="str">
        <f t="shared" si="1149"/>
        <v>1</v>
      </c>
      <c r="BE954" t="str">
        <f t="shared" si="1149"/>
        <v>1</v>
      </c>
      <c r="BF954" t="str">
        <f t="shared" si="1093"/>
        <v xml:space="preserve">3         </v>
      </c>
      <c r="BG954" t="str">
        <f t="shared" si="1094"/>
        <v>Confirmado por laboratorio</v>
      </c>
      <c r="BH954" t="str">
        <f>"FUNDACION HOSPITAL DE LA MISERICORDIA"</f>
        <v>FUNDACION HOSPITAL DE LA MISERICORDIA</v>
      </c>
      <c r="BI954" t="str">
        <f t="shared" si="1130"/>
        <v>COLOMBIA</v>
      </c>
      <c r="BJ954" t="str">
        <f t="shared" si="1095"/>
        <v>CANCER INFANTIL</v>
      </c>
      <c r="BK954" t="str">
        <f>"SANTANDER"</f>
        <v>SANTANDER</v>
      </c>
      <c r="BL954" t="str">
        <f>"SABANA DE TORRES"</f>
        <v>SABANA DE TORRES</v>
      </c>
      <c r="BM954" t="str">
        <f t="shared" si="1109"/>
        <v>COLOMBIA</v>
      </c>
      <c r="BN954" t="str">
        <f>"SANTANDER"</f>
        <v>SANTANDER</v>
      </c>
      <c r="BO954" t="str">
        <f>"SABANA DE TORRES"</f>
        <v>SABANA DE TORRES</v>
      </c>
      <c r="BP954" t="str">
        <f>"BOGOTA"</f>
        <v>BOGOTA</v>
      </c>
      <c r="BQ954" t="str">
        <f>"BOGOTA"</f>
        <v>BOGOTA</v>
      </c>
    </row>
    <row r="955" spans="1:69" x14ac:dyDescent="0.25">
      <c r="A955" t="str">
        <f>"7279213"</f>
        <v>7279213</v>
      </c>
      <c r="B955" t="str">
        <f t="shared" si="1088"/>
        <v>459</v>
      </c>
      <c r="C955" t="str">
        <f>"11/09/2020 12:00:00 a. m."</f>
        <v>11/09/2020 12:00:00 a. m.</v>
      </c>
      <c r="D955" t="str">
        <f>"37"</f>
        <v>37</v>
      </c>
      <c r="E955" t="str">
        <f t="shared" si="1089"/>
        <v>2020</v>
      </c>
      <c r="F955" t="str">
        <f>"0800100037"</f>
        <v>0800100037</v>
      </c>
      <c r="G955" t="str">
        <f t="shared" si="1161"/>
        <v>01</v>
      </c>
      <c r="H955" t="str">
        <f>"15"</f>
        <v>15</v>
      </c>
      <c r="I955" t="str">
        <f t="shared" si="1156"/>
        <v>1</v>
      </c>
      <c r="J955" t="str">
        <f>"M"</f>
        <v>M</v>
      </c>
      <c r="K955" t="str">
        <f t="shared" ref="K955:K986" si="1162">"170"</f>
        <v>170</v>
      </c>
      <c r="L955" t="str">
        <f>"44"</f>
        <v>44</v>
      </c>
      <c r="M955" t="str">
        <f>"001"</f>
        <v>001</v>
      </c>
      <c r="N955" t="str">
        <f t="shared" si="1158"/>
        <v>1</v>
      </c>
      <c r="O955" t="str">
        <f>"9997"</f>
        <v>9997</v>
      </c>
      <c r="P955" t="str">
        <f>"S"</f>
        <v>S</v>
      </c>
      <c r="Q955" t="str">
        <f>"CCF055"</f>
        <v>CCF055</v>
      </c>
      <c r="R955" t="str">
        <f>"5"</f>
        <v>5</v>
      </c>
      <c r="S955" t="str">
        <f>""</f>
        <v/>
      </c>
      <c r="T955" t="str">
        <f t="shared" si="1151"/>
        <v xml:space="preserve">                                                                                                    </v>
      </c>
      <c r="U955" t="str">
        <f>"1         "</f>
        <v xml:space="preserve">1         </v>
      </c>
      <c r="V955" t="str">
        <f t="shared" si="1154"/>
        <v>2</v>
      </c>
      <c r="W955" t="str">
        <f t="shared" si="1152"/>
        <v>2</v>
      </c>
      <c r="X955" t="str">
        <f t="shared" si="1125"/>
        <v>2</v>
      </c>
      <c r="Y955" t="str">
        <f t="shared" si="1146"/>
        <v>2</v>
      </c>
      <c r="Z955" t="str">
        <f t="shared" si="1146"/>
        <v>2</v>
      </c>
      <c r="AA955" t="str">
        <f t="shared" si="1091"/>
        <v xml:space="preserve">          </v>
      </c>
      <c r="AB955" t="str">
        <f t="shared" si="1085"/>
        <v>2</v>
      </c>
      <c r="AC955" t="str">
        <f t="shared" si="1086"/>
        <v>2</v>
      </c>
      <c r="AD955" t="str">
        <f t="shared" si="1147"/>
        <v>2</v>
      </c>
      <c r="AE955" t="str">
        <f t="shared" si="1147"/>
        <v>2</v>
      </c>
      <c r="AF955" t="str">
        <f t="shared" si="1147"/>
        <v>2</v>
      </c>
      <c r="AG955" t="str">
        <f t="shared" si="1147"/>
        <v>2</v>
      </c>
      <c r="AH955" t="str">
        <f t="shared" si="1153"/>
        <v>1</v>
      </c>
      <c r="AI955" t="str">
        <f>"1         "</f>
        <v xml:space="preserve">1         </v>
      </c>
      <c r="AJ955" t="str">
        <f t="shared" si="1107"/>
        <v>170</v>
      </c>
      <c r="AK955" t="str">
        <f>"44"</f>
        <v>44</v>
      </c>
      <c r="AL955" t="str">
        <f>"001"</f>
        <v>001</v>
      </c>
      <c r="AM955" t="str">
        <f>"08"</f>
        <v>08</v>
      </c>
      <c r="AN955" t="str">
        <f>"08001"</f>
        <v>08001</v>
      </c>
      <c r="AO955" t="str">
        <f>"11/09/2020 12:00:00 a. m."</f>
        <v>11/09/2020 12:00:00 a. m.</v>
      </c>
      <c r="AP955" t="str">
        <f>"11/07/2020 12:00:00 a. m."</f>
        <v>11/07/2020 12:00:00 a. m.</v>
      </c>
      <c r="AQ955" t="str">
        <f>"2"</f>
        <v>2</v>
      </c>
      <c r="AR955" t="str">
        <f t="shared" si="1155"/>
        <v>1</v>
      </c>
      <c r="AS955" t="str">
        <f>"11/09/2020 12:00:00 a. m."</f>
        <v>11/09/2020 12:00:00 a. m.</v>
      </c>
      <c r="AT955" t="str">
        <f t="shared" si="1157"/>
        <v>1</v>
      </c>
      <c r="AU955" t="str">
        <f>""</f>
        <v/>
      </c>
      <c r="AV955" t="str">
        <f>"3"</f>
        <v>3</v>
      </c>
      <c r="AW955" t="str">
        <f>"12/05/2005 12:00:00 a. m."</f>
        <v>12/05/2005 12:00:00 a. m.</v>
      </c>
      <c r="AX955" t="str">
        <f>""</f>
        <v/>
      </c>
      <c r="AY955" t="str">
        <f t="shared" si="1092"/>
        <v>30/04/2021 12:00:00 a. m.</v>
      </c>
      <c r="AZ955" t="str">
        <f>"26/03/2021 12:00:00 a. m."</f>
        <v>26/03/2021 12:00:00 a. m.</v>
      </c>
      <c r="BA955" t="str">
        <f>""</f>
        <v/>
      </c>
      <c r="BB955" t="str">
        <f>""</f>
        <v/>
      </c>
      <c r="BC955" t="str">
        <f>""</f>
        <v/>
      </c>
      <c r="BD955" t="str">
        <f t="shared" si="1149"/>
        <v>1</v>
      </c>
      <c r="BE955" t="str">
        <f t="shared" si="1149"/>
        <v>1</v>
      </c>
      <c r="BF955" t="str">
        <f t="shared" si="1093"/>
        <v xml:space="preserve">3         </v>
      </c>
      <c r="BG955" t="str">
        <f t="shared" si="1094"/>
        <v>Confirmado por laboratorio</v>
      </c>
      <c r="BH955" t="str">
        <f>"CLINICA GENERAL DEL NORTE"</f>
        <v>CLINICA GENERAL DEL NORTE</v>
      </c>
      <c r="BI955" t="str">
        <f t="shared" ref="BI955:BI986" si="1163">"COLOMBIA"</f>
        <v>COLOMBIA</v>
      </c>
      <c r="BJ955" t="str">
        <f t="shared" si="1095"/>
        <v>CANCER INFANTIL</v>
      </c>
      <c r="BK955" t="str">
        <f>"GUAJIRA"</f>
        <v>GUAJIRA</v>
      </c>
      <c r="BL955" t="str">
        <f>"RIOHACHA"</f>
        <v>RIOHACHA</v>
      </c>
      <c r="BM955" t="str">
        <f t="shared" si="1109"/>
        <v>COLOMBIA</v>
      </c>
      <c r="BN955" t="str">
        <f>"GUAJIRA"</f>
        <v>GUAJIRA</v>
      </c>
      <c r="BO955" t="str">
        <f>"RIOHACHA"</f>
        <v>RIOHACHA</v>
      </c>
      <c r="BP955" t="str">
        <f>"ATLANTICO"</f>
        <v>ATLANTICO</v>
      </c>
      <c r="BQ955" t="str">
        <f>"BARRANQUILLA"</f>
        <v>BARRANQUILLA</v>
      </c>
    </row>
    <row r="956" spans="1:69" x14ac:dyDescent="0.25">
      <c r="A956" t="str">
        <f>"7279278"</f>
        <v>7279278</v>
      </c>
      <c r="B956" t="str">
        <f t="shared" si="1088"/>
        <v>459</v>
      </c>
      <c r="C956" t="str">
        <f>"18/07/2020 12:00:00 a. m."</f>
        <v>18/07/2020 12:00:00 a. m.</v>
      </c>
      <c r="D956" t="str">
        <f>"27"</f>
        <v>27</v>
      </c>
      <c r="E956" t="str">
        <f t="shared" si="1089"/>
        <v>2020</v>
      </c>
      <c r="F956" t="str">
        <f>"0561502129"</f>
        <v>0561502129</v>
      </c>
      <c r="G956" t="str">
        <f t="shared" si="1161"/>
        <v>01</v>
      </c>
      <c r="H956" t="str">
        <f>"17"</f>
        <v>17</v>
      </c>
      <c r="I956" t="str">
        <f t="shared" si="1156"/>
        <v>1</v>
      </c>
      <c r="J956" t="str">
        <f>"M"</f>
        <v>M</v>
      </c>
      <c r="K956" t="str">
        <f t="shared" si="1162"/>
        <v>170</v>
      </c>
      <c r="L956" t="str">
        <f>"05"</f>
        <v>05</v>
      </c>
      <c r="M956" t="str">
        <f>"615"</f>
        <v>615</v>
      </c>
      <c r="N956" t="str">
        <f t="shared" si="1158"/>
        <v>1</v>
      </c>
      <c r="O956" t="str">
        <f>"9997"</f>
        <v>9997</v>
      </c>
      <c r="P956" t="str">
        <f>"C"</f>
        <v>C</v>
      </c>
      <c r="Q956" t="str">
        <f>"EPS010"</f>
        <v>EPS010</v>
      </c>
      <c r="R956" t="str">
        <f t="shared" ref="R956:R969" si="1164">"6"</f>
        <v>6</v>
      </c>
      <c r="S956" t="str">
        <f>""</f>
        <v/>
      </c>
      <c r="T956" t="str">
        <f t="shared" si="1151"/>
        <v xml:space="preserve">                                                                                                    </v>
      </c>
      <c r="U956" t="str">
        <f>"3         "</f>
        <v xml:space="preserve">3         </v>
      </c>
      <c r="V956" t="str">
        <f t="shared" si="1154"/>
        <v>2</v>
      </c>
      <c r="W956" t="str">
        <f t="shared" si="1152"/>
        <v>2</v>
      </c>
      <c r="X956" t="str">
        <f t="shared" si="1125"/>
        <v>2</v>
      </c>
      <c r="Y956" t="str">
        <f t="shared" si="1146"/>
        <v>2</v>
      </c>
      <c r="Z956" t="str">
        <f t="shared" si="1146"/>
        <v>2</v>
      </c>
      <c r="AA956" t="str">
        <f t="shared" si="1091"/>
        <v xml:space="preserve">          </v>
      </c>
      <c r="AB956" t="str">
        <f t="shared" ref="AB956:AB1019" si="1165">"2"</f>
        <v>2</v>
      </c>
      <c r="AC956" t="str">
        <f t="shared" si="1086"/>
        <v>2</v>
      </c>
      <c r="AD956" t="str">
        <f t="shared" si="1147"/>
        <v>2</v>
      </c>
      <c r="AE956" t="str">
        <f t="shared" si="1147"/>
        <v>2</v>
      </c>
      <c r="AF956" t="str">
        <f t="shared" si="1147"/>
        <v>2</v>
      </c>
      <c r="AG956" t="str">
        <f t="shared" si="1147"/>
        <v>2</v>
      </c>
      <c r="AH956" t="str">
        <f t="shared" si="1153"/>
        <v>1</v>
      </c>
      <c r="AI956" t="str">
        <f>"2         "</f>
        <v xml:space="preserve">2         </v>
      </c>
      <c r="AJ956" t="str">
        <f t="shared" si="1107"/>
        <v>170</v>
      </c>
      <c r="AK956" t="str">
        <f>"05"</f>
        <v>05</v>
      </c>
      <c r="AL956" t="str">
        <f>"615"</f>
        <v>615</v>
      </c>
      <c r="AM956" t="str">
        <f>"05"</f>
        <v>05</v>
      </c>
      <c r="AN956" t="str">
        <f>"05615"</f>
        <v>05615</v>
      </c>
      <c r="AO956" t="str">
        <f>"7/07/2020 12:00:00 a. m."</f>
        <v>7/07/2020 12:00:00 a. m.</v>
      </c>
      <c r="AP956" t="str">
        <f>"14/01/2020 12:00:00 a. m."</f>
        <v>14/01/2020 12:00:00 a. m.</v>
      </c>
      <c r="AQ956" t="str">
        <f>"3"</f>
        <v>3</v>
      </c>
      <c r="AR956" t="str">
        <f>"2"</f>
        <v>2</v>
      </c>
      <c r="AS956" t="str">
        <f>""</f>
        <v/>
      </c>
      <c r="AT956" t="str">
        <f t="shared" si="1157"/>
        <v>1</v>
      </c>
      <c r="AU956" t="str">
        <f>""</f>
        <v/>
      </c>
      <c r="AV956" t="str">
        <f>"7"</f>
        <v>7</v>
      </c>
      <c r="AW956" t="str">
        <f>"7/11/2002 12:00:00 a. m."</f>
        <v>7/11/2002 12:00:00 a. m.</v>
      </c>
      <c r="AX956" t="str">
        <f>""</f>
        <v/>
      </c>
      <c r="AY956" t="str">
        <f t="shared" si="1092"/>
        <v>30/04/2021 12:00:00 a. m.</v>
      </c>
      <c r="AZ956" t="str">
        <f>"12/08/2020 12:00:00 a. m."</f>
        <v>12/08/2020 12:00:00 a. m.</v>
      </c>
      <c r="BA956" t="str">
        <f>""</f>
        <v/>
      </c>
      <c r="BB956" t="str">
        <f>""</f>
        <v/>
      </c>
      <c r="BC956" t="str">
        <f>""</f>
        <v/>
      </c>
      <c r="BD956" t="str">
        <f t="shared" si="1149"/>
        <v>1</v>
      </c>
      <c r="BE956" t="str">
        <f t="shared" si="1149"/>
        <v>1</v>
      </c>
      <c r="BF956" t="str">
        <f t="shared" si="1093"/>
        <v xml:space="preserve">3         </v>
      </c>
      <c r="BG956" t="str">
        <f t="shared" si="1094"/>
        <v>Confirmado por laboratorio</v>
      </c>
      <c r="BH956" t="str">
        <f>"SOCIEDAD MEDICA DE RIONEGRO SA SOMER SA"</f>
        <v>SOCIEDAD MEDICA DE RIONEGRO SA SOMER SA</v>
      </c>
      <c r="BI956" t="str">
        <f t="shared" si="1163"/>
        <v>COLOMBIA</v>
      </c>
      <c r="BJ956" t="str">
        <f t="shared" si="1095"/>
        <v>CANCER INFANTIL</v>
      </c>
      <c r="BK956" t="str">
        <f>"ANTIOQUIA"</f>
        <v>ANTIOQUIA</v>
      </c>
      <c r="BL956" t="str">
        <f>"RIONEGRO"</f>
        <v>RIONEGRO</v>
      </c>
      <c r="BM956" t="str">
        <f t="shared" si="1109"/>
        <v>COLOMBIA</v>
      </c>
      <c r="BN956" t="str">
        <f>"ANTIOQUIA"</f>
        <v>ANTIOQUIA</v>
      </c>
      <c r="BO956" t="str">
        <f>"RIONEGRO"</f>
        <v>RIONEGRO</v>
      </c>
      <c r="BP956" t="str">
        <f>"ANTIOQUIA"</f>
        <v>ANTIOQUIA</v>
      </c>
      <c r="BQ956" t="str">
        <f>"RIONEGRO"</f>
        <v>RIONEGRO</v>
      </c>
    </row>
    <row r="957" spans="1:69" x14ac:dyDescent="0.25">
      <c r="A957" t="str">
        <f>"7291409"</f>
        <v>7291409</v>
      </c>
      <c r="B957" t="str">
        <f t="shared" si="1088"/>
        <v>459</v>
      </c>
      <c r="C957" t="str">
        <f>"16/07/2020 12:00:00 a. m."</f>
        <v>16/07/2020 12:00:00 a. m.</v>
      </c>
      <c r="D957" t="str">
        <f>"28"</f>
        <v>28</v>
      </c>
      <c r="E957" t="str">
        <f t="shared" si="1089"/>
        <v>2020</v>
      </c>
      <c r="F957" t="str">
        <f>"7600103799"</f>
        <v>7600103799</v>
      </c>
      <c r="G957" t="str">
        <f t="shared" si="1161"/>
        <v>01</v>
      </c>
      <c r="H957" t="str">
        <f>"8"</f>
        <v>8</v>
      </c>
      <c r="I957" t="str">
        <f t="shared" si="1156"/>
        <v>1</v>
      </c>
      <c r="J957" t="str">
        <f>"M"</f>
        <v>M</v>
      </c>
      <c r="K957" t="str">
        <f t="shared" si="1162"/>
        <v>170</v>
      </c>
      <c r="L957" t="str">
        <f>"76"</f>
        <v>76</v>
      </c>
      <c r="M957" t="str">
        <f>"001"</f>
        <v>001</v>
      </c>
      <c r="N957" t="str">
        <f t="shared" si="1158"/>
        <v>1</v>
      </c>
      <c r="O957" t="str">
        <f>"9999"</f>
        <v>9999</v>
      </c>
      <c r="P957" t="str">
        <f>"S"</f>
        <v>S</v>
      </c>
      <c r="Q957" t="str">
        <f>"ESS118"</f>
        <v>ESS118</v>
      </c>
      <c r="R957" t="str">
        <f t="shared" si="1164"/>
        <v>6</v>
      </c>
      <c r="S957" t="str">
        <f>""</f>
        <v/>
      </c>
      <c r="T957" t="str">
        <f t="shared" si="1151"/>
        <v xml:space="preserve">                                                                                                    </v>
      </c>
      <c r="U957" t="str">
        <f>"          "</f>
        <v xml:space="preserve">          </v>
      </c>
      <c r="V957" t="str">
        <f t="shared" si="1154"/>
        <v>2</v>
      </c>
      <c r="W957" t="str">
        <f t="shared" si="1152"/>
        <v>2</v>
      </c>
      <c r="X957" t="str">
        <f t="shared" si="1125"/>
        <v>2</v>
      </c>
      <c r="Y957" t="str">
        <f t="shared" si="1146"/>
        <v>2</v>
      </c>
      <c r="Z957" t="str">
        <f t="shared" si="1146"/>
        <v>2</v>
      </c>
      <c r="AA957" t="str">
        <f t="shared" si="1091"/>
        <v xml:space="preserve">          </v>
      </c>
      <c r="AB957" t="str">
        <f t="shared" si="1165"/>
        <v>2</v>
      </c>
      <c r="AC957" t="str">
        <f t="shared" ref="AC957:AC1015" si="1166">"2"</f>
        <v>2</v>
      </c>
      <c r="AD957" t="str">
        <f t="shared" si="1147"/>
        <v>2</v>
      </c>
      <c r="AE957" t="str">
        <f t="shared" si="1147"/>
        <v>2</v>
      </c>
      <c r="AF957" t="str">
        <f t="shared" si="1147"/>
        <v>2</v>
      </c>
      <c r="AG957" t="str">
        <f t="shared" si="1147"/>
        <v>2</v>
      </c>
      <c r="AH957" t="str">
        <f t="shared" si="1153"/>
        <v>1</v>
      </c>
      <c r="AI957" t="str">
        <f>"2         "</f>
        <v xml:space="preserve">2         </v>
      </c>
      <c r="AJ957" t="str">
        <f t="shared" si="1107"/>
        <v>170</v>
      </c>
      <c r="AK957" t="str">
        <f>"76"</f>
        <v>76</v>
      </c>
      <c r="AL957" t="str">
        <f>"001"</f>
        <v>001</v>
      </c>
      <c r="AM957" t="str">
        <f>"76"</f>
        <v>76</v>
      </c>
      <c r="AN957" t="str">
        <f>"76001"</f>
        <v>76001</v>
      </c>
      <c r="AO957" t="str">
        <f>"6/07/2020 12:00:00 a. m."</f>
        <v>6/07/2020 12:00:00 a. m.</v>
      </c>
      <c r="AP957" t="str">
        <f>"10/06/2020 12:00:00 a. m."</f>
        <v>10/06/2020 12:00:00 a. m.</v>
      </c>
      <c r="AQ957" t="str">
        <f>"3"</f>
        <v>3</v>
      </c>
      <c r="AR957" t="str">
        <f>"1"</f>
        <v>1</v>
      </c>
      <c r="AS957" t="str">
        <f>"6/07/2020 12:00:00 a. m."</f>
        <v>6/07/2020 12:00:00 a. m.</v>
      </c>
      <c r="AT957" t="str">
        <f t="shared" si="1157"/>
        <v>1</v>
      </c>
      <c r="AU957" t="str">
        <f>""</f>
        <v/>
      </c>
      <c r="AV957" t="str">
        <f>"3"</f>
        <v>3</v>
      </c>
      <c r="AW957" t="str">
        <f>"19/03/2012 12:00:00 a. m."</f>
        <v>19/03/2012 12:00:00 a. m.</v>
      </c>
      <c r="AX957" t="str">
        <f>""</f>
        <v/>
      </c>
      <c r="AY957" t="str">
        <f t="shared" si="1092"/>
        <v>30/04/2021 12:00:00 a. m.</v>
      </c>
      <c r="AZ957" t="str">
        <f>"28/07/2020 12:00:00 a. m."</f>
        <v>28/07/2020 12:00:00 a. m.</v>
      </c>
      <c r="BA957" t="str">
        <f>""</f>
        <v/>
      </c>
      <c r="BB957" t="str">
        <f>""</f>
        <v/>
      </c>
      <c r="BC957" t="str">
        <f>""</f>
        <v/>
      </c>
      <c r="BD957" t="str">
        <f t="shared" si="1149"/>
        <v>1</v>
      </c>
      <c r="BE957" t="str">
        <f t="shared" si="1149"/>
        <v>1</v>
      </c>
      <c r="BF957" t="str">
        <f t="shared" si="1093"/>
        <v xml:space="preserve">3         </v>
      </c>
      <c r="BG957" t="str">
        <f t="shared" si="1094"/>
        <v>Confirmado por laboratorio</v>
      </c>
      <c r="BH957" t="str">
        <f>"HOSPITAL UNIVERSITARIO DEL VALLE EVARISTO GARCIA"</f>
        <v>HOSPITAL UNIVERSITARIO DEL VALLE EVARISTO GARCIA</v>
      </c>
      <c r="BI957" t="str">
        <f t="shared" si="1163"/>
        <v>COLOMBIA</v>
      </c>
      <c r="BJ957" t="str">
        <f t="shared" si="1095"/>
        <v>CANCER INFANTIL</v>
      </c>
      <c r="BK957" t="str">
        <f>"VALLE"</f>
        <v>VALLE</v>
      </c>
      <c r="BL957" t="str">
        <f>"CALI"</f>
        <v>CALI</v>
      </c>
      <c r="BM957" t="str">
        <f t="shared" si="1109"/>
        <v>COLOMBIA</v>
      </c>
      <c r="BN957" t="str">
        <f>"VALLE"</f>
        <v>VALLE</v>
      </c>
      <c r="BO957" t="str">
        <f>"CALI"</f>
        <v>CALI</v>
      </c>
      <c r="BP957" t="str">
        <f>"VALLE"</f>
        <v>VALLE</v>
      </c>
      <c r="BQ957" t="str">
        <f>"CALI"</f>
        <v>CALI</v>
      </c>
    </row>
    <row r="958" spans="1:69" x14ac:dyDescent="0.25">
      <c r="A958" t="str">
        <f>"7291362"</f>
        <v>7291362</v>
      </c>
      <c r="B958" t="str">
        <f t="shared" si="1088"/>
        <v>459</v>
      </c>
      <c r="C958" t="str">
        <f>"5/09/2020 12:00:00 a. m."</f>
        <v>5/09/2020 12:00:00 a. m.</v>
      </c>
      <c r="D958" t="str">
        <f>"32"</f>
        <v>32</v>
      </c>
      <c r="E958" t="str">
        <f t="shared" si="1089"/>
        <v>2020</v>
      </c>
      <c r="F958" t="str">
        <f>"1700101096"</f>
        <v>1700101096</v>
      </c>
      <c r="G958" t="str">
        <f t="shared" si="1161"/>
        <v>01</v>
      </c>
      <c r="H958" t="str">
        <f>"7"</f>
        <v>7</v>
      </c>
      <c r="I958" t="str">
        <f t="shared" si="1156"/>
        <v>1</v>
      </c>
      <c r="J958" t="str">
        <f>"F"</f>
        <v>F</v>
      </c>
      <c r="K958" t="str">
        <f t="shared" si="1162"/>
        <v>170</v>
      </c>
      <c r="L958" t="str">
        <f>"73"</f>
        <v>73</v>
      </c>
      <c r="M958" t="str">
        <f>"226"</f>
        <v>226</v>
      </c>
      <c r="N958" t="str">
        <f>"3"</f>
        <v>3</v>
      </c>
      <c r="O958" t="str">
        <f>"9997"</f>
        <v>9997</v>
      </c>
      <c r="P958" t="str">
        <f>"S"</f>
        <v>S</v>
      </c>
      <c r="Q958" t="str">
        <f>"ESS062"</f>
        <v>ESS062</v>
      </c>
      <c r="R958" t="str">
        <f t="shared" si="1164"/>
        <v>6</v>
      </c>
      <c r="S958" t="str">
        <f>""</f>
        <v/>
      </c>
      <c r="T958" t="str">
        <f t="shared" si="1151"/>
        <v xml:space="preserve">                                                                                                    </v>
      </c>
      <c r="U958" t="str">
        <f>"1         "</f>
        <v xml:space="preserve">1         </v>
      </c>
      <c r="V958" t="str">
        <f t="shared" si="1154"/>
        <v>2</v>
      </c>
      <c r="W958" t="str">
        <f t="shared" si="1152"/>
        <v>2</v>
      </c>
      <c r="X958" t="str">
        <f t="shared" si="1125"/>
        <v>2</v>
      </c>
      <c r="Y958" t="str">
        <f t="shared" si="1146"/>
        <v>2</v>
      </c>
      <c r="Z958" t="str">
        <f t="shared" si="1146"/>
        <v>2</v>
      </c>
      <c r="AA958" t="str">
        <f t="shared" si="1091"/>
        <v xml:space="preserve">          </v>
      </c>
      <c r="AB958" t="str">
        <f t="shared" si="1165"/>
        <v>2</v>
      </c>
      <c r="AC958" t="str">
        <f t="shared" si="1166"/>
        <v>2</v>
      </c>
      <c r="AD958" t="str">
        <f t="shared" si="1147"/>
        <v>2</v>
      </c>
      <c r="AE958" t="str">
        <f t="shared" si="1147"/>
        <v>2</v>
      </c>
      <c r="AF958" t="str">
        <f t="shared" si="1147"/>
        <v>2</v>
      </c>
      <c r="AG958" t="str">
        <f t="shared" si="1147"/>
        <v>2</v>
      </c>
      <c r="AH958" t="str">
        <f t="shared" si="1153"/>
        <v>1</v>
      </c>
      <c r="AI958" t="str">
        <f t="shared" ref="AI958:AI965" si="1167">"1         "</f>
        <v xml:space="preserve">1         </v>
      </c>
      <c r="AJ958" t="str">
        <f t="shared" si="1107"/>
        <v>170</v>
      </c>
      <c r="AK958" t="str">
        <f>"17"</f>
        <v>17</v>
      </c>
      <c r="AL958" t="str">
        <f>"001"</f>
        <v>001</v>
      </c>
      <c r="AM958" t="str">
        <f>"17"</f>
        <v>17</v>
      </c>
      <c r="AN958" t="str">
        <f>"17001"</f>
        <v>17001</v>
      </c>
      <c r="AO958" t="str">
        <f>"4/08/2020 12:00:00 a. m."</f>
        <v>4/08/2020 12:00:00 a. m.</v>
      </c>
      <c r="AP958" t="str">
        <f>"24/07/2020 12:00:00 a. m."</f>
        <v>24/07/2020 12:00:00 a. m.</v>
      </c>
      <c r="AQ958" t="str">
        <f>"2"</f>
        <v>2</v>
      </c>
      <c r="AR958" t="str">
        <f>"1"</f>
        <v>1</v>
      </c>
      <c r="AS958" t="str">
        <f>"4/08/2020 12:00:00 a. m."</f>
        <v>4/08/2020 12:00:00 a. m.</v>
      </c>
      <c r="AT958" t="str">
        <f t="shared" si="1157"/>
        <v>1</v>
      </c>
      <c r="AU958" t="str">
        <f>""</f>
        <v/>
      </c>
      <c r="AV958" t="str">
        <f>"3"</f>
        <v>3</v>
      </c>
      <c r="AW958" t="str">
        <f>"5/04/2013 12:00:00 a. m."</f>
        <v>5/04/2013 12:00:00 a. m.</v>
      </c>
      <c r="AX958" t="str">
        <f>""</f>
        <v/>
      </c>
      <c r="AY958" t="str">
        <f t="shared" si="1092"/>
        <v>30/04/2021 12:00:00 a. m.</v>
      </c>
      <c r="AZ958" t="str">
        <f>"30/03/2021 12:00:00 a. m."</f>
        <v>30/03/2021 12:00:00 a. m.</v>
      </c>
      <c r="BA958" t="str">
        <f>""</f>
        <v/>
      </c>
      <c r="BB958" t="str">
        <f>""</f>
        <v/>
      </c>
      <c r="BC958" t="str">
        <f>""</f>
        <v/>
      </c>
      <c r="BD958" t="str">
        <f t="shared" si="1149"/>
        <v>1</v>
      </c>
      <c r="BE958" t="str">
        <f t="shared" si="1149"/>
        <v>1</v>
      </c>
      <c r="BF958" t="str">
        <f t="shared" si="1093"/>
        <v xml:space="preserve">3         </v>
      </c>
      <c r="BG958" t="str">
        <f t="shared" si="1094"/>
        <v>Confirmado por laboratorio</v>
      </c>
      <c r="BH958" t="str">
        <f>"ONCOLOGOS DE OCCIDENTE SA"</f>
        <v>ONCOLOGOS DE OCCIDENTE SA</v>
      </c>
      <c r="BI958" t="str">
        <f t="shared" si="1163"/>
        <v>COLOMBIA</v>
      </c>
      <c r="BJ958" t="str">
        <f t="shared" si="1095"/>
        <v>CANCER INFANTIL</v>
      </c>
      <c r="BK958" t="str">
        <f>"TOLIMA"</f>
        <v>TOLIMA</v>
      </c>
      <c r="BL958" t="str">
        <f>"CUNDAY"</f>
        <v>CUNDAY</v>
      </c>
      <c r="BM958" t="str">
        <f t="shared" si="1109"/>
        <v>COLOMBIA</v>
      </c>
      <c r="BN958" t="str">
        <f>"CALDAS"</f>
        <v>CALDAS</v>
      </c>
      <c r="BO958" t="str">
        <f>"MANIZALES"</f>
        <v>MANIZALES</v>
      </c>
      <c r="BP958" t="str">
        <f>"CALDAS"</f>
        <v>CALDAS</v>
      </c>
      <c r="BQ958" t="str">
        <f>"MANIZALES"</f>
        <v>MANIZALES</v>
      </c>
    </row>
    <row r="959" spans="1:69" x14ac:dyDescent="0.25">
      <c r="A959" t="str">
        <f>"7291357"</f>
        <v>7291357</v>
      </c>
      <c r="B959" t="str">
        <f t="shared" si="1088"/>
        <v>459</v>
      </c>
      <c r="C959" t="str">
        <f>"20/02/2020 12:00:00 a. m."</f>
        <v>20/02/2020 12:00:00 a. m.</v>
      </c>
      <c r="D959" t="str">
        <f>"06"</f>
        <v>06</v>
      </c>
      <c r="E959" t="str">
        <f t="shared" si="1089"/>
        <v>2020</v>
      </c>
      <c r="F959" t="str">
        <f>"1100123118"</f>
        <v>1100123118</v>
      </c>
      <c r="G959" t="str">
        <f t="shared" si="1161"/>
        <v>01</v>
      </c>
      <c r="H959" t="str">
        <f>"10"</f>
        <v>10</v>
      </c>
      <c r="I959" t="str">
        <f t="shared" si="1156"/>
        <v>1</v>
      </c>
      <c r="J959" t="str">
        <f>"M"</f>
        <v>M</v>
      </c>
      <c r="K959" t="str">
        <f t="shared" si="1162"/>
        <v>170</v>
      </c>
      <c r="L959" t="str">
        <f>"11"</f>
        <v>11</v>
      </c>
      <c r="M959" t="str">
        <f>"001"</f>
        <v>001</v>
      </c>
      <c r="N959" t="str">
        <f t="shared" ref="N959:N971" si="1168">"1"</f>
        <v>1</v>
      </c>
      <c r="O959" t="str">
        <f>"9997"</f>
        <v>9997</v>
      </c>
      <c r="P959" t="str">
        <f>"P"</f>
        <v>P</v>
      </c>
      <c r="Q959" t="str">
        <f>"RES001"</f>
        <v>RES001</v>
      </c>
      <c r="R959" t="str">
        <f t="shared" si="1164"/>
        <v>6</v>
      </c>
      <c r="S959" t="str">
        <f>""</f>
        <v/>
      </c>
      <c r="T959" t="str">
        <f t="shared" si="1151"/>
        <v xml:space="preserve">                                                                                                    </v>
      </c>
      <c r="U959" t="str">
        <f>"3         "</f>
        <v xml:space="preserve">3         </v>
      </c>
      <c r="V959" t="str">
        <f t="shared" si="1154"/>
        <v>2</v>
      </c>
      <c r="W959" t="str">
        <f t="shared" si="1152"/>
        <v>2</v>
      </c>
      <c r="X959" t="str">
        <f t="shared" si="1125"/>
        <v>2</v>
      </c>
      <c r="Y959" t="str">
        <f t="shared" ref="Y959:Z978" si="1169">"2"</f>
        <v>2</v>
      </c>
      <c r="Z959" t="str">
        <f t="shared" si="1169"/>
        <v>2</v>
      </c>
      <c r="AA959" t="str">
        <f t="shared" si="1091"/>
        <v xml:space="preserve">          </v>
      </c>
      <c r="AB959" t="str">
        <f t="shared" si="1165"/>
        <v>2</v>
      </c>
      <c r="AC959" t="str">
        <f t="shared" si="1166"/>
        <v>2</v>
      </c>
      <c r="AD959" t="str">
        <f t="shared" si="1147"/>
        <v>2</v>
      </c>
      <c r="AE959" t="str">
        <f t="shared" si="1147"/>
        <v>2</v>
      </c>
      <c r="AF959" t="str">
        <f t="shared" si="1147"/>
        <v>2</v>
      </c>
      <c r="AG959" t="str">
        <f t="shared" si="1147"/>
        <v>2</v>
      </c>
      <c r="AH959" t="str">
        <f t="shared" si="1153"/>
        <v>1</v>
      </c>
      <c r="AI959" t="str">
        <f t="shared" si="1167"/>
        <v xml:space="preserve">1         </v>
      </c>
      <c r="AJ959" t="str">
        <f t="shared" si="1107"/>
        <v>170</v>
      </c>
      <c r="AK959" t="str">
        <f>"50"</f>
        <v>50</v>
      </c>
      <c r="AL959" t="str">
        <f>"001"</f>
        <v>001</v>
      </c>
      <c r="AM959" t="str">
        <f>"11"</f>
        <v>11</v>
      </c>
      <c r="AN959" t="str">
        <f>"11001"</f>
        <v>11001</v>
      </c>
      <c r="AO959" t="str">
        <f>"7/02/2020 12:00:00 a. m."</f>
        <v>7/02/2020 12:00:00 a. m.</v>
      </c>
      <c r="AP959" t="str">
        <f>"2/10/2019 12:00:00 a. m."</f>
        <v>2/10/2019 12:00:00 a. m.</v>
      </c>
      <c r="AQ959" t="str">
        <f>"2"</f>
        <v>2</v>
      </c>
      <c r="AR959" t="str">
        <f>"1"</f>
        <v>1</v>
      </c>
      <c r="AS959" t="str">
        <f>"7/02/2020 12:00:00 a. m."</f>
        <v>7/02/2020 12:00:00 a. m.</v>
      </c>
      <c r="AT959" t="str">
        <f t="shared" si="1157"/>
        <v>1</v>
      </c>
      <c r="AU959" t="str">
        <f>""</f>
        <v/>
      </c>
      <c r="AV959" t="str">
        <f>"3"</f>
        <v>3</v>
      </c>
      <c r="AW959" t="str">
        <f>"5/06/2009 12:00:00 a. m."</f>
        <v>5/06/2009 12:00:00 a. m.</v>
      </c>
      <c r="AX959" t="str">
        <f>""</f>
        <v/>
      </c>
      <c r="AY959" t="str">
        <f t="shared" si="1092"/>
        <v>30/04/2021 12:00:00 a. m.</v>
      </c>
      <c r="AZ959" t="str">
        <f>"16/04/2020 12:00:00 a. m."</f>
        <v>16/04/2020 12:00:00 a. m.</v>
      </c>
      <c r="BA959" t="str">
        <f>""</f>
        <v/>
      </c>
      <c r="BB959" t="str">
        <f>""</f>
        <v/>
      </c>
      <c r="BC959" t="str">
        <f>""</f>
        <v/>
      </c>
      <c r="BD959" t="str">
        <f t="shared" si="1149"/>
        <v>1</v>
      </c>
      <c r="BE959" t="str">
        <f t="shared" si="1149"/>
        <v>1</v>
      </c>
      <c r="BF959" t="str">
        <f t="shared" si="1093"/>
        <v xml:space="preserve">3         </v>
      </c>
      <c r="BG959" t="str">
        <f t="shared" si="1094"/>
        <v>Confirmado por laboratorio</v>
      </c>
      <c r="BH959" t="str">
        <f>"HOSPITAL CENTRAL POLICIA"</f>
        <v>HOSPITAL CENTRAL POLICIA</v>
      </c>
      <c r="BI959" t="str">
        <f t="shared" si="1163"/>
        <v>COLOMBIA</v>
      </c>
      <c r="BJ959" t="str">
        <f t="shared" si="1095"/>
        <v>CANCER INFANTIL</v>
      </c>
      <c r="BK959" t="str">
        <f t="shared" ref="BK959:BL961" si="1170">"BOGOTA"</f>
        <v>BOGOTA</v>
      </c>
      <c r="BL959" t="str">
        <f t="shared" si="1170"/>
        <v>BOGOTA</v>
      </c>
      <c r="BM959" t="str">
        <f t="shared" si="1109"/>
        <v>COLOMBIA</v>
      </c>
      <c r="BN959" t="str">
        <f>"META"</f>
        <v>META</v>
      </c>
      <c r="BO959" t="str">
        <f>"VILLAVICENCIO"</f>
        <v>VILLAVICENCIO</v>
      </c>
      <c r="BP959" t="str">
        <f t="shared" ref="BP959:BQ961" si="1171">"BOGOTA"</f>
        <v>BOGOTA</v>
      </c>
      <c r="BQ959" t="str">
        <f t="shared" si="1171"/>
        <v>BOGOTA</v>
      </c>
    </row>
    <row r="960" spans="1:69" x14ac:dyDescent="0.25">
      <c r="A960" t="str">
        <f>"7278702"</f>
        <v>7278702</v>
      </c>
      <c r="B960" t="str">
        <f t="shared" si="1088"/>
        <v>459</v>
      </c>
      <c r="C960" t="str">
        <f>"20/01/2020 12:00:00 a. m."</f>
        <v>20/01/2020 12:00:00 a. m.</v>
      </c>
      <c r="D960" t="str">
        <f>"04"</f>
        <v>04</v>
      </c>
      <c r="E960" t="str">
        <f t="shared" si="1089"/>
        <v>2020</v>
      </c>
      <c r="F960" t="str">
        <f>"1100102654"</f>
        <v>1100102654</v>
      </c>
      <c r="G960" t="str">
        <f t="shared" si="1161"/>
        <v>01</v>
      </c>
      <c r="H960" t="str">
        <f>"2"</f>
        <v>2</v>
      </c>
      <c r="I960" t="str">
        <f>"2"</f>
        <v>2</v>
      </c>
      <c r="J960" t="str">
        <f>"M"</f>
        <v>M</v>
      </c>
      <c r="K960" t="str">
        <f t="shared" si="1162"/>
        <v>170</v>
      </c>
      <c r="L960" t="str">
        <f>"11"</f>
        <v>11</v>
      </c>
      <c r="M960" t="str">
        <f>"001"</f>
        <v>001</v>
      </c>
      <c r="N960" t="str">
        <f t="shared" si="1168"/>
        <v>1</v>
      </c>
      <c r="O960" t="str">
        <f>"9999"</f>
        <v>9999</v>
      </c>
      <c r="P960" t="str">
        <f>"S"</f>
        <v>S</v>
      </c>
      <c r="Q960" t="str">
        <f>"EPSS41"</f>
        <v>EPSS41</v>
      </c>
      <c r="R960" t="str">
        <f t="shared" si="1164"/>
        <v>6</v>
      </c>
      <c r="S960" t="str">
        <f>""</f>
        <v/>
      </c>
      <c r="T960" t="str">
        <f t="shared" si="1151"/>
        <v xml:space="preserve">                                                                                                    </v>
      </c>
      <c r="U960" t="str">
        <f>"1         "</f>
        <v xml:space="preserve">1         </v>
      </c>
      <c r="V960" t="str">
        <f t="shared" si="1154"/>
        <v>2</v>
      </c>
      <c r="W960" t="str">
        <f t="shared" si="1152"/>
        <v>2</v>
      </c>
      <c r="X960" t="str">
        <f t="shared" si="1125"/>
        <v>2</v>
      </c>
      <c r="Y960" t="str">
        <f t="shared" si="1169"/>
        <v>2</v>
      </c>
      <c r="Z960" t="str">
        <f t="shared" si="1169"/>
        <v>2</v>
      </c>
      <c r="AA960" t="str">
        <f t="shared" si="1091"/>
        <v xml:space="preserve">          </v>
      </c>
      <c r="AB960" t="str">
        <f t="shared" si="1165"/>
        <v>2</v>
      </c>
      <c r="AC960" t="str">
        <f t="shared" si="1166"/>
        <v>2</v>
      </c>
      <c r="AD960" t="str">
        <f t="shared" ref="AD960:AG979" si="1172">"2"</f>
        <v>2</v>
      </c>
      <c r="AE960" t="str">
        <f t="shared" si="1172"/>
        <v>2</v>
      </c>
      <c r="AF960" t="str">
        <f t="shared" si="1172"/>
        <v>2</v>
      </c>
      <c r="AG960" t="str">
        <f t="shared" si="1172"/>
        <v>2</v>
      </c>
      <c r="AH960" t="str">
        <f t="shared" si="1153"/>
        <v>1</v>
      </c>
      <c r="AI960" t="str">
        <f t="shared" si="1167"/>
        <v xml:space="preserve">1         </v>
      </c>
      <c r="AJ960" t="str">
        <f t="shared" si="1107"/>
        <v>170</v>
      </c>
      <c r="AK960" t="str">
        <f>"11"</f>
        <v>11</v>
      </c>
      <c r="AL960" t="str">
        <f>"001"</f>
        <v>001</v>
      </c>
      <c r="AM960" t="str">
        <f>"11"</f>
        <v>11</v>
      </c>
      <c r="AN960" t="str">
        <f>"11001"</f>
        <v>11001</v>
      </c>
      <c r="AO960" t="str">
        <f>"20/01/2020 12:00:00 a. m."</f>
        <v>20/01/2020 12:00:00 a. m.</v>
      </c>
      <c r="AP960" t="str">
        <f>"23/11/2019 12:00:00 a. m."</f>
        <v>23/11/2019 12:00:00 a. m.</v>
      </c>
      <c r="AQ960" t="str">
        <f>"2"</f>
        <v>2</v>
      </c>
      <c r="AR960" t="str">
        <f>"2"</f>
        <v>2</v>
      </c>
      <c r="AS960" t="str">
        <f>""</f>
        <v/>
      </c>
      <c r="AT960" t="str">
        <f t="shared" si="1157"/>
        <v>1</v>
      </c>
      <c r="AU960" t="str">
        <f>""</f>
        <v/>
      </c>
      <c r="AV960" t="str">
        <f>"3"</f>
        <v>3</v>
      </c>
      <c r="AW960" t="str">
        <f>"23/11/2019 12:00:00 a. m."</f>
        <v>23/11/2019 12:00:00 a. m.</v>
      </c>
      <c r="AX960" t="str">
        <f>""</f>
        <v/>
      </c>
      <c r="AY960" t="str">
        <f t="shared" si="1092"/>
        <v>30/04/2021 12:00:00 a. m.</v>
      </c>
      <c r="AZ960" t="str">
        <f>"21/02/2020 12:00:00 a. m."</f>
        <v>21/02/2020 12:00:00 a. m.</v>
      </c>
      <c r="BA960" t="str">
        <f>""</f>
        <v/>
      </c>
      <c r="BB960" t="str">
        <f>""</f>
        <v/>
      </c>
      <c r="BC960" t="str">
        <f>""</f>
        <v/>
      </c>
      <c r="BD960" t="str">
        <f t="shared" si="1149"/>
        <v>1</v>
      </c>
      <c r="BE960" t="str">
        <f t="shared" si="1149"/>
        <v>1</v>
      </c>
      <c r="BF960" t="str">
        <f t="shared" si="1093"/>
        <v xml:space="preserve">3         </v>
      </c>
      <c r="BG960" t="str">
        <f t="shared" si="1094"/>
        <v>Confirmado por laboratorio</v>
      </c>
      <c r="BH960" t="str">
        <f>"ESE CENTRO DERMATOLÓGICO FEDERICO LLERAS ACOSTA"</f>
        <v>ESE CENTRO DERMATOLÓGICO FEDERICO LLERAS ACOSTA</v>
      </c>
      <c r="BI960" t="str">
        <f t="shared" si="1163"/>
        <v>COLOMBIA</v>
      </c>
      <c r="BJ960" t="str">
        <f t="shared" si="1095"/>
        <v>CANCER INFANTIL</v>
      </c>
      <c r="BK960" t="str">
        <f t="shared" si="1170"/>
        <v>BOGOTA</v>
      </c>
      <c r="BL960" t="str">
        <f t="shared" si="1170"/>
        <v>BOGOTA</v>
      </c>
      <c r="BM960" t="str">
        <f t="shared" si="1109"/>
        <v>COLOMBIA</v>
      </c>
      <c r="BN960" t="str">
        <f>"BOGOTA"</f>
        <v>BOGOTA</v>
      </c>
      <c r="BO960" t="str">
        <f>"BOGOTA"</f>
        <v>BOGOTA</v>
      </c>
      <c r="BP960" t="str">
        <f t="shared" si="1171"/>
        <v>BOGOTA</v>
      </c>
      <c r="BQ960" t="str">
        <f t="shared" si="1171"/>
        <v>BOGOTA</v>
      </c>
    </row>
    <row r="961" spans="1:69" x14ac:dyDescent="0.25">
      <c r="A961" t="str">
        <f>"7278699"</f>
        <v>7278699</v>
      </c>
      <c r="B961" t="str">
        <f t="shared" si="1088"/>
        <v>459</v>
      </c>
      <c r="C961" t="str">
        <f>"27/03/2020 12:00:00 a. m."</f>
        <v>27/03/2020 12:00:00 a. m.</v>
      </c>
      <c r="D961" t="str">
        <f>"13"</f>
        <v>13</v>
      </c>
      <c r="E961" t="str">
        <f t="shared" si="1089"/>
        <v>2020</v>
      </c>
      <c r="F961" t="str">
        <f>"1100109111"</f>
        <v>1100109111</v>
      </c>
      <c r="G961" t="str">
        <f t="shared" si="1161"/>
        <v>01</v>
      </c>
      <c r="H961" t="str">
        <f>"8"</f>
        <v>8</v>
      </c>
      <c r="I961" t="str">
        <f>"1"</f>
        <v>1</v>
      </c>
      <c r="J961" t="str">
        <f>"M"</f>
        <v>M</v>
      </c>
      <c r="K961" t="str">
        <f t="shared" si="1162"/>
        <v>170</v>
      </c>
      <c r="L961" t="str">
        <f>"11"</f>
        <v>11</v>
      </c>
      <c r="M961" t="str">
        <f>"001"</f>
        <v>001</v>
      </c>
      <c r="N961" t="str">
        <f t="shared" si="1168"/>
        <v>1</v>
      </c>
      <c r="O961" t="str">
        <f>"9998"</f>
        <v>9998</v>
      </c>
      <c r="P961" t="str">
        <f>"S"</f>
        <v>S</v>
      </c>
      <c r="Q961" t="str">
        <f>"EPSS34"</f>
        <v>EPSS34</v>
      </c>
      <c r="R961" t="str">
        <f t="shared" si="1164"/>
        <v>6</v>
      </c>
      <c r="S961" t="str">
        <f>""</f>
        <v/>
      </c>
      <c r="T961" t="str">
        <f t="shared" si="1151"/>
        <v xml:space="preserve">                                                                                                    </v>
      </c>
      <c r="U961" t="str">
        <f>"2         "</f>
        <v xml:space="preserve">2         </v>
      </c>
      <c r="V961" t="str">
        <f t="shared" si="1154"/>
        <v>2</v>
      </c>
      <c r="W961" t="str">
        <f t="shared" si="1152"/>
        <v>2</v>
      </c>
      <c r="X961" t="str">
        <f t="shared" si="1125"/>
        <v>2</v>
      </c>
      <c r="Y961" t="str">
        <f t="shared" si="1169"/>
        <v>2</v>
      </c>
      <c r="Z961" t="str">
        <f t="shared" si="1169"/>
        <v>2</v>
      </c>
      <c r="AA961" t="str">
        <f t="shared" si="1091"/>
        <v xml:space="preserve">          </v>
      </c>
      <c r="AB961" t="str">
        <f t="shared" si="1165"/>
        <v>2</v>
      </c>
      <c r="AC961" t="str">
        <f t="shared" si="1166"/>
        <v>2</v>
      </c>
      <c r="AD961" t="str">
        <f t="shared" si="1172"/>
        <v>2</v>
      </c>
      <c r="AE961" t="str">
        <f t="shared" si="1172"/>
        <v>2</v>
      </c>
      <c r="AF961" t="str">
        <f t="shared" si="1172"/>
        <v>2</v>
      </c>
      <c r="AG961" t="str">
        <f t="shared" si="1172"/>
        <v>2</v>
      </c>
      <c r="AH961" t="str">
        <f t="shared" si="1153"/>
        <v>1</v>
      </c>
      <c r="AI961" t="str">
        <f t="shared" si="1167"/>
        <v xml:space="preserve">1         </v>
      </c>
      <c r="AJ961" t="str">
        <f t="shared" si="1107"/>
        <v>170</v>
      </c>
      <c r="AK961" t="str">
        <f>"11"</f>
        <v>11</v>
      </c>
      <c r="AL961" t="str">
        <f>"001"</f>
        <v>001</v>
      </c>
      <c r="AM961" t="str">
        <f>"11"</f>
        <v>11</v>
      </c>
      <c r="AN961" t="str">
        <f>"11001"</f>
        <v>11001</v>
      </c>
      <c r="AO961" t="str">
        <f>"26/03/2020 12:00:00 a. m."</f>
        <v>26/03/2020 12:00:00 a. m.</v>
      </c>
      <c r="AP961" t="str">
        <f>"4/03/2020 12:00:00 a. m."</f>
        <v>4/03/2020 12:00:00 a. m.</v>
      </c>
      <c r="AQ961" t="str">
        <f>"3"</f>
        <v>3</v>
      </c>
      <c r="AR961" t="str">
        <f>"1"</f>
        <v>1</v>
      </c>
      <c r="AS961" t="str">
        <f>"26/03/2020 12:00:00 a. m."</f>
        <v>26/03/2020 12:00:00 a. m.</v>
      </c>
      <c r="AT961" t="str">
        <f t="shared" si="1157"/>
        <v>1</v>
      </c>
      <c r="AU961" t="str">
        <f>""</f>
        <v/>
      </c>
      <c r="AV961" t="str">
        <f>"7"</f>
        <v>7</v>
      </c>
      <c r="AW961" t="str">
        <f>"10/03/2012 12:00:00 a. m."</f>
        <v>10/03/2012 12:00:00 a. m.</v>
      </c>
      <c r="AX961" t="str">
        <f>""</f>
        <v/>
      </c>
      <c r="AY961" t="str">
        <f t="shared" si="1092"/>
        <v>30/04/2021 12:00:00 a. m.</v>
      </c>
      <c r="AZ961" t="str">
        <f>"6/01/2021 12:00:00 a. m."</f>
        <v>6/01/2021 12:00:00 a. m.</v>
      </c>
      <c r="BA961" t="str">
        <f>""</f>
        <v/>
      </c>
      <c r="BB961" t="str">
        <f>""</f>
        <v/>
      </c>
      <c r="BC961" t="str">
        <f>""</f>
        <v/>
      </c>
      <c r="BD961" t="str">
        <f t="shared" si="1149"/>
        <v>1</v>
      </c>
      <c r="BE961" t="str">
        <f t="shared" si="1149"/>
        <v>1</v>
      </c>
      <c r="BF961" t="str">
        <f t="shared" si="1093"/>
        <v xml:space="preserve">3         </v>
      </c>
      <c r="BG961" t="str">
        <f t="shared" si="1094"/>
        <v>Confirmado por laboratorio</v>
      </c>
      <c r="BH961" t="str">
        <f>"FUNDACION CARDIOINFANTIL INSTITUTO DE CARDIOLOGIA"</f>
        <v>FUNDACION CARDIOINFANTIL INSTITUTO DE CARDIOLOGIA</v>
      </c>
      <c r="BI961" t="str">
        <f t="shared" si="1163"/>
        <v>COLOMBIA</v>
      </c>
      <c r="BJ961" t="str">
        <f t="shared" si="1095"/>
        <v>CANCER INFANTIL</v>
      </c>
      <c r="BK961" t="str">
        <f t="shared" si="1170"/>
        <v>BOGOTA</v>
      </c>
      <c r="BL961" t="str">
        <f t="shared" si="1170"/>
        <v>BOGOTA</v>
      </c>
      <c r="BM961" t="str">
        <f t="shared" si="1109"/>
        <v>COLOMBIA</v>
      </c>
      <c r="BN961" t="str">
        <f>"BOGOTA"</f>
        <v>BOGOTA</v>
      </c>
      <c r="BO961" t="str">
        <f>"BOGOTA"</f>
        <v>BOGOTA</v>
      </c>
      <c r="BP961" t="str">
        <f t="shared" si="1171"/>
        <v>BOGOTA</v>
      </c>
      <c r="BQ961" t="str">
        <f t="shared" si="1171"/>
        <v>BOGOTA</v>
      </c>
    </row>
    <row r="962" spans="1:69" x14ac:dyDescent="0.25">
      <c r="A962" t="str">
        <f>"7291426"</f>
        <v>7291426</v>
      </c>
      <c r="B962" t="str">
        <f t="shared" ref="B962:B1025" si="1173">"459"</f>
        <v>459</v>
      </c>
      <c r="C962" t="str">
        <f>"15/05/2020 12:00:00 a. m."</f>
        <v>15/05/2020 12:00:00 a. m.</v>
      </c>
      <c r="D962" t="str">
        <f>"17"</f>
        <v>17</v>
      </c>
      <c r="E962" t="str">
        <f t="shared" ref="E962:E1025" si="1174">"2020"</f>
        <v>2020</v>
      </c>
      <c r="F962" t="str">
        <f>"7600102870"</f>
        <v>7600102870</v>
      </c>
      <c r="G962" t="str">
        <f t="shared" si="1161"/>
        <v>01</v>
      </c>
      <c r="H962" t="str">
        <f>"11"</f>
        <v>11</v>
      </c>
      <c r="I962" t="str">
        <f>"1"</f>
        <v>1</v>
      </c>
      <c r="J962" t="str">
        <f>"M"</f>
        <v>M</v>
      </c>
      <c r="K962" t="str">
        <f t="shared" si="1162"/>
        <v>170</v>
      </c>
      <c r="L962" t="str">
        <f>"76"</f>
        <v>76</v>
      </c>
      <c r="M962" t="str">
        <f>"520"</f>
        <v>520</v>
      </c>
      <c r="N962" t="str">
        <f t="shared" si="1168"/>
        <v>1</v>
      </c>
      <c r="O962" t="str">
        <f>"9999"</f>
        <v>9999</v>
      </c>
      <c r="P962" t="str">
        <f>"C"</f>
        <v>C</v>
      </c>
      <c r="Q962" t="str">
        <f>"EPS005"</f>
        <v>EPS005</v>
      </c>
      <c r="R962" t="str">
        <f t="shared" si="1164"/>
        <v>6</v>
      </c>
      <c r="S962" t="str">
        <f>""</f>
        <v/>
      </c>
      <c r="T962" t="str">
        <f t="shared" si="1151"/>
        <v xml:space="preserve">                                                                                                    </v>
      </c>
      <c r="U962" t="str">
        <f>"          "</f>
        <v xml:space="preserve">          </v>
      </c>
      <c r="V962" t="str">
        <f t="shared" si="1154"/>
        <v>2</v>
      </c>
      <c r="W962" t="str">
        <f t="shared" si="1152"/>
        <v>2</v>
      </c>
      <c r="X962" t="str">
        <f t="shared" si="1125"/>
        <v>2</v>
      </c>
      <c r="Y962" t="str">
        <f t="shared" si="1169"/>
        <v>2</v>
      </c>
      <c r="Z962" t="str">
        <f t="shared" si="1169"/>
        <v>2</v>
      </c>
      <c r="AA962" t="str">
        <f t="shared" ref="AA962:AA1025" si="1175">"          "</f>
        <v xml:space="preserve">          </v>
      </c>
      <c r="AB962" t="str">
        <f t="shared" si="1165"/>
        <v>2</v>
      </c>
      <c r="AC962" t="str">
        <f t="shared" si="1166"/>
        <v>2</v>
      </c>
      <c r="AD962" t="str">
        <f t="shared" si="1172"/>
        <v>2</v>
      </c>
      <c r="AE962" t="str">
        <f t="shared" si="1172"/>
        <v>2</v>
      </c>
      <c r="AF962" t="str">
        <f t="shared" si="1172"/>
        <v>2</v>
      </c>
      <c r="AG962" t="str">
        <f t="shared" si="1172"/>
        <v>2</v>
      </c>
      <c r="AH962" t="str">
        <f t="shared" si="1153"/>
        <v>1</v>
      </c>
      <c r="AI962" t="str">
        <f t="shared" si="1167"/>
        <v xml:space="preserve">1         </v>
      </c>
      <c r="AJ962" t="str">
        <f t="shared" si="1107"/>
        <v>170</v>
      </c>
      <c r="AK962" t="str">
        <f>"76"</f>
        <v>76</v>
      </c>
      <c r="AL962" t="str">
        <f>"520"</f>
        <v>520</v>
      </c>
      <c r="AM962" t="str">
        <f>"76"</f>
        <v>76</v>
      </c>
      <c r="AN962" t="str">
        <f>"76001"</f>
        <v>76001</v>
      </c>
      <c r="AO962" t="str">
        <f>"19/04/2020 12:00:00 a. m."</f>
        <v>19/04/2020 12:00:00 a. m.</v>
      </c>
      <c r="AP962" t="str">
        <f>"4/04/2020 12:00:00 a. m."</f>
        <v>4/04/2020 12:00:00 a. m.</v>
      </c>
      <c r="AQ962" t="str">
        <f>"3"</f>
        <v>3</v>
      </c>
      <c r="AR962" t="str">
        <f>"1"</f>
        <v>1</v>
      </c>
      <c r="AS962" t="str">
        <f>"19/04/2020 12:00:00 a. m."</f>
        <v>19/04/2020 12:00:00 a. m.</v>
      </c>
      <c r="AT962" t="str">
        <f t="shared" si="1157"/>
        <v>1</v>
      </c>
      <c r="AU962" t="str">
        <f>""</f>
        <v/>
      </c>
      <c r="AV962" t="str">
        <f>"0"</f>
        <v>0</v>
      </c>
      <c r="AW962" t="str">
        <f>"8/08/2008 12:00:00 a. m."</f>
        <v>8/08/2008 12:00:00 a. m.</v>
      </c>
      <c r="AX962" t="str">
        <f>""</f>
        <v/>
      </c>
      <c r="AY962" t="str">
        <f t="shared" ref="AY962:AY1025" si="1176">"30/04/2021 12:00:00 a. m."</f>
        <v>30/04/2021 12:00:00 a. m.</v>
      </c>
      <c r="AZ962" t="str">
        <f>"18/05/2020 12:00:00 a. m."</f>
        <v>18/05/2020 12:00:00 a. m.</v>
      </c>
      <c r="BA962" t="str">
        <f>""</f>
        <v/>
      </c>
      <c r="BB962" t="str">
        <f>""</f>
        <v/>
      </c>
      <c r="BC962" t="str">
        <f>""</f>
        <v/>
      </c>
      <c r="BD962" t="str">
        <f t="shared" ref="BD962:BE981" si="1177">"1"</f>
        <v>1</v>
      </c>
      <c r="BE962" t="str">
        <f t="shared" si="1177"/>
        <v>1</v>
      </c>
      <c r="BF962" t="str">
        <f t="shared" ref="BF962:BF1025" si="1178">"3         "</f>
        <v xml:space="preserve">3         </v>
      </c>
      <c r="BG962" t="str">
        <f t="shared" ref="BG962:BG1025" si="1179">"Confirmado por laboratorio"</f>
        <v>Confirmado por laboratorio</v>
      </c>
      <c r="BH962" t="str">
        <f>"FUNDACION VALLE DEL LILI"</f>
        <v>FUNDACION VALLE DEL LILI</v>
      </c>
      <c r="BI962" t="str">
        <f t="shared" si="1163"/>
        <v>COLOMBIA</v>
      </c>
      <c r="BJ962" t="str">
        <f t="shared" ref="BJ962:BJ1025" si="1180">"CANCER INFANTIL"</f>
        <v>CANCER INFANTIL</v>
      </c>
      <c r="BK962" t="str">
        <f>"VALLE"</f>
        <v>VALLE</v>
      </c>
      <c r="BL962" t="str">
        <f>"PALMIRA"</f>
        <v>PALMIRA</v>
      </c>
      <c r="BM962" t="str">
        <f t="shared" si="1109"/>
        <v>COLOMBIA</v>
      </c>
      <c r="BN962" t="str">
        <f>"VALLE"</f>
        <v>VALLE</v>
      </c>
      <c r="BO962" t="str">
        <f>"PALMIRA"</f>
        <v>PALMIRA</v>
      </c>
      <c r="BP962" t="str">
        <f>"VALLE"</f>
        <v>VALLE</v>
      </c>
      <c r="BQ962" t="str">
        <f>"CALI"</f>
        <v>CALI</v>
      </c>
    </row>
    <row r="963" spans="1:69" x14ac:dyDescent="0.25">
      <c r="A963" t="str">
        <f>"7291464"</f>
        <v>7291464</v>
      </c>
      <c r="B963" t="str">
        <f t="shared" si="1173"/>
        <v>459</v>
      </c>
      <c r="C963" t="str">
        <f>"9/06/2020 12:00:00 a. m."</f>
        <v>9/06/2020 12:00:00 a. m.</v>
      </c>
      <c r="D963" t="str">
        <f>"24"</f>
        <v>24</v>
      </c>
      <c r="E963" t="str">
        <f t="shared" si="1174"/>
        <v>2020</v>
      </c>
      <c r="F963" t="str">
        <f>"1100109111"</f>
        <v>1100109111</v>
      </c>
      <c r="G963" t="str">
        <f t="shared" si="1161"/>
        <v>01</v>
      </c>
      <c r="H963" t="str">
        <f>"10"</f>
        <v>10</v>
      </c>
      <c r="I963" t="str">
        <f>"2"</f>
        <v>2</v>
      </c>
      <c r="J963" t="str">
        <f>"F"</f>
        <v>F</v>
      </c>
      <c r="K963" t="str">
        <f t="shared" si="1162"/>
        <v>170</v>
      </c>
      <c r="L963" t="str">
        <f>"25"</f>
        <v>25</v>
      </c>
      <c r="M963" t="str">
        <f>"473"</f>
        <v>473</v>
      </c>
      <c r="N963" t="str">
        <f t="shared" si="1168"/>
        <v>1</v>
      </c>
      <c r="O963" t="str">
        <f>"9999"</f>
        <v>9999</v>
      </c>
      <c r="P963" t="str">
        <f>"P"</f>
        <v>P</v>
      </c>
      <c r="Q963" t="str">
        <f>"RES002"</f>
        <v>RES002</v>
      </c>
      <c r="R963" t="str">
        <f t="shared" si="1164"/>
        <v>6</v>
      </c>
      <c r="S963" t="str">
        <f>""</f>
        <v/>
      </c>
      <c r="T963" t="str">
        <f t="shared" si="1151"/>
        <v xml:space="preserve">                                                                                                    </v>
      </c>
      <c r="U963" t="str">
        <f>"2         "</f>
        <v xml:space="preserve">2         </v>
      </c>
      <c r="V963" t="str">
        <f t="shared" si="1154"/>
        <v>2</v>
      </c>
      <c r="W963" t="str">
        <f t="shared" si="1152"/>
        <v>2</v>
      </c>
      <c r="X963" t="str">
        <f t="shared" si="1125"/>
        <v>2</v>
      </c>
      <c r="Y963" t="str">
        <f t="shared" si="1169"/>
        <v>2</v>
      </c>
      <c r="Z963" t="str">
        <f t="shared" si="1169"/>
        <v>2</v>
      </c>
      <c r="AA963" t="str">
        <f t="shared" si="1175"/>
        <v xml:space="preserve">          </v>
      </c>
      <c r="AB963" t="str">
        <f t="shared" si="1165"/>
        <v>2</v>
      </c>
      <c r="AC963" t="str">
        <f t="shared" si="1166"/>
        <v>2</v>
      </c>
      <c r="AD963" t="str">
        <f t="shared" si="1172"/>
        <v>2</v>
      </c>
      <c r="AE963" t="str">
        <f t="shared" si="1172"/>
        <v>2</v>
      </c>
      <c r="AF963" t="str">
        <f t="shared" si="1172"/>
        <v>2</v>
      </c>
      <c r="AG963" t="str">
        <f t="shared" si="1172"/>
        <v>2</v>
      </c>
      <c r="AH963" t="str">
        <f t="shared" si="1153"/>
        <v>1</v>
      </c>
      <c r="AI963" t="str">
        <f t="shared" si="1167"/>
        <v xml:space="preserve">1         </v>
      </c>
      <c r="AJ963" t="str">
        <f t="shared" si="1107"/>
        <v>170</v>
      </c>
      <c r="AK963" t="str">
        <f>"25"</f>
        <v>25</v>
      </c>
      <c r="AL963" t="str">
        <f>"473"</f>
        <v>473</v>
      </c>
      <c r="AM963" t="str">
        <f>"11"</f>
        <v>11</v>
      </c>
      <c r="AN963" t="str">
        <f>"11001"</f>
        <v>11001</v>
      </c>
      <c r="AO963" t="str">
        <f>"9/06/2020 12:00:00 a. m."</f>
        <v>9/06/2020 12:00:00 a. m.</v>
      </c>
      <c r="AP963" t="str">
        <f>"28/05/2020 12:00:00 a. m."</f>
        <v>28/05/2020 12:00:00 a. m.</v>
      </c>
      <c r="AQ963" t="str">
        <f>"3"</f>
        <v>3</v>
      </c>
      <c r="AR963" t="str">
        <f>"1"</f>
        <v>1</v>
      </c>
      <c r="AS963" t="str">
        <f>"9/06/2020 12:00:00 a. m."</f>
        <v>9/06/2020 12:00:00 a. m.</v>
      </c>
      <c r="AT963" t="str">
        <f t="shared" si="1157"/>
        <v>1</v>
      </c>
      <c r="AU963" t="str">
        <f>""</f>
        <v/>
      </c>
      <c r="AV963" t="str">
        <f>"0"</f>
        <v>0</v>
      </c>
      <c r="AW963" t="str">
        <f>"24/07/2019 12:00:00 a. m."</f>
        <v>24/07/2019 12:00:00 a. m.</v>
      </c>
      <c r="AX963" t="str">
        <f>""</f>
        <v/>
      </c>
      <c r="AY963" t="str">
        <f t="shared" si="1176"/>
        <v>30/04/2021 12:00:00 a. m.</v>
      </c>
      <c r="AZ963" t="str">
        <f>"11/06/2020 12:00:00 a. m."</f>
        <v>11/06/2020 12:00:00 a. m.</v>
      </c>
      <c r="BA963" t="str">
        <f>""</f>
        <v/>
      </c>
      <c r="BB963" t="str">
        <f>""</f>
        <v/>
      </c>
      <c r="BC963" t="str">
        <f>""</f>
        <v/>
      </c>
      <c r="BD963" t="str">
        <f t="shared" si="1177"/>
        <v>1</v>
      </c>
      <c r="BE963" t="str">
        <f t="shared" si="1177"/>
        <v>1</v>
      </c>
      <c r="BF963" t="str">
        <f t="shared" si="1178"/>
        <v xml:space="preserve">3         </v>
      </c>
      <c r="BG963" t="str">
        <f t="shared" si="1179"/>
        <v>Confirmado por laboratorio</v>
      </c>
      <c r="BH963" t="str">
        <f>"FUNDACION CARDIOINFANTIL INSTITUTO DE CARDIOLOGIA"</f>
        <v>FUNDACION CARDIOINFANTIL INSTITUTO DE CARDIOLOGIA</v>
      </c>
      <c r="BI963" t="str">
        <f t="shared" si="1163"/>
        <v>COLOMBIA</v>
      </c>
      <c r="BJ963" t="str">
        <f t="shared" si="1180"/>
        <v>CANCER INFANTIL</v>
      </c>
      <c r="BK963" t="str">
        <f>"CUNDINAMARCA"</f>
        <v>CUNDINAMARCA</v>
      </c>
      <c r="BL963" t="str">
        <f>"MOSQUERA"</f>
        <v>MOSQUERA</v>
      </c>
      <c r="BM963" t="str">
        <f t="shared" si="1109"/>
        <v>COLOMBIA</v>
      </c>
      <c r="BN963" t="str">
        <f>"CUNDINAMARCA"</f>
        <v>CUNDINAMARCA</v>
      </c>
      <c r="BO963" t="str">
        <f>"MOSQUERA"</f>
        <v>MOSQUERA</v>
      </c>
      <c r="BP963" t="str">
        <f>"BOGOTA"</f>
        <v>BOGOTA</v>
      </c>
      <c r="BQ963" t="str">
        <f>"BOGOTA"</f>
        <v>BOGOTA</v>
      </c>
    </row>
    <row r="964" spans="1:69" x14ac:dyDescent="0.25">
      <c r="A964" t="str">
        <f>"7291512"</f>
        <v>7291512</v>
      </c>
      <c r="B964" t="str">
        <f t="shared" si="1173"/>
        <v>459</v>
      </c>
      <c r="C964" t="str">
        <f>"12/01/2021 12:00:00 a. m."</f>
        <v>12/01/2021 12:00:00 a. m.</v>
      </c>
      <c r="D964" t="str">
        <f>"53"</f>
        <v>53</v>
      </c>
      <c r="E964" t="str">
        <f t="shared" si="1174"/>
        <v>2020</v>
      </c>
      <c r="F964" t="str">
        <f>"0500102175"</f>
        <v>0500102175</v>
      </c>
      <c r="G964" t="str">
        <f t="shared" si="1161"/>
        <v>01</v>
      </c>
      <c r="H964" t="str">
        <f>"10"</f>
        <v>10</v>
      </c>
      <c r="I964" t="str">
        <f t="shared" ref="I964:I976" si="1181">"1"</f>
        <v>1</v>
      </c>
      <c r="J964" t="str">
        <f>"M"</f>
        <v>M</v>
      </c>
      <c r="K964" t="str">
        <f t="shared" si="1162"/>
        <v>170</v>
      </c>
      <c r="L964" t="str">
        <f>"05"</f>
        <v>05</v>
      </c>
      <c r="M964" t="str">
        <f>"001"</f>
        <v>001</v>
      </c>
      <c r="N964" t="str">
        <f t="shared" si="1168"/>
        <v>1</v>
      </c>
      <c r="O964" t="str">
        <f>"9997"</f>
        <v>9997</v>
      </c>
      <c r="P964" t="str">
        <f>"C"</f>
        <v>C</v>
      </c>
      <c r="Q964" t="str">
        <f>"EPS010"</f>
        <v>EPS010</v>
      </c>
      <c r="R964" t="str">
        <f t="shared" si="1164"/>
        <v>6</v>
      </c>
      <c r="S964" t="str">
        <f>""</f>
        <v/>
      </c>
      <c r="T964" t="str">
        <f t="shared" si="1151"/>
        <v xml:space="preserve">                                                                                                    </v>
      </c>
      <c r="U964" t="str">
        <f>"2         "</f>
        <v xml:space="preserve">2         </v>
      </c>
      <c r="V964" t="str">
        <f t="shared" si="1154"/>
        <v>2</v>
      </c>
      <c r="W964" t="str">
        <f t="shared" si="1152"/>
        <v>2</v>
      </c>
      <c r="X964" t="str">
        <f t="shared" si="1125"/>
        <v>2</v>
      </c>
      <c r="Y964" t="str">
        <f t="shared" si="1169"/>
        <v>2</v>
      </c>
      <c r="Z964" t="str">
        <f t="shared" si="1169"/>
        <v>2</v>
      </c>
      <c r="AA964" t="str">
        <f t="shared" si="1175"/>
        <v xml:space="preserve">          </v>
      </c>
      <c r="AB964" t="str">
        <f t="shared" si="1165"/>
        <v>2</v>
      </c>
      <c r="AC964" t="str">
        <f t="shared" si="1166"/>
        <v>2</v>
      </c>
      <c r="AD964" t="str">
        <f t="shared" si="1172"/>
        <v>2</v>
      </c>
      <c r="AE964" t="str">
        <f t="shared" si="1172"/>
        <v>2</v>
      </c>
      <c r="AF964" t="str">
        <f t="shared" si="1172"/>
        <v>2</v>
      </c>
      <c r="AG964" t="str">
        <f t="shared" si="1172"/>
        <v>2</v>
      </c>
      <c r="AH964" t="str">
        <f t="shared" si="1153"/>
        <v>1</v>
      </c>
      <c r="AI964" t="str">
        <f t="shared" si="1167"/>
        <v xml:space="preserve">1         </v>
      </c>
      <c r="AJ964" t="str">
        <f t="shared" si="1107"/>
        <v>170</v>
      </c>
      <c r="AK964" t="str">
        <f>"05"</f>
        <v>05</v>
      </c>
      <c r="AL964" t="str">
        <f>"001"</f>
        <v>001</v>
      </c>
      <c r="AM964" t="str">
        <f>"05"</f>
        <v>05</v>
      </c>
      <c r="AN964" t="str">
        <f>"05001"</f>
        <v>05001</v>
      </c>
      <c r="AO964" t="str">
        <f>"28/12/2020 12:00:00 a. m."</f>
        <v>28/12/2020 12:00:00 a. m.</v>
      </c>
      <c r="AP964" t="str">
        <f>"28/11/2020 12:00:00 a. m."</f>
        <v>28/11/2020 12:00:00 a. m.</v>
      </c>
      <c r="AQ964" t="str">
        <f>"2"</f>
        <v>2</v>
      </c>
      <c r="AR964" t="str">
        <f>"1"</f>
        <v>1</v>
      </c>
      <c r="AS964" t="str">
        <f>"28/12/2020 12:00:00 a. m."</f>
        <v>28/12/2020 12:00:00 a. m.</v>
      </c>
      <c r="AT964" t="str">
        <f t="shared" si="1157"/>
        <v>1</v>
      </c>
      <c r="AU964" t="str">
        <f>""</f>
        <v/>
      </c>
      <c r="AV964" t="str">
        <f>"3"</f>
        <v>3</v>
      </c>
      <c r="AW964" t="str">
        <f>"4/12/2010 12:00:00 a. m."</f>
        <v>4/12/2010 12:00:00 a. m.</v>
      </c>
      <c r="AX964" t="str">
        <f>""</f>
        <v/>
      </c>
      <c r="AY964" t="str">
        <f t="shared" si="1176"/>
        <v>30/04/2021 12:00:00 a. m.</v>
      </c>
      <c r="AZ964" t="str">
        <f>"23/03/2021 12:00:00 a. m."</f>
        <v>23/03/2021 12:00:00 a. m.</v>
      </c>
      <c r="BA964" t="str">
        <f>""</f>
        <v/>
      </c>
      <c r="BB964" t="str">
        <f>""</f>
        <v/>
      </c>
      <c r="BC964" t="str">
        <f>""</f>
        <v/>
      </c>
      <c r="BD964" t="str">
        <f t="shared" si="1177"/>
        <v>1</v>
      </c>
      <c r="BE964" t="str">
        <f t="shared" si="1177"/>
        <v>1</v>
      </c>
      <c r="BF964" t="str">
        <f t="shared" si="1178"/>
        <v xml:space="preserve">3         </v>
      </c>
      <c r="BG964" t="str">
        <f t="shared" si="1179"/>
        <v>Confirmado por laboratorio</v>
      </c>
      <c r="BH964" t="str">
        <f>"FUNDACION HOSPITALARIA SAN VICENTE DE PAUL"</f>
        <v>FUNDACION HOSPITALARIA SAN VICENTE DE PAUL</v>
      </c>
      <c r="BI964" t="str">
        <f t="shared" si="1163"/>
        <v>COLOMBIA</v>
      </c>
      <c r="BJ964" t="str">
        <f t="shared" si="1180"/>
        <v>CANCER INFANTIL</v>
      </c>
      <c r="BK964" t="str">
        <f>"ANTIOQUIA"</f>
        <v>ANTIOQUIA</v>
      </c>
      <c r="BL964" t="str">
        <f>"MEDELLIN"</f>
        <v>MEDELLIN</v>
      </c>
      <c r="BM964" t="str">
        <f t="shared" si="1109"/>
        <v>COLOMBIA</v>
      </c>
      <c r="BN964" t="str">
        <f>"ANTIOQUIA"</f>
        <v>ANTIOQUIA</v>
      </c>
      <c r="BO964" t="str">
        <f>"MEDELLIN"</f>
        <v>MEDELLIN</v>
      </c>
      <c r="BP964" t="str">
        <f>"ANTIOQUIA"</f>
        <v>ANTIOQUIA</v>
      </c>
      <c r="BQ964" t="str">
        <f>"MEDELLIN"</f>
        <v>MEDELLIN</v>
      </c>
    </row>
    <row r="965" spans="1:69" x14ac:dyDescent="0.25">
      <c r="A965" t="str">
        <f>"7279106"</f>
        <v>7279106</v>
      </c>
      <c r="B965" t="str">
        <f t="shared" si="1173"/>
        <v>459</v>
      </c>
      <c r="C965" t="str">
        <f>"17/03/2021 12:00:00 a. m."</f>
        <v>17/03/2021 12:00:00 a. m.</v>
      </c>
      <c r="D965" t="str">
        <f>"51"</f>
        <v>51</v>
      </c>
      <c r="E965" t="str">
        <f t="shared" si="1174"/>
        <v>2020</v>
      </c>
      <c r="F965" t="str">
        <f>"1100105681"</f>
        <v>1100105681</v>
      </c>
      <c r="G965" t="str">
        <f t="shared" si="1161"/>
        <v>01</v>
      </c>
      <c r="H965" t="str">
        <f>"13"</f>
        <v>13</v>
      </c>
      <c r="I965" t="str">
        <f t="shared" si="1181"/>
        <v>1</v>
      </c>
      <c r="J965" t="str">
        <f>"M"</f>
        <v>M</v>
      </c>
      <c r="K965" t="str">
        <f t="shared" si="1162"/>
        <v>170</v>
      </c>
      <c r="L965" t="str">
        <f>"11"</f>
        <v>11</v>
      </c>
      <c r="M965" t="str">
        <f>"001"</f>
        <v>001</v>
      </c>
      <c r="N965" t="str">
        <f t="shared" si="1168"/>
        <v>1</v>
      </c>
      <c r="O965" t="str">
        <f>"9997"</f>
        <v>9997</v>
      </c>
      <c r="P965" t="str">
        <f>"C"</f>
        <v>C</v>
      </c>
      <c r="Q965" t="str">
        <f>"EPS008"</f>
        <v>EPS008</v>
      </c>
      <c r="R965" t="str">
        <f t="shared" si="1164"/>
        <v>6</v>
      </c>
      <c r="S965" t="str">
        <f>""</f>
        <v/>
      </c>
      <c r="T965" t="str">
        <f t="shared" si="1151"/>
        <v xml:space="preserve">                                                                                                    </v>
      </c>
      <c r="U965" t="str">
        <f>"2         "</f>
        <v xml:space="preserve">2         </v>
      </c>
      <c r="V965" t="str">
        <f t="shared" si="1154"/>
        <v>2</v>
      </c>
      <c r="W965" t="str">
        <f t="shared" si="1152"/>
        <v>2</v>
      </c>
      <c r="X965" t="str">
        <f t="shared" si="1125"/>
        <v>2</v>
      </c>
      <c r="Y965" t="str">
        <f t="shared" si="1169"/>
        <v>2</v>
      </c>
      <c r="Z965" t="str">
        <f t="shared" si="1169"/>
        <v>2</v>
      </c>
      <c r="AA965" t="str">
        <f t="shared" si="1175"/>
        <v xml:space="preserve">          </v>
      </c>
      <c r="AB965" t="str">
        <f t="shared" si="1165"/>
        <v>2</v>
      </c>
      <c r="AC965" t="str">
        <f t="shared" si="1166"/>
        <v>2</v>
      </c>
      <c r="AD965" t="str">
        <f t="shared" si="1172"/>
        <v>2</v>
      </c>
      <c r="AE965" t="str">
        <f t="shared" si="1172"/>
        <v>2</v>
      </c>
      <c r="AF965" t="str">
        <f t="shared" si="1172"/>
        <v>2</v>
      </c>
      <c r="AG965" t="str">
        <f t="shared" si="1172"/>
        <v>2</v>
      </c>
      <c r="AH965" t="str">
        <f t="shared" si="1153"/>
        <v>1</v>
      </c>
      <c r="AI965" t="str">
        <f t="shared" si="1167"/>
        <v xml:space="preserve">1         </v>
      </c>
      <c r="AJ965" t="str">
        <f t="shared" si="1107"/>
        <v>170</v>
      </c>
      <c r="AK965" t="str">
        <f>"11"</f>
        <v>11</v>
      </c>
      <c r="AL965" t="str">
        <f>"001"</f>
        <v>001</v>
      </c>
      <c r="AM965" t="str">
        <f>"11"</f>
        <v>11</v>
      </c>
      <c r="AN965" t="str">
        <f>"11001"</f>
        <v>11001</v>
      </c>
      <c r="AO965" t="str">
        <f>"19/12/2020 12:00:00 a. m."</f>
        <v>19/12/2020 12:00:00 a. m.</v>
      </c>
      <c r="AP965" t="str">
        <f>"19/11/2020 12:00:00 a. m."</f>
        <v>19/11/2020 12:00:00 a. m.</v>
      </c>
      <c r="AQ965" t="str">
        <f>"3"</f>
        <v>3</v>
      </c>
      <c r="AR965" t="str">
        <f>"1"</f>
        <v>1</v>
      </c>
      <c r="AS965" t="str">
        <f>"19/12/2020 12:00:00 a. m."</f>
        <v>19/12/2020 12:00:00 a. m.</v>
      </c>
      <c r="AT965" t="str">
        <f t="shared" si="1157"/>
        <v>1</v>
      </c>
      <c r="AU965" t="str">
        <f>""</f>
        <v/>
      </c>
      <c r="AV965" t="str">
        <f>"0"</f>
        <v>0</v>
      </c>
      <c r="AW965" t="str">
        <f>"22/07/2007 12:00:00 a. m."</f>
        <v>22/07/2007 12:00:00 a. m.</v>
      </c>
      <c r="AX965" t="str">
        <f>""</f>
        <v/>
      </c>
      <c r="AY965" t="str">
        <f t="shared" si="1176"/>
        <v>30/04/2021 12:00:00 a. m.</v>
      </c>
      <c r="AZ965" t="str">
        <f>"17/03/2021 12:00:00 a. m."</f>
        <v>17/03/2021 12:00:00 a. m.</v>
      </c>
      <c r="BA965" t="str">
        <f>""</f>
        <v/>
      </c>
      <c r="BB965" t="str">
        <f>""</f>
        <v/>
      </c>
      <c r="BC965" t="str">
        <f>""</f>
        <v/>
      </c>
      <c r="BD965" t="str">
        <f t="shared" si="1177"/>
        <v>1</v>
      </c>
      <c r="BE965" t="str">
        <f t="shared" si="1177"/>
        <v>1</v>
      </c>
      <c r="BF965" t="str">
        <f t="shared" si="1178"/>
        <v xml:space="preserve">3         </v>
      </c>
      <c r="BG965" t="str">
        <f t="shared" si="1179"/>
        <v>Confirmado por laboratorio</v>
      </c>
      <c r="BH965" t="str">
        <f>"FUNDACION HOSPITAL DE LA MISERICORDIA"</f>
        <v>FUNDACION HOSPITAL DE LA MISERICORDIA</v>
      </c>
      <c r="BI965" t="str">
        <f t="shared" si="1163"/>
        <v>COLOMBIA</v>
      </c>
      <c r="BJ965" t="str">
        <f t="shared" si="1180"/>
        <v>CANCER INFANTIL</v>
      </c>
      <c r="BK965" t="str">
        <f t="shared" ref="BK965:BL967" si="1182">"BOGOTA"</f>
        <v>BOGOTA</v>
      </c>
      <c r="BL965" t="str">
        <f t="shared" si="1182"/>
        <v>BOGOTA</v>
      </c>
      <c r="BM965" t="str">
        <f t="shared" si="1109"/>
        <v>COLOMBIA</v>
      </c>
      <c r="BN965" t="str">
        <f t="shared" ref="BN965:BQ967" si="1183">"BOGOTA"</f>
        <v>BOGOTA</v>
      </c>
      <c r="BO965" t="str">
        <f t="shared" si="1183"/>
        <v>BOGOTA</v>
      </c>
      <c r="BP965" t="str">
        <f t="shared" si="1183"/>
        <v>BOGOTA</v>
      </c>
      <c r="BQ965" t="str">
        <f t="shared" si="1183"/>
        <v>BOGOTA</v>
      </c>
    </row>
    <row r="966" spans="1:69" x14ac:dyDescent="0.25">
      <c r="A966" t="str">
        <f>"7279164"</f>
        <v>7279164</v>
      </c>
      <c r="B966" t="str">
        <f t="shared" si="1173"/>
        <v>459</v>
      </c>
      <c r="C966" t="str">
        <f>"8/05/2020 12:00:00 a. m."</f>
        <v>8/05/2020 12:00:00 a. m.</v>
      </c>
      <c r="D966" t="str">
        <f>"14"</f>
        <v>14</v>
      </c>
      <c r="E966" t="str">
        <f t="shared" si="1174"/>
        <v>2020</v>
      </c>
      <c r="F966" t="str">
        <f>"1100109199"</f>
        <v>1100109199</v>
      </c>
      <c r="G966" t="str">
        <f t="shared" si="1161"/>
        <v>01</v>
      </c>
      <c r="H966" t="str">
        <f>"17"</f>
        <v>17</v>
      </c>
      <c r="I966" t="str">
        <f t="shared" si="1181"/>
        <v>1</v>
      </c>
      <c r="J966" t="str">
        <f>"F"</f>
        <v>F</v>
      </c>
      <c r="K966" t="str">
        <f t="shared" si="1162"/>
        <v>170</v>
      </c>
      <c r="L966" t="str">
        <f>"11"</f>
        <v>11</v>
      </c>
      <c r="M966" t="str">
        <f>"001"</f>
        <v>001</v>
      </c>
      <c r="N966" t="str">
        <f t="shared" si="1168"/>
        <v>1</v>
      </c>
      <c r="O966" t="str">
        <f>"9997"</f>
        <v>9997</v>
      </c>
      <c r="P966" t="str">
        <f>"C"</f>
        <v>C</v>
      </c>
      <c r="Q966" t="str">
        <f>"EPS008"</f>
        <v>EPS008</v>
      </c>
      <c r="R966" t="str">
        <f t="shared" si="1164"/>
        <v>6</v>
      </c>
      <c r="S966" t="str">
        <f>""</f>
        <v/>
      </c>
      <c r="T966" t="str">
        <f t="shared" si="1151"/>
        <v xml:space="preserve">                                                                                                    </v>
      </c>
      <c r="U966" t="str">
        <f>"4         "</f>
        <v xml:space="preserve">4         </v>
      </c>
      <c r="V966" t="str">
        <f t="shared" si="1154"/>
        <v>2</v>
      </c>
      <c r="W966" t="str">
        <f t="shared" si="1152"/>
        <v>2</v>
      </c>
      <c r="X966" t="str">
        <f t="shared" si="1125"/>
        <v>2</v>
      </c>
      <c r="Y966" t="str">
        <f t="shared" si="1169"/>
        <v>2</v>
      </c>
      <c r="Z966" t="str">
        <f t="shared" si="1169"/>
        <v>2</v>
      </c>
      <c r="AA966" t="str">
        <f t="shared" si="1175"/>
        <v xml:space="preserve">          </v>
      </c>
      <c r="AB966" t="str">
        <f t="shared" si="1165"/>
        <v>2</v>
      </c>
      <c r="AC966" t="str">
        <f t="shared" si="1166"/>
        <v>2</v>
      </c>
      <c r="AD966" t="str">
        <f t="shared" si="1172"/>
        <v>2</v>
      </c>
      <c r="AE966" t="str">
        <f t="shared" si="1172"/>
        <v>2</v>
      </c>
      <c r="AF966" t="str">
        <f t="shared" si="1172"/>
        <v>2</v>
      </c>
      <c r="AG966" t="str">
        <f t="shared" si="1172"/>
        <v>2</v>
      </c>
      <c r="AH966" t="str">
        <f t="shared" si="1153"/>
        <v>1</v>
      </c>
      <c r="AI966" t="str">
        <f>"2         "</f>
        <v xml:space="preserve">2         </v>
      </c>
      <c r="AJ966" t="str">
        <f t="shared" si="1107"/>
        <v>170</v>
      </c>
      <c r="AK966" t="str">
        <f>"11"</f>
        <v>11</v>
      </c>
      <c r="AL966" t="str">
        <f>"001"</f>
        <v>001</v>
      </c>
      <c r="AM966" t="str">
        <f>"11"</f>
        <v>11</v>
      </c>
      <c r="AN966" t="str">
        <f>"11001"</f>
        <v>11001</v>
      </c>
      <c r="AO966" t="str">
        <f>"1/04/2020 12:00:00 a. m."</f>
        <v>1/04/2020 12:00:00 a. m.</v>
      </c>
      <c r="AP966" t="str">
        <f>"1/02/2020 12:00:00 a. m."</f>
        <v>1/02/2020 12:00:00 a. m.</v>
      </c>
      <c r="AQ966" t="str">
        <f>"2"</f>
        <v>2</v>
      </c>
      <c r="AR966" t="str">
        <f>"2"</f>
        <v>2</v>
      </c>
      <c r="AS966" t="str">
        <f>""</f>
        <v/>
      </c>
      <c r="AT966" t="str">
        <f t="shared" si="1157"/>
        <v>1</v>
      </c>
      <c r="AU966" t="str">
        <f>""</f>
        <v/>
      </c>
      <c r="AV966" t="str">
        <f>"3"</f>
        <v>3</v>
      </c>
      <c r="AW966" t="str">
        <f>"7/11/2002 12:00:00 a. m."</f>
        <v>7/11/2002 12:00:00 a. m.</v>
      </c>
      <c r="AX966" t="str">
        <f>""</f>
        <v/>
      </c>
      <c r="AY966" t="str">
        <f t="shared" si="1176"/>
        <v>30/04/2021 12:00:00 a. m.</v>
      </c>
      <c r="AZ966" t="str">
        <f>"26/06/2020 12:00:00 a. m."</f>
        <v>26/06/2020 12:00:00 a. m.</v>
      </c>
      <c r="BA966" t="str">
        <f>""</f>
        <v/>
      </c>
      <c r="BB966" t="str">
        <f>""</f>
        <v/>
      </c>
      <c r="BC966" t="str">
        <f>""</f>
        <v/>
      </c>
      <c r="BD966" t="str">
        <f t="shared" si="1177"/>
        <v>1</v>
      </c>
      <c r="BE966" t="str">
        <f t="shared" si="1177"/>
        <v>1</v>
      </c>
      <c r="BF966" t="str">
        <f t="shared" si="1178"/>
        <v xml:space="preserve">3         </v>
      </c>
      <c r="BG966" t="str">
        <f t="shared" si="1179"/>
        <v>Confirmado por laboratorio</v>
      </c>
      <c r="BH966" t="str">
        <f>"FUNDACION JAVERIANA DE SERVICIOS MEDICOS ODONTOLOG"</f>
        <v>FUNDACION JAVERIANA DE SERVICIOS MEDICOS ODONTOLOG</v>
      </c>
      <c r="BI966" t="str">
        <f t="shared" si="1163"/>
        <v>COLOMBIA</v>
      </c>
      <c r="BJ966" t="str">
        <f t="shared" si="1180"/>
        <v>CANCER INFANTIL</v>
      </c>
      <c r="BK966" t="str">
        <f t="shared" si="1182"/>
        <v>BOGOTA</v>
      </c>
      <c r="BL966" t="str">
        <f t="shared" si="1182"/>
        <v>BOGOTA</v>
      </c>
      <c r="BM966" t="str">
        <f t="shared" si="1109"/>
        <v>COLOMBIA</v>
      </c>
      <c r="BN966" t="str">
        <f t="shared" si="1183"/>
        <v>BOGOTA</v>
      </c>
      <c r="BO966" t="str">
        <f t="shared" si="1183"/>
        <v>BOGOTA</v>
      </c>
      <c r="BP966" t="str">
        <f t="shared" si="1183"/>
        <v>BOGOTA</v>
      </c>
      <c r="BQ966" t="str">
        <f t="shared" si="1183"/>
        <v>BOGOTA</v>
      </c>
    </row>
    <row r="967" spans="1:69" x14ac:dyDescent="0.25">
      <c r="A967" t="str">
        <f>"7279085"</f>
        <v>7279085</v>
      </c>
      <c r="B967" t="str">
        <f t="shared" si="1173"/>
        <v>459</v>
      </c>
      <c r="C967" t="str">
        <f>"11/08/2020 12:00:00 a. m."</f>
        <v>11/08/2020 12:00:00 a. m.</v>
      </c>
      <c r="D967" t="str">
        <f>"32"</f>
        <v>32</v>
      </c>
      <c r="E967" t="str">
        <f t="shared" si="1174"/>
        <v>2020</v>
      </c>
      <c r="F967" t="str">
        <f>"1100108171"</f>
        <v>1100108171</v>
      </c>
      <c r="G967" t="str">
        <f>"02"</f>
        <v>02</v>
      </c>
      <c r="H967" t="str">
        <f>"4"</f>
        <v>4</v>
      </c>
      <c r="I967" t="str">
        <f t="shared" si="1181"/>
        <v>1</v>
      </c>
      <c r="J967" t="str">
        <f>"F"</f>
        <v>F</v>
      </c>
      <c r="K967" t="str">
        <f t="shared" si="1162"/>
        <v>170</v>
      </c>
      <c r="L967" t="str">
        <f>"11"</f>
        <v>11</v>
      </c>
      <c r="M967" t="str">
        <f>"001"</f>
        <v>001</v>
      </c>
      <c r="N967" t="str">
        <f t="shared" si="1168"/>
        <v>1</v>
      </c>
      <c r="O967" t="str">
        <f>"9997"</f>
        <v>9997</v>
      </c>
      <c r="P967" t="str">
        <f>"C"</f>
        <v>C</v>
      </c>
      <c r="Q967" t="str">
        <f>"EPS017"</f>
        <v>EPS017</v>
      </c>
      <c r="R967" t="str">
        <f t="shared" si="1164"/>
        <v>6</v>
      </c>
      <c r="S967" t="str">
        <f>""</f>
        <v/>
      </c>
      <c r="T967" t="str">
        <f t="shared" si="1151"/>
        <v xml:space="preserve">                                                                                                    </v>
      </c>
      <c r="U967" t="str">
        <f>"1         "</f>
        <v xml:space="preserve">1         </v>
      </c>
      <c r="V967" t="str">
        <f t="shared" si="1154"/>
        <v>2</v>
      </c>
      <c r="W967" t="str">
        <f t="shared" si="1152"/>
        <v>2</v>
      </c>
      <c r="X967" t="str">
        <f t="shared" si="1125"/>
        <v>2</v>
      </c>
      <c r="Y967" t="str">
        <f t="shared" si="1169"/>
        <v>2</v>
      </c>
      <c r="Z967" t="str">
        <f t="shared" si="1169"/>
        <v>2</v>
      </c>
      <c r="AA967" t="str">
        <f t="shared" si="1175"/>
        <v xml:space="preserve">          </v>
      </c>
      <c r="AB967" t="str">
        <f t="shared" si="1165"/>
        <v>2</v>
      </c>
      <c r="AC967" t="str">
        <f t="shared" si="1166"/>
        <v>2</v>
      </c>
      <c r="AD967" t="str">
        <f t="shared" si="1172"/>
        <v>2</v>
      </c>
      <c r="AE967" t="str">
        <f t="shared" si="1172"/>
        <v>2</v>
      </c>
      <c r="AF967" t="str">
        <f t="shared" si="1172"/>
        <v>2</v>
      </c>
      <c r="AG967" t="str">
        <f t="shared" si="1172"/>
        <v>2</v>
      </c>
      <c r="AH967" t="str">
        <f t="shared" si="1153"/>
        <v>1</v>
      </c>
      <c r="AI967" t="str">
        <f t="shared" ref="AI967:AI974" si="1184">"1         "</f>
        <v xml:space="preserve">1         </v>
      </c>
      <c r="AJ967" t="str">
        <f t="shared" si="1107"/>
        <v>170</v>
      </c>
      <c r="AK967" t="str">
        <f>"11"</f>
        <v>11</v>
      </c>
      <c r="AL967" t="str">
        <f>"001"</f>
        <v>001</v>
      </c>
      <c r="AM967" t="str">
        <f>"11"</f>
        <v>11</v>
      </c>
      <c r="AN967" t="str">
        <f>"11001"</f>
        <v>11001</v>
      </c>
      <c r="AO967" t="str">
        <f>"8/08/2020 12:00:00 a. m."</f>
        <v>8/08/2020 12:00:00 a. m.</v>
      </c>
      <c r="AP967" t="str">
        <f>"25/07/2020 12:00:00 a. m."</f>
        <v>25/07/2020 12:00:00 a. m.</v>
      </c>
      <c r="AQ967" t="str">
        <f>"2"</f>
        <v>2</v>
      </c>
      <c r="AR967" t="str">
        <f t="shared" ref="AR967:AR972" si="1185">"1"</f>
        <v>1</v>
      </c>
      <c r="AS967" t="str">
        <f>"8/08/2020 12:00:00 a. m."</f>
        <v>8/08/2020 12:00:00 a. m.</v>
      </c>
      <c r="AT967" t="str">
        <f t="shared" si="1157"/>
        <v>1</v>
      </c>
      <c r="AU967" t="str">
        <f>""</f>
        <v/>
      </c>
      <c r="AV967" t="str">
        <f>"3"</f>
        <v>3</v>
      </c>
      <c r="AW967" t="str">
        <f>"9/07/2016 12:00:00 a. m."</f>
        <v>9/07/2016 12:00:00 a. m.</v>
      </c>
      <c r="AX967" t="str">
        <f>""</f>
        <v/>
      </c>
      <c r="AY967" t="str">
        <f t="shared" si="1176"/>
        <v>30/04/2021 12:00:00 a. m.</v>
      </c>
      <c r="AZ967" t="str">
        <f>"3/09/2020 12:00:00 a. m."</f>
        <v>3/09/2020 12:00:00 a. m.</v>
      </c>
      <c r="BA967" t="str">
        <f>""</f>
        <v/>
      </c>
      <c r="BB967" t="str">
        <f>""</f>
        <v/>
      </c>
      <c r="BC967" t="str">
        <f>""</f>
        <v/>
      </c>
      <c r="BD967" t="str">
        <f t="shared" si="1177"/>
        <v>1</v>
      </c>
      <c r="BE967" t="str">
        <f t="shared" si="1177"/>
        <v>1</v>
      </c>
      <c r="BF967" t="str">
        <f t="shared" si="1178"/>
        <v xml:space="preserve">3         </v>
      </c>
      <c r="BG967" t="str">
        <f t="shared" si="1179"/>
        <v>Confirmado por laboratorio</v>
      </c>
      <c r="BH967" t="str">
        <f>"CLINICA INFANTIL COLSUBSIDIO"</f>
        <v>CLINICA INFANTIL COLSUBSIDIO</v>
      </c>
      <c r="BI967" t="str">
        <f t="shared" si="1163"/>
        <v>COLOMBIA</v>
      </c>
      <c r="BJ967" t="str">
        <f t="shared" si="1180"/>
        <v>CANCER INFANTIL</v>
      </c>
      <c r="BK967" t="str">
        <f t="shared" si="1182"/>
        <v>BOGOTA</v>
      </c>
      <c r="BL967" t="str">
        <f t="shared" si="1182"/>
        <v>BOGOTA</v>
      </c>
      <c r="BM967" t="str">
        <f t="shared" si="1109"/>
        <v>COLOMBIA</v>
      </c>
      <c r="BN967" t="str">
        <f t="shared" si="1183"/>
        <v>BOGOTA</v>
      </c>
      <c r="BO967" t="str">
        <f t="shared" si="1183"/>
        <v>BOGOTA</v>
      </c>
      <c r="BP967" t="str">
        <f t="shared" si="1183"/>
        <v>BOGOTA</v>
      </c>
      <c r="BQ967" t="str">
        <f t="shared" si="1183"/>
        <v>BOGOTA</v>
      </c>
    </row>
    <row r="968" spans="1:69" x14ac:dyDescent="0.25">
      <c r="A968" t="str">
        <f>"7291649"</f>
        <v>7291649</v>
      </c>
      <c r="B968" t="str">
        <f t="shared" si="1173"/>
        <v>459</v>
      </c>
      <c r="C968" t="str">
        <f>"20/12/2020 12:00:00 a. m."</f>
        <v>20/12/2020 12:00:00 a. m.</v>
      </c>
      <c r="D968" t="str">
        <f>"49"</f>
        <v>49</v>
      </c>
      <c r="E968" t="str">
        <f t="shared" si="1174"/>
        <v>2020</v>
      </c>
      <c r="F968" t="str">
        <f>"1100105681"</f>
        <v>1100105681</v>
      </c>
      <c r="G968" t="str">
        <f t="shared" ref="G968:G973" si="1186">"01"</f>
        <v>01</v>
      </c>
      <c r="H968" t="str">
        <f>"15"</f>
        <v>15</v>
      </c>
      <c r="I968" t="str">
        <f t="shared" si="1181"/>
        <v>1</v>
      </c>
      <c r="J968" t="str">
        <f>"F"</f>
        <v>F</v>
      </c>
      <c r="K968" t="str">
        <f t="shared" si="1162"/>
        <v>170</v>
      </c>
      <c r="L968" t="str">
        <f>"25"</f>
        <v>25</v>
      </c>
      <c r="M968" t="str">
        <f>"269"</f>
        <v>269</v>
      </c>
      <c r="N968" t="str">
        <f t="shared" si="1168"/>
        <v>1</v>
      </c>
      <c r="O968" t="str">
        <f>"9997"</f>
        <v>9997</v>
      </c>
      <c r="P968" t="str">
        <f>"C"</f>
        <v>C</v>
      </c>
      <c r="Q968" t="str">
        <f>"EPS008"</f>
        <v>EPS008</v>
      </c>
      <c r="R968" t="str">
        <f t="shared" si="1164"/>
        <v>6</v>
      </c>
      <c r="S968" t="str">
        <f>""</f>
        <v/>
      </c>
      <c r="T968" t="str">
        <f t="shared" si="1151"/>
        <v xml:space="preserve">                                                                                                    </v>
      </c>
      <c r="U968" t="str">
        <f>"2         "</f>
        <v xml:space="preserve">2         </v>
      </c>
      <c r="V968" t="str">
        <f t="shared" si="1154"/>
        <v>2</v>
      </c>
      <c r="W968" t="str">
        <f t="shared" si="1152"/>
        <v>2</v>
      </c>
      <c r="X968" t="str">
        <f t="shared" si="1125"/>
        <v>2</v>
      </c>
      <c r="Y968" t="str">
        <f t="shared" si="1169"/>
        <v>2</v>
      </c>
      <c r="Z968" t="str">
        <f t="shared" si="1169"/>
        <v>2</v>
      </c>
      <c r="AA968" t="str">
        <f t="shared" si="1175"/>
        <v xml:space="preserve">          </v>
      </c>
      <c r="AB968" t="str">
        <f t="shared" si="1165"/>
        <v>2</v>
      </c>
      <c r="AC968" t="str">
        <f t="shared" si="1166"/>
        <v>2</v>
      </c>
      <c r="AD968" t="str">
        <f t="shared" si="1172"/>
        <v>2</v>
      </c>
      <c r="AE968" t="str">
        <f t="shared" si="1172"/>
        <v>2</v>
      </c>
      <c r="AF968" t="str">
        <f t="shared" si="1172"/>
        <v>2</v>
      </c>
      <c r="AG968" t="str">
        <f t="shared" si="1172"/>
        <v>2</v>
      </c>
      <c r="AH968" t="str">
        <f t="shared" si="1153"/>
        <v>1</v>
      </c>
      <c r="AI968" t="str">
        <f t="shared" si="1184"/>
        <v xml:space="preserve">1         </v>
      </c>
      <c r="AJ968" t="str">
        <f t="shared" si="1107"/>
        <v>170</v>
      </c>
      <c r="AK968" t="str">
        <f>"25"</f>
        <v>25</v>
      </c>
      <c r="AL968" t="str">
        <f>"269"</f>
        <v>269</v>
      </c>
      <c r="AM968" t="str">
        <f>"11"</f>
        <v>11</v>
      </c>
      <c r="AN968" t="str">
        <f>"11001"</f>
        <v>11001</v>
      </c>
      <c r="AO968" t="str">
        <f>"3/12/2020 12:00:00 a. m."</f>
        <v>3/12/2020 12:00:00 a. m.</v>
      </c>
      <c r="AP968" t="str">
        <f>"20/11/2020 12:00:00 a. m."</f>
        <v>20/11/2020 12:00:00 a. m.</v>
      </c>
      <c r="AQ968" t="str">
        <f>"3"</f>
        <v>3</v>
      </c>
      <c r="AR968" t="str">
        <f t="shared" si="1185"/>
        <v>1</v>
      </c>
      <c r="AS968" t="str">
        <f>"3/12/2020 12:00:00 a. m."</f>
        <v>3/12/2020 12:00:00 a. m.</v>
      </c>
      <c r="AT968" t="str">
        <f t="shared" si="1157"/>
        <v>1</v>
      </c>
      <c r="AU968" t="str">
        <f>""</f>
        <v/>
      </c>
      <c r="AV968" t="str">
        <f>"0"</f>
        <v>0</v>
      </c>
      <c r="AW968" t="str">
        <f>"10/11/2005 12:00:00 a. m."</f>
        <v>10/11/2005 12:00:00 a. m.</v>
      </c>
      <c r="AX968" t="str">
        <f>""</f>
        <v/>
      </c>
      <c r="AY968" t="str">
        <f t="shared" si="1176"/>
        <v>30/04/2021 12:00:00 a. m.</v>
      </c>
      <c r="AZ968" t="str">
        <f>"19/03/2021 12:00:00 a. m."</f>
        <v>19/03/2021 12:00:00 a. m.</v>
      </c>
      <c r="BA968" t="str">
        <f>""</f>
        <v/>
      </c>
      <c r="BB968" t="str">
        <f>""</f>
        <v/>
      </c>
      <c r="BC968" t="str">
        <f>""</f>
        <v/>
      </c>
      <c r="BD968" t="str">
        <f t="shared" si="1177"/>
        <v>1</v>
      </c>
      <c r="BE968" t="str">
        <f t="shared" si="1177"/>
        <v>1</v>
      </c>
      <c r="BF968" t="str">
        <f t="shared" si="1178"/>
        <v xml:space="preserve">3         </v>
      </c>
      <c r="BG968" t="str">
        <f t="shared" si="1179"/>
        <v>Confirmado por laboratorio</v>
      </c>
      <c r="BH968" t="str">
        <f>"FUNDACION HOSPITAL DE LA MISERICORDIA"</f>
        <v>FUNDACION HOSPITAL DE LA MISERICORDIA</v>
      </c>
      <c r="BI968" t="str">
        <f t="shared" si="1163"/>
        <v>COLOMBIA</v>
      </c>
      <c r="BJ968" t="str">
        <f t="shared" si="1180"/>
        <v>CANCER INFANTIL</v>
      </c>
      <c r="BK968" t="str">
        <f>"CUNDINAMARCA"</f>
        <v>CUNDINAMARCA</v>
      </c>
      <c r="BL968" t="str">
        <f>"FACATATIVA"</f>
        <v>FACATATIVA</v>
      </c>
      <c r="BM968" t="str">
        <f t="shared" si="1109"/>
        <v>COLOMBIA</v>
      </c>
      <c r="BN968" t="str">
        <f>"CUNDINAMARCA"</f>
        <v>CUNDINAMARCA</v>
      </c>
      <c r="BO968" t="str">
        <f>"FACATATIVA"</f>
        <v>FACATATIVA</v>
      </c>
      <c r="BP968" t="str">
        <f>"BOGOTA"</f>
        <v>BOGOTA</v>
      </c>
      <c r="BQ968" t="str">
        <f>"BOGOTA"</f>
        <v>BOGOTA</v>
      </c>
    </row>
    <row r="969" spans="1:69" x14ac:dyDescent="0.25">
      <c r="A969" t="str">
        <f>"7291752"</f>
        <v>7291752</v>
      </c>
      <c r="B969" t="str">
        <f t="shared" si="1173"/>
        <v>459</v>
      </c>
      <c r="C969" t="str">
        <f>"10/08/2020 12:00:00 a. m."</f>
        <v>10/08/2020 12:00:00 a. m.</v>
      </c>
      <c r="D969" t="str">
        <f>"33"</f>
        <v>33</v>
      </c>
      <c r="E969" t="str">
        <f t="shared" si="1174"/>
        <v>2020</v>
      </c>
      <c r="F969" t="str">
        <f>"5000100529"</f>
        <v>5000100529</v>
      </c>
      <c r="G969" t="str">
        <f t="shared" si="1186"/>
        <v>01</v>
      </c>
      <c r="H969" t="str">
        <f>"4"</f>
        <v>4</v>
      </c>
      <c r="I969" t="str">
        <f t="shared" si="1181"/>
        <v>1</v>
      </c>
      <c r="J969" t="str">
        <f>"M"</f>
        <v>M</v>
      </c>
      <c r="K969" t="str">
        <f t="shared" si="1162"/>
        <v>170</v>
      </c>
      <c r="L969" t="str">
        <f>"50"</f>
        <v>50</v>
      </c>
      <c r="M969" t="str">
        <f>"006"</f>
        <v>006</v>
      </c>
      <c r="N969" t="str">
        <f t="shared" si="1168"/>
        <v>1</v>
      </c>
      <c r="O969" t="str">
        <f>"9998"</f>
        <v>9998</v>
      </c>
      <c r="P969" t="str">
        <f>"S"</f>
        <v>S</v>
      </c>
      <c r="Q969" t="str">
        <f>"EPSS34"</f>
        <v>EPSS34</v>
      </c>
      <c r="R969" t="str">
        <f t="shared" si="1164"/>
        <v>6</v>
      </c>
      <c r="S969" t="str">
        <f>""</f>
        <v/>
      </c>
      <c r="T969" t="str">
        <f t="shared" si="1151"/>
        <v xml:space="preserve">                                                                                                    </v>
      </c>
      <c r="U969" t="str">
        <f>"3         "</f>
        <v xml:space="preserve">3         </v>
      </c>
      <c r="V969" t="str">
        <f t="shared" si="1154"/>
        <v>2</v>
      </c>
      <c r="W969" t="str">
        <f t="shared" si="1152"/>
        <v>2</v>
      </c>
      <c r="X969" t="str">
        <f t="shared" si="1125"/>
        <v>2</v>
      </c>
      <c r="Y969" t="str">
        <f t="shared" si="1169"/>
        <v>2</v>
      </c>
      <c r="Z969" t="str">
        <f t="shared" si="1169"/>
        <v>2</v>
      </c>
      <c r="AA969" t="str">
        <f t="shared" si="1175"/>
        <v xml:space="preserve">          </v>
      </c>
      <c r="AB969" t="str">
        <f t="shared" si="1165"/>
        <v>2</v>
      </c>
      <c r="AC969" t="str">
        <f t="shared" si="1166"/>
        <v>2</v>
      </c>
      <c r="AD969" t="str">
        <f t="shared" si="1172"/>
        <v>2</v>
      </c>
      <c r="AE969" t="str">
        <f t="shared" si="1172"/>
        <v>2</v>
      </c>
      <c r="AF969" t="str">
        <f t="shared" si="1172"/>
        <v>2</v>
      </c>
      <c r="AG969" t="str">
        <f t="shared" si="1172"/>
        <v>2</v>
      </c>
      <c r="AH969" t="str">
        <f t="shared" si="1153"/>
        <v>1</v>
      </c>
      <c r="AI969" t="str">
        <f t="shared" si="1184"/>
        <v xml:space="preserve">1         </v>
      </c>
      <c r="AJ969" t="str">
        <f t="shared" ref="AJ969:AJ1032" si="1187">"170"</f>
        <v>170</v>
      </c>
      <c r="AK969" t="str">
        <f>"50"</f>
        <v>50</v>
      </c>
      <c r="AL969" t="str">
        <f>"001"</f>
        <v>001</v>
      </c>
      <c r="AM969" t="str">
        <f>"50"</f>
        <v>50</v>
      </c>
      <c r="AN969" t="str">
        <f>"50001"</f>
        <v>50001</v>
      </c>
      <c r="AO969" t="str">
        <f>"10/08/2020 12:00:00 a. m."</f>
        <v>10/08/2020 12:00:00 a. m.</v>
      </c>
      <c r="AP969" t="str">
        <f>"20/06/2020 12:00:00 a. m."</f>
        <v>20/06/2020 12:00:00 a. m.</v>
      </c>
      <c r="AQ969" t="str">
        <f>"2"</f>
        <v>2</v>
      </c>
      <c r="AR969" t="str">
        <f t="shared" si="1185"/>
        <v>1</v>
      </c>
      <c r="AS969" t="str">
        <f>"10/08/2020 12:00:00 a. m."</f>
        <v>10/08/2020 12:00:00 a. m.</v>
      </c>
      <c r="AT969" t="str">
        <f t="shared" si="1157"/>
        <v>1</v>
      </c>
      <c r="AU969" t="str">
        <f>""</f>
        <v/>
      </c>
      <c r="AV969" t="str">
        <f>"3"</f>
        <v>3</v>
      </c>
      <c r="AW969" t="str">
        <f>"25/11/2015 12:00:00 a. m."</f>
        <v>25/11/2015 12:00:00 a. m.</v>
      </c>
      <c r="AX969" t="str">
        <f>""</f>
        <v/>
      </c>
      <c r="AY969" t="str">
        <f t="shared" si="1176"/>
        <v>30/04/2021 12:00:00 a. m.</v>
      </c>
      <c r="AZ969" t="str">
        <f>"4/10/2020 12:00:00 a. m."</f>
        <v>4/10/2020 12:00:00 a. m.</v>
      </c>
      <c r="BA969" t="str">
        <f>""</f>
        <v/>
      </c>
      <c r="BB969" t="str">
        <f>""</f>
        <v/>
      </c>
      <c r="BC969" t="str">
        <f>""</f>
        <v/>
      </c>
      <c r="BD969" t="str">
        <f t="shared" si="1177"/>
        <v>1</v>
      </c>
      <c r="BE969" t="str">
        <f t="shared" si="1177"/>
        <v>1</v>
      </c>
      <c r="BF969" t="str">
        <f t="shared" si="1178"/>
        <v xml:space="preserve">3         </v>
      </c>
      <c r="BG969" t="str">
        <f t="shared" si="1179"/>
        <v>Confirmado por laboratorio</v>
      </c>
      <c r="BH969" t="str">
        <f>"HOSPITAL DEPARTAMENTAL DE VILLAVICENCIO"</f>
        <v>HOSPITAL DEPARTAMENTAL DE VILLAVICENCIO</v>
      </c>
      <c r="BI969" t="str">
        <f t="shared" si="1163"/>
        <v>COLOMBIA</v>
      </c>
      <c r="BJ969" t="str">
        <f t="shared" si="1180"/>
        <v>CANCER INFANTIL</v>
      </c>
      <c r="BK969" t="str">
        <f>"META"</f>
        <v>META</v>
      </c>
      <c r="BL969" t="str">
        <f>"ACACIAS"</f>
        <v>ACACIAS</v>
      </c>
      <c r="BM969" t="str">
        <f t="shared" ref="BM969:BM1032" si="1188">"COLOMBIA"</f>
        <v>COLOMBIA</v>
      </c>
      <c r="BN969" t="str">
        <f>"META"</f>
        <v>META</v>
      </c>
      <c r="BO969" t="str">
        <f>"VILLAVICENCIO"</f>
        <v>VILLAVICENCIO</v>
      </c>
      <c r="BP969" t="str">
        <f>"META"</f>
        <v>META</v>
      </c>
      <c r="BQ969" t="str">
        <f>"VILLAVICENCIO"</f>
        <v>VILLAVICENCIO</v>
      </c>
    </row>
    <row r="970" spans="1:69" x14ac:dyDescent="0.25">
      <c r="A970" t="str">
        <f>"7291613"</f>
        <v>7291613</v>
      </c>
      <c r="B970" t="str">
        <f t="shared" si="1173"/>
        <v>459</v>
      </c>
      <c r="C970" t="str">
        <f>"9/03/2021 12:00:00 a. m."</f>
        <v>9/03/2021 12:00:00 a. m.</v>
      </c>
      <c r="D970" t="str">
        <f>"26"</f>
        <v>26</v>
      </c>
      <c r="E970" t="str">
        <f t="shared" si="1174"/>
        <v>2020</v>
      </c>
      <c r="F970" t="str">
        <f>"7600103066"</f>
        <v>7600103066</v>
      </c>
      <c r="G970" t="str">
        <f t="shared" si="1186"/>
        <v>01</v>
      </c>
      <c r="H970" t="str">
        <f>"3"</f>
        <v>3</v>
      </c>
      <c r="I970" t="str">
        <f t="shared" si="1181"/>
        <v>1</v>
      </c>
      <c r="J970" t="str">
        <f>"F"</f>
        <v>F</v>
      </c>
      <c r="K970" t="str">
        <f t="shared" si="1162"/>
        <v>170</v>
      </c>
      <c r="L970" t="str">
        <f>"19"</f>
        <v>19</v>
      </c>
      <c r="M970" t="str">
        <f>"698"</f>
        <v>698</v>
      </c>
      <c r="N970" t="str">
        <f t="shared" si="1168"/>
        <v>1</v>
      </c>
      <c r="O970" t="str">
        <f>"9999"</f>
        <v>9999</v>
      </c>
      <c r="P970" t="str">
        <f>"S"</f>
        <v>S</v>
      </c>
      <c r="Q970" t="str">
        <f>"ESS062"</f>
        <v>ESS062</v>
      </c>
      <c r="R970" t="str">
        <f>"5"</f>
        <v>5</v>
      </c>
      <c r="S970" t="str">
        <f>""</f>
        <v/>
      </c>
      <c r="T970" t="str">
        <f t="shared" si="1151"/>
        <v xml:space="preserve">                                                                                                    </v>
      </c>
      <c r="U970" t="str">
        <f>"2         "</f>
        <v xml:space="preserve">2         </v>
      </c>
      <c r="V970" t="str">
        <f t="shared" si="1154"/>
        <v>2</v>
      </c>
      <c r="W970" t="str">
        <f t="shared" si="1152"/>
        <v>2</v>
      </c>
      <c r="X970" t="str">
        <f t="shared" si="1125"/>
        <v>2</v>
      </c>
      <c r="Y970" t="str">
        <f t="shared" si="1169"/>
        <v>2</v>
      </c>
      <c r="Z970" t="str">
        <f t="shared" si="1169"/>
        <v>2</v>
      </c>
      <c r="AA970" t="str">
        <f t="shared" si="1175"/>
        <v xml:space="preserve">          </v>
      </c>
      <c r="AB970" t="str">
        <f t="shared" si="1165"/>
        <v>2</v>
      </c>
      <c r="AC970" t="str">
        <f t="shared" si="1166"/>
        <v>2</v>
      </c>
      <c r="AD970" t="str">
        <f t="shared" si="1172"/>
        <v>2</v>
      </c>
      <c r="AE970" t="str">
        <f t="shared" si="1172"/>
        <v>2</v>
      </c>
      <c r="AF970" t="str">
        <f t="shared" si="1172"/>
        <v>2</v>
      </c>
      <c r="AG970" t="str">
        <f t="shared" si="1172"/>
        <v>2</v>
      </c>
      <c r="AH970" t="str">
        <f t="shared" si="1153"/>
        <v>1</v>
      </c>
      <c r="AI970" t="str">
        <f t="shared" si="1184"/>
        <v xml:space="preserve">1         </v>
      </c>
      <c r="AJ970" t="str">
        <f t="shared" si="1187"/>
        <v>170</v>
      </c>
      <c r="AK970" t="str">
        <f>"19"</f>
        <v>19</v>
      </c>
      <c r="AL970" t="str">
        <f>"698"</f>
        <v>698</v>
      </c>
      <c r="AM970" t="str">
        <f>"76"</f>
        <v>76</v>
      </c>
      <c r="AN970" t="str">
        <f>"76001"</f>
        <v>76001</v>
      </c>
      <c r="AO970" t="str">
        <f>"24/06/2020 12:00:00 a. m."</f>
        <v>24/06/2020 12:00:00 a. m.</v>
      </c>
      <c r="AP970" t="str">
        <f>"20/06/2020 12:00:00 a. m."</f>
        <v>20/06/2020 12:00:00 a. m.</v>
      </c>
      <c r="AQ970" t="str">
        <f>"3"</f>
        <v>3</v>
      </c>
      <c r="AR970" t="str">
        <f t="shared" si="1185"/>
        <v>1</v>
      </c>
      <c r="AS970" t="str">
        <f>"24/02/2021 12:00:00 a. m."</f>
        <v>24/02/2021 12:00:00 a. m.</v>
      </c>
      <c r="AT970" t="str">
        <f t="shared" si="1157"/>
        <v>1</v>
      </c>
      <c r="AU970" t="str">
        <f>""</f>
        <v/>
      </c>
      <c r="AV970" t="str">
        <f>"0"</f>
        <v>0</v>
      </c>
      <c r="AW970" t="str">
        <f>"20/09/2017 12:00:00 a. m."</f>
        <v>20/09/2017 12:00:00 a. m.</v>
      </c>
      <c r="AX970" t="str">
        <f>""</f>
        <v/>
      </c>
      <c r="AY970" t="str">
        <f t="shared" si="1176"/>
        <v>30/04/2021 12:00:00 a. m.</v>
      </c>
      <c r="AZ970" t="str">
        <f>"11/03/2021 12:00:00 a. m."</f>
        <v>11/03/2021 12:00:00 a. m.</v>
      </c>
      <c r="BA970" t="str">
        <f>""</f>
        <v/>
      </c>
      <c r="BB970" t="str">
        <f>""</f>
        <v/>
      </c>
      <c r="BC970" t="str">
        <f>""</f>
        <v/>
      </c>
      <c r="BD970" t="str">
        <f t="shared" si="1177"/>
        <v>1</v>
      </c>
      <c r="BE970" t="str">
        <f t="shared" si="1177"/>
        <v>1</v>
      </c>
      <c r="BF970" t="str">
        <f t="shared" si="1178"/>
        <v xml:space="preserve">3         </v>
      </c>
      <c r="BG970" t="str">
        <f t="shared" si="1179"/>
        <v>Confirmado por laboratorio</v>
      </c>
      <c r="BH970" t="str">
        <f>"CLINICA DE OCCIDENTE SA"</f>
        <v>CLINICA DE OCCIDENTE SA</v>
      </c>
      <c r="BI970" t="str">
        <f t="shared" si="1163"/>
        <v>COLOMBIA</v>
      </c>
      <c r="BJ970" t="str">
        <f t="shared" si="1180"/>
        <v>CANCER INFANTIL</v>
      </c>
      <c r="BK970" t="str">
        <f>"CAUCA"</f>
        <v>CAUCA</v>
      </c>
      <c r="BL970" t="str">
        <f>"SANTANDER DE QUILICHAO"</f>
        <v>SANTANDER DE QUILICHAO</v>
      </c>
      <c r="BM970" t="str">
        <f t="shared" si="1188"/>
        <v>COLOMBIA</v>
      </c>
      <c r="BN970" t="str">
        <f>"CAUCA"</f>
        <v>CAUCA</v>
      </c>
      <c r="BO970" t="str">
        <f>"SANTANDER DE QUILICHAO"</f>
        <v>SANTANDER DE QUILICHAO</v>
      </c>
      <c r="BP970" t="str">
        <f>"VALLE"</f>
        <v>VALLE</v>
      </c>
      <c r="BQ970" t="str">
        <f>"CALI"</f>
        <v>CALI</v>
      </c>
    </row>
    <row r="971" spans="1:69" x14ac:dyDescent="0.25">
      <c r="A971" t="str">
        <f>"7285383"</f>
        <v>7285383</v>
      </c>
      <c r="B971" t="str">
        <f t="shared" si="1173"/>
        <v>459</v>
      </c>
      <c r="C971" t="str">
        <f>"29/01/2020 12:00:00 a. m."</f>
        <v>29/01/2020 12:00:00 a. m.</v>
      </c>
      <c r="D971" t="str">
        <f>"05"</f>
        <v>05</v>
      </c>
      <c r="E971" t="str">
        <f t="shared" si="1174"/>
        <v>2020</v>
      </c>
      <c r="F971" t="str">
        <f>"0500102104"</f>
        <v>0500102104</v>
      </c>
      <c r="G971" t="str">
        <f t="shared" si="1186"/>
        <v>01</v>
      </c>
      <c r="H971" t="str">
        <f>"1"</f>
        <v>1</v>
      </c>
      <c r="I971" t="str">
        <f t="shared" si="1181"/>
        <v>1</v>
      </c>
      <c r="J971" t="str">
        <f>"F"</f>
        <v>F</v>
      </c>
      <c r="K971" t="str">
        <f t="shared" si="1162"/>
        <v>170</v>
      </c>
      <c r="L971" t="str">
        <f>"05"</f>
        <v>05</v>
      </c>
      <c r="M971" t="str">
        <f>"001"</f>
        <v>001</v>
      </c>
      <c r="N971" t="str">
        <f t="shared" si="1168"/>
        <v>1</v>
      </c>
      <c r="O971" t="str">
        <f>"9999"</f>
        <v>9999</v>
      </c>
      <c r="P971" t="str">
        <f>"C"</f>
        <v>C</v>
      </c>
      <c r="Q971" t="str">
        <f>"EPS010"</f>
        <v>EPS010</v>
      </c>
      <c r="R971" t="str">
        <f t="shared" ref="R971:R990" si="1189">"6"</f>
        <v>6</v>
      </c>
      <c r="S971" t="str">
        <f>""</f>
        <v/>
      </c>
      <c r="T971" t="str">
        <f t="shared" si="1151"/>
        <v xml:space="preserve">                                                                                                    </v>
      </c>
      <c r="U971" t="str">
        <f>"2         "</f>
        <v xml:space="preserve">2         </v>
      </c>
      <c r="V971" t="str">
        <f t="shared" si="1154"/>
        <v>2</v>
      </c>
      <c r="W971" t="str">
        <f t="shared" si="1152"/>
        <v>2</v>
      </c>
      <c r="X971" t="str">
        <f t="shared" si="1125"/>
        <v>2</v>
      </c>
      <c r="Y971" t="str">
        <f t="shared" si="1169"/>
        <v>2</v>
      </c>
      <c r="Z971" t="str">
        <f t="shared" si="1169"/>
        <v>2</v>
      </c>
      <c r="AA971" t="str">
        <f t="shared" si="1175"/>
        <v xml:space="preserve">          </v>
      </c>
      <c r="AB971" t="str">
        <f t="shared" si="1165"/>
        <v>2</v>
      </c>
      <c r="AC971" t="str">
        <f t="shared" si="1166"/>
        <v>2</v>
      </c>
      <c r="AD971" t="str">
        <f t="shared" si="1172"/>
        <v>2</v>
      </c>
      <c r="AE971" t="str">
        <f t="shared" si="1172"/>
        <v>2</v>
      </c>
      <c r="AF971" t="str">
        <f t="shared" si="1172"/>
        <v>2</v>
      </c>
      <c r="AG971" t="str">
        <f t="shared" si="1172"/>
        <v>2</v>
      </c>
      <c r="AH971" t="str">
        <f t="shared" si="1153"/>
        <v>1</v>
      </c>
      <c r="AI971" t="str">
        <f t="shared" si="1184"/>
        <v xml:space="preserve">1         </v>
      </c>
      <c r="AJ971" t="str">
        <f t="shared" si="1187"/>
        <v>170</v>
      </c>
      <c r="AK971" t="str">
        <f>"05"</f>
        <v>05</v>
      </c>
      <c r="AL971" t="str">
        <f>"001"</f>
        <v>001</v>
      </c>
      <c r="AM971" t="str">
        <f>"05"</f>
        <v>05</v>
      </c>
      <c r="AN971" t="str">
        <f>"05001"</f>
        <v>05001</v>
      </c>
      <c r="AO971" t="str">
        <f>"29/01/2020 12:00:00 a. m."</f>
        <v>29/01/2020 12:00:00 a. m.</v>
      </c>
      <c r="AP971" t="str">
        <f>"20/01/2020 12:00:00 a. m."</f>
        <v>20/01/2020 12:00:00 a. m.</v>
      </c>
      <c r="AQ971" t="str">
        <f>"3"</f>
        <v>3</v>
      </c>
      <c r="AR971" t="str">
        <f t="shared" si="1185"/>
        <v>1</v>
      </c>
      <c r="AS971" t="str">
        <f>"29/01/2020 12:00:00 a. m."</f>
        <v>29/01/2020 12:00:00 a. m.</v>
      </c>
      <c r="AT971" t="str">
        <f t="shared" si="1157"/>
        <v>1</v>
      </c>
      <c r="AU971" t="str">
        <f>""</f>
        <v/>
      </c>
      <c r="AV971" t="str">
        <f>"0"</f>
        <v>0</v>
      </c>
      <c r="AW971" t="str">
        <f>"6/02/2019 12:00:00 a. m."</f>
        <v>6/02/2019 12:00:00 a. m.</v>
      </c>
      <c r="AX971" t="str">
        <f>""</f>
        <v/>
      </c>
      <c r="AY971" t="str">
        <f t="shared" si="1176"/>
        <v>30/04/2021 12:00:00 a. m.</v>
      </c>
      <c r="AZ971" t="str">
        <f>"11/02/2020 12:00:00 a. m."</f>
        <v>11/02/2020 12:00:00 a. m.</v>
      </c>
      <c r="BA971" t="str">
        <f>""</f>
        <v/>
      </c>
      <c r="BB971" t="str">
        <f>""</f>
        <v/>
      </c>
      <c r="BC971" t="str">
        <f>""</f>
        <v/>
      </c>
      <c r="BD971" t="str">
        <f t="shared" si="1177"/>
        <v>1</v>
      </c>
      <c r="BE971" t="str">
        <f t="shared" si="1177"/>
        <v>1</v>
      </c>
      <c r="BF971" t="str">
        <f t="shared" si="1178"/>
        <v xml:space="preserve">3         </v>
      </c>
      <c r="BG971" t="str">
        <f t="shared" si="1179"/>
        <v>Confirmado por laboratorio</v>
      </c>
      <c r="BH971" t="str">
        <f>"HOSPITAL PABLO TOBON URIBE"</f>
        <v>HOSPITAL PABLO TOBON URIBE</v>
      </c>
      <c r="BI971" t="str">
        <f t="shared" si="1163"/>
        <v>COLOMBIA</v>
      </c>
      <c r="BJ971" t="str">
        <f t="shared" si="1180"/>
        <v>CANCER INFANTIL</v>
      </c>
      <c r="BK971" t="str">
        <f>"ANTIOQUIA"</f>
        <v>ANTIOQUIA</v>
      </c>
      <c r="BL971" t="str">
        <f>"MEDELLIN"</f>
        <v>MEDELLIN</v>
      </c>
      <c r="BM971" t="str">
        <f t="shared" si="1188"/>
        <v>COLOMBIA</v>
      </c>
      <c r="BN971" t="str">
        <f>"ANTIOQUIA"</f>
        <v>ANTIOQUIA</v>
      </c>
      <c r="BO971" t="str">
        <f>"MEDELLIN"</f>
        <v>MEDELLIN</v>
      </c>
      <c r="BP971" t="str">
        <f>"ANTIOQUIA"</f>
        <v>ANTIOQUIA</v>
      </c>
      <c r="BQ971" t="str">
        <f>"MEDELLIN"</f>
        <v>MEDELLIN</v>
      </c>
    </row>
    <row r="972" spans="1:69" x14ac:dyDescent="0.25">
      <c r="A972" t="str">
        <f>"7285516"</f>
        <v>7285516</v>
      </c>
      <c r="B972" t="str">
        <f t="shared" si="1173"/>
        <v>459</v>
      </c>
      <c r="C972" t="str">
        <f>"4/11/2020 12:00:00 a. m."</f>
        <v>4/11/2020 12:00:00 a. m.</v>
      </c>
      <c r="D972" t="str">
        <f>"42"</f>
        <v>42</v>
      </c>
      <c r="E972" t="str">
        <f t="shared" si="1174"/>
        <v>2020</v>
      </c>
      <c r="F972" t="str">
        <f>"6854704947"</f>
        <v>6854704947</v>
      </c>
      <c r="G972" t="str">
        <f t="shared" si="1186"/>
        <v>01</v>
      </c>
      <c r="H972" t="str">
        <f>"8"</f>
        <v>8</v>
      </c>
      <c r="I972" t="str">
        <f t="shared" si="1181"/>
        <v>1</v>
      </c>
      <c r="J972" t="str">
        <f>"M"</f>
        <v>M</v>
      </c>
      <c r="K972" t="str">
        <f t="shared" si="1162"/>
        <v>170</v>
      </c>
      <c r="L972" t="str">
        <f>"68"</f>
        <v>68</v>
      </c>
      <c r="M972" t="str">
        <f>"081"</f>
        <v>081</v>
      </c>
      <c r="N972" t="str">
        <f>"3"</f>
        <v>3</v>
      </c>
      <c r="O972" t="str">
        <f>"9997"</f>
        <v>9997</v>
      </c>
      <c r="P972" t="str">
        <f>"C"</f>
        <v>C</v>
      </c>
      <c r="Q972" t="str">
        <f>"EPS017"</f>
        <v>EPS017</v>
      </c>
      <c r="R972" t="str">
        <f t="shared" si="1189"/>
        <v>6</v>
      </c>
      <c r="S972" t="str">
        <f>""</f>
        <v/>
      </c>
      <c r="T972" t="str">
        <f t="shared" si="1151"/>
        <v xml:space="preserve">                                                                                                    </v>
      </c>
      <c r="U972" t="str">
        <f>"1         "</f>
        <v xml:space="preserve">1         </v>
      </c>
      <c r="V972" t="str">
        <f t="shared" si="1154"/>
        <v>2</v>
      </c>
      <c r="W972" t="str">
        <f t="shared" si="1152"/>
        <v>2</v>
      </c>
      <c r="X972" t="str">
        <f t="shared" si="1125"/>
        <v>2</v>
      </c>
      <c r="Y972" t="str">
        <f t="shared" si="1169"/>
        <v>2</v>
      </c>
      <c r="Z972" t="str">
        <f t="shared" si="1169"/>
        <v>2</v>
      </c>
      <c r="AA972" t="str">
        <f t="shared" si="1175"/>
        <v xml:space="preserve">          </v>
      </c>
      <c r="AB972" t="str">
        <f t="shared" si="1165"/>
        <v>2</v>
      </c>
      <c r="AC972" t="str">
        <f t="shared" si="1166"/>
        <v>2</v>
      </c>
      <c r="AD972" t="str">
        <f t="shared" si="1172"/>
        <v>2</v>
      </c>
      <c r="AE972" t="str">
        <f t="shared" si="1172"/>
        <v>2</v>
      </c>
      <c r="AF972" t="str">
        <f t="shared" si="1172"/>
        <v>2</v>
      </c>
      <c r="AG972" t="str">
        <f t="shared" si="1172"/>
        <v>2</v>
      </c>
      <c r="AH972" t="str">
        <f t="shared" si="1153"/>
        <v>1</v>
      </c>
      <c r="AI972" t="str">
        <f t="shared" si="1184"/>
        <v xml:space="preserve">1         </v>
      </c>
      <c r="AJ972" t="str">
        <f t="shared" si="1187"/>
        <v>170</v>
      </c>
      <c r="AK972" t="str">
        <f>"68"</f>
        <v>68</v>
      </c>
      <c r="AL972" t="str">
        <f>"081"</f>
        <v>081</v>
      </c>
      <c r="AM972" t="str">
        <f>"68"</f>
        <v>68</v>
      </c>
      <c r="AN972" t="str">
        <f>"68547"</f>
        <v>68547</v>
      </c>
      <c r="AO972" t="str">
        <f>"16/10/2020 12:00:00 a. m."</f>
        <v>16/10/2020 12:00:00 a. m.</v>
      </c>
      <c r="AP972" t="str">
        <f>"15/10/2020 12:00:00 a. m."</f>
        <v>15/10/2020 12:00:00 a. m.</v>
      </c>
      <c r="AQ972" t="str">
        <f>"3"</f>
        <v>3</v>
      </c>
      <c r="AR972" t="str">
        <f t="shared" si="1185"/>
        <v>1</v>
      </c>
      <c r="AS972" t="str">
        <f>"16/10/2020 12:00:00 a. m."</f>
        <v>16/10/2020 12:00:00 a. m.</v>
      </c>
      <c r="AT972" t="str">
        <f t="shared" si="1157"/>
        <v>1</v>
      </c>
      <c r="AU972" t="str">
        <f>""</f>
        <v/>
      </c>
      <c r="AV972" t="str">
        <f>"0"</f>
        <v>0</v>
      </c>
      <c r="AW972" t="str">
        <f>"17/06/2012 12:00:00 a. m."</f>
        <v>17/06/2012 12:00:00 a. m.</v>
      </c>
      <c r="AX972" t="str">
        <f>""</f>
        <v/>
      </c>
      <c r="AY972" t="str">
        <f t="shared" si="1176"/>
        <v>30/04/2021 12:00:00 a. m.</v>
      </c>
      <c r="AZ972" t="str">
        <f>"4/11/2020 12:00:00 a. m."</f>
        <v>4/11/2020 12:00:00 a. m.</v>
      </c>
      <c r="BA972" t="str">
        <f>""</f>
        <v/>
      </c>
      <c r="BB972" t="str">
        <f>""</f>
        <v/>
      </c>
      <c r="BC972" t="str">
        <f>""</f>
        <v/>
      </c>
      <c r="BD972" t="str">
        <f t="shared" si="1177"/>
        <v>1</v>
      </c>
      <c r="BE972" t="str">
        <f t="shared" si="1177"/>
        <v>1</v>
      </c>
      <c r="BF972" t="str">
        <f t="shared" si="1178"/>
        <v xml:space="preserve">3         </v>
      </c>
      <c r="BG972" t="str">
        <f t="shared" si="1179"/>
        <v>Confirmado por laboratorio</v>
      </c>
      <c r="BH972" t="str">
        <f>"HOSPITAL INTERNACIONAL DE COLOMBIA"</f>
        <v>HOSPITAL INTERNACIONAL DE COLOMBIA</v>
      </c>
      <c r="BI972" t="str">
        <f t="shared" si="1163"/>
        <v>COLOMBIA</v>
      </c>
      <c r="BJ972" t="str">
        <f t="shared" si="1180"/>
        <v>CANCER INFANTIL</v>
      </c>
      <c r="BK972" t="str">
        <f>"SANTANDER"</f>
        <v>SANTANDER</v>
      </c>
      <c r="BL972" t="str">
        <f>"BARRANCABERMEJA"</f>
        <v>BARRANCABERMEJA</v>
      </c>
      <c r="BM972" t="str">
        <f t="shared" si="1188"/>
        <v>COLOMBIA</v>
      </c>
      <c r="BN972" t="str">
        <f>"SANTANDER"</f>
        <v>SANTANDER</v>
      </c>
      <c r="BO972" t="str">
        <f>"BARRANCABERMEJA"</f>
        <v>BARRANCABERMEJA</v>
      </c>
      <c r="BP972" t="str">
        <f>"SANTANDER"</f>
        <v>SANTANDER</v>
      </c>
      <c r="BQ972" t="str">
        <f>"PIEDECUESTA"</f>
        <v>PIEDECUESTA</v>
      </c>
    </row>
    <row r="973" spans="1:69" x14ac:dyDescent="0.25">
      <c r="A973" t="str">
        <f>"7285390"</f>
        <v>7285390</v>
      </c>
      <c r="B973" t="str">
        <f t="shared" si="1173"/>
        <v>459</v>
      </c>
      <c r="C973" t="str">
        <f>"24/01/2020 12:00:00 a. m."</f>
        <v>24/01/2020 12:00:00 a. m.</v>
      </c>
      <c r="D973" t="str">
        <f>"01"</f>
        <v>01</v>
      </c>
      <c r="E973" t="str">
        <f t="shared" si="1174"/>
        <v>2020</v>
      </c>
      <c r="F973" t="str">
        <f>"0500102104"</f>
        <v>0500102104</v>
      </c>
      <c r="G973" t="str">
        <f t="shared" si="1186"/>
        <v>01</v>
      </c>
      <c r="H973" t="str">
        <f>"12"</f>
        <v>12</v>
      </c>
      <c r="I973" t="str">
        <f t="shared" si="1181"/>
        <v>1</v>
      </c>
      <c r="J973" t="str">
        <f>"F"</f>
        <v>F</v>
      </c>
      <c r="K973" t="str">
        <f t="shared" si="1162"/>
        <v>170</v>
      </c>
      <c r="L973" t="str">
        <f>"05"</f>
        <v>05</v>
      </c>
      <c r="M973" t="str">
        <f t="shared" ref="M973:M980" si="1190">"001"</f>
        <v>001</v>
      </c>
      <c r="N973" t="str">
        <f t="shared" ref="N973:N985" si="1191">"1"</f>
        <v>1</v>
      </c>
      <c r="O973" t="str">
        <f>"9997"</f>
        <v>9997</v>
      </c>
      <c r="P973" t="str">
        <f>"C"</f>
        <v>C</v>
      </c>
      <c r="Q973" t="str">
        <f>"EPS010"</f>
        <v>EPS010</v>
      </c>
      <c r="R973" t="str">
        <f t="shared" si="1189"/>
        <v>6</v>
      </c>
      <c r="S973" t="str">
        <f>""</f>
        <v/>
      </c>
      <c r="T973" t="str">
        <f t="shared" si="1151"/>
        <v xml:space="preserve">                                                                                                    </v>
      </c>
      <c r="U973" t="str">
        <f>"2         "</f>
        <v xml:space="preserve">2         </v>
      </c>
      <c r="V973" t="str">
        <f t="shared" si="1154"/>
        <v>2</v>
      </c>
      <c r="W973" t="str">
        <f t="shared" si="1152"/>
        <v>2</v>
      </c>
      <c r="X973" t="str">
        <f t="shared" si="1125"/>
        <v>2</v>
      </c>
      <c r="Y973" t="str">
        <f t="shared" si="1169"/>
        <v>2</v>
      </c>
      <c r="Z973" t="str">
        <f t="shared" si="1169"/>
        <v>2</v>
      </c>
      <c r="AA973" t="str">
        <f t="shared" si="1175"/>
        <v xml:space="preserve">          </v>
      </c>
      <c r="AB973" t="str">
        <f t="shared" si="1165"/>
        <v>2</v>
      </c>
      <c r="AC973" t="str">
        <f t="shared" si="1166"/>
        <v>2</v>
      </c>
      <c r="AD973" t="str">
        <f t="shared" si="1172"/>
        <v>2</v>
      </c>
      <c r="AE973" t="str">
        <f t="shared" si="1172"/>
        <v>2</v>
      </c>
      <c r="AF973" t="str">
        <f t="shared" si="1172"/>
        <v>2</v>
      </c>
      <c r="AG973" t="str">
        <f t="shared" si="1172"/>
        <v>2</v>
      </c>
      <c r="AH973" t="str">
        <f t="shared" si="1153"/>
        <v>1</v>
      </c>
      <c r="AI973" t="str">
        <f t="shared" si="1184"/>
        <v xml:space="preserve">1         </v>
      </c>
      <c r="AJ973" t="str">
        <f t="shared" si="1187"/>
        <v>170</v>
      </c>
      <c r="AK973" t="str">
        <f>"05"</f>
        <v>05</v>
      </c>
      <c r="AL973" t="str">
        <f t="shared" ref="AL973:AL980" si="1192">"001"</f>
        <v>001</v>
      </c>
      <c r="AM973" t="str">
        <f>"05"</f>
        <v>05</v>
      </c>
      <c r="AN973" t="str">
        <f>"05001"</f>
        <v>05001</v>
      </c>
      <c r="AO973" t="str">
        <f>"31/12/2019 12:00:00 a. m."</f>
        <v>31/12/2019 12:00:00 a. m.</v>
      </c>
      <c r="AP973" t="str">
        <f>"27/12/2019 12:00:00 a. m."</f>
        <v>27/12/2019 12:00:00 a. m.</v>
      </c>
      <c r="AQ973" t="str">
        <f>"3"</f>
        <v>3</v>
      </c>
      <c r="AR973" t="str">
        <f>"2"</f>
        <v>2</v>
      </c>
      <c r="AS973" t="str">
        <f>""</f>
        <v/>
      </c>
      <c r="AT973" t="str">
        <f t="shared" si="1157"/>
        <v>1</v>
      </c>
      <c r="AU973" t="str">
        <f>""</f>
        <v/>
      </c>
      <c r="AV973" t="str">
        <f>"0"</f>
        <v>0</v>
      </c>
      <c r="AW973" t="str">
        <f>"17/05/2007 12:00:00 a. m."</f>
        <v>17/05/2007 12:00:00 a. m.</v>
      </c>
      <c r="AX973" t="str">
        <f>""</f>
        <v/>
      </c>
      <c r="AY973" t="str">
        <f t="shared" si="1176"/>
        <v>30/04/2021 12:00:00 a. m.</v>
      </c>
      <c r="AZ973" t="str">
        <f>"24/01/2020 12:00:00 a. m."</f>
        <v>24/01/2020 12:00:00 a. m.</v>
      </c>
      <c r="BA973" t="str">
        <f>""</f>
        <v/>
      </c>
      <c r="BB973" t="str">
        <f>""</f>
        <v/>
      </c>
      <c r="BC973" t="str">
        <f>""</f>
        <v/>
      </c>
      <c r="BD973" t="str">
        <f t="shared" si="1177"/>
        <v>1</v>
      </c>
      <c r="BE973" t="str">
        <f t="shared" si="1177"/>
        <v>1</v>
      </c>
      <c r="BF973" t="str">
        <f t="shared" si="1178"/>
        <v xml:space="preserve">3         </v>
      </c>
      <c r="BG973" t="str">
        <f t="shared" si="1179"/>
        <v>Confirmado por laboratorio</v>
      </c>
      <c r="BH973" t="str">
        <f>"HOSPITAL PABLO TOBON URIBE"</f>
        <v>HOSPITAL PABLO TOBON URIBE</v>
      </c>
      <c r="BI973" t="str">
        <f t="shared" si="1163"/>
        <v>COLOMBIA</v>
      </c>
      <c r="BJ973" t="str">
        <f t="shared" si="1180"/>
        <v>CANCER INFANTIL</v>
      </c>
      <c r="BK973" t="str">
        <f>"ANTIOQUIA"</f>
        <v>ANTIOQUIA</v>
      </c>
      <c r="BL973" t="str">
        <f>"MEDELLIN"</f>
        <v>MEDELLIN</v>
      </c>
      <c r="BM973" t="str">
        <f t="shared" si="1188"/>
        <v>COLOMBIA</v>
      </c>
      <c r="BN973" t="str">
        <f>"ANTIOQUIA"</f>
        <v>ANTIOQUIA</v>
      </c>
      <c r="BO973" t="str">
        <f>"MEDELLIN"</f>
        <v>MEDELLIN</v>
      </c>
      <c r="BP973" t="str">
        <f>"ANTIOQUIA"</f>
        <v>ANTIOQUIA</v>
      </c>
      <c r="BQ973" t="str">
        <f>"MEDELLIN"</f>
        <v>MEDELLIN</v>
      </c>
    </row>
    <row r="974" spans="1:69" x14ac:dyDescent="0.25">
      <c r="A974" t="str">
        <f>"7279236"</f>
        <v>7279236</v>
      </c>
      <c r="B974" t="str">
        <f t="shared" si="1173"/>
        <v>459</v>
      </c>
      <c r="C974" t="str">
        <f>"27/04/2020 12:00:00 a. m."</f>
        <v>27/04/2020 12:00:00 a. m.</v>
      </c>
      <c r="D974" t="str">
        <f>"17"</f>
        <v>17</v>
      </c>
      <c r="E974" t="str">
        <f t="shared" si="1174"/>
        <v>2020</v>
      </c>
      <c r="F974" t="str">
        <f>"1100130294"</f>
        <v>1100130294</v>
      </c>
      <c r="G974" t="str">
        <f>"02"</f>
        <v>02</v>
      </c>
      <c r="H974" t="str">
        <f>"7"</f>
        <v>7</v>
      </c>
      <c r="I974" t="str">
        <f t="shared" si="1181"/>
        <v>1</v>
      </c>
      <c r="J974" t="str">
        <f>"F"</f>
        <v>F</v>
      </c>
      <c r="K974" t="str">
        <f t="shared" si="1162"/>
        <v>170</v>
      </c>
      <c r="L974" t="str">
        <f>"11"</f>
        <v>11</v>
      </c>
      <c r="M974" t="str">
        <f t="shared" si="1190"/>
        <v>001</v>
      </c>
      <c r="N974" t="str">
        <f t="shared" si="1191"/>
        <v>1</v>
      </c>
      <c r="O974" t="str">
        <f>"9997"</f>
        <v>9997</v>
      </c>
      <c r="P974" t="str">
        <f>"S"</f>
        <v>S</v>
      </c>
      <c r="Q974" t="str">
        <f>"EPSS34"</f>
        <v>EPSS34</v>
      </c>
      <c r="R974" t="str">
        <f t="shared" si="1189"/>
        <v>6</v>
      </c>
      <c r="S974" t="str">
        <f>""</f>
        <v/>
      </c>
      <c r="T974" t="str">
        <f t="shared" si="1151"/>
        <v xml:space="preserve">                                                                                                    </v>
      </c>
      <c r="U974" t="str">
        <f>"2         "</f>
        <v xml:space="preserve">2         </v>
      </c>
      <c r="V974" t="str">
        <f t="shared" si="1154"/>
        <v>2</v>
      </c>
      <c r="W974" t="str">
        <f t="shared" si="1152"/>
        <v>2</v>
      </c>
      <c r="X974" t="str">
        <f t="shared" si="1125"/>
        <v>2</v>
      </c>
      <c r="Y974" t="str">
        <f t="shared" si="1169"/>
        <v>2</v>
      </c>
      <c r="Z974" t="str">
        <f t="shared" si="1169"/>
        <v>2</v>
      </c>
      <c r="AA974" t="str">
        <f t="shared" si="1175"/>
        <v xml:space="preserve">          </v>
      </c>
      <c r="AB974" t="str">
        <f t="shared" si="1165"/>
        <v>2</v>
      </c>
      <c r="AC974" t="str">
        <f t="shared" si="1166"/>
        <v>2</v>
      </c>
      <c r="AD974" t="str">
        <f t="shared" si="1172"/>
        <v>2</v>
      </c>
      <c r="AE974" t="str">
        <f t="shared" si="1172"/>
        <v>2</v>
      </c>
      <c r="AF974" t="str">
        <f t="shared" si="1172"/>
        <v>2</v>
      </c>
      <c r="AG974" t="str">
        <f t="shared" si="1172"/>
        <v>2</v>
      </c>
      <c r="AH974" t="str">
        <f t="shared" si="1153"/>
        <v>1</v>
      </c>
      <c r="AI974" t="str">
        <f t="shared" si="1184"/>
        <v xml:space="preserve">1         </v>
      </c>
      <c r="AJ974" t="str">
        <f t="shared" si="1187"/>
        <v>170</v>
      </c>
      <c r="AK974" t="str">
        <f>"11"</f>
        <v>11</v>
      </c>
      <c r="AL974" t="str">
        <f t="shared" si="1192"/>
        <v>001</v>
      </c>
      <c r="AM974" t="str">
        <f t="shared" ref="AM974:AM983" si="1193">"11"</f>
        <v>11</v>
      </c>
      <c r="AN974" t="str">
        <f t="shared" ref="AN974:AN983" si="1194">"11001"</f>
        <v>11001</v>
      </c>
      <c r="AO974" t="str">
        <f>"24/04/2020 12:00:00 a. m."</f>
        <v>24/04/2020 12:00:00 a. m.</v>
      </c>
      <c r="AP974" t="str">
        <f>"9/04/2020 12:00:00 a. m."</f>
        <v>9/04/2020 12:00:00 a. m.</v>
      </c>
      <c r="AQ974" t="str">
        <f>"2"</f>
        <v>2</v>
      </c>
      <c r="AR974" t="str">
        <f>"1"</f>
        <v>1</v>
      </c>
      <c r="AS974" t="str">
        <f>"24/04/2020 12:00:00 a. m."</f>
        <v>24/04/2020 12:00:00 a. m.</v>
      </c>
      <c r="AT974" t="str">
        <f t="shared" si="1157"/>
        <v>1</v>
      </c>
      <c r="AU974" t="str">
        <f>""</f>
        <v/>
      </c>
      <c r="AV974" t="str">
        <f>"3"</f>
        <v>3</v>
      </c>
      <c r="AW974" t="str">
        <f>"4/12/2012 12:00:00 a. m."</f>
        <v>4/12/2012 12:00:00 a. m.</v>
      </c>
      <c r="AX974" t="str">
        <f>""</f>
        <v/>
      </c>
      <c r="AY974" t="str">
        <f t="shared" si="1176"/>
        <v>30/04/2021 12:00:00 a. m.</v>
      </c>
      <c r="AZ974" t="str">
        <f>"15/09/2020 12:00:00 a. m."</f>
        <v>15/09/2020 12:00:00 a. m.</v>
      </c>
      <c r="BA974" t="str">
        <f>""</f>
        <v/>
      </c>
      <c r="BB974" t="str">
        <f>""</f>
        <v/>
      </c>
      <c r="BC974" t="str">
        <f>""</f>
        <v/>
      </c>
      <c r="BD974" t="str">
        <f t="shared" si="1177"/>
        <v>1</v>
      </c>
      <c r="BE974" t="str">
        <f t="shared" si="1177"/>
        <v>1</v>
      </c>
      <c r="BF974" t="str">
        <f t="shared" si="1178"/>
        <v xml:space="preserve">3         </v>
      </c>
      <c r="BG974" t="str">
        <f t="shared" si="1179"/>
        <v>Confirmado por laboratorio</v>
      </c>
      <c r="BH974" t="str">
        <f>"USS MEISSEN"</f>
        <v>USS MEISSEN</v>
      </c>
      <c r="BI974" t="str">
        <f t="shared" si="1163"/>
        <v>COLOMBIA</v>
      </c>
      <c r="BJ974" t="str">
        <f t="shared" si="1180"/>
        <v>CANCER INFANTIL</v>
      </c>
      <c r="BK974" t="str">
        <f t="shared" ref="BK974:BL976" si="1195">"BOGOTA"</f>
        <v>BOGOTA</v>
      </c>
      <c r="BL974" t="str">
        <f t="shared" si="1195"/>
        <v>BOGOTA</v>
      </c>
      <c r="BM974" t="str">
        <f t="shared" si="1188"/>
        <v>COLOMBIA</v>
      </c>
      <c r="BN974" t="str">
        <f t="shared" ref="BN974:BQ976" si="1196">"BOGOTA"</f>
        <v>BOGOTA</v>
      </c>
      <c r="BO974" t="str">
        <f t="shared" si="1196"/>
        <v>BOGOTA</v>
      </c>
      <c r="BP974" t="str">
        <f t="shared" si="1196"/>
        <v>BOGOTA</v>
      </c>
      <c r="BQ974" t="str">
        <f t="shared" si="1196"/>
        <v>BOGOTA</v>
      </c>
    </row>
    <row r="975" spans="1:69" x14ac:dyDescent="0.25">
      <c r="A975" t="str">
        <f>"7279098"</f>
        <v>7279098</v>
      </c>
      <c r="B975" t="str">
        <f t="shared" si="1173"/>
        <v>459</v>
      </c>
      <c r="C975" t="str">
        <f>"27/07/2020 12:00:00 a. m."</f>
        <v>27/07/2020 12:00:00 a. m.</v>
      </c>
      <c r="D975" t="str">
        <f>"25"</f>
        <v>25</v>
      </c>
      <c r="E975" t="str">
        <f t="shared" si="1174"/>
        <v>2020</v>
      </c>
      <c r="F975" t="str">
        <f>"1100116133"</f>
        <v>1100116133</v>
      </c>
      <c r="G975" t="str">
        <f>"01"</f>
        <v>01</v>
      </c>
      <c r="H975" t="str">
        <f>"4"</f>
        <v>4</v>
      </c>
      <c r="I975" t="str">
        <f t="shared" si="1181"/>
        <v>1</v>
      </c>
      <c r="J975" t="str">
        <f>"M"</f>
        <v>M</v>
      </c>
      <c r="K975" t="str">
        <f t="shared" si="1162"/>
        <v>170</v>
      </c>
      <c r="L975" t="str">
        <f>"11"</f>
        <v>11</v>
      </c>
      <c r="M975" t="str">
        <f t="shared" si="1190"/>
        <v>001</v>
      </c>
      <c r="N975" t="str">
        <f t="shared" si="1191"/>
        <v>1</v>
      </c>
      <c r="O975" t="str">
        <f>"9999"</f>
        <v>9999</v>
      </c>
      <c r="P975" t="str">
        <f>"P"</f>
        <v>P</v>
      </c>
      <c r="Q975" t="str">
        <f>"RES004"</f>
        <v>RES004</v>
      </c>
      <c r="R975" t="str">
        <f t="shared" si="1189"/>
        <v>6</v>
      </c>
      <c r="S975" t="str">
        <f>""</f>
        <v/>
      </c>
      <c r="T975" t="str">
        <f t="shared" si="1151"/>
        <v xml:space="preserve">                                                                                                    </v>
      </c>
      <c r="U975" t="str">
        <f>"2         "</f>
        <v xml:space="preserve">2         </v>
      </c>
      <c r="V975" t="str">
        <f t="shared" si="1154"/>
        <v>2</v>
      </c>
      <c r="W975" t="str">
        <f t="shared" si="1152"/>
        <v>2</v>
      </c>
      <c r="X975" t="str">
        <f t="shared" si="1125"/>
        <v>2</v>
      </c>
      <c r="Y975" t="str">
        <f t="shared" si="1169"/>
        <v>2</v>
      </c>
      <c r="Z975" t="str">
        <f t="shared" si="1169"/>
        <v>2</v>
      </c>
      <c r="AA975" t="str">
        <f t="shared" si="1175"/>
        <v xml:space="preserve">          </v>
      </c>
      <c r="AB975" t="str">
        <f t="shared" si="1165"/>
        <v>2</v>
      </c>
      <c r="AC975" t="str">
        <f t="shared" si="1166"/>
        <v>2</v>
      </c>
      <c r="AD975" t="str">
        <f t="shared" si="1172"/>
        <v>2</v>
      </c>
      <c r="AE975" t="str">
        <f t="shared" si="1172"/>
        <v>2</v>
      </c>
      <c r="AF975" t="str">
        <f t="shared" si="1172"/>
        <v>2</v>
      </c>
      <c r="AG975" t="str">
        <f t="shared" si="1172"/>
        <v>2</v>
      </c>
      <c r="AH975" t="str">
        <f t="shared" si="1153"/>
        <v>1</v>
      </c>
      <c r="AI975" t="str">
        <f>"2         "</f>
        <v xml:space="preserve">2         </v>
      </c>
      <c r="AJ975" t="str">
        <f t="shared" si="1187"/>
        <v>170</v>
      </c>
      <c r="AK975" t="str">
        <f>"11"</f>
        <v>11</v>
      </c>
      <c r="AL975" t="str">
        <f t="shared" si="1192"/>
        <v>001</v>
      </c>
      <c r="AM975" t="str">
        <f t="shared" si="1193"/>
        <v>11</v>
      </c>
      <c r="AN975" t="str">
        <f t="shared" si="1194"/>
        <v>11001</v>
      </c>
      <c r="AO975" t="str">
        <f>"17/06/2020 12:00:00 a. m."</f>
        <v>17/06/2020 12:00:00 a. m.</v>
      </c>
      <c r="AP975" t="str">
        <f>"17/06/2020 12:00:00 a. m."</f>
        <v>17/06/2020 12:00:00 a. m.</v>
      </c>
      <c r="AQ975" t="str">
        <f>"3"</f>
        <v>3</v>
      </c>
      <c r="AR975" t="str">
        <f>"1"</f>
        <v>1</v>
      </c>
      <c r="AS975" t="str">
        <f>"17/06/2020 12:00:00 a. m."</f>
        <v>17/06/2020 12:00:00 a. m.</v>
      </c>
      <c r="AT975" t="str">
        <f>"2"</f>
        <v>2</v>
      </c>
      <c r="AU975" t="str">
        <f>"21/08/2020 12:00:00 a. m."</f>
        <v>21/08/2020 12:00:00 a. m.</v>
      </c>
      <c r="AV975" t="str">
        <f>"7"</f>
        <v>7</v>
      </c>
      <c r="AW975" t="str">
        <f>"4/02/2016 12:00:00 a. m."</f>
        <v>4/02/2016 12:00:00 a. m.</v>
      </c>
      <c r="AX975" t="str">
        <f>"C719"</f>
        <v>C719</v>
      </c>
      <c r="AY975" t="str">
        <f t="shared" si="1176"/>
        <v>30/04/2021 12:00:00 a. m.</v>
      </c>
      <c r="AZ975" t="str">
        <f>"23/09/2020 12:00:00 a. m."</f>
        <v>23/09/2020 12:00:00 a. m.</v>
      </c>
      <c r="BA975" t="str">
        <f>""</f>
        <v/>
      </c>
      <c r="BB975" t="str">
        <f>""</f>
        <v/>
      </c>
      <c r="BC975" t="str">
        <f>""</f>
        <v/>
      </c>
      <c r="BD975" t="str">
        <f t="shared" si="1177"/>
        <v>1</v>
      </c>
      <c r="BE975" t="str">
        <f t="shared" si="1177"/>
        <v>1</v>
      </c>
      <c r="BF975" t="str">
        <f t="shared" si="1178"/>
        <v xml:space="preserve">3         </v>
      </c>
      <c r="BG975" t="str">
        <f t="shared" si="1179"/>
        <v>Confirmado por laboratorio</v>
      </c>
      <c r="BH975" t="str">
        <f>"FUNDACION HOSPITAL INFANTIL UNIVERSITARIO DE SAN"</f>
        <v>FUNDACION HOSPITAL INFANTIL UNIVERSITARIO DE SAN</v>
      </c>
      <c r="BI975" t="str">
        <f t="shared" si="1163"/>
        <v>COLOMBIA</v>
      </c>
      <c r="BJ975" t="str">
        <f t="shared" si="1180"/>
        <v>CANCER INFANTIL</v>
      </c>
      <c r="BK975" t="str">
        <f t="shared" si="1195"/>
        <v>BOGOTA</v>
      </c>
      <c r="BL975" t="str">
        <f t="shared" si="1195"/>
        <v>BOGOTA</v>
      </c>
      <c r="BM975" t="str">
        <f t="shared" si="1188"/>
        <v>COLOMBIA</v>
      </c>
      <c r="BN975" t="str">
        <f t="shared" si="1196"/>
        <v>BOGOTA</v>
      </c>
      <c r="BO975" t="str">
        <f t="shared" si="1196"/>
        <v>BOGOTA</v>
      </c>
      <c r="BP975" t="str">
        <f t="shared" si="1196"/>
        <v>BOGOTA</v>
      </c>
      <c r="BQ975" t="str">
        <f t="shared" si="1196"/>
        <v>BOGOTA</v>
      </c>
    </row>
    <row r="976" spans="1:69" x14ac:dyDescent="0.25">
      <c r="A976" t="str">
        <f>"7279099"</f>
        <v>7279099</v>
      </c>
      <c r="B976" t="str">
        <f t="shared" si="1173"/>
        <v>459</v>
      </c>
      <c r="C976" t="str">
        <f>"26/09/2020 12:00:00 a. m."</f>
        <v>26/09/2020 12:00:00 a. m.</v>
      </c>
      <c r="D976" t="str">
        <f>"39"</f>
        <v>39</v>
      </c>
      <c r="E976" t="str">
        <f t="shared" si="1174"/>
        <v>2020</v>
      </c>
      <c r="F976" t="str">
        <f>"1100109111"</f>
        <v>1100109111</v>
      </c>
      <c r="G976" t="str">
        <f>"01"</f>
        <v>01</v>
      </c>
      <c r="H976" t="str">
        <f>"4"</f>
        <v>4</v>
      </c>
      <c r="I976" t="str">
        <f t="shared" si="1181"/>
        <v>1</v>
      </c>
      <c r="J976" t="str">
        <f>"F"</f>
        <v>F</v>
      </c>
      <c r="K976" t="str">
        <f t="shared" si="1162"/>
        <v>170</v>
      </c>
      <c r="L976" t="str">
        <f>"11"</f>
        <v>11</v>
      </c>
      <c r="M976" t="str">
        <f t="shared" si="1190"/>
        <v>001</v>
      </c>
      <c r="N976" t="str">
        <f t="shared" si="1191"/>
        <v>1</v>
      </c>
      <c r="O976" t="str">
        <f>"9999"</f>
        <v>9999</v>
      </c>
      <c r="P976" t="str">
        <f>"C"</f>
        <v>C</v>
      </c>
      <c r="Q976" t="str">
        <f>"EPS008"</f>
        <v>EPS008</v>
      </c>
      <c r="R976" t="str">
        <f t="shared" si="1189"/>
        <v>6</v>
      </c>
      <c r="S976" t="str">
        <f>""</f>
        <v/>
      </c>
      <c r="T976" t="str">
        <f t="shared" si="1151"/>
        <v xml:space="preserve">                                                                                                    </v>
      </c>
      <c r="U976" t="str">
        <f>"3         "</f>
        <v xml:space="preserve">3         </v>
      </c>
      <c r="V976" t="str">
        <f t="shared" si="1154"/>
        <v>2</v>
      </c>
      <c r="W976" t="str">
        <f t="shared" si="1152"/>
        <v>2</v>
      </c>
      <c r="X976" t="str">
        <f t="shared" si="1125"/>
        <v>2</v>
      </c>
      <c r="Y976" t="str">
        <f t="shared" si="1169"/>
        <v>2</v>
      </c>
      <c r="Z976" t="str">
        <f t="shared" si="1169"/>
        <v>2</v>
      </c>
      <c r="AA976" t="str">
        <f t="shared" si="1175"/>
        <v xml:space="preserve">          </v>
      </c>
      <c r="AB976" t="str">
        <f t="shared" si="1165"/>
        <v>2</v>
      </c>
      <c r="AC976" t="str">
        <f t="shared" si="1166"/>
        <v>2</v>
      </c>
      <c r="AD976" t="str">
        <f t="shared" si="1172"/>
        <v>2</v>
      </c>
      <c r="AE976" t="str">
        <f t="shared" si="1172"/>
        <v>2</v>
      </c>
      <c r="AF976" t="str">
        <f t="shared" si="1172"/>
        <v>2</v>
      </c>
      <c r="AG976" t="str">
        <f t="shared" si="1172"/>
        <v>2</v>
      </c>
      <c r="AH976" t="str">
        <f t="shared" si="1153"/>
        <v>1</v>
      </c>
      <c r="AI976" t="str">
        <f t="shared" ref="AI976:AI981" si="1197">"1         "</f>
        <v xml:space="preserve">1         </v>
      </c>
      <c r="AJ976" t="str">
        <f t="shared" si="1187"/>
        <v>170</v>
      </c>
      <c r="AK976" t="str">
        <f>"11"</f>
        <v>11</v>
      </c>
      <c r="AL976" t="str">
        <f t="shared" si="1192"/>
        <v>001</v>
      </c>
      <c r="AM976" t="str">
        <f t="shared" si="1193"/>
        <v>11</v>
      </c>
      <c r="AN976" t="str">
        <f t="shared" si="1194"/>
        <v>11001</v>
      </c>
      <c r="AO976" t="str">
        <f>"25/09/2020 12:00:00 a. m."</f>
        <v>25/09/2020 12:00:00 a. m.</v>
      </c>
      <c r="AP976" t="str">
        <f>"15/09/2020 12:00:00 a. m."</f>
        <v>15/09/2020 12:00:00 a. m.</v>
      </c>
      <c r="AQ976" t="str">
        <f>"3"</f>
        <v>3</v>
      </c>
      <c r="AR976" t="str">
        <f>"1"</f>
        <v>1</v>
      </c>
      <c r="AS976" t="str">
        <f>"26/09/2020 12:00:00 a. m."</f>
        <v>26/09/2020 12:00:00 a. m.</v>
      </c>
      <c r="AT976" t="str">
        <f t="shared" ref="AT976:AT984" si="1198">"1"</f>
        <v>1</v>
      </c>
      <c r="AU976" t="str">
        <f>""</f>
        <v/>
      </c>
      <c r="AV976" t="str">
        <f>"0"</f>
        <v>0</v>
      </c>
      <c r="AW976" t="str">
        <f>"24/09/2016 12:00:00 a. m."</f>
        <v>24/09/2016 12:00:00 a. m.</v>
      </c>
      <c r="AX976" t="str">
        <f>""</f>
        <v/>
      </c>
      <c r="AY976" t="str">
        <f t="shared" si="1176"/>
        <v>30/04/2021 12:00:00 a. m.</v>
      </c>
      <c r="AZ976" t="str">
        <f>"28/09/2020 12:00:00 a. m."</f>
        <v>28/09/2020 12:00:00 a. m.</v>
      </c>
      <c r="BA976" t="str">
        <f>""</f>
        <v/>
      </c>
      <c r="BB976" t="str">
        <f>""</f>
        <v/>
      </c>
      <c r="BC976" t="str">
        <f>""</f>
        <v/>
      </c>
      <c r="BD976" t="str">
        <f t="shared" si="1177"/>
        <v>1</v>
      </c>
      <c r="BE976" t="str">
        <f t="shared" si="1177"/>
        <v>1</v>
      </c>
      <c r="BF976" t="str">
        <f t="shared" si="1178"/>
        <v xml:space="preserve">3         </v>
      </c>
      <c r="BG976" t="str">
        <f t="shared" si="1179"/>
        <v>Confirmado por laboratorio</v>
      </c>
      <c r="BH976" t="str">
        <f>"FUNDACION CARDIOINFANTIL INSTITUTO DE CARDIOLOGIA"</f>
        <v>FUNDACION CARDIOINFANTIL INSTITUTO DE CARDIOLOGIA</v>
      </c>
      <c r="BI976" t="str">
        <f t="shared" si="1163"/>
        <v>COLOMBIA</v>
      </c>
      <c r="BJ976" t="str">
        <f t="shared" si="1180"/>
        <v>CANCER INFANTIL</v>
      </c>
      <c r="BK976" t="str">
        <f t="shared" si="1195"/>
        <v>BOGOTA</v>
      </c>
      <c r="BL976" t="str">
        <f t="shared" si="1195"/>
        <v>BOGOTA</v>
      </c>
      <c r="BM976" t="str">
        <f t="shared" si="1188"/>
        <v>COLOMBIA</v>
      </c>
      <c r="BN976" t="str">
        <f t="shared" si="1196"/>
        <v>BOGOTA</v>
      </c>
      <c r="BO976" t="str">
        <f t="shared" si="1196"/>
        <v>BOGOTA</v>
      </c>
      <c r="BP976" t="str">
        <f t="shared" si="1196"/>
        <v>BOGOTA</v>
      </c>
      <c r="BQ976" t="str">
        <f t="shared" si="1196"/>
        <v>BOGOTA</v>
      </c>
    </row>
    <row r="977" spans="1:69" x14ac:dyDescent="0.25">
      <c r="A977" t="str">
        <f>"7291349"</f>
        <v>7291349</v>
      </c>
      <c r="B977" t="str">
        <f t="shared" si="1173"/>
        <v>459</v>
      </c>
      <c r="C977" t="str">
        <f>"27/11/2020 12:00:00 a. m."</f>
        <v>27/11/2020 12:00:00 a. m.</v>
      </c>
      <c r="D977" t="str">
        <f>"48"</f>
        <v>48</v>
      </c>
      <c r="E977" t="str">
        <f t="shared" si="1174"/>
        <v>2020</v>
      </c>
      <c r="F977" t="str">
        <f>"1100109111"</f>
        <v>1100109111</v>
      </c>
      <c r="G977" t="str">
        <f>"01"</f>
        <v>01</v>
      </c>
      <c r="H977" t="str">
        <f>"8"</f>
        <v>8</v>
      </c>
      <c r="I977" t="str">
        <f>"2"</f>
        <v>2</v>
      </c>
      <c r="J977" t="str">
        <f>"M"</f>
        <v>M</v>
      </c>
      <c r="K977" t="str">
        <f t="shared" si="1162"/>
        <v>170</v>
      </c>
      <c r="L977" t="str">
        <f>"73"</f>
        <v>73</v>
      </c>
      <c r="M977" t="str">
        <f t="shared" si="1190"/>
        <v>001</v>
      </c>
      <c r="N977" t="str">
        <f t="shared" si="1191"/>
        <v>1</v>
      </c>
      <c r="O977" t="str">
        <f>"9999"</f>
        <v>9999</v>
      </c>
      <c r="P977" t="str">
        <f>"S"</f>
        <v>S</v>
      </c>
      <c r="Q977" t="str">
        <f>"EPSS41"</f>
        <v>EPSS41</v>
      </c>
      <c r="R977" t="str">
        <f t="shared" si="1189"/>
        <v>6</v>
      </c>
      <c r="S977" t="str">
        <f>""</f>
        <v/>
      </c>
      <c r="T977" t="str">
        <f t="shared" ref="T977:T991" si="1199">"                                                                                                    "</f>
        <v xml:space="preserve">                                                                                                    </v>
      </c>
      <c r="U977" t="str">
        <f>"2         "</f>
        <v xml:space="preserve">2         </v>
      </c>
      <c r="V977" t="str">
        <f t="shared" si="1154"/>
        <v>2</v>
      </c>
      <c r="W977" t="str">
        <f t="shared" ref="W977:W1008" si="1200">"2"</f>
        <v>2</v>
      </c>
      <c r="X977" t="str">
        <f t="shared" si="1125"/>
        <v>2</v>
      </c>
      <c r="Y977" t="str">
        <f t="shared" si="1169"/>
        <v>2</v>
      </c>
      <c r="Z977" t="str">
        <f t="shared" si="1169"/>
        <v>2</v>
      </c>
      <c r="AA977" t="str">
        <f t="shared" si="1175"/>
        <v xml:space="preserve">          </v>
      </c>
      <c r="AB977" t="str">
        <f t="shared" si="1165"/>
        <v>2</v>
      </c>
      <c r="AC977" t="str">
        <f t="shared" si="1166"/>
        <v>2</v>
      </c>
      <c r="AD977" t="str">
        <f t="shared" si="1172"/>
        <v>2</v>
      </c>
      <c r="AE977" t="str">
        <f t="shared" si="1172"/>
        <v>2</v>
      </c>
      <c r="AF977" t="str">
        <f t="shared" si="1172"/>
        <v>2</v>
      </c>
      <c r="AG977" t="str">
        <f t="shared" si="1172"/>
        <v>2</v>
      </c>
      <c r="AH977" t="str">
        <f t="shared" ref="AH977:AH1008" si="1201">"1"</f>
        <v>1</v>
      </c>
      <c r="AI977" t="str">
        <f t="shared" si="1197"/>
        <v xml:space="preserve">1         </v>
      </c>
      <c r="AJ977" t="str">
        <f t="shared" si="1187"/>
        <v>170</v>
      </c>
      <c r="AK977" t="str">
        <f>"73"</f>
        <v>73</v>
      </c>
      <c r="AL977" t="str">
        <f t="shared" si="1192"/>
        <v>001</v>
      </c>
      <c r="AM977" t="str">
        <f t="shared" si="1193"/>
        <v>11</v>
      </c>
      <c r="AN977" t="str">
        <f t="shared" si="1194"/>
        <v>11001</v>
      </c>
      <c r="AO977" t="str">
        <f>"23/11/2020 12:00:00 a. m."</f>
        <v>23/11/2020 12:00:00 a. m.</v>
      </c>
      <c r="AP977" t="str">
        <f>"1/05/2020 12:00:00 a. m."</f>
        <v>1/05/2020 12:00:00 a. m.</v>
      </c>
      <c r="AQ977" t="str">
        <f>"3"</f>
        <v>3</v>
      </c>
      <c r="AR977" t="str">
        <f>"1"</f>
        <v>1</v>
      </c>
      <c r="AS977" t="str">
        <f>"23/11/2020 12:00:00 a. m."</f>
        <v>23/11/2020 12:00:00 a. m.</v>
      </c>
      <c r="AT977" t="str">
        <f t="shared" si="1198"/>
        <v>1</v>
      </c>
      <c r="AU977" t="str">
        <f>""</f>
        <v/>
      </c>
      <c r="AV977" t="str">
        <f>"7"</f>
        <v>7</v>
      </c>
      <c r="AW977" t="str">
        <f>"12/03/2020 12:00:00 a. m."</f>
        <v>12/03/2020 12:00:00 a. m.</v>
      </c>
      <c r="AX977" t="str">
        <f>""</f>
        <v/>
      </c>
      <c r="AY977" t="str">
        <f t="shared" si="1176"/>
        <v>30/04/2021 12:00:00 a. m.</v>
      </c>
      <c r="AZ977" t="str">
        <f>"31/03/2021 12:00:00 a. m."</f>
        <v>31/03/2021 12:00:00 a. m.</v>
      </c>
      <c r="BA977" t="str">
        <f>""</f>
        <v/>
      </c>
      <c r="BB977" t="str">
        <f>""</f>
        <v/>
      </c>
      <c r="BC977" t="str">
        <f>""</f>
        <v/>
      </c>
      <c r="BD977" t="str">
        <f t="shared" si="1177"/>
        <v>1</v>
      </c>
      <c r="BE977" t="str">
        <f t="shared" si="1177"/>
        <v>1</v>
      </c>
      <c r="BF977" t="str">
        <f t="shared" si="1178"/>
        <v xml:space="preserve">3         </v>
      </c>
      <c r="BG977" t="str">
        <f t="shared" si="1179"/>
        <v>Confirmado por laboratorio</v>
      </c>
      <c r="BH977" t="str">
        <f>"FUNDACION CARDIOINFANTIL INSTITUTO DE CARDIOLOGIA"</f>
        <v>FUNDACION CARDIOINFANTIL INSTITUTO DE CARDIOLOGIA</v>
      </c>
      <c r="BI977" t="str">
        <f t="shared" si="1163"/>
        <v>COLOMBIA</v>
      </c>
      <c r="BJ977" t="str">
        <f t="shared" si="1180"/>
        <v>CANCER INFANTIL</v>
      </c>
      <c r="BK977" t="str">
        <f>"TOLIMA"</f>
        <v>TOLIMA</v>
      </c>
      <c r="BL977" t="str">
        <f>"IBAGUE"</f>
        <v>IBAGUE</v>
      </c>
      <c r="BM977" t="str">
        <f t="shared" si="1188"/>
        <v>COLOMBIA</v>
      </c>
      <c r="BN977" t="str">
        <f>"TOLIMA"</f>
        <v>TOLIMA</v>
      </c>
      <c r="BO977" t="str">
        <f>"IBAGUE"</f>
        <v>IBAGUE</v>
      </c>
      <c r="BP977" t="str">
        <f t="shared" ref="BP977:BQ983" si="1202">"BOGOTA"</f>
        <v>BOGOTA</v>
      </c>
      <c r="BQ977" t="str">
        <f t="shared" si="1202"/>
        <v>BOGOTA</v>
      </c>
    </row>
    <row r="978" spans="1:69" x14ac:dyDescent="0.25">
      <c r="A978" t="str">
        <f>"7291473"</f>
        <v>7291473</v>
      </c>
      <c r="B978" t="str">
        <f t="shared" si="1173"/>
        <v>459</v>
      </c>
      <c r="C978" t="str">
        <f>"28/03/2020 12:00:00 a. m."</f>
        <v>28/03/2020 12:00:00 a. m.</v>
      </c>
      <c r="D978" t="str">
        <f>"13"</f>
        <v>13</v>
      </c>
      <c r="E978" t="str">
        <f t="shared" si="1174"/>
        <v>2020</v>
      </c>
      <c r="F978" t="str">
        <f>"1100108679"</f>
        <v>1100108679</v>
      </c>
      <c r="G978" t="str">
        <f>"01"</f>
        <v>01</v>
      </c>
      <c r="H978" t="str">
        <f>"16"</f>
        <v>16</v>
      </c>
      <c r="I978" t="str">
        <f>"1"</f>
        <v>1</v>
      </c>
      <c r="J978" t="str">
        <f>"F"</f>
        <v>F</v>
      </c>
      <c r="K978" t="str">
        <f t="shared" si="1162"/>
        <v>170</v>
      </c>
      <c r="L978" t="str">
        <f>"11"</f>
        <v>11</v>
      </c>
      <c r="M978" t="str">
        <f t="shared" si="1190"/>
        <v>001</v>
      </c>
      <c r="N978" t="str">
        <f t="shared" si="1191"/>
        <v>1</v>
      </c>
      <c r="O978" t="str">
        <f>"9997"</f>
        <v>9997</v>
      </c>
      <c r="P978" t="str">
        <f t="shared" ref="P978:P983" si="1203">"C"</f>
        <v>C</v>
      </c>
      <c r="Q978" t="str">
        <f>"EPS008"</f>
        <v>EPS008</v>
      </c>
      <c r="R978" t="str">
        <f t="shared" si="1189"/>
        <v>6</v>
      </c>
      <c r="S978" t="str">
        <f>""</f>
        <v/>
      </c>
      <c r="T978" t="str">
        <f t="shared" si="1199"/>
        <v xml:space="preserve">                                                                                                    </v>
      </c>
      <c r="U978" t="str">
        <f>"3         "</f>
        <v xml:space="preserve">3         </v>
      </c>
      <c r="V978" t="str">
        <f t="shared" si="1154"/>
        <v>2</v>
      </c>
      <c r="W978" t="str">
        <f t="shared" si="1200"/>
        <v>2</v>
      </c>
      <c r="X978" t="str">
        <f t="shared" si="1125"/>
        <v>2</v>
      </c>
      <c r="Y978" t="str">
        <f t="shared" si="1169"/>
        <v>2</v>
      </c>
      <c r="Z978" t="str">
        <f t="shared" si="1169"/>
        <v>2</v>
      </c>
      <c r="AA978" t="str">
        <f t="shared" si="1175"/>
        <v xml:space="preserve">          </v>
      </c>
      <c r="AB978" t="str">
        <f t="shared" si="1165"/>
        <v>2</v>
      </c>
      <c r="AC978" t="str">
        <f t="shared" si="1166"/>
        <v>2</v>
      </c>
      <c r="AD978" t="str">
        <f t="shared" si="1172"/>
        <v>2</v>
      </c>
      <c r="AE978" t="str">
        <f t="shared" si="1172"/>
        <v>2</v>
      </c>
      <c r="AF978" t="str">
        <f t="shared" si="1172"/>
        <v>2</v>
      </c>
      <c r="AG978" t="str">
        <f t="shared" si="1172"/>
        <v>2</v>
      </c>
      <c r="AH978" t="str">
        <f t="shared" si="1201"/>
        <v>1</v>
      </c>
      <c r="AI978" t="str">
        <f t="shared" si="1197"/>
        <v xml:space="preserve">1         </v>
      </c>
      <c r="AJ978" t="str">
        <f t="shared" si="1187"/>
        <v>170</v>
      </c>
      <c r="AK978" t="str">
        <f>"11"</f>
        <v>11</v>
      </c>
      <c r="AL978" t="str">
        <f t="shared" si="1192"/>
        <v>001</v>
      </c>
      <c r="AM978" t="str">
        <f t="shared" si="1193"/>
        <v>11</v>
      </c>
      <c r="AN978" t="str">
        <f t="shared" si="1194"/>
        <v>11001</v>
      </c>
      <c r="AO978" t="str">
        <f>"24/03/2020 12:00:00 a. m."</f>
        <v>24/03/2020 12:00:00 a. m.</v>
      </c>
      <c r="AP978" t="str">
        <f>"18/03/2020 12:00:00 a. m."</f>
        <v>18/03/2020 12:00:00 a. m.</v>
      </c>
      <c r="AQ978" t="str">
        <f>"3"</f>
        <v>3</v>
      </c>
      <c r="AR978" t="str">
        <f>"2"</f>
        <v>2</v>
      </c>
      <c r="AS978" t="str">
        <f>""</f>
        <v/>
      </c>
      <c r="AT978" t="str">
        <f t="shared" si="1198"/>
        <v>1</v>
      </c>
      <c r="AU978" t="str">
        <f>""</f>
        <v/>
      </c>
      <c r="AV978" t="str">
        <f>"7"</f>
        <v>7</v>
      </c>
      <c r="AW978" t="str">
        <f>"3/03/2004 12:00:00 a. m."</f>
        <v>3/03/2004 12:00:00 a. m.</v>
      </c>
      <c r="AX978" t="str">
        <f>""</f>
        <v/>
      </c>
      <c r="AY978" t="str">
        <f t="shared" si="1176"/>
        <v>30/04/2021 12:00:00 a. m.</v>
      </c>
      <c r="AZ978" t="str">
        <f>"24/03/2021 12:00:00 a. m."</f>
        <v>24/03/2021 12:00:00 a. m.</v>
      </c>
      <c r="BA978" t="str">
        <f>""</f>
        <v/>
      </c>
      <c r="BB978" t="str">
        <f>""</f>
        <v/>
      </c>
      <c r="BC978" t="str">
        <f>""</f>
        <v/>
      </c>
      <c r="BD978" t="str">
        <f t="shared" si="1177"/>
        <v>1</v>
      </c>
      <c r="BE978" t="str">
        <f t="shared" si="1177"/>
        <v>1</v>
      </c>
      <c r="BF978" t="str">
        <f t="shared" si="1178"/>
        <v xml:space="preserve">3         </v>
      </c>
      <c r="BG978" t="str">
        <f t="shared" si="1179"/>
        <v>Confirmado por laboratorio</v>
      </c>
      <c r="BH978" t="str">
        <f>"SOCIEDAD DE CIRUGIA DE BOGOTA HOSPITAL DE SAN JOSE"</f>
        <v>SOCIEDAD DE CIRUGIA DE BOGOTA HOSPITAL DE SAN JOSE</v>
      </c>
      <c r="BI978" t="str">
        <f t="shared" si="1163"/>
        <v>COLOMBIA</v>
      </c>
      <c r="BJ978" t="str">
        <f t="shared" si="1180"/>
        <v>CANCER INFANTIL</v>
      </c>
      <c r="BK978" t="str">
        <f t="shared" ref="BK978:BL980" si="1204">"BOGOTA"</f>
        <v>BOGOTA</v>
      </c>
      <c r="BL978" t="str">
        <f t="shared" si="1204"/>
        <v>BOGOTA</v>
      </c>
      <c r="BM978" t="str">
        <f t="shared" si="1188"/>
        <v>COLOMBIA</v>
      </c>
      <c r="BN978" t="str">
        <f t="shared" ref="BN978:BO980" si="1205">"BOGOTA"</f>
        <v>BOGOTA</v>
      </c>
      <c r="BO978" t="str">
        <f t="shared" si="1205"/>
        <v>BOGOTA</v>
      </c>
      <c r="BP978" t="str">
        <f t="shared" si="1202"/>
        <v>BOGOTA</v>
      </c>
      <c r="BQ978" t="str">
        <f t="shared" si="1202"/>
        <v>BOGOTA</v>
      </c>
    </row>
    <row r="979" spans="1:69" x14ac:dyDescent="0.25">
      <c r="A979" t="str">
        <f>"7291358"</f>
        <v>7291358</v>
      </c>
      <c r="B979" t="str">
        <f t="shared" si="1173"/>
        <v>459</v>
      </c>
      <c r="C979" t="str">
        <f>"6/03/2020 12:00:00 a. m."</f>
        <v>6/03/2020 12:00:00 a. m.</v>
      </c>
      <c r="D979" t="str">
        <f>"10"</f>
        <v>10</v>
      </c>
      <c r="E979" t="str">
        <f t="shared" si="1174"/>
        <v>2020</v>
      </c>
      <c r="F979" t="str">
        <f>"1100108171"</f>
        <v>1100108171</v>
      </c>
      <c r="G979" t="str">
        <f>"02"</f>
        <v>02</v>
      </c>
      <c r="H979" t="str">
        <f>"14"</f>
        <v>14</v>
      </c>
      <c r="I979" t="str">
        <f>"1"</f>
        <v>1</v>
      </c>
      <c r="J979" t="str">
        <f>"M"</f>
        <v>M</v>
      </c>
      <c r="K979" t="str">
        <f t="shared" si="1162"/>
        <v>170</v>
      </c>
      <c r="L979" t="str">
        <f>"11"</f>
        <v>11</v>
      </c>
      <c r="M979" t="str">
        <f t="shared" si="1190"/>
        <v>001</v>
      </c>
      <c r="N979" t="str">
        <f t="shared" si="1191"/>
        <v>1</v>
      </c>
      <c r="O979" t="str">
        <f>"9997"</f>
        <v>9997</v>
      </c>
      <c r="P979" t="str">
        <f t="shared" si="1203"/>
        <v>C</v>
      </c>
      <c r="Q979" t="str">
        <f>"EPS017"</f>
        <v>EPS017</v>
      </c>
      <c r="R979" t="str">
        <f t="shared" si="1189"/>
        <v>6</v>
      </c>
      <c r="S979" t="str">
        <f>""</f>
        <v/>
      </c>
      <c r="T979" t="str">
        <f t="shared" si="1199"/>
        <v xml:space="preserve">                                                                                                    </v>
      </c>
      <c r="U979" t="str">
        <f>"1         "</f>
        <v xml:space="preserve">1         </v>
      </c>
      <c r="V979" t="str">
        <f t="shared" si="1154"/>
        <v>2</v>
      </c>
      <c r="W979" t="str">
        <f t="shared" si="1200"/>
        <v>2</v>
      </c>
      <c r="X979" t="str">
        <f t="shared" si="1125"/>
        <v>2</v>
      </c>
      <c r="Y979" t="str">
        <f t="shared" ref="Y979:Z998" si="1206">"2"</f>
        <v>2</v>
      </c>
      <c r="Z979" t="str">
        <f t="shared" si="1206"/>
        <v>2</v>
      </c>
      <c r="AA979" t="str">
        <f t="shared" si="1175"/>
        <v xml:space="preserve">          </v>
      </c>
      <c r="AB979" t="str">
        <f t="shared" si="1165"/>
        <v>2</v>
      </c>
      <c r="AC979" t="str">
        <f t="shared" si="1166"/>
        <v>2</v>
      </c>
      <c r="AD979" t="str">
        <f t="shared" si="1172"/>
        <v>2</v>
      </c>
      <c r="AE979" t="str">
        <f t="shared" si="1172"/>
        <v>2</v>
      </c>
      <c r="AF979" t="str">
        <f t="shared" si="1172"/>
        <v>2</v>
      </c>
      <c r="AG979" t="str">
        <f t="shared" si="1172"/>
        <v>2</v>
      </c>
      <c r="AH979" t="str">
        <f t="shared" si="1201"/>
        <v>1</v>
      </c>
      <c r="AI979" t="str">
        <f t="shared" si="1197"/>
        <v xml:space="preserve">1         </v>
      </c>
      <c r="AJ979" t="str">
        <f t="shared" si="1187"/>
        <v>170</v>
      </c>
      <c r="AK979" t="str">
        <f>"11"</f>
        <v>11</v>
      </c>
      <c r="AL979" t="str">
        <f t="shared" si="1192"/>
        <v>001</v>
      </c>
      <c r="AM979" t="str">
        <f t="shared" si="1193"/>
        <v>11</v>
      </c>
      <c r="AN979" t="str">
        <f t="shared" si="1194"/>
        <v>11001</v>
      </c>
      <c r="AO979" t="str">
        <f>"5/03/2020 12:00:00 a. m."</f>
        <v>5/03/2020 12:00:00 a. m.</v>
      </c>
      <c r="AP979" t="str">
        <f>"10/12/2017 12:00:00 a. m."</f>
        <v>10/12/2017 12:00:00 a. m.</v>
      </c>
      <c r="AQ979" t="str">
        <f>"2"</f>
        <v>2</v>
      </c>
      <c r="AR979" t="str">
        <f>"2"</f>
        <v>2</v>
      </c>
      <c r="AS979" t="str">
        <f>""</f>
        <v/>
      </c>
      <c r="AT979" t="str">
        <f t="shared" si="1198"/>
        <v>1</v>
      </c>
      <c r="AU979" t="str">
        <f>""</f>
        <v/>
      </c>
      <c r="AV979" t="str">
        <f>"3"</f>
        <v>3</v>
      </c>
      <c r="AW979" t="str">
        <f>"10/12/2005 12:00:00 a. m."</f>
        <v>10/12/2005 12:00:00 a. m.</v>
      </c>
      <c r="AX979" t="str">
        <f>""</f>
        <v/>
      </c>
      <c r="AY979" t="str">
        <f t="shared" si="1176"/>
        <v>30/04/2021 12:00:00 a. m.</v>
      </c>
      <c r="AZ979" t="str">
        <f>"10/03/2021 12:00:00 a. m."</f>
        <v>10/03/2021 12:00:00 a. m.</v>
      </c>
      <c r="BA979" t="str">
        <f>""</f>
        <v/>
      </c>
      <c r="BB979" t="str">
        <f>""</f>
        <v/>
      </c>
      <c r="BC979" t="str">
        <f>""</f>
        <v/>
      </c>
      <c r="BD979" t="str">
        <f t="shared" si="1177"/>
        <v>1</v>
      </c>
      <c r="BE979" t="str">
        <f t="shared" si="1177"/>
        <v>1</v>
      </c>
      <c r="BF979" t="str">
        <f t="shared" si="1178"/>
        <v xml:space="preserve">3         </v>
      </c>
      <c r="BG979" t="str">
        <f t="shared" si="1179"/>
        <v>Confirmado por laboratorio</v>
      </c>
      <c r="BH979" t="str">
        <f>"CLINICA INFANTIL COLSUBSIDIO"</f>
        <v>CLINICA INFANTIL COLSUBSIDIO</v>
      </c>
      <c r="BI979" t="str">
        <f t="shared" si="1163"/>
        <v>COLOMBIA</v>
      </c>
      <c r="BJ979" t="str">
        <f t="shared" si="1180"/>
        <v>CANCER INFANTIL</v>
      </c>
      <c r="BK979" t="str">
        <f t="shared" si="1204"/>
        <v>BOGOTA</v>
      </c>
      <c r="BL979" t="str">
        <f t="shared" si="1204"/>
        <v>BOGOTA</v>
      </c>
      <c r="BM979" t="str">
        <f t="shared" si="1188"/>
        <v>COLOMBIA</v>
      </c>
      <c r="BN979" t="str">
        <f t="shared" si="1205"/>
        <v>BOGOTA</v>
      </c>
      <c r="BO979" t="str">
        <f t="shared" si="1205"/>
        <v>BOGOTA</v>
      </c>
      <c r="BP979" t="str">
        <f t="shared" si="1202"/>
        <v>BOGOTA</v>
      </c>
      <c r="BQ979" t="str">
        <f t="shared" si="1202"/>
        <v>BOGOTA</v>
      </c>
    </row>
    <row r="980" spans="1:69" x14ac:dyDescent="0.25">
      <c r="A980" t="str">
        <f>"7291722"</f>
        <v>7291722</v>
      </c>
      <c r="B980" t="str">
        <f t="shared" si="1173"/>
        <v>459</v>
      </c>
      <c r="C980" t="str">
        <f>"23/11/2020 12:00:00 a. m."</f>
        <v>23/11/2020 12:00:00 a. m.</v>
      </c>
      <c r="D980" t="str">
        <f>"48"</f>
        <v>48</v>
      </c>
      <c r="E980" t="str">
        <f t="shared" si="1174"/>
        <v>2020</v>
      </c>
      <c r="F980" t="str">
        <f>"1100108171"</f>
        <v>1100108171</v>
      </c>
      <c r="G980" t="str">
        <f>"02"</f>
        <v>02</v>
      </c>
      <c r="H980" t="str">
        <f>"14"</f>
        <v>14</v>
      </c>
      <c r="I980" t="str">
        <f>"1"</f>
        <v>1</v>
      </c>
      <c r="J980" t="str">
        <f>"F"</f>
        <v>F</v>
      </c>
      <c r="K980" t="str">
        <f t="shared" si="1162"/>
        <v>170</v>
      </c>
      <c r="L980" t="str">
        <f>"11"</f>
        <v>11</v>
      </c>
      <c r="M980" t="str">
        <f t="shared" si="1190"/>
        <v>001</v>
      </c>
      <c r="N980" t="str">
        <f t="shared" si="1191"/>
        <v>1</v>
      </c>
      <c r="O980" t="str">
        <f>"9997"</f>
        <v>9997</v>
      </c>
      <c r="P980" t="str">
        <f t="shared" si="1203"/>
        <v>C</v>
      </c>
      <c r="Q980" t="str">
        <f>"EPS002"</f>
        <v>EPS002</v>
      </c>
      <c r="R980" t="str">
        <f t="shared" si="1189"/>
        <v>6</v>
      </c>
      <c r="S980" t="str">
        <f>""</f>
        <v/>
      </c>
      <c r="T980" t="str">
        <f t="shared" si="1199"/>
        <v xml:space="preserve">                                                                                                    </v>
      </c>
      <c r="U980" t="str">
        <f>"2         "</f>
        <v xml:space="preserve">2         </v>
      </c>
      <c r="V980" t="str">
        <f t="shared" si="1154"/>
        <v>2</v>
      </c>
      <c r="W980" t="str">
        <f t="shared" si="1200"/>
        <v>2</v>
      </c>
      <c r="X980" t="str">
        <f t="shared" si="1125"/>
        <v>2</v>
      </c>
      <c r="Y980" t="str">
        <f t="shared" si="1206"/>
        <v>2</v>
      </c>
      <c r="Z980" t="str">
        <f t="shared" si="1206"/>
        <v>2</v>
      </c>
      <c r="AA980" t="str">
        <f t="shared" si="1175"/>
        <v xml:space="preserve">          </v>
      </c>
      <c r="AB980" t="str">
        <f t="shared" si="1165"/>
        <v>2</v>
      </c>
      <c r="AC980" t="str">
        <f t="shared" si="1166"/>
        <v>2</v>
      </c>
      <c r="AD980" t="str">
        <f t="shared" ref="AD980:AG999" si="1207">"2"</f>
        <v>2</v>
      </c>
      <c r="AE980" t="str">
        <f t="shared" si="1207"/>
        <v>2</v>
      </c>
      <c r="AF980" t="str">
        <f t="shared" si="1207"/>
        <v>2</v>
      </c>
      <c r="AG980" t="str">
        <f t="shared" si="1207"/>
        <v>2</v>
      </c>
      <c r="AH980" t="str">
        <f t="shared" si="1201"/>
        <v>1</v>
      </c>
      <c r="AI980" t="str">
        <f t="shared" si="1197"/>
        <v xml:space="preserve">1         </v>
      </c>
      <c r="AJ980" t="str">
        <f t="shared" si="1187"/>
        <v>170</v>
      </c>
      <c r="AK980" t="str">
        <f>"11"</f>
        <v>11</v>
      </c>
      <c r="AL980" t="str">
        <f t="shared" si="1192"/>
        <v>001</v>
      </c>
      <c r="AM980" t="str">
        <f t="shared" si="1193"/>
        <v>11</v>
      </c>
      <c r="AN980" t="str">
        <f t="shared" si="1194"/>
        <v>11001</v>
      </c>
      <c r="AO980" t="str">
        <f>"23/11/2020 12:00:00 a. m."</f>
        <v>23/11/2020 12:00:00 a. m.</v>
      </c>
      <c r="AP980" t="str">
        <f>"20/03/2020 12:00:00 a. m."</f>
        <v>20/03/2020 12:00:00 a. m.</v>
      </c>
      <c r="AQ980" t="str">
        <f>"2"</f>
        <v>2</v>
      </c>
      <c r="AR980" t="str">
        <f t="shared" ref="AR980:AR988" si="1208">"1"</f>
        <v>1</v>
      </c>
      <c r="AS980" t="str">
        <f>"23/11/2020 12:00:00 a. m."</f>
        <v>23/11/2020 12:00:00 a. m.</v>
      </c>
      <c r="AT980" t="str">
        <f t="shared" si="1198"/>
        <v>1</v>
      </c>
      <c r="AU980" t="str">
        <f>""</f>
        <v/>
      </c>
      <c r="AV980" t="str">
        <f>"3"</f>
        <v>3</v>
      </c>
      <c r="AW980" t="str">
        <f>"13/09/2006 12:00:00 a. m."</f>
        <v>13/09/2006 12:00:00 a. m.</v>
      </c>
      <c r="AX980" t="str">
        <f>""</f>
        <v/>
      </c>
      <c r="AY980" t="str">
        <f t="shared" si="1176"/>
        <v>30/04/2021 12:00:00 a. m.</v>
      </c>
      <c r="AZ980" t="str">
        <f>"28/12/2020 12:00:00 a. m."</f>
        <v>28/12/2020 12:00:00 a. m.</v>
      </c>
      <c r="BA980" t="str">
        <f>""</f>
        <v/>
      </c>
      <c r="BB980" t="str">
        <f>""</f>
        <v/>
      </c>
      <c r="BC980" t="str">
        <f>""</f>
        <v/>
      </c>
      <c r="BD980" t="str">
        <f t="shared" si="1177"/>
        <v>1</v>
      </c>
      <c r="BE980" t="str">
        <f t="shared" si="1177"/>
        <v>1</v>
      </c>
      <c r="BF980" t="str">
        <f t="shared" si="1178"/>
        <v xml:space="preserve">3         </v>
      </c>
      <c r="BG980" t="str">
        <f t="shared" si="1179"/>
        <v>Confirmado por laboratorio</v>
      </c>
      <c r="BH980" t="str">
        <f>"CLINICA INFANTIL COLSUBSIDIO"</f>
        <v>CLINICA INFANTIL COLSUBSIDIO</v>
      </c>
      <c r="BI980" t="str">
        <f t="shared" si="1163"/>
        <v>COLOMBIA</v>
      </c>
      <c r="BJ980" t="str">
        <f t="shared" si="1180"/>
        <v>CANCER INFANTIL</v>
      </c>
      <c r="BK980" t="str">
        <f t="shared" si="1204"/>
        <v>BOGOTA</v>
      </c>
      <c r="BL980" t="str">
        <f t="shared" si="1204"/>
        <v>BOGOTA</v>
      </c>
      <c r="BM980" t="str">
        <f t="shared" si="1188"/>
        <v>COLOMBIA</v>
      </c>
      <c r="BN980" t="str">
        <f t="shared" si="1205"/>
        <v>BOGOTA</v>
      </c>
      <c r="BO980" t="str">
        <f t="shared" si="1205"/>
        <v>BOGOTA</v>
      </c>
      <c r="BP980" t="str">
        <f t="shared" si="1202"/>
        <v>BOGOTA</v>
      </c>
      <c r="BQ980" t="str">
        <f t="shared" si="1202"/>
        <v>BOGOTA</v>
      </c>
    </row>
    <row r="981" spans="1:69" x14ac:dyDescent="0.25">
      <c r="A981" t="str">
        <f>"7291654"</f>
        <v>7291654</v>
      </c>
      <c r="B981" t="str">
        <f t="shared" si="1173"/>
        <v>459</v>
      </c>
      <c r="C981" t="str">
        <f>"26/08/2020 12:00:00 a. m."</f>
        <v>26/08/2020 12:00:00 a. m.</v>
      </c>
      <c r="D981" t="str">
        <f>"35"</f>
        <v>35</v>
      </c>
      <c r="E981" t="str">
        <f t="shared" si="1174"/>
        <v>2020</v>
      </c>
      <c r="F981" t="str">
        <f>"1100108171"</f>
        <v>1100108171</v>
      </c>
      <c r="G981" t="str">
        <f>"02"</f>
        <v>02</v>
      </c>
      <c r="H981" t="str">
        <f>"9"</f>
        <v>9</v>
      </c>
      <c r="I981" t="str">
        <f>"2"</f>
        <v>2</v>
      </c>
      <c r="J981" t="str">
        <f>"F"</f>
        <v>F</v>
      </c>
      <c r="K981" t="str">
        <f t="shared" si="1162"/>
        <v>170</v>
      </c>
      <c r="L981" t="str">
        <f>"25"</f>
        <v>25</v>
      </c>
      <c r="M981" t="str">
        <f>"307"</f>
        <v>307</v>
      </c>
      <c r="N981" t="str">
        <f t="shared" si="1191"/>
        <v>1</v>
      </c>
      <c r="O981" t="str">
        <f>"9999"</f>
        <v>9999</v>
      </c>
      <c r="P981" t="str">
        <f t="shared" si="1203"/>
        <v>C</v>
      </c>
      <c r="Q981" t="str">
        <f>"EPS017"</f>
        <v>EPS017</v>
      </c>
      <c r="R981" t="str">
        <f t="shared" si="1189"/>
        <v>6</v>
      </c>
      <c r="S981" t="str">
        <f>""</f>
        <v/>
      </c>
      <c r="T981" t="str">
        <f t="shared" si="1199"/>
        <v xml:space="preserve">                                                                                                    </v>
      </c>
      <c r="U981" t="str">
        <f>"2         "</f>
        <v xml:space="preserve">2         </v>
      </c>
      <c r="V981" t="str">
        <f t="shared" si="1154"/>
        <v>2</v>
      </c>
      <c r="W981" t="str">
        <f t="shared" si="1200"/>
        <v>2</v>
      </c>
      <c r="X981" t="str">
        <f t="shared" si="1125"/>
        <v>2</v>
      </c>
      <c r="Y981" t="str">
        <f t="shared" si="1206"/>
        <v>2</v>
      </c>
      <c r="Z981" t="str">
        <f t="shared" si="1206"/>
        <v>2</v>
      </c>
      <c r="AA981" t="str">
        <f t="shared" si="1175"/>
        <v xml:space="preserve">          </v>
      </c>
      <c r="AB981" t="str">
        <f t="shared" si="1165"/>
        <v>2</v>
      </c>
      <c r="AC981" t="str">
        <f t="shared" si="1166"/>
        <v>2</v>
      </c>
      <c r="AD981" t="str">
        <f t="shared" si="1207"/>
        <v>2</v>
      </c>
      <c r="AE981" t="str">
        <f t="shared" si="1207"/>
        <v>2</v>
      </c>
      <c r="AF981" t="str">
        <f t="shared" si="1207"/>
        <v>2</v>
      </c>
      <c r="AG981" t="str">
        <f t="shared" si="1207"/>
        <v>2</v>
      </c>
      <c r="AH981" t="str">
        <f t="shared" si="1201"/>
        <v>1</v>
      </c>
      <c r="AI981" t="str">
        <f t="shared" si="1197"/>
        <v xml:space="preserve">1         </v>
      </c>
      <c r="AJ981" t="str">
        <f t="shared" si="1187"/>
        <v>170</v>
      </c>
      <c r="AK981" t="str">
        <f>"25"</f>
        <v>25</v>
      </c>
      <c r="AL981" t="str">
        <f>"307"</f>
        <v>307</v>
      </c>
      <c r="AM981" t="str">
        <f t="shared" si="1193"/>
        <v>11</v>
      </c>
      <c r="AN981" t="str">
        <f t="shared" si="1194"/>
        <v>11001</v>
      </c>
      <c r="AO981" t="str">
        <f>"26/08/2020 12:00:00 a. m."</f>
        <v>26/08/2020 12:00:00 a. m.</v>
      </c>
      <c r="AP981" t="str">
        <f>"26/07/2020 12:00:00 a. m."</f>
        <v>26/07/2020 12:00:00 a. m.</v>
      </c>
      <c r="AQ981" t="str">
        <f>"2"</f>
        <v>2</v>
      </c>
      <c r="AR981" t="str">
        <f t="shared" si="1208"/>
        <v>1</v>
      </c>
      <c r="AS981" t="str">
        <f>"26/08/2020 12:00:00 a. m."</f>
        <v>26/08/2020 12:00:00 a. m.</v>
      </c>
      <c r="AT981" t="str">
        <f t="shared" si="1198"/>
        <v>1</v>
      </c>
      <c r="AU981" t="str">
        <f>""</f>
        <v/>
      </c>
      <c r="AV981" t="str">
        <f>"3"</f>
        <v>3</v>
      </c>
      <c r="AW981" t="str">
        <f>"24/11/2019 12:00:00 a. m."</f>
        <v>24/11/2019 12:00:00 a. m.</v>
      </c>
      <c r="AX981" t="str">
        <f>""</f>
        <v/>
      </c>
      <c r="AY981" t="str">
        <f t="shared" si="1176"/>
        <v>30/04/2021 12:00:00 a. m.</v>
      </c>
      <c r="AZ981" t="str">
        <f>"5/10/2020 12:00:00 a. m."</f>
        <v>5/10/2020 12:00:00 a. m.</v>
      </c>
      <c r="BA981" t="str">
        <f>""</f>
        <v/>
      </c>
      <c r="BB981" t="str">
        <f>""</f>
        <v/>
      </c>
      <c r="BC981" t="str">
        <f>""</f>
        <v/>
      </c>
      <c r="BD981" t="str">
        <f t="shared" si="1177"/>
        <v>1</v>
      </c>
      <c r="BE981" t="str">
        <f t="shared" si="1177"/>
        <v>1</v>
      </c>
      <c r="BF981" t="str">
        <f t="shared" si="1178"/>
        <v xml:space="preserve">3         </v>
      </c>
      <c r="BG981" t="str">
        <f t="shared" si="1179"/>
        <v>Confirmado por laboratorio</v>
      </c>
      <c r="BH981" t="str">
        <f>"CLINICA INFANTIL COLSUBSIDIO"</f>
        <v>CLINICA INFANTIL COLSUBSIDIO</v>
      </c>
      <c r="BI981" t="str">
        <f t="shared" si="1163"/>
        <v>COLOMBIA</v>
      </c>
      <c r="BJ981" t="str">
        <f t="shared" si="1180"/>
        <v>CANCER INFANTIL</v>
      </c>
      <c r="BK981" t="str">
        <f>"CUNDINAMARCA"</f>
        <v>CUNDINAMARCA</v>
      </c>
      <c r="BL981" t="str">
        <f>"GIRARDOT"</f>
        <v>GIRARDOT</v>
      </c>
      <c r="BM981" t="str">
        <f t="shared" si="1188"/>
        <v>COLOMBIA</v>
      </c>
      <c r="BN981" t="str">
        <f>"CUNDINAMARCA"</f>
        <v>CUNDINAMARCA</v>
      </c>
      <c r="BO981" t="str">
        <f>"GIRARDOT"</f>
        <v>GIRARDOT</v>
      </c>
      <c r="BP981" t="str">
        <f t="shared" si="1202"/>
        <v>BOGOTA</v>
      </c>
      <c r="BQ981" t="str">
        <f t="shared" si="1202"/>
        <v>BOGOTA</v>
      </c>
    </row>
    <row r="982" spans="1:69" x14ac:dyDescent="0.25">
      <c r="A982" t="str">
        <f>"7291665"</f>
        <v>7291665</v>
      </c>
      <c r="B982" t="str">
        <f t="shared" si="1173"/>
        <v>459</v>
      </c>
      <c r="C982" t="str">
        <f>"23/07/2020 12:00:00 a. m."</f>
        <v>23/07/2020 12:00:00 a. m.</v>
      </c>
      <c r="D982" t="str">
        <f>"29"</f>
        <v>29</v>
      </c>
      <c r="E982" t="str">
        <f t="shared" si="1174"/>
        <v>2020</v>
      </c>
      <c r="F982" t="str">
        <f>"1100108171"</f>
        <v>1100108171</v>
      </c>
      <c r="G982" t="str">
        <f>"02"</f>
        <v>02</v>
      </c>
      <c r="H982" t="str">
        <f>"14"</f>
        <v>14</v>
      </c>
      <c r="I982" t="str">
        <f t="shared" ref="I982:I1015" si="1209">"1"</f>
        <v>1</v>
      </c>
      <c r="J982" t="str">
        <f>"M"</f>
        <v>M</v>
      </c>
      <c r="K982" t="str">
        <f t="shared" si="1162"/>
        <v>170</v>
      </c>
      <c r="L982" t="str">
        <f>"25"</f>
        <v>25</v>
      </c>
      <c r="M982" t="str">
        <f>"307"</f>
        <v>307</v>
      </c>
      <c r="N982" t="str">
        <f t="shared" si="1191"/>
        <v>1</v>
      </c>
      <c r="O982" t="str">
        <f>"9997"</f>
        <v>9997</v>
      </c>
      <c r="P982" t="str">
        <f t="shared" si="1203"/>
        <v>C</v>
      </c>
      <c r="Q982" t="str">
        <f>"EPS017"</f>
        <v>EPS017</v>
      </c>
      <c r="R982" t="str">
        <f t="shared" si="1189"/>
        <v>6</v>
      </c>
      <c r="S982" t="str">
        <f>""</f>
        <v/>
      </c>
      <c r="T982" t="str">
        <f t="shared" si="1199"/>
        <v xml:space="preserve">                                                                                                    </v>
      </c>
      <c r="U982" t="str">
        <f>"1         "</f>
        <v xml:space="preserve">1         </v>
      </c>
      <c r="V982" t="str">
        <f t="shared" si="1154"/>
        <v>2</v>
      </c>
      <c r="W982" t="str">
        <f t="shared" si="1200"/>
        <v>2</v>
      </c>
      <c r="X982" t="str">
        <f t="shared" si="1125"/>
        <v>2</v>
      </c>
      <c r="Y982" t="str">
        <f t="shared" si="1206"/>
        <v>2</v>
      </c>
      <c r="Z982" t="str">
        <f t="shared" si="1206"/>
        <v>2</v>
      </c>
      <c r="AA982" t="str">
        <f t="shared" si="1175"/>
        <v xml:space="preserve">          </v>
      </c>
      <c r="AB982" t="str">
        <f t="shared" si="1165"/>
        <v>2</v>
      </c>
      <c r="AC982" t="str">
        <f t="shared" si="1166"/>
        <v>2</v>
      </c>
      <c r="AD982" t="str">
        <f t="shared" si="1207"/>
        <v>2</v>
      </c>
      <c r="AE982" t="str">
        <f t="shared" si="1207"/>
        <v>2</v>
      </c>
      <c r="AF982" t="str">
        <f t="shared" si="1207"/>
        <v>2</v>
      </c>
      <c r="AG982" t="str">
        <f t="shared" si="1207"/>
        <v>2</v>
      </c>
      <c r="AH982" t="str">
        <f t="shared" si="1201"/>
        <v>1</v>
      </c>
      <c r="AI982" t="str">
        <f>"2         "</f>
        <v xml:space="preserve">2         </v>
      </c>
      <c r="AJ982" t="str">
        <f t="shared" si="1187"/>
        <v>170</v>
      </c>
      <c r="AK982" t="str">
        <f>"25"</f>
        <v>25</v>
      </c>
      <c r="AL982" t="str">
        <f>"307"</f>
        <v>307</v>
      </c>
      <c r="AM982" t="str">
        <f t="shared" si="1193"/>
        <v>11</v>
      </c>
      <c r="AN982" t="str">
        <f t="shared" si="1194"/>
        <v>11001</v>
      </c>
      <c r="AO982" t="str">
        <f>"15/07/2020 12:00:00 a. m."</f>
        <v>15/07/2020 12:00:00 a. m.</v>
      </c>
      <c r="AP982" t="str">
        <f>"6/07/2020 12:00:00 a. m."</f>
        <v>6/07/2020 12:00:00 a. m.</v>
      </c>
      <c r="AQ982" t="str">
        <f>"2"</f>
        <v>2</v>
      </c>
      <c r="AR982" t="str">
        <f t="shared" si="1208"/>
        <v>1</v>
      </c>
      <c r="AS982" t="str">
        <f>"15/07/2020 12:00:00 a. m."</f>
        <v>15/07/2020 12:00:00 a. m.</v>
      </c>
      <c r="AT982" t="str">
        <f t="shared" si="1198"/>
        <v>1</v>
      </c>
      <c r="AU982" t="str">
        <f>""</f>
        <v/>
      </c>
      <c r="AV982" t="str">
        <f>"3"</f>
        <v>3</v>
      </c>
      <c r="AW982" t="str">
        <f>"6/08/2005 12:00:00 a. m."</f>
        <v>6/08/2005 12:00:00 a. m.</v>
      </c>
      <c r="AX982" t="str">
        <f>""</f>
        <v/>
      </c>
      <c r="AY982" t="str">
        <f t="shared" si="1176"/>
        <v>30/04/2021 12:00:00 a. m.</v>
      </c>
      <c r="AZ982" t="str">
        <f>"6/08/2020 12:00:00 a. m."</f>
        <v>6/08/2020 12:00:00 a. m.</v>
      </c>
      <c r="BA982" t="str">
        <f>""</f>
        <v/>
      </c>
      <c r="BB982" t="str">
        <f>""</f>
        <v/>
      </c>
      <c r="BC982" t="str">
        <f>""</f>
        <v/>
      </c>
      <c r="BD982" t="str">
        <f t="shared" ref="BD982:BE1001" si="1210">"1"</f>
        <v>1</v>
      </c>
      <c r="BE982" t="str">
        <f t="shared" si="1210"/>
        <v>1</v>
      </c>
      <c r="BF982" t="str">
        <f t="shared" si="1178"/>
        <v xml:space="preserve">3         </v>
      </c>
      <c r="BG982" t="str">
        <f t="shared" si="1179"/>
        <v>Confirmado por laboratorio</v>
      </c>
      <c r="BH982" t="str">
        <f>"CLINICA INFANTIL COLSUBSIDIO"</f>
        <v>CLINICA INFANTIL COLSUBSIDIO</v>
      </c>
      <c r="BI982" t="str">
        <f t="shared" si="1163"/>
        <v>COLOMBIA</v>
      </c>
      <c r="BJ982" t="str">
        <f t="shared" si="1180"/>
        <v>CANCER INFANTIL</v>
      </c>
      <c r="BK982" t="str">
        <f>"CUNDINAMARCA"</f>
        <v>CUNDINAMARCA</v>
      </c>
      <c r="BL982" t="str">
        <f>"GIRARDOT"</f>
        <v>GIRARDOT</v>
      </c>
      <c r="BM982" t="str">
        <f t="shared" si="1188"/>
        <v>COLOMBIA</v>
      </c>
      <c r="BN982" t="str">
        <f>"CUNDINAMARCA"</f>
        <v>CUNDINAMARCA</v>
      </c>
      <c r="BO982" t="str">
        <f>"GIRARDOT"</f>
        <v>GIRARDOT</v>
      </c>
      <c r="BP982" t="str">
        <f t="shared" si="1202"/>
        <v>BOGOTA</v>
      </c>
      <c r="BQ982" t="str">
        <f t="shared" si="1202"/>
        <v>BOGOTA</v>
      </c>
    </row>
    <row r="983" spans="1:69" x14ac:dyDescent="0.25">
      <c r="A983" t="str">
        <f>"7279100"</f>
        <v>7279100</v>
      </c>
      <c r="B983" t="str">
        <f t="shared" si="1173"/>
        <v>459</v>
      </c>
      <c r="C983" t="str">
        <f>"7/09/2020 12:00:00 a. m."</f>
        <v>7/09/2020 12:00:00 a. m.</v>
      </c>
      <c r="D983" t="str">
        <f>"34"</f>
        <v>34</v>
      </c>
      <c r="E983" t="str">
        <f t="shared" si="1174"/>
        <v>2020</v>
      </c>
      <c r="F983" t="str">
        <f>"1100109111"</f>
        <v>1100109111</v>
      </c>
      <c r="G983" t="str">
        <f t="shared" ref="G983:G1023" si="1211">"01"</f>
        <v>01</v>
      </c>
      <c r="H983" t="str">
        <f>"14"</f>
        <v>14</v>
      </c>
      <c r="I983" t="str">
        <f t="shared" si="1209"/>
        <v>1</v>
      </c>
      <c r="J983" t="str">
        <f>"F"</f>
        <v>F</v>
      </c>
      <c r="K983" t="str">
        <f t="shared" si="1162"/>
        <v>170</v>
      </c>
      <c r="L983" t="str">
        <f>"11"</f>
        <v>11</v>
      </c>
      <c r="M983" t="str">
        <f>"001"</f>
        <v>001</v>
      </c>
      <c r="N983" t="str">
        <f t="shared" si="1191"/>
        <v>1</v>
      </c>
      <c r="O983" t="str">
        <f>"9997"</f>
        <v>9997</v>
      </c>
      <c r="P983" t="str">
        <f t="shared" si="1203"/>
        <v>C</v>
      </c>
      <c r="Q983" t="str">
        <f>"EPS002"</f>
        <v>EPS002</v>
      </c>
      <c r="R983" t="str">
        <f t="shared" si="1189"/>
        <v>6</v>
      </c>
      <c r="S983" t="str">
        <f>""</f>
        <v/>
      </c>
      <c r="T983" t="str">
        <f t="shared" si="1199"/>
        <v xml:space="preserve">                                                                                                    </v>
      </c>
      <c r="U983" t="str">
        <f>"3         "</f>
        <v xml:space="preserve">3         </v>
      </c>
      <c r="V983" t="str">
        <f t="shared" si="1154"/>
        <v>2</v>
      </c>
      <c r="W983" t="str">
        <f t="shared" si="1200"/>
        <v>2</v>
      </c>
      <c r="X983" t="str">
        <f t="shared" si="1125"/>
        <v>2</v>
      </c>
      <c r="Y983" t="str">
        <f t="shared" si="1206"/>
        <v>2</v>
      </c>
      <c r="Z983" t="str">
        <f t="shared" si="1206"/>
        <v>2</v>
      </c>
      <c r="AA983" t="str">
        <f t="shared" si="1175"/>
        <v xml:space="preserve">          </v>
      </c>
      <c r="AB983" t="str">
        <f t="shared" si="1165"/>
        <v>2</v>
      </c>
      <c r="AC983" t="str">
        <f t="shared" si="1166"/>
        <v>2</v>
      </c>
      <c r="AD983" t="str">
        <f t="shared" si="1207"/>
        <v>2</v>
      </c>
      <c r="AE983" t="str">
        <f t="shared" si="1207"/>
        <v>2</v>
      </c>
      <c r="AF983" t="str">
        <f t="shared" si="1207"/>
        <v>2</v>
      </c>
      <c r="AG983" t="str">
        <f t="shared" si="1207"/>
        <v>2</v>
      </c>
      <c r="AH983" t="str">
        <f t="shared" si="1201"/>
        <v>1</v>
      </c>
      <c r="AI983" t="str">
        <f>"1         "</f>
        <v xml:space="preserve">1         </v>
      </c>
      <c r="AJ983" t="str">
        <f t="shared" si="1187"/>
        <v>170</v>
      </c>
      <c r="AK983" t="str">
        <f>"11"</f>
        <v>11</v>
      </c>
      <c r="AL983" t="str">
        <f>"001"</f>
        <v>001</v>
      </c>
      <c r="AM983" t="str">
        <f t="shared" si="1193"/>
        <v>11</v>
      </c>
      <c r="AN983" t="str">
        <f t="shared" si="1194"/>
        <v>11001</v>
      </c>
      <c r="AO983" t="str">
        <f>"17/08/2020 12:00:00 a. m."</f>
        <v>17/08/2020 12:00:00 a. m.</v>
      </c>
      <c r="AP983" t="str">
        <f>"13/08/2020 12:00:00 a. m."</f>
        <v>13/08/2020 12:00:00 a. m.</v>
      </c>
      <c r="AQ983" t="str">
        <f>"3"</f>
        <v>3</v>
      </c>
      <c r="AR983" t="str">
        <f t="shared" si="1208"/>
        <v>1</v>
      </c>
      <c r="AS983" t="str">
        <f>"17/08/2020 12:00:00 a. m."</f>
        <v>17/08/2020 12:00:00 a. m.</v>
      </c>
      <c r="AT983" t="str">
        <f t="shared" si="1198"/>
        <v>1</v>
      </c>
      <c r="AU983" t="str">
        <f>""</f>
        <v/>
      </c>
      <c r="AV983" t="str">
        <f>"0"</f>
        <v>0</v>
      </c>
      <c r="AW983" t="str">
        <f>"29/07/2006 12:00:00 a. m."</f>
        <v>29/07/2006 12:00:00 a. m.</v>
      </c>
      <c r="AX983" t="str">
        <f>""</f>
        <v/>
      </c>
      <c r="AY983" t="str">
        <f t="shared" si="1176"/>
        <v>30/04/2021 12:00:00 a. m.</v>
      </c>
      <c r="AZ983" t="str">
        <f>"7/09/2020 12:00:00 a. m."</f>
        <v>7/09/2020 12:00:00 a. m.</v>
      </c>
      <c r="BA983" t="str">
        <f>""</f>
        <v/>
      </c>
      <c r="BB983" t="str">
        <f>""</f>
        <v/>
      </c>
      <c r="BC983" t="str">
        <f>""</f>
        <v/>
      </c>
      <c r="BD983" t="str">
        <f t="shared" si="1210"/>
        <v>1</v>
      </c>
      <c r="BE983" t="str">
        <f t="shared" si="1210"/>
        <v>1</v>
      </c>
      <c r="BF983" t="str">
        <f t="shared" si="1178"/>
        <v xml:space="preserve">3         </v>
      </c>
      <c r="BG983" t="str">
        <f t="shared" si="1179"/>
        <v>Confirmado por laboratorio</v>
      </c>
      <c r="BH983" t="str">
        <f>"FUNDACION CARDIOINFANTIL INSTITUTO DE CARDIOLOGIA"</f>
        <v>FUNDACION CARDIOINFANTIL INSTITUTO DE CARDIOLOGIA</v>
      </c>
      <c r="BI983" t="str">
        <f t="shared" si="1163"/>
        <v>COLOMBIA</v>
      </c>
      <c r="BJ983" t="str">
        <f t="shared" si="1180"/>
        <v>CANCER INFANTIL</v>
      </c>
      <c r="BK983" t="str">
        <f>"BOGOTA"</f>
        <v>BOGOTA</v>
      </c>
      <c r="BL983" t="str">
        <f>"BOGOTA"</f>
        <v>BOGOTA</v>
      </c>
      <c r="BM983" t="str">
        <f t="shared" si="1188"/>
        <v>COLOMBIA</v>
      </c>
      <c r="BN983" t="str">
        <f>"BOGOTA"</f>
        <v>BOGOTA</v>
      </c>
      <c r="BO983" t="str">
        <f>"BOGOTA"</f>
        <v>BOGOTA</v>
      </c>
      <c r="BP983" t="str">
        <f t="shared" si="1202"/>
        <v>BOGOTA</v>
      </c>
      <c r="BQ983" t="str">
        <f t="shared" si="1202"/>
        <v>BOGOTA</v>
      </c>
    </row>
    <row r="984" spans="1:69" x14ac:dyDescent="0.25">
      <c r="A984" t="str">
        <f>"7279008"</f>
        <v>7279008</v>
      </c>
      <c r="B984" t="str">
        <f t="shared" si="1173"/>
        <v>459</v>
      </c>
      <c r="C984" t="str">
        <f>"8/04/2020 12:00:00 a. m."</f>
        <v>8/04/2020 12:00:00 a. m.</v>
      </c>
      <c r="D984" t="str">
        <f>"07"</f>
        <v>07</v>
      </c>
      <c r="E984" t="str">
        <f t="shared" si="1174"/>
        <v>2020</v>
      </c>
      <c r="F984" t="str">
        <f>"4700100476"</f>
        <v>4700100476</v>
      </c>
      <c r="G984" t="str">
        <f t="shared" si="1211"/>
        <v>01</v>
      </c>
      <c r="H984" t="str">
        <f>"10"</f>
        <v>10</v>
      </c>
      <c r="I984" t="str">
        <f t="shared" si="1209"/>
        <v>1</v>
      </c>
      <c r="J984" t="str">
        <f>"M"</f>
        <v>M</v>
      </c>
      <c r="K984" t="str">
        <f t="shared" si="1162"/>
        <v>170</v>
      </c>
      <c r="L984" t="str">
        <f>"47"</f>
        <v>47</v>
      </c>
      <c r="M984" t="str">
        <f>"001"</f>
        <v>001</v>
      </c>
      <c r="N984" t="str">
        <f t="shared" si="1191"/>
        <v>1</v>
      </c>
      <c r="O984" t="str">
        <f>"9997"</f>
        <v>9997</v>
      </c>
      <c r="P984" t="str">
        <f>"S"</f>
        <v>S</v>
      </c>
      <c r="Q984" t="str">
        <f>"ESS207"</f>
        <v>ESS207</v>
      </c>
      <c r="R984" t="str">
        <f t="shared" si="1189"/>
        <v>6</v>
      </c>
      <c r="S984" t="str">
        <f>""</f>
        <v/>
      </c>
      <c r="T984" t="str">
        <f t="shared" si="1199"/>
        <v xml:space="preserve">                                                                                                    </v>
      </c>
      <c r="U984" t="str">
        <f>"2         "</f>
        <v xml:space="preserve">2         </v>
      </c>
      <c r="V984" t="str">
        <f t="shared" si="1154"/>
        <v>2</v>
      </c>
      <c r="W984" t="str">
        <f t="shared" si="1200"/>
        <v>2</v>
      </c>
      <c r="X984" t="str">
        <f t="shared" si="1125"/>
        <v>2</v>
      </c>
      <c r="Y984" t="str">
        <f t="shared" si="1206"/>
        <v>2</v>
      </c>
      <c r="Z984" t="str">
        <f t="shared" si="1206"/>
        <v>2</v>
      </c>
      <c r="AA984" t="str">
        <f t="shared" si="1175"/>
        <v xml:space="preserve">          </v>
      </c>
      <c r="AB984" t="str">
        <f t="shared" si="1165"/>
        <v>2</v>
      </c>
      <c r="AC984" t="str">
        <f t="shared" si="1166"/>
        <v>2</v>
      </c>
      <c r="AD984" t="str">
        <f t="shared" si="1207"/>
        <v>2</v>
      </c>
      <c r="AE984" t="str">
        <f t="shared" si="1207"/>
        <v>2</v>
      </c>
      <c r="AF984" t="str">
        <f t="shared" si="1207"/>
        <v>2</v>
      </c>
      <c r="AG984" t="str">
        <f t="shared" si="1207"/>
        <v>2</v>
      </c>
      <c r="AH984" t="str">
        <f t="shared" si="1201"/>
        <v>1</v>
      </c>
      <c r="AI984" t="str">
        <f>"1         "</f>
        <v xml:space="preserve">1         </v>
      </c>
      <c r="AJ984" t="str">
        <f t="shared" si="1187"/>
        <v>170</v>
      </c>
      <c r="AK984" t="str">
        <f>"47"</f>
        <v>47</v>
      </c>
      <c r="AL984" t="str">
        <f>"001"</f>
        <v>001</v>
      </c>
      <c r="AM984" t="str">
        <f>"47"</f>
        <v>47</v>
      </c>
      <c r="AN984" t="str">
        <f>"47001"</f>
        <v>47001</v>
      </c>
      <c r="AO984" t="str">
        <f>"13/02/2020 12:00:00 a. m."</f>
        <v>13/02/2020 12:00:00 a. m.</v>
      </c>
      <c r="AP984" t="str">
        <f>"12/12/2019 12:00:00 a. m."</f>
        <v>12/12/2019 12:00:00 a. m.</v>
      </c>
      <c r="AQ984" t="str">
        <f>"3"</f>
        <v>3</v>
      </c>
      <c r="AR984" t="str">
        <f t="shared" si="1208"/>
        <v>1</v>
      </c>
      <c r="AS984" t="str">
        <f>"13/02/2020 12:00:00 a. m."</f>
        <v>13/02/2020 12:00:00 a. m.</v>
      </c>
      <c r="AT984" t="str">
        <f t="shared" si="1198"/>
        <v>1</v>
      </c>
      <c r="AU984" t="str">
        <f>""</f>
        <v/>
      </c>
      <c r="AV984" t="str">
        <f>"7"</f>
        <v>7</v>
      </c>
      <c r="AW984" t="str">
        <f>"27/06/2009 12:00:00 a. m."</f>
        <v>27/06/2009 12:00:00 a. m.</v>
      </c>
      <c r="AX984" t="str">
        <f>""</f>
        <v/>
      </c>
      <c r="AY984" t="str">
        <f t="shared" si="1176"/>
        <v>30/04/2021 12:00:00 a. m.</v>
      </c>
      <c r="AZ984" t="str">
        <f>"12/12/2020 12:00:00 a. m."</f>
        <v>12/12/2020 12:00:00 a. m.</v>
      </c>
      <c r="BA984" t="str">
        <f>""</f>
        <v/>
      </c>
      <c r="BB984" t="str">
        <f>""</f>
        <v/>
      </c>
      <c r="BC984" t="str">
        <f>""</f>
        <v/>
      </c>
      <c r="BD984" t="str">
        <f t="shared" si="1210"/>
        <v>1</v>
      </c>
      <c r="BE984" t="str">
        <f t="shared" si="1210"/>
        <v>1</v>
      </c>
      <c r="BF984" t="str">
        <f t="shared" si="1178"/>
        <v xml:space="preserve">3         </v>
      </c>
      <c r="BG984" t="str">
        <f t="shared" si="1179"/>
        <v>Confirmado por laboratorio</v>
      </c>
      <c r="BH984" t="str">
        <f>"COMPAÑÍA COLOMBIANA DE SALUD COLSALUD SA"</f>
        <v>COMPAÑÍA COLOMBIANA DE SALUD COLSALUD SA</v>
      </c>
      <c r="BI984" t="str">
        <f t="shared" si="1163"/>
        <v>COLOMBIA</v>
      </c>
      <c r="BJ984" t="str">
        <f t="shared" si="1180"/>
        <v>CANCER INFANTIL</v>
      </c>
      <c r="BK984" t="str">
        <f>"MAGDALENA"</f>
        <v>MAGDALENA</v>
      </c>
      <c r="BL984" t="str">
        <f>"SANTA MARTA"</f>
        <v>SANTA MARTA</v>
      </c>
      <c r="BM984" t="str">
        <f t="shared" si="1188"/>
        <v>COLOMBIA</v>
      </c>
      <c r="BN984" t="str">
        <f>"MAGDALENA"</f>
        <v>MAGDALENA</v>
      </c>
      <c r="BO984" t="str">
        <f>"SANTA MARTA"</f>
        <v>SANTA MARTA</v>
      </c>
      <c r="BP984" t="str">
        <f>"MAGDALENA"</f>
        <v>MAGDALENA</v>
      </c>
      <c r="BQ984" t="str">
        <f>"SANTA MARTA"</f>
        <v>SANTA MARTA</v>
      </c>
    </row>
    <row r="985" spans="1:69" x14ac:dyDescent="0.25">
      <c r="A985" t="str">
        <f>"7279096"</f>
        <v>7279096</v>
      </c>
      <c r="B985" t="str">
        <f t="shared" si="1173"/>
        <v>459</v>
      </c>
      <c r="C985" t="str">
        <f>"4/02/2020 12:00:00 a. m."</f>
        <v>4/02/2020 12:00:00 a. m.</v>
      </c>
      <c r="D985" t="str">
        <f>"05"</f>
        <v>05</v>
      </c>
      <c r="E985" t="str">
        <f t="shared" si="1174"/>
        <v>2020</v>
      </c>
      <c r="F985" t="str">
        <f>"1100123118"</f>
        <v>1100123118</v>
      </c>
      <c r="G985" t="str">
        <f t="shared" si="1211"/>
        <v>01</v>
      </c>
      <c r="H985" t="str">
        <f>"8"</f>
        <v>8</v>
      </c>
      <c r="I985" t="str">
        <f t="shared" si="1209"/>
        <v>1</v>
      </c>
      <c r="J985" t="str">
        <f>"M"</f>
        <v>M</v>
      </c>
      <c r="K985" t="str">
        <f t="shared" si="1162"/>
        <v>170</v>
      </c>
      <c r="L985" t="str">
        <f>"11"</f>
        <v>11</v>
      </c>
      <c r="M985" t="str">
        <f>"001"</f>
        <v>001</v>
      </c>
      <c r="N985" t="str">
        <f t="shared" si="1191"/>
        <v>1</v>
      </c>
      <c r="O985" t="str">
        <f>"9997"</f>
        <v>9997</v>
      </c>
      <c r="P985" t="str">
        <f>"P"</f>
        <v>P</v>
      </c>
      <c r="Q985" t="str">
        <f>"RES001"</f>
        <v>RES001</v>
      </c>
      <c r="R985" t="str">
        <f t="shared" si="1189"/>
        <v>6</v>
      </c>
      <c r="S985" t="str">
        <f>""</f>
        <v/>
      </c>
      <c r="T985" t="str">
        <f t="shared" si="1199"/>
        <v xml:space="preserve">                                                                                                    </v>
      </c>
      <c r="U985" t="str">
        <f>"2         "</f>
        <v xml:space="preserve">2         </v>
      </c>
      <c r="V985" t="str">
        <f t="shared" si="1154"/>
        <v>2</v>
      </c>
      <c r="W985" t="str">
        <f t="shared" si="1200"/>
        <v>2</v>
      </c>
      <c r="X985" t="str">
        <f t="shared" si="1125"/>
        <v>2</v>
      </c>
      <c r="Y985" t="str">
        <f t="shared" si="1206"/>
        <v>2</v>
      </c>
      <c r="Z985" t="str">
        <f t="shared" si="1206"/>
        <v>2</v>
      </c>
      <c r="AA985" t="str">
        <f t="shared" si="1175"/>
        <v xml:space="preserve">          </v>
      </c>
      <c r="AB985" t="str">
        <f t="shared" si="1165"/>
        <v>2</v>
      </c>
      <c r="AC985" t="str">
        <f t="shared" si="1166"/>
        <v>2</v>
      </c>
      <c r="AD985" t="str">
        <f t="shared" si="1207"/>
        <v>2</v>
      </c>
      <c r="AE985" t="str">
        <f t="shared" si="1207"/>
        <v>2</v>
      </c>
      <c r="AF985" t="str">
        <f t="shared" si="1207"/>
        <v>2</v>
      </c>
      <c r="AG985" t="str">
        <f t="shared" si="1207"/>
        <v>2</v>
      </c>
      <c r="AH985" t="str">
        <f t="shared" si="1201"/>
        <v>1</v>
      </c>
      <c r="AI985" t="str">
        <f>"1         "</f>
        <v xml:space="preserve">1         </v>
      </c>
      <c r="AJ985" t="str">
        <f t="shared" si="1187"/>
        <v>170</v>
      </c>
      <c r="AK985" t="str">
        <f>"11"</f>
        <v>11</v>
      </c>
      <c r="AL985" t="str">
        <f>"001"</f>
        <v>001</v>
      </c>
      <c r="AM985" t="str">
        <f>"11"</f>
        <v>11</v>
      </c>
      <c r="AN985" t="str">
        <f>"11001"</f>
        <v>11001</v>
      </c>
      <c r="AO985" t="str">
        <f>"1/02/2020 12:00:00 a. m."</f>
        <v>1/02/2020 12:00:00 a. m.</v>
      </c>
      <c r="AP985" t="str">
        <f>"10/12/2019 12:00:00 a. m."</f>
        <v>10/12/2019 12:00:00 a. m.</v>
      </c>
      <c r="AQ985" t="str">
        <f>"2"</f>
        <v>2</v>
      </c>
      <c r="AR985" t="str">
        <f t="shared" si="1208"/>
        <v>1</v>
      </c>
      <c r="AS985" t="str">
        <f>"1/02/2020 12:00:00 a. m."</f>
        <v>1/02/2020 12:00:00 a. m.</v>
      </c>
      <c r="AT985" t="str">
        <f>"2"</f>
        <v>2</v>
      </c>
      <c r="AU985" t="str">
        <f>"4/02/2020 12:00:00 a. m."</f>
        <v>4/02/2020 12:00:00 a. m.</v>
      </c>
      <c r="AV985" t="str">
        <f>"3"</f>
        <v>3</v>
      </c>
      <c r="AW985" t="str">
        <f>"18/05/2011 12:00:00 a. m."</f>
        <v>18/05/2011 12:00:00 a. m.</v>
      </c>
      <c r="AX985" t="str">
        <f>"C783"</f>
        <v>C783</v>
      </c>
      <c r="AY985" t="str">
        <f t="shared" si="1176"/>
        <v>30/04/2021 12:00:00 a. m.</v>
      </c>
      <c r="AZ985" t="str">
        <f>"16/04/2020 12:00:00 a. m."</f>
        <v>16/04/2020 12:00:00 a. m.</v>
      </c>
      <c r="BA985" t="str">
        <f>""</f>
        <v/>
      </c>
      <c r="BB985" t="str">
        <f>""</f>
        <v/>
      </c>
      <c r="BC985" t="str">
        <f>""</f>
        <v/>
      </c>
      <c r="BD985" t="str">
        <f t="shared" si="1210"/>
        <v>1</v>
      </c>
      <c r="BE985" t="str">
        <f t="shared" si="1210"/>
        <v>1</v>
      </c>
      <c r="BF985" t="str">
        <f t="shared" si="1178"/>
        <v xml:space="preserve">3         </v>
      </c>
      <c r="BG985" t="str">
        <f t="shared" si="1179"/>
        <v>Confirmado por laboratorio</v>
      </c>
      <c r="BH985" t="str">
        <f>"HOSPITAL CENTRAL POLICIA"</f>
        <v>HOSPITAL CENTRAL POLICIA</v>
      </c>
      <c r="BI985" t="str">
        <f t="shared" si="1163"/>
        <v>COLOMBIA</v>
      </c>
      <c r="BJ985" t="str">
        <f t="shared" si="1180"/>
        <v>CANCER INFANTIL</v>
      </c>
      <c r="BK985" t="str">
        <f>"BOGOTA"</f>
        <v>BOGOTA</v>
      </c>
      <c r="BL985" t="str">
        <f>"BOGOTA"</f>
        <v>BOGOTA</v>
      </c>
      <c r="BM985" t="str">
        <f t="shared" si="1188"/>
        <v>COLOMBIA</v>
      </c>
      <c r="BN985" t="str">
        <f>"BOGOTA"</f>
        <v>BOGOTA</v>
      </c>
      <c r="BO985" t="str">
        <f>"BOGOTA"</f>
        <v>BOGOTA</v>
      </c>
      <c r="BP985" t="str">
        <f>"BOGOTA"</f>
        <v>BOGOTA</v>
      </c>
      <c r="BQ985" t="str">
        <f>"BOGOTA"</f>
        <v>BOGOTA</v>
      </c>
    </row>
    <row r="986" spans="1:69" x14ac:dyDescent="0.25">
      <c r="A986" t="str">
        <f>"7291610"</f>
        <v>7291610</v>
      </c>
      <c r="B986" t="str">
        <f t="shared" si="1173"/>
        <v>459</v>
      </c>
      <c r="C986" t="str">
        <f>"1/09/2020 12:00:00 a. m."</f>
        <v>1/09/2020 12:00:00 a. m.</v>
      </c>
      <c r="D986" t="str">
        <f>"35"</f>
        <v>35</v>
      </c>
      <c r="E986" t="str">
        <f t="shared" si="1174"/>
        <v>2020</v>
      </c>
      <c r="F986" t="str">
        <f>"2300100949"</f>
        <v>2300100949</v>
      </c>
      <c r="G986" t="str">
        <f t="shared" si="1211"/>
        <v>01</v>
      </c>
      <c r="H986" t="str">
        <f>"4"</f>
        <v>4</v>
      </c>
      <c r="I986" t="str">
        <f t="shared" si="1209"/>
        <v>1</v>
      </c>
      <c r="J986" t="str">
        <f>"F"</f>
        <v>F</v>
      </c>
      <c r="K986" t="str">
        <f t="shared" si="1162"/>
        <v>170</v>
      </c>
      <c r="L986" t="str">
        <f>"23"</f>
        <v>23</v>
      </c>
      <c r="M986" t="str">
        <f>"162"</f>
        <v>162</v>
      </c>
      <c r="N986" t="str">
        <f>"3"</f>
        <v>3</v>
      </c>
      <c r="O986" t="str">
        <f>"9998"</f>
        <v>9998</v>
      </c>
      <c r="P986" t="str">
        <f>"S"</f>
        <v>S</v>
      </c>
      <c r="Q986" t="str">
        <f>"EPSS02"</f>
        <v>EPSS02</v>
      </c>
      <c r="R986" t="str">
        <f t="shared" si="1189"/>
        <v>6</v>
      </c>
      <c r="S986" t="str">
        <f>""</f>
        <v/>
      </c>
      <c r="T986" t="str">
        <f t="shared" si="1199"/>
        <v xml:space="preserve">                                                                                                    </v>
      </c>
      <c r="U986" t="str">
        <f>"1         "</f>
        <v xml:space="preserve">1         </v>
      </c>
      <c r="V986" t="str">
        <f t="shared" si="1154"/>
        <v>2</v>
      </c>
      <c r="W986" t="str">
        <f t="shared" si="1200"/>
        <v>2</v>
      </c>
      <c r="X986" t="str">
        <f t="shared" ref="X986:X1046" si="1212">"2"</f>
        <v>2</v>
      </c>
      <c r="Y986" t="str">
        <f t="shared" si="1206"/>
        <v>2</v>
      </c>
      <c r="Z986" t="str">
        <f t="shared" si="1206"/>
        <v>2</v>
      </c>
      <c r="AA986" t="str">
        <f t="shared" si="1175"/>
        <v xml:space="preserve">          </v>
      </c>
      <c r="AB986" t="str">
        <f t="shared" si="1165"/>
        <v>2</v>
      </c>
      <c r="AC986" t="str">
        <f t="shared" si="1166"/>
        <v>2</v>
      </c>
      <c r="AD986" t="str">
        <f t="shared" si="1207"/>
        <v>2</v>
      </c>
      <c r="AE986" t="str">
        <f t="shared" si="1207"/>
        <v>2</v>
      </c>
      <c r="AF986" t="str">
        <f t="shared" si="1207"/>
        <v>2</v>
      </c>
      <c r="AG986" t="str">
        <f t="shared" si="1207"/>
        <v>2</v>
      </c>
      <c r="AH986" t="str">
        <f t="shared" si="1201"/>
        <v>1</v>
      </c>
      <c r="AI986" t="str">
        <f>"1         "</f>
        <v xml:space="preserve">1         </v>
      </c>
      <c r="AJ986" t="str">
        <f t="shared" si="1187"/>
        <v>170</v>
      </c>
      <c r="AK986" t="str">
        <f>"23"</f>
        <v>23</v>
      </c>
      <c r="AL986" t="str">
        <f>"162"</f>
        <v>162</v>
      </c>
      <c r="AM986" t="str">
        <f>"23"</f>
        <v>23</v>
      </c>
      <c r="AN986" t="str">
        <f>"23001"</f>
        <v>23001</v>
      </c>
      <c r="AO986" t="str">
        <f>"23/08/2020 12:00:00 a. m."</f>
        <v>23/08/2020 12:00:00 a. m.</v>
      </c>
      <c r="AP986" t="str">
        <f>"8/08/2020 12:00:00 a. m."</f>
        <v>8/08/2020 12:00:00 a. m.</v>
      </c>
      <c r="AQ986" t="str">
        <f>"2"</f>
        <v>2</v>
      </c>
      <c r="AR986" t="str">
        <f t="shared" si="1208"/>
        <v>1</v>
      </c>
      <c r="AS986" t="str">
        <f>"30/08/2020 12:00:00 a. m."</f>
        <v>30/08/2020 12:00:00 a. m.</v>
      </c>
      <c r="AT986" t="str">
        <f>"1"</f>
        <v>1</v>
      </c>
      <c r="AU986" t="str">
        <f>""</f>
        <v/>
      </c>
      <c r="AV986" t="str">
        <f>"3"</f>
        <v>3</v>
      </c>
      <c r="AW986" t="str">
        <f>"29/08/2016 12:00:00 a. m."</f>
        <v>29/08/2016 12:00:00 a. m.</v>
      </c>
      <c r="AX986" t="str">
        <f>""</f>
        <v/>
      </c>
      <c r="AY986" t="str">
        <f t="shared" si="1176"/>
        <v>30/04/2021 12:00:00 a. m.</v>
      </c>
      <c r="AZ986" t="str">
        <f>"15/10/2020 12:00:00 a. m."</f>
        <v>15/10/2020 12:00:00 a. m.</v>
      </c>
      <c r="BA986" t="str">
        <f>""</f>
        <v/>
      </c>
      <c r="BB986" t="str">
        <f>""</f>
        <v/>
      </c>
      <c r="BC986" t="str">
        <f>""</f>
        <v/>
      </c>
      <c r="BD986" t="str">
        <f t="shared" si="1210"/>
        <v>1</v>
      </c>
      <c r="BE986" t="str">
        <f t="shared" si="1210"/>
        <v>1</v>
      </c>
      <c r="BF986" t="str">
        <f t="shared" si="1178"/>
        <v xml:space="preserve">3         </v>
      </c>
      <c r="BG986" t="str">
        <f t="shared" si="1179"/>
        <v>Confirmado por laboratorio</v>
      </c>
      <c r="BH986" t="str">
        <f>"ONCOMEDICA S A"</f>
        <v>ONCOMEDICA S A</v>
      </c>
      <c r="BI986" t="str">
        <f t="shared" si="1163"/>
        <v>COLOMBIA</v>
      </c>
      <c r="BJ986" t="str">
        <f t="shared" si="1180"/>
        <v>CANCER INFANTIL</v>
      </c>
      <c r="BK986" t="str">
        <f>"CORDOBA"</f>
        <v>CORDOBA</v>
      </c>
      <c r="BL986" t="str">
        <f>"CERETE"</f>
        <v>CERETE</v>
      </c>
      <c r="BM986" t="str">
        <f t="shared" si="1188"/>
        <v>COLOMBIA</v>
      </c>
      <c r="BN986" t="str">
        <f>"CORDOBA"</f>
        <v>CORDOBA</v>
      </c>
      <c r="BO986" t="str">
        <f>"CERETE"</f>
        <v>CERETE</v>
      </c>
      <c r="BP986" t="str">
        <f>"CORDOBA"</f>
        <v>CORDOBA</v>
      </c>
      <c r="BQ986" t="str">
        <f>"MONTERIA"</f>
        <v>MONTERIA</v>
      </c>
    </row>
    <row r="987" spans="1:69" x14ac:dyDescent="0.25">
      <c r="A987" t="str">
        <f>"7291591"</f>
        <v>7291591</v>
      </c>
      <c r="B987" t="str">
        <f t="shared" si="1173"/>
        <v>459</v>
      </c>
      <c r="C987" t="str">
        <f>"14/05/2020 12:00:00 a. m."</f>
        <v>14/05/2020 12:00:00 a. m.</v>
      </c>
      <c r="D987" t="str">
        <f>"19"</f>
        <v>19</v>
      </c>
      <c r="E987" t="str">
        <f t="shared" si="1174"/>
        <v>2020</v>
      </c>
      <c r="F987" t="str">
        <f>"2300100949"</f>
        <v>2300100949</v>
      </c>
      <c r="G987" t="str">
        <f t="shared" si="1211"/>
        <v>01</v>
      </c>
      <c r="H987" t="str">
        <f>"5"</f>
        <v>5</v>
      </c>
      <c r="I987" t="str">
        <f t="shared" si="1209"/>
        <v>1</v>
      </c>
      <c r="J987" t="str">
        <f>"F"</f>
        <v>F</v>
      </c>
      <c r="K987" t="str">
        <f t="shared" ref="K987:K1018" si="1213">"170"</f>
        <v>170</v>
      </c>
      <c r="L987" t="str">
        <f>"23"</f>
        <v>23</v>
      </c>
      <c r="M987" t="str">
        <f>"466"</f>
        <v>466</v>
      </c>
      <c r="N987" t="str">
        <f>"1"</f>
        <v>1</v>
      </c>
      <c r="O987" t="str">
        <f>"9999"</f>
        <v>9999</v>
      </c>
      <c r="P987" t="str">
        <f>"S"</f>
        <v>S</v>
      </c>
      <c r="Q987" t="str">
        <f>"EPSS41"</f>
        <v>EPSS41</v>
      </c>
      <c r="R987" t="str">
        <f t="shared" si="1189"/>
        <v>6</v>
      </c>
      <c r="S987" t="str">
        <f>""</f>
        <v/>
      </c>
      <c r="T987" t="str">
        <f t="shared" si="1199"/>
        <v xml:space="preserve">                                                                                                    </v>
      </c>
      <c r="U987" t="str">
        <f>"1         "</f>
        <v xml:space="preserve">1         </v>
      </c>
      <c r="V987" t="str">
        <f t="shared" si="1154"/>
        <v>2</v>
      </c>
      <c r="W987" t="str">
        <f t="shared" si="1200"/>
        <v>2</v>
      </c>
      <c r="X987" t="str">
        <f t="shared" si="1212"/>
        <v>2</v>
      </c>
      <c r="Y987" t="str">
        <f t="shared" si="1206"/>
        <v>2</v>
      </c>
      <c r="Z987" t="str">
        <f t="shared" si="1206"/>
        <v>2</v>
      </c>
      <c r="AA987" t="str">
        <f t="shared" si="1175"/>
        <v xml:space="preserve">          </v>
      </c>
      <c r="AB987" t="str">
        <f t="shared" si="1165"/>
        <v>2</v>
      </c>
      <c r="AC987" t="str">
        <f t="shared" si="1166"/>
        <v>2</v>
      </c>
      <c r="AD987" t="str">
        <f t="shared" si="1207"/>
        <v>2</v>
      </c>
      <c r="AE987" t="str">
        <f t="shared" si="1207"/>
        <v>2</v>
      </c>
      <c r="AF987" t="str">
        <f t="shared" si="1207"/>
        <v>2</v>
      </c>
      <c r="AG987" t="str">
        <f t="shared" si="1207"/>
        <v>2</v>
      </c>
      <c r="AH987" t="str">
        <f t="shared" si="1201"/>
        <v>1</v>
      </c>
      <c r="AI987" t="str">
        <f>"2         "</f>
        <v xml:space="preserve">2         </v>
      </c>
      <c r="AJ987" t="str">
        <f t="shared" si="1187"/>
        <v>170</v>
      </c>
      <c r="AK987" t="str">
        <f>"23"</f>
        <v>23</v>
      </c>
      <c r="AL987" t="str">
        <f>"466"</f>
        <v>466</v>
      </c>
      <c r="AM987" t="str">
        <f>"23"</f>
        <v>23</v>
      </c>
      <c r="AN987" t="str">
        <f>"23001"</f>
        <v>23001</v>
      </c>
      <c r="AO987" t="str">
        <f>"6/05/2020 12:00:00 a. m."</f>
        <v>6/05/2020 12:00:00 a. m.</v>
      </c>
      <c r="AP987" t="str">
        <f>"26/04/2020 12:00:00 a. m."</f>
        <v>26/04/2020 12:00:00 a. m.</v>
      </c>
      <c r="AQ987" t="str">
        <f>"3"</f>
        <v>3</v>
      </c>
      <c r="AR987" t="str">
        <f t="shared" si="1208"/>
        <v>1</v>
      </c>
      <c r="AS987" t="str">
        <f>"6/05/2020 12:00:00 a. m."</f>
        <v>6/05/2020 12:00:00 a. m.</v>
      </c>
      <c r="AT987" t="str">
        <f>"1"</f>
        <v>1</v>
      </c>
      <c r="AU987" t="str">
        <f>""</f>
        <v/>
      </c>
      <c r="AV987" t="str">
        <f>"3"</f>
        <v>3</v>
      </c>
      <c r="AW987" t="str">
        <f>"16/08/2014 12:00:00 a. m."</f>
        <v>16/08/2014 12:00:00 a. m.</v>
      </c>
      <c r="AX987" t="str">
        <f>""</f>
        <v/>
      </c>
      <c r="AY987" t="str">
        <f t="shared" si="1176"/>
        <v>30/04/2021 12:00:00 a. m.</v>
      </c>
      <c r="AZ987" t="str">
        <f>"22/07/2020 12:00:00 a. m."</f>
        <v>22/07/2020 12:00:00 a. m.</v>
      </c>
      <c r="BA987" t="str">
        <f>""</f>
        <v/>
      </c>
      <c r="BB987" t="str">
        <f>""</f>
        <v/>
      </c>
      <c r="BC987" t="str">
        <f>""</f>
        <v/>
      </c>
      <c r="BD987" t="str">
        <f t="shared" si="1210"/>
        <v>1</v>
      </c>
      <c r="BE987" t="str">
        <f t="shared" si="1210"/>
        <v>1</v>
      </c>
      <c r="BF987" t="str">
        <f t="shared" si="1178"/>
        <v xml:space="preserve">3         </v>
      </c>
      <c r="BG987" t="str">
        <f t="shared" si="1179"/>
        <v>Confirmado por laboratorio</v>
      </c>
      <c r="BH987" t="str">
        <f>"ONCOMEDICA S A"</f>
        <v>ONCOMEDICA S A</v>
      </c>
      <c r="BI987" t="str">
        <f t="shared" ref="BI987:BI1018" si="1214">"COLOMBIA"</f>
        <v>COLOMBIA</v>
      </c>
      <c r="BJ987" t="str">
        <f t="shared" si="1180"/>
        <v>CANCER INFANTIL</v>
      </c>
      <c r="BK987" t="str">
        <f>"CORDOBA"</f>
        <v>CORDOBA</v>
      </c>
      <c r="BL987" t="str">
        <f>"MONTELIBANO"</f>
        <v>MONTELIBANO</v>
      </c>
      <c r="BM987" t="str">
        <f t="shared" si="1188"/>
        <v>COLOMBIA</v>
      </c>
      <c r="BN987" t="str">
        <f>"CORDOBA"</f>
        <v>CORDOBA</v>
      </c>
      <c r="BO987" t="str">
        <f>"MONTELIBANO"</f>
        <v>MONTELIBANO</v>
      </c>
      <c r="BP987" t="str">
        <f>"CORDOBA"</f>
        <v>CORDOBA</v>
      </c>
      <c r="BQ987" t="str">
        <f>"MONTERIA"</f>
        <v>MONTERIA</v>
      </c>
    </row>
    <row r="988" spans="1:69" x14ac:dyDescent="0.25">
      <c r="A988" t="str">
        <f>"7291596"</f>
        <v>7291596</v>
      </c>
      <c r="B988" t="str">
        <f t="shared" si="1173"/>
        <v>459</v>
      </c>
      <c r="C988" t="str">
        <f>"9/09/2020 12:00:00 a. m."</f>
        <v>9/09/2020 12:00:00 a. m.</v>
      </c>
      <c r="D988" t="str">
        <f>"35"</f>
        <v>35</v>
      </c>
      <c r="E988" t="str">
        <f t="shared" si="1174"/>
        <v>2020</v>
      </c>
      <c r="F988" t="str">
        <f>"2300100949"</f>
        <v>2300100949</v>
      </c>
      <c r="G988" t="str">
        <f t="shared" si="1211"/>
        <v>01</v>
      </c>
      <c r="H988" t="str">
        <f>"15"</f>
        <v>15</v>
      </c>
      <c r="I988" t="str">
        <f t="shared" si="1209"/>
        <v>1</v>
      </c>
      <c r="J988" t="str">
        <f>"M"</f>
        <v>M</v>
      </c>
      <c r="K988" t="str">
        <f t="shared" si="1213"/>
        <v>170</v>
      </c>
      <c r="L988" t="str">
        <f>"23"</f>
        <v>23</v>
      </c>
      <c r="M988" t="str">
        <f>"500"</f>
        <v>500</v>
      </c>
      <c r="N988" t="str">
        <f>"3"</f>
        <v>3</v>
      </c>
      <c r="O988" t="str">
        <f>"9997"</f>
        <v>9997</v>
      </c>
      <c r="P988" t="str">
        <f>"S"</f>
        <v>S</v>
      </c>
      <c r="Q988" t="str">
        <f>"ESS024"</f>
        <v>ESS024</v>
      </c>
      <c r="R988" t="str">
        <f t="shared" si="1189"/>
        <v>6</v>
      </c>
      <c r="S988" t="str">
        <f>""</f>
        <v/>
      </c>
      <c r="T988" t="str">
        <f t="shared" si="1199"/>
        <v xml:space="preserve">                                                                                                    </v>
      </c>
      <c r="U988" t="str">
        <f>"1         "</f>
        <v xml:space="preserve">1         </v>
      </c>
      <c r="V988" t="str">
        <f t="shared" si="1154"/>
        <v>2</v>
      </c>
      <c r="W988" t="str">
        <f t="shared" si="1200"/>
        <v>2</v>
      </c>
      <c r="X988" t="str">
        <f t="shared" si="1212"/>
        <v>2</v>
      </c>
      <c r="Y988" t="str">
        <f t="shared" si="1206"/>
        <v>2</v>
      </c>
      <c r="Z988" t="str">
        <f t="shared" si="1206"/>
        <v>2</v>
      </c>
      <c r="AA988" t="str">
        <f t="shared" si="1175"/>
        <v xml:space="preserve">          </v>
      </c>
      <c r="AB988" t="str">
        <f t="shared" si="1165"/>
        <v>2</v>
      </c>
      <c r="AC988" t="str">
        <f t="shared" si="1166"/>
        <v>2</v>
      </c>
      <c r="AD988" t="str">
        <f t="shared" si="1207"/>
        <v>2</v>
      </c>
      <c r="AE988" t="str">
        <f t="shared" si="1207"/>
        <v>2</v>
      </c>
      <c r="AF988" t="str">
        <f t="shared" si="1207"/>
        <v>2</v>
      </c>
      <c r="AG988" t="str">
        <f t="shared" si="1207"/>
        <v>2</v>
      </c>
      <c r="AH988" t="str">
        <f t="shared" si="1201"/>
        <v>1</v>
      </c>
      <c r="AI988" t="str">
        <f>"2         "</f>
        <v xml:space="preserve">2         </v>
      </c>
      <c r="AJ988" t="str">
        <f t="shared" si="1187"/>
        <v>170</v>
      </c>
      <c r="AK988" t="str">
        <f>"23"</f>
        <v>23</v>
      </c>
      <c r="AL988" t="str">
        <f>"500"</f>
        <v>500</v>
      </c>
      <c r="AM988" t="str">
        <f>"23"</f>
        <v>23</v>
      </c>
      <c r="AN988" t="str">
        <f>"23001"</f>
        <v>23001</v>
      </c>
      <c r="AO988" t="str">
        <f>"29/08/2020 12:00:00 a. m."</f>
        <v>29/08/2020 12:00:00 a. m.</v>
      </c>
      <c r="AP988" t="str">
        <f>"21/08/2020 12:00:00 a. m."</f>
        <v>21/08/2020 12:00:00 a. m.</v>
      </c>
      <c r="AQ988" t="str">
        <f>"2"</f>
        <v>2</v>
      </c>
      <c r="AR988" t="str">
        <f t="shared" si="1208"/>
        <v>1</v>
      </c>
      <c r="AS988" t="str">
        <f>"30/08/2020 12:00:00 a. m."</f>
        <v>30/08/2020 12:00:00 a. m.</v>
      </c>
      <c r="AT988" t="str">
        <f>"2"</f>
        <v>2</v>
      </c>
      <c r="AU988" t="str">
        <f>"8/09/2020 12:00:00 a. m."</f>
        <v>8/09/2020 12:00:00 a. m.</v>
      </c>
      <c r="AV988" t="str">
        <f>"3"</f>
        <v>3</v>
      </c>
      <c r="AW988" t="str">
        <f>"19/04/2005 12:00:00 a. m."</f>
        <v>19/04/2005 12:00:00 a. m.</v>
      </c>
      <c r="AX988" t="str">
        <f>"E872"</f>
        <v>E872</v>
      </c>
      <c r="AY988" t="str">
        <f t="shared" si="1176"/>
        <v>30/04/2021 12:00:00 a. m.</v>
      </c>
      <c r="AZ988" t="str">
        <f>"15/10/2020 12:00:00 a. m."</f>
        <v>15/10/2020 12:00:00 a. m.</v>
      </c>
      <c r="BA988" t="str">
        <f>""</f>
        <v/>
      </c>
      <c r="BB988" t="str">
        <f>""</f>
        <v/>
      </c>
      <c r="BC988" t="str">
        <f>""</f>
        <v/>
      </c>
      <c r="BD988" t="str">
        <f t="shared" si="1210"/>
        <v>1</v>
      </c>
      <c r="BE988" t="str">
        <f t="shared" si="1210"/>
        <v>1</v>
      </c>
      <c r="BF988" t="str">
        <f t="shared" si="1178"/>
        <v xml:space="preserve">3         </v>
      </c>
      <c r="BG988" t="str">
        <f t="shared" si="1179"/>
        <v>Confirmado por laboratorio</v>
      </c>
      <c r="BH988" t="str">
        <f>"ONCOMEDICA S A"</f>
        <v>ONCOMEDICA S A</v>
      </c>
      <c r="BI988" t="str">
        <f t="shared" si="1214"/>
        <v>COLOMBIA</v>
      </c>
      <c r="BJ988" t="str">
        <f t="shared" si="1180"/>
        <v>CANCER INFANTIL</v>
      </c>
      <c r="BK988" t="str">
        <f>"CORDOBA"</f>
        <v>CORDOBA</v>
      </c>
      <c r="BL988" t="str">
        <f>"MOÑITOS"</f>
        <v>MOÑITOS</v>
      </c>
      <c r="BM988" t="str">
        <f t="shared" si="1188"/>
        <v>COLOMBIA</v>
      </c>
      <c r="BN988" t="str">
        <f>"CORDOBA"</f>
        <v>CORDOBA</v>
      </c>
      <c r="BO988" t="str">
        <f>"MOÑITOS"</f>
        <v>MOÑITOS</v>
      </c>
      <c r="BP988" t="str">
        <f>"CORDOBA"</f>
        <v>CORDOBA</v>
      </c>
      <c r="BQ988" t="str">
        <f>"MONTERIA"</f>
        <v>MONTERIA</v>
      </c>
    </row>
    <row r="989" spans="1:69" x14ac:dyDescent="0.25">
      <c r="A989" t="str">
        <f>"7291600"</f>
        <v>7291600</v>
      </c>
      <c r="B989" t="str">
        <f t="shared" si="1173"/>
        <v>459</v>
      </c>
      <c r="C989" t="str">
        <f>"11/01/2021 12:00:00 a. m."</f>
        <v>11/01/2021 12:00:00 a. m.</v>
      </c>
      <c r="D989" t="str">
        <f>"53"</f>
        <v>53</v>
      </c>
      <c r="E989" t="str">
        <f t="shared" si="1174"/>
        <v>2020</v>
      </c>
      <c r="F989" t="str">
        <f>"2000100409"</f>
        <v>2000100409</v>
      </c>
      <c r="G989" t="str">
        <f t="shared" si="1211"/>
        <v>01</v>
      </c>
      <c r="H989" t="str">
        <f>"14"</f>
        <v>14</v>
      </c>
      <c r="I989" t="str">
        <f t="shared" si="1209"/>
        <v>1</v>
      </c>
      <c r="J989" t="str">
        <f>"F"</f>
        <v>F</v>
      </c>
      <c r="K989" t="str">
        <f t="shared" si="1213"/>
        <v>170</v>
      </c>
      <c r="L989" t="str">
        <f>"20"</f>
        <v>20</v>
      </c>
      <c r="M989" t="str">
        <f>"400"</f>
        <v>400</v>
      </c>
      <c r="N989" t="str">
        <f>"1"</f>
        <v>1</v>
      </c>
      <c r="O989" t="str">
        <f>"9997"</f>
        <v>9997</v>
      </c>
      <c r="P989" t="str">
        <f>"S"</f>
        <v>S</v>
      </c>
      <c r="Q989" t="str">
        <f>"EPSS02"</f>
        <v>EPSS02</v>
      </c>
      <c r="R989" t="str">
        <f t="shared" si="1189"/>
        <v>6</v>
      </c>
      <c r="S989" t="str">
        <f>""</f>
        <v/>
      </c>
      <c r="T989" t="str">
        <f t="shared" si="1199"/>
        <v xml:space="preserve">                                                                                                    </v>
      </c>
      <c r="U989" t="str">
        <f>"1         "</f>
        <v xml:space="preserve">1         </v>
      </c>
      <c r="V989" t="str">
        <f t="shared" si="1154"/>
        <v>2</v>
      </c>
      <c r="W989" t="str">
        <f t="shared" si="1200"/>
        <v>2</v>
      </c>
      <c r="X989" t="str">
        <f t="shared" si="1212"/>
        <v>2</v>
      </c>
      <c r="Y989" t="str">
        <f t="shared" si="1206"/>
        <v>2</v>
      </c>
      <c r="Z989" t="str">
        <f t="shared" si="1206"/>
        <v>2</v>
      </c>
      <c r="AA989" t="str">
        <f t="shared" si="1175"/>
        <v xml:space="preserve">          </v>
      </c>
      <c r="AB989" t="str">
        <f t="shared" si="1165"/>
        <v>2</v>
      </c>
      <c r="AC989" t="str">
        <f t="shared" si="1166"/>
        <v>2</v>
      </c>
      <c r="AD989" t="str">
        <f t="shared" si="1207"/>
        <v>2</v>
      </c>
      <c r="AE989" t="str">
        <f t="shared" si="1207"/>
        <v>2</v>
      </c>
      <c r="AF989" t="str">
        <f t="shared" si="1207"/>
        <v>2</v>
      </c>
      <c r="AG989" t="str">
        <f t="shared" si="1207"/>
        <v>2</v>
      </c>
      <c r="AH989" t="str">
        <f t="shared" si="1201"/>
        <v>1</v>
      </c>
      <c r="AI989" t="str">
        <f>"1         "</f>
        <v xml:space="preserve">1         </v>
      </c>
      <c r="AJ989" t="str">
        <f t="shared" si="1187"/>
        <v>170</v>
      </c>
      <c r="AK989" t="str">
        <f>"20"</f>
        <v>20</v>
      </c>
      <c r="AL989" t="str">
        <f>"400"</f>
        <v>400</v>
      </c>
      <c r="AM989" t="str">
        <f>"20"</f>
        <v>20</v>
      </c>
      <c r="AN989" t="str">
        <f>"20001"</f>
        <v>20001</v>
      </c>
      <c r="AO989" t="str">
        <f>"30/12/2020 12:00:00 a. m."</f>
        <v>30/12/2020 12:00:00 a. m.</v>
      </c>
      <c r="AP989" t="str">
        <f>"12/03/2020 12:00:00 a. m."</f>
        <v>12/03/2020 12:00:00 a. m.</v>
      </c>
      <c r="AQ989" t="str">
        <f>"3"</f>
        <v>3</v>
      </c>
      <c r="AR989" t="str">
        <f>"2"</f>
        <v>2</v>
      </c>
      <c r="AS989" t="str">
        <f>""</f>
        <v/>
      </c>
      <c r="AT989" t="str">
        <f t="shared" ref="AT989:AT1003" si="1215">"1"</f>
        <v>1</v>
      </c>
      <c r="AU989" t="str">
        <f>""</f>
        <v/>
      </c>
      <c r="AV989" t="str">
        <f>"0"</f>
        <v>0</v>
      </c>
      <c r="AW989" t="str">
        <f>"31/05/2006 12:00:00 a. m."</f>
        <v>31/05/2006 12:00:00 a. m.</v>
      </c>
      <c r="AX989" t="str">
        <f>""</f>
        <v/>
      </c>
      <c r="AY989" t="str">
        <f t="shared" si="1176"/>
        <v>30/04/2021 12:00:00 a. m.</v>
      </c>
      <c r="AZ989" t="str">
        <f>"18/01/2021 12:00:00 a. m."</f>
        <v>18/01/2021 12:00:00 a. m.</v>
      </c>
      <c r="BA989" t="str">
        <f>""</f>
        <v/>
      </c>
      <c r="BB989" t="str">
        <f>""</f>
        <v/>
      </c>
      <c r="BC989" t="str">
        <f>""</f>
        <v/>
      </c>
      <c r="BD989" t="str">
        <f t="shared" si="1210"/>
        <v>1</v>
      </c>
      <c r="BE989" t="str">
        <f t="shared" si="1210"/>
        <v>1</v>
      </c>
      <c r="BF989" t="str">
        <f t="shared" si="1178"/>
        <v xml:space="preserve">3         </v>
      </c>
      <c r="BG989" t="str">
        <f t="shared" si="1179"/>
        <v>Confirmado por laboratorio</v>
      </c>
      <c r="BH989" t="str">
        <f>"SOCIEDAD DE ONCOLOGIA Y HEMATOLOGIA DEL CESAR LTDA"</f>
        <v>SOCIEDAD DE ONCOLOGIA Y HEMATOLOGIA DEL CESAR LTDA</v>
      </c>
      <c r="BI989" t="str">
        <f t="shared" si="1214"/>
        <v>COLOMBIA</v>
      </c>
      <c r="BJ989" t="str">
        <f t="shared" si="1180"/>
        <v>CANCER INFANTIL</v>
      </c>
      <c r="BK989" t="str">
        <f>"CESAR"</f>
        <v>CESAR</v>
      </c>
      <c r="BL989" t="str">
        <f>"LA JAGUA DE IBIRICO"</f>
        <v>LA JAGUA DE IBIRICO</v>
      </c>
      <c r="BM989" t="str">
        <f t="shared" si="1188"/>
        <v>COLOMBIA</v>
      </c>
      <c r="BN989" t="str">
        <f>"CESAR"</f>
        <v>CESAR</v>
      </c>
      <c r="BO989" t="str">
        <f>"LA JAGUA DE IBIRICO"</f>
        <v>LA JAGUA DE IBIRICO</v>
      </c>
      <c r="BP989" t="str">
        <f>"CESAR"</f>
        <v>CESAR</v>
      </c>
      <c r="BQ989" t="str">
        <f>"VALLEDUPAR"</f>
        <v>VALLEDUPAR</v>
      </c>
    </row>
    <row r="990" spans="1:69" x14ac:dyDescent="0.25">
      <c r="A990" t="str">
        <f>"7279103"</f>
        <v>7279103</v>
      </c>
      <c r="B990" t="str">
        <f t="shared" si="1173"/>
        <v>459</v>
      </c>
      <c r="C990" t="str">
        <f>"17/07/2020 12:00:00 a. m."</f>
        <v>17/07/2020 12:00:00 a. m.</v>
      </c>
      <c r="D990" t="str">
        <f>"17"</f>
        <v>17</v>
      </c>
      <c r="E990" t="str">
        <f t="shared" si="1174"/>
        <v>2020</v>
      </c>
      <c r="F990" t="str">
        <f>"1100123118"</f>
        <v>1100123118</v>
      </c>
      <c r="G990" t="str">
        <f t="shared" si="1211"/>
        <v>01</v>
      </c>
      <c r="H990" t="str">
        <f>"11"</f>
        <v>11</v>
      </c>
      <c r="I990" t="str">
        <f t="shared" si="1209"/>
        <v>1</v>
      </c>
      <c r="J990" t="str">
        <f>"F"</f>
        <v>F</v>
      </c>
      <c r="K990" t="str">
        <f t="shared" si="1213"/>
        <v>170</v>
      </c>
      <c r="L990" t="str">
        <f>"11"</f>
        <v>11</v>
      </c>
      <c r="M990" t="str">
        <f>"001"</f>
        <v>001</v>
      </c>
      <c r="N990" t="str">
        <f>"1"</f>
        <v>1</v>
      </c>
      <c r="O990" t="str">
        <f>"9997"</f>
        <v>9997</v>
      </c>
      <c r="P990" t="str">
        <f>"P"</f>
        <v>P</v>
      </c>
      <c r="Q990" t="str">
        <f>"RES001"</f>
        <v>RES001</v>
      </c>
      <c r="R990" t="str">
        <f t="shared" si="1189"/>
        <v>6</v>
      </c>
      <c r="S990" t="str">
        <f>""</f>
        <v/>
      </c>
      <c r="T990" t="str">
        <f t="shared" si="1199"/>
        <v xml:space="preserve">                                                                                                    </v>
      </c>
      <c r="U990" t="str">
        <f>"2         "</f>
        <v xml:space="preserve">2         </v>
      </c>
      <c r="V990" t="str">
        <f t="shared" si="1154"/>
        <v>2</v>
      </c>
      <c r="W990" t="str">
        <f t="shared" si="1200"/>
        <v>2</v>
      </c>
      <c r="X990" t="str">
        <f t="shared" si="1212"/>
        <v>2</v>
      </c>
      <c r="Y990" t="str">
        <f t="shared" si="1206"/>
        <v>2</v>
      </c>
      <c r="Z990" t="str">
        <f t="shared" si="1206"/>
        <v>2</v>
      </c>
      <c r="AA990" t="str">
        <f t="shared" si="1175"/>
        <v xml:space="preserve">          </v>
      </c>
      <c r="AB990" t="str">
        <f t="shared" si="1165"/>
        <v>2</v>
      </c>
      <c r="AC990" t="str">
        <f t="shared" si="1166"/>
        <v>2</v>
      </c>
      <c r="AD990" t="str">
        <f t="shared" si="1207"/>
        <v>2</v>
      </c>
      <c r="AE990" t="str">
        <f t="shared" si="1207"/>
        <v>2</v>
      </c>
      <c r="AF990" t="str">
        <f t="shared" si="1207"/>
        <v>2</v>
      </c>
      <c r="AG990" t="str">
        <f t="shared" si="1207"/>
        <v>2</v>
      </c>
      <c r="AH990" t="str">
        <f t="shared" si="1201"/>
        <v>1</v>
      </c>
      <c r="AI990" t="str">
        <f>"2         "</f>
        <v xml:space="preserve">2         </v>
      </c>
      <c r="AJ990" t="str">
        <f t="shared" si="1187"/>
        <v>170</v>
      </c>
      <c r="AK990" t="str">
        <f>"11"</f>
        <v>11</v>
      </c>
      <c r="AL990" t="str">
        <f>"001"</f>
        <v>001</v>
      </c>
      <c r="AM990" t="str">
        <f>"11"</f>
        <v>11</v>
      </c>
      <c r="AN990" t="str">
        <f>"11001"</f>
        <v>11001</v>
      </c>
      <c r="AO990" t="str">
        <f>"21/04/2020 12:00:00 a. m."</f>
        <v>21/04/2020 12:00:00 a. m.</v>
      </c>
      <c r="AP990" t="str">
        <f>"18/04/2020 12:00:00 a. m."</f>
        <v>18/04/2020 12:00:00 a. m.</v>
      </c>
      <c r="AQ990" t="str">
        <f>"3"</f>
        <v>3</v>
      </c>
      <c r="AR990" t="str">
        <f>"1"</f>
        <v>1</v>
      </c>
      <c r="AS990" t="str">
        <f>"21/04/2020 12:00:00 a. m."</f>
        <v>21/04/2020 12:00:00 a. m.</v>
      </c>
      <c r="AT990" t="str">
        <f t="shared" si="1215"/>
        <v>1</v>
      </c>
      <c r="AU990" t="str">
        <f>""</f>
        <v/>
      </c>
      <c r="AV990" t="str">
        <f>"7"</f>
        <v>7</v>
      </c>
      <c r="AW990" t="str">
        <f>"10/09/2008 12:00:00 a. m."</f>
        <v>10/09/2008 12:00:00 a. m.</v>
      </c>
      <c r="AX990" t="str">
        <f>""</f>
        <v/>
      </c>
      <c r="AY990" t="str">
        <f t="shared" si="1176"/>
        <v>30/04/2021 12:00:00 a. m.</v>
      </c>
      <c r="AZ990" t="str">
        <f>"19/08/2020 12:00:00 a. m."</f>
        <v>19/08/2020 12:00:00 a. m.</v>
      </c>
      <c r="BA990" t="str">
        <f>""</f>
        <v/>
      </c>
      <c r="BB990" t="str">
        <f>""</f>
        <v/>
      </c>
      <c r="BC990" t="str">
        <f>""</f>
        <v/>
      </c>
      <c r="BD990" t="str">
        <f t="shared" si="1210"/>
        <v>1</v>
      </c>
      <c r="BE990" t="str">
        <f t="shared" si="1210"/>
        <v>1</v>
      </c>
      <c r="BF990" t="str">
        <f t="shared" si="1178"/>
        <v xml:space="preserve">3         </v>
      </c>
      <c r="BG990" t="str">
        <f t="shared" si="1179"/>
        <v>Confirmado por laboratorio</v>
      </c>
      <c r="BH990" t="str">
        <f>"HOSPITAL CENTRAL POLICIA"</f>
        <v>HOSPITAL CENTRAL POLICIA</v>
      </c>
      <c r="BI990" t="str">
        <f t="shared" si="1214"/>
        <v>COLOMBIA</v>
      </c>
      <c r="BJ990" t="str">
        <f t="shared" si="1180"/>
        <v>CANCER INFANTIL</v>
      </c>
      <c r="BK990" t="str">
        <f>"BOGOTA"</f>
        <v>BOGOTA</v>
      </c>
      <c r="BL990" t="str">
        <f>"BOGOTA"</f>
        <v>BOGOTA</v>
      </c>
      <c r="BM990" t="str">
        <f t="shared" si="1188"/>
        <v>COLOMBIA</v>
      </c>
      <c r="BN990" t="str">
        <f>"BOGOTA"</f>
        <v>BOGOTA</v>
      </c>
      <c r="BO990" t="str">
        <f>"BOGOTA"</f>
        <v>BOGOTA</v>
      </c>
      <c r="BP990" t="str">
        <f>"BOGOTA"</f>
        <v>BOGOTA</v>
      </c>
      <c r="BQ990" t="str">
        <f>"BOGOTA"</f>
        <v>BOGOTA</v>
      </c>
    </row>
    <row r="991" spans="1:69" x14ac:dyDescent="0.25">
      <c r="A991" t="str">
        <f>"7279018"</f>
        <v>7279018</v>
      </c>
      <c r="B991" t="str">
        <f t="shared" si="1173"/>
        <v>459</v>
      </c>
      <c r="C991" t="str">
        <f>"13/08/2020 12:00:00 a. m."</f>
        <v>13/08/2020 12:00:00 a. m.</v>
      </c>
      <c r="D991" t="str">
        <f>"33"</f>
        <v>33</v>
      </c>
      <c r="E991" t="str">
        <f t="shared" si="1174"/>
        <v>2020</v>
      </c>
      <c r="F991" t="str">
        <f>"5200100283"</f>
        <v>5200100283</v>
      </c>
      <c r="G991" t="str">
        <f t="shared" si="1211"/>
        <v>01</v>
      </c>
      <c r="H991" t="str">
        <f>"8"</f>
        <v>8</v>
      </c>
      <c r="I991" t="str">
        <f t="shared" si="1209"/>
        <v>1</v>
      </c>
      <c r="J991" t="str">
        <f>"F"</f>
        <v>F</v>
      </c>
      <c r="K991" t="str">
        <f t="shared" si="1213"/>
        <v>170</v>
      </c>
      <c r="L991" t="str">
        <f>"52"</f>
        <v>52</v>
      </c>
      <c r="M991" t="str">
        <f>"051"</f>
        <v>051</v>
      </c>
      <c r="N991" t="str">
        <f>"3"</f>
        <v>3</v>
      </c>
      <c r="O991" t="str">
        <f>"9997"</f>
        <v>9997</v>
      </c>
      <c r="P991" t="str">
        <f>"S"</f>
        <v>S</v>
      </c>
      <c r="Q991" t="str">
        <f>"CCF027"</f>
        <v>CCF027</v>
      </c>
      <c r="R991" t="str">
        <f>"5"</f>
        <v>5</v>
      </c>
      <c r="S991" t="str">
        <f>""</f>
        <v/>
      </c>
      <c r="T991" t="str">
        <f t="shared" si="1199"/>
        <v xml:space="preserve">                                                                                                    </v>
      </c>
      <c r="U991" t="str">
        <f>"2         "</f>
        <v xml:space="preserve">2         </v>
      </c>
      <c r="V991" t="str">
        <f t="shared" si="1154"/>
        <v>2</v>
      </c>
      <c r="W991" t="str">
        <f t="shared" si="1200"/>
        <v>2</v>
      </c>
      <c r="X991" t="str">
        <f t="shared" si="1212"/>
        <v>2</v>
      </c>
      <c r="Y991" t="str">
        <f t="shared" si="1206"/>
        <v>2</v>
      </c>
      <c r="Z991" t="str">
        <f t="shared" si="1206"/>
        <v>2</v>
      </c>
      <c r="AA991" t="str">
        <f t="shared" si="1175"/>
        <v xml:space="preserve">          </v>
      </c>
      <c r="AB991" t="str">
        <f t="shared" si="1165"/>
        <v>2</v>
      </c>
      <c r="AC991" t="str">
        <f t="shared" si="1166"/>
        <v>2</v>
      </c>
      <c r="AD991" t="str">
        <f t="shared" si="1207"/>
        <v>2</v>
      </c>
      <c r="AE991" t="str">
        <f t="shared" si="1207"/>
        <v>2</v>
      </c>
      <c r="AF991" t="str">
        <f t="shared" si="1207"/>
        <v>2</v>
      </c>
      <c r="AG991" t="str">
        <f t="shared" si="1207"/>
        <v>2</v>
      </c>
      <c r="AH991" t="str">
        <f t="shared" si="1201"/>
        <v>1</v>
      </c>
      <c r="AI991" t="str">
        <f t="shared" ref="AI991:AI1033" si="1216">"1         "</f>
        <v xml:space="preserve">1         </v>
      </c>
      <c r="AJ991" t="str">
        <f t="shared" si="1187"/>
        <v>170</v>
      </c>
      <c r="AK991" t="str">
        <f>"52"</f>
        <v>52</v>
      </c>
      <c r="AL991" t="str">
        <f>"051"</f>
        <v>051</v>
      </c>
      <c r="AM991" t="str">
        <f>"52"</f>
        <v>52</v>
      </c>
      <c r="AN991" t="str">
        <f>"52001"</f>
        <v>52001</v>
      </c>
      <c r="AO991" t="str">
        <f>"11/08/2020 12:00:00 a. m."</f>
        <v>11/08/2020 12:00:00 a. m.</v>
      </c>
      <c r="AP991" t="str">
        <f>"28/07/2020 12:00:00 a. m."</f>
        <v>28/07/2020 12:00:00 a. m.</v>
      </c>
      <c r="AQ991" t="str">
        <f>"2"</f>
        <v>2</v>
      </c>
      <c r="AR991" t="str">
        <f>"1"</f>
        <v>1</v>
      </c>
      <c r="AS991" t="str">
        <f>"11/08/2020 12:00:00 a. m."</f>
        <v>11/08/2020 12:00:00 a. m.</v>
      </c>
      <c r="AT991" t="str">
        <f t="shared" si="1215"/>
        <v>1</v>
      </c>
      <c r="AU991" t="str">
        <f>""</f>
        <v/>
      </c>
      <c r="AV991" t="str">
        <f>"3"</f>
        <v>3</v>
      </c>
      <c r="AW991" t="str">
        <f>"25/08/2011 12:00:00 a. m."</f>
        <v>25/08/2011 12:00:00 a. m.</v>
      </c>
      <c r="AX991" t="str">
        <f>""</f>
        <v/>
      </c>
      <c r="AY991" t="str">
        <f t="shared" si="1176"/>
        <v>30/04/2021 12:00:00 a. m.</v>
      </c>
      <c r="AZ991" t="str">
        <f>"9/09/2020 12:00:00 a. m."</f>
        <v>9/09/2020 12:00:00 a. m.</v>
      </c>
      <c r="BA991" t="str">
        <f>""</f>
        <v/>
      </c>
      <c r="BB991" t="str">
        <f>""</f>
        <v/>
      </c>
      <c r="BC991" t="str">
        <f>""</f>
        <v/>
      </c>
      <c r="BD991" t="str">
        <f t="shared" si="1210"/>
        <v>1</v>
      </c>
      <c r="BE991" t="str">
        <f t="shared" si="1210"/>
        <v>1</v>
      </c>
      <c r="BF991" t="str">
        <f t="shared" si="1178"/>
        <v xml:space="preserve">3         </v>
      </c>
      <c r="BG991" t="str">
        <f t="shared" si="1179"/>
        <v>Confirmado por laboratorio</v>
      </c>
      <c r="BH991" t="str">
        <f>"HOSPITAL INFANTIL LOS ANGELES"</f>
        <v>HOSPITAL INFANTIL LOS ANGELES</v>
      </c>
      <c r="BI991" t="str">
        <f t="shared" si="1214"/>
        <v>COLOMBIA</v>
      </c>
      <c r="BJ991" t="str">
        <f t="shared" si="1180"/>
        <v>CANCER INFANTIL</v>
      </c>
      <c r="BK991" t="str">
        <f>"NARIÑO"</f>
        <v>NARIÑO</v>
      </c>
      <c r="BL991" t="str">
        <f>"ARBOLEDA (BERRUECOS)"</f>
        <v>ARBOLEDA (BERRUECOS)</v>
      </c>
      <c r="BM991" t="str">
        <f t="shared" si="1188"/>
        <v>COLOMBIA</v>
      </c>
      <c r="BN991" t="str">
        <f>"NARIÑO"</f>
        <v>NARIÑO</v>
      </c>
      <c r="BO991" t="str">
        <f>"ARBOLEDA (BERRUECOS)"</f>
        <v>ARBOLEDA (BERRUECOS)</v>
      </c>
      <c r="BP991" t="str">
        <f>"NARIÑO"</f>
        <v>NARIÑO</v>
      </c>
      <c r="BQ991" t="str">
        <f>"PASTO"</f>
        <v>PASTO</v>
      </c>
    </row>
    <row r="992" spans="1:69" x14ac:dyDescent="0.25">
      <c r="A992" t="str">
        <f>"7279022"</f>
        <v>7279022</v>
      </c>
      <c r="B992" t="str">
        <f t="shared" si="1173"/>
        <v>459</v>
      </c>
      <c r="C992" t="str">
        <f>"20/02/2020 12:00:00 a. m."</f>
        <v>20/02/2020 12:00:00 a. m.</v>
      </c>
      <c r="D992" t="str">
        <f>"08"</f>
        <v>08</v>
      </c>
      <c r="E992" t="str">
        <f t="shared" si="1174"/>
        <v>2020</v>
      </c>
      <c r="F992" t="str">
        <f>"5200100283"</f>
        <v>5200100283</v>
      </c>
      <c r="G992" t="str">
        <f t="shared" si="1211"/>
        <v>01</v>
      </c>
      <c r="H992" t="str">
        <f>"13"</f>
        <v>13</v>
      </c>
      <c r="I992" t="str">
        <f t="shared" si="1209"/>
        <v>1</v>
      </c>
      <c r="J992" t="str">
        <f>"F"</f>
        <v>F</v>
      </c>
      <c r="K992" t="str">
        <f t="shared" si="1213"/>
        <v>170</v>
      </c>
      <c r="L992" t="str">
        <f>"52"</f>
        <v>52</v>
      </c>
      <c r="M992" t="str">
        <f>"227"</f>
        <v>227</v>
      </c>
      <c r="N992" t="str">
        <f>"3"</f>
        <v>3</v>
      </c>
      <c r="O992" t="str">
        <f>"9997"</f>
        <v>9997</v>
      </c>
      <c r="P992" t="str">
        <f>"S"</f>
        <v>S</v>
      </c>
      <c r="Q992" t="str">
        <f>"EPSI05"</f>
        <v>EPSI05</v>
      </c>
      <c r="R992" t="str">
        <f>"1"</f>
        <v>1</v>
      </c>
      <c r="S992" t="str">
        <f>""</f>
        <v/>
      </c>
      <c r="T992" t="str">
        <f>"PASTOS                                                                                              "</f>
        <v xml:space="preserve">PASTOS                                                                                              </v>
      </c>
      <c r="U992" t="str">
        <f>"1         "</f>
        <v xml:space="preserve">1         </v>
      </c>
      <c r="V992" t="str">
        <f t="shared" si="1154"/>
        <v>2</v>
      </c>
      <c r="W992" t="str">
        <f t="shared" si="1200"/>
        <v>2</v>
      </c>
      <c r="X992" t="str">
        <f t="shared" si="1212"/>
        <v>2</v>
      </c>
      <c r="Y992" t="str">
        <f t="shared" si="1206"/>
        <v>2</v>
      </c>
      <c r="Z992" t="str">
        <f t="shared" si="1206"/>
        <v>2</v>
      </c>
      <c r="AA992" t="str">
        <f t="shared" si="1175"/>
        <v xml:space="preserve">          </v>
      </c>
      <c r="AB992" t="str">
        <f t="shared" si="1165"/>
        <v>2</v>
      </c>
      <c r="AC992" t="str">
        <f t="shared" si="1166"/>
        <v>2</v>
      </c>
      <c r="AD992" t="str">
        <f t="shared" si="1207"/>
        <v>2</v>
      </c>
      <c r="AE992" t="str">
        <f t="shared" si="1207"/>
        <v>2</v>
      </c>
      <c r="AF992" t="str">
        <f t="shared" si="1207"/>
        <v>2</v>
      </c>
      <c r="AG992" t="str">
        <f t="shared" si="1207"/>
        <v>2</v>
      </c>
      <c r="AH992" t="str">
        <f t="shared" si="1201"/>
        <v>1</v>
      </c>
      <c r="AI992" t="str">
        <f t="shared" si="1216"/>
        <v xml:space="preserve">1         </v>
      </c>
      <c r="AJ992" t="str">
        <f t="shared" si="1187"/>
        <v>170</v>
      </c>
      <c r="AK992" t="str">
        <f>"52"</f>
        <v>52</v>
      </c>
      <c r="AL992" t="str">
        <f>"227"</f>
        <v>227</v>
      </c>
      <c r="AM992" t="str">
        <f>"52"</f>
        <v>52</v>
      </c>
      <c r="AN992" t="str">
        <f>"52001"</f>
        <v>52001</v>
      </c>
      <c r="AO992" t="str">
        <f>"18/02/2020 12:00:00 a. m."</f>
        <v>18/02/2020 12:00:00 a. m.</v>
      </c>
      <c r="AP992" t="str">
        <f>"14/02/2020 12:00:00 a. m."</f>
        <v>14/02/2020 12:00:00 a. m.</v>
      </c>
      <c r="AQ992" t="str">
        <f>"2"</f>
        <v>2</v>
      </c>
      <c r="AR992" t="str">
        <f>"1"</f>
        <v>1</v>
      </c>
      <c r="AS992" t="str">
        <f>"18/02/2020 12:00:00 a. m."</f>
        <v>18/02/2020 12:00:00 a. m.</v>
      </c>
      <c r="AT992" t="str">
        <f t="shared" si="1215"/>
        <v>1</v>
      </c>
      <c r="AU992" t="str">
        <f>""</f>
        <v/>
      </c>
      <c r="AV992" t="str">
        <f>"3"</f>
        <v>3</v>
      </c>
      <c r="AW992" t="str">
        <f>"21/10/2006 12:00:00 a. m."</f>
        <v>21/10/2006 12:00:00 a. m.</v>
      </c>
      <c r="AX992" t="str">
        <f>""</f>
        <v/>
      </c>
      <c r="AY992" t="str">
        <f t="shared" si="1176"/>
        <v>30/04/2021 12:00:00 a. m.</v>
      </c>
      <c r="AZ992" t="str">
        <f>"15/07/2020 12:00:00 a. m."</f>
        <v>15/07/2020 12:00:00 a. m.</v>
      </c>
      <c r="BA992" t="str">
        <f>""</f>
        <v/>
      </c>
      <c r="BB992" t="str">
        <f>""</f>
        <v/>
      </c>
      <c r="BC992" t="str">
        <f>""</f>
        <v/>
      </c>
      <c r="BD992" t="str">
        <f t="shared" si="1210"/>
        <v>1</v>
      </c>
      <c r="BE992" t="str">
        <f t="shared" si="1210"/>
        <v>1</v>
      </c>
      <c r="BF992" t="str">
        <f t="shared" si="1178"/>
        <v xml:space="preserve">3         </v>
      </c>
      <c r="BG992" t="str">
        <f t="shared" si="1179"/>
        <v>Confirmado por laboratorio</v>
      </c>
      <c r="BH992" t="str">
        <f>"HOSPITAL INFANTIL LOS ANGELES"</f>
        <v>HOSPITAL INFANTIL LOS ANGELES</v>
      </c>
      <c r="BI992" t="str">
        <f t="shared" si="1214"/>
        <v>COLOMBIA</v>
      </c>
      <c r="BJ992" t="str">
        <f t="shared" si="1180"/>
        <v>CANCER INFANTIL</v>
      </c>
      <c r="BK992" t="str">
        <f>"NARIÑO"</f>
        <v>NARIÑO</v>
      </c>
      <c r="BL992" t="str">
        <f>"CUMBAL"</f>
        <v>CUMBAL</v>
      </c>
      <c r="BM992" t="str">
        <f t="shared" si="1188"/>
        <v>COLOMBIA</v>
      </c>
      <c r="BN992" t="str">
        <f>"NARIÑO"</f>
        <v>NARIÑO</v>
      </c>
      <c r="BO992" t="str">
        <f>"CUMBAL"</f>
        <v>CUMBAL</v>
      </c>
      <c r="BP992" t="str">
        <f>"NARIÑO"</f>
        <v>NARIÑO</v>
      </c>
      <c r="BQ992" t="str">
        <f>"PASTO"</f>
        <v>PASTO</v>
      </c>
    </row>
    <row r="993" spans="1:69" x14ac:dyDescent="0.25">
      <c r="A993" t="str">
        <f>"7285428"</f>
        <v>7285428</v>
      </c>
      <c r="B993" t="str">
        <f t="shared" si="1173"/>
        <v>459</v>
      </c>
      <c r="C993" t="str">
        <f>"29/05/2020 12:00:00 a. m."</f>
        <v>29/05/2020 12:00:00 a. m.</v>
      </c>
      <c r="D993" t="str">
        <f>"22"</f>
        <v>22</v>
      </c>
      <c r="E993" t="str">
        <f t="shared" si="1174"/>
        <v>2020</v>
      </c>
      <c r="F993" t="str">
        <f>"0500105616"</f>
        <v>0500105616</v>
      </c>
      <c r="G993" t="str">
        <f t="shared" si="1211"/>
        <v>01</v>
      </c>
      <c r="H993" t="str">
        <f>"3"</f>
        <v>3</v>
      </c>
      <c r="I993" t="str">
        <f t="shared" si="1209"/>
        <v>1</v>
      </c>
      <c r="J993" t="str">
        <f>"M"</f>
        <v>M</v>
      </c>
      <c r="K993" t="str">
        <f t="shared" si="1213"/>
        <v>170</v>
      </c>
      <c r="L993" t="str">
        <f>"05"</f>
        <v>05</v>
      </c>
      <c r="M993" t="str">
        <f>"380"</f>
        <v>380</v>
      </c>
      <c r="N993" t="str">
        <f t="shared" ref="N993:N1005" si="1217">"1"</f>
        <v>1</v>
      </c>
      <c r="O993" t="str">
        <f>"9999"</f>
        <v>9999</v>
      </c>
      <c r="P993" t="str">
        <f>"C"</f>
        <v>C</v>
      </c>
      <c r="Q993" t="str">
        <f>"EPS010"</f>
        <v>EPS010</v>
      </c>
      <c r="R993" t="str">
        <f t="shared" ref="R993:R1024" si="1218">"6"</f>
        <v>6</v>
      </c>
      <c r="S993" t="str">
        <f>""</f>
        <v/>
      </c>
      <c r="T993" t="str">
        <f t="shared" ref="T993:T1024" si="1219">"                                                                                                    "</f>
        <v xml:space="preserve">                                                                                                    </v>
      </c>
      <c r="U993" t="str">
        <f>"3         "</f>
        <v xml:space="preserve">3         </v>
      </c>
      <c r="V993" t="str">
        <f t="shared" si="1154"/>
        <v>2</v>
      </c>
      <c r="W993" t="str">
        <f t="shared" si="1200"/>
        <v>2</v>
      </c>
      <c r="X993" t="str">
        <f t="shared" si="1212"/>
        <v>2</v>
      </c>
      <c r="Y993" t="str">
        <f t="shared" si="1206"/>
        <v>2</v>
      </c>
      <c r="Z993" t="str">
        <f t="shared" si="1206"/>
        <v>2</v>
      </c>
      <c r="AA993" t="str">
        <f t="shared" si="1175"/>
        <v xml:space="preserve">          </v>
      </c>
      <c r="AB993" t="str">
        <f t="shared" si="1165"/>
        <v>2</v>
      </c>
      <c r="AC993" t="str">
        <f t="shared" si="1166"/>
        <v>2</v>
      </c>
      <c r="AD993" t="str">
        <f t="shared" si="1207"/>
        <v>2</v>
      </c>
      <c r="AE993" t="str">
        <f t="shared" si="1207"/>
        <v>2</v>
      </c>
      <c r="AF993" t="str">
        <f t="shared" si="1207"/>
        <v>2</v>
      </c>
      <c r="AG993" t="str">
        <f t="shared" si="1207"/>
        <v>2</v>
      </c>
      <c r="AH993" t="str">
        <f t="shared" si="1201"/>
        <v>1</v>
      </c>
      <c r="AI993" t="str">
        <f t="shared" si="1216"/>
        <v xml:space="preserve">1         </v>
      </c>
      <c r="AJ993" t="str">
        <f t="shared" si="1187"/>
        <v>170</v>
      </c>
      <c r="AK993" t="str">
        <f>"05"</f>
        <v>05</v>
      </c>
      <c r="AL993" t="str">
        <f>"380"</f>
        <v>380</v>
      </c>
      <c r="AM993" t="str">
        <f>"05"</f>
        <v>05</v>
      </c>
      <c r="AN993" t="str">
        <f>"05001"</f>
        <v>05001</v>
      </c>
      <c r="AO993" t="str">
        <f>"29/05/2020 12:00:00 a. m."</f>
        <v>29/05/2020 12:00:00 a. m.</v>
      </c>
      <c r="AP993" t="str">
        <f>""</f>
        <v/>
      </c>
      <c r="AQ993" t="str">
        <f>"3"</f>
        <v>3</v>
      </c>
      <c r="AR993" t="str">
        <f>"2"</f>
        <v>2</v>
      </c>
      <c r="AS993" t="str">
        <f>""</f>
        <v/>
      </c>
      <c r="AT993" t="str">
        <f t="shared" si="1215"/>
        <v>1</v>
      </c>
      <c r="AU993" t="str">
        <f>""</f>
        <v/>
      </c>
      <c r="AV993" t="str">
        <f>"7"</f>
        <v>7</v>
      </c>
      <c r="AW993" t="str">
        <f>"2/11/2016 12:00:00 a. m."</f>
        <v>2/11/2016 12:00:00 a. m.</v>
      </c>
      <c r="AX993" t="str">
        <f>""</f>
        <v/>
      </c>
      <c r="AY993" t="str">
        <f t="shared" si="1176"/>
        <v>30/04/2021 12:00:00 a. m.</v>
      </c>
      <c r="AZ993" t="str">
        <f>"22/07/2020 12:00:00 a. m."</f>
        <v>22/07/2020 12:00:00 a. m.</v>
      </c>
      <c r="BA993" t="str">
        <f>""</f>
        <v/>
      </c>
      <c r="BB993" t="str">
        <f>""</f>
        <v/>
      </c>
      <c r="BC993" t="str">
        <f>""</f>
        <v/>
      </c>
      <c r="BD993" t="str">
        <f t="shared" si="1210"/>
        <v>1</v>
      </c>
      <c r="BE993" t="str">
        <f t="shared" si="1210"/>
        <v>1</v>
      </c>
      <c r="BF993" t="str">
        <f t="shared" si="1178"/>
        <v xml:space="preserve">3         </v>
      </c>
      <c r="BG993" t="str">
        <f t="shared" si="1179"/>
        <v>Confirmado por laboratorio</v>
      </c>
      <c r="BH993" t="str">
        <f>"INSTITUTO DE CANCEROLOGIA SA"</f>
        <v>INSTITUTO DE CANCEROLOGIA SA</v>
      </c>
      <c r="BI993" t="str">
        <f t="shared" si="1214"/>
        <v>COLOMBIA</v>
      </c>
      <c r="BJ993" t="str">
        <f t="shared" si="1180"/>
        <v>CANCER INFANTIL</v>
      </c>
      <c r="BK993" t="str">
        <f>"ANTIOQUIA"</f>
        <v>ANTIOQUIA</v>
      </c>
      <c r="BL993" t="str">
        <f>"LA ESTRELLA"</f>
        <v>LA ESTRELLA</v>
      </c>
      <c r="BM993" t="str">
        <f t="shared" si="1188"/>
        <v>COLOMBIA</v>
      </c>
      <c r="BN993" t="str">
        <f>"ANTIOQUIA"</f>
        <v>ANTIOQUIA</v>
      </c>
      <c r="BO993" t="str">
        <f>"LA ESTRELLA"</f>
        <v>LA ESTRELLA</v>
      </c>
      <c r="BP993" t="str">
        <f>"ANTIOQUIA"</f>
        <v>ANTIOQUIA</v>
      </c>
      <c r="BQ993" t="str">
        <f>"MEDELLIN"</f>
        <v>MEDELLIN</v>
      </c>
    </row>
    <row r="994" spans="1:69" x14ac:dyDescent="0.25">
      <c r="A994" t="str">
        <f>"7285336"</f>
        <v>7285336</v>
      </c>
      <c r="B994" t="str">
        <f t="shared" si="1173"/>
        <v>459</v>
      </c>
      <c r="C994" t="str">
        <f>"6/07/2020 12:00:00 a. m."</f>
        <v>6/07/2020 12:00:00 a. m.</v>
      </c>
      <c r="D994" t="str">
        <f>"19"</f>
        <v>19</v>
      </c>
      <c r="E994" t="str">
        <f t="shared" si="1174"/>
        <v>2020</v>
      </c>
      <c r="F994" t="str">
        <f>"0500105616"</f>
        <v>0500105616</v>
      </c>
      <c r="G994" t="str">
        <f t="shared" si="1211"/>
        <v>01</v>
      </c>
      <c r="H994" t="str">
        <f>"12"</f>
        <v>12</v>
      </c>
      <c r="I994" t="str">
        <f t="shared" si="1209"/>
        <v>1</v>
      </c>
      <c r="J994" t="str">
        <f>"F"</f>
        <v>F</v>
      </c>
      <c r="K994" t="str">
        <f t="shared" si="1213"/>
        <v>170</v>
      </c>
      <c r="L994" t="str">
        <f>"05"</f>
        <v>05</v>
      </c>
      <c r="M994" t="str">
        <f>"001"</f>
        <v>001</v>
      </c>
      <c r="N994" t="str">
        <f t="shared" si="1217"/>
        <v>1</v>
      </c>
      <c r="O994" t="str">
        <f>"9997"</f>
        <v>9997</v>
      </c>
      <c r="P994" t="str">
        <f>"C"</f>
        <v>C</v>
      </c>
      <c r="Q994" t="str">
        <f>"EPS037"</f>
        <v>EPS037</v>
      </c>
      <c r="R994" t="str">
        <f t="shared" si="1218"/>
        <v>6</v>
      </c>
      <c r="S994" t="str">
        <f>""</f>
        <v/>
      </c>
      <c r="T994" t="str">
        <f t="shared" si="1219"/>
        <v xml:space="preserve">                                                                                                    </v>
      </c>
      <c r="U994" t="str">
        <f>"3         "</f>
        <v xml:space="preserve">3         </v>
      </c>
      <c r="V994" t="str">
        <f t="shared" si="1154"/>
        <v>2</v>
      </c>
      <c r="W994" t="str">
        <f t="shared" si="1200"/>
        <v>2</v>
      </c>
      <c r="X994" t="str">
        <f t="shared" si="1212"/>
        <v>2</v>
      </c>
      <c r="Y994" t="str">
        <f t="shared" si="1206"/>
        <v>2</v>
      </c>
      <c r="Z994" t="str">
        <f t="shared" si="1206"/>
        <v>2</v>
      </c>
      <c r="AA994" t="str">
        <f t="shared" si="1175"/>
        <v xml:space="preserve">          </v>
      </c>
      <c r="AB994" t="str">
        <f t="shared" si="1165"/>
        <v>2</v>
      </c>
      <c r="AC994" t="str">
        <f t="shared" si="1166"/>
        <v>2</v>
      </c>
      <c r="AD994" t="str">
        <f t="shared" si="1207"/>
        <v>2</v>
      </c>
      <c r="AE994" t="str">
        <f t="shared" si="1207"/>
        <v>2</v>
      </c>
      <c r="AF994" t="str">
        <f t="shared" si="1207"/>
        <v>2</v>
      </c>
      <c r="AG994" t="str">
        <f t="shared" si="1207"/>
        <v>2</v>
      </c>
      <c r="AH994" t="str">
        <f t="shared" si="1201"/>
        <v>1</v>
      </c>
      <c r="AI994" t="str">
        <f t="shared" si="1216"/>
        <v xml:space="preserve">1         </v>
      </c>
      <c r="AJ994" t="str">
        <f t="shared" si="1187"/>
        <v>170</v>
      </c>
      <c r="AK994" t="str">
        <f>"05"</f>
        <v>05</v>
      </c>
      <c r="AL994" t="str">
        <f>"001"</f>
        <v>001</v>
      </c>
      <c r="AM994" t="str">
        <f>"05"</f>
        <v>05</v>
      </c>
      <c r="AN994" t="str">
        <f>"05001"</f>
        <v>05001</v>
      </c>
      <c r="AO994" t="str">
        <f>"4/05/2020 12:00:00 a. m."</f>
        <v>4/05/2020 12:00:00 a. m.</v>
      </c>
      <c r="AP994" t="str">
        <f>"1/01/2020 12:00:00 a. m."</f>
        <v>1/01/2020 12:00:00 a. m.</v>
      </c>
      <c r="AQ994" t="str">
        <f>"3"</f>
        <v>3</v>
      </c>
      <c r="AR994" t="str">
        <f>"2"</f>
        <v>2</v>
      </c>
      <c r="AS994" t="str">
        <f>""</f>
        <v/>
      </c>
      <c r="AT994" t="str">
        <f t="shared" si="1215"/>
        <v>1</v>
      </c>
      <c r="AU994" t="str">
        <f>""</f>
        <v/>
      </c>
      <c r="AV994" t="str">
        <f>"0"</f>
        <v>0</v>
      </c>
      <c r="AW994" t="str">
        <f>"17/12/2007 12:00:00 a. m."</f>
        <v>17/12/2007 12:00:00 a. m.</v>
      </c>
      <c r="AX994" t="str">
        <f>""</f>
        <v/>
      </c>
      <c r="AY994" t="str">
        <f t="shared" si="1176"/>
        <v>30/04/2021 12:00:00 a. m.</v>
      </c>
      <c r="AZ994" t="str">
        <f>"6/07/2020 12:00:00 a. m."</f>
        <v>6/07/2020 12:00:00 a. m.</v>
      </c>
      <c r="BA994" t="str">
        <f>""</f>
        <v/>
      </c>
      <c r="BB994" t="str">
        <f>""</f>
        <v/>
      </c>
      <c r="BC994" t="str">
        <f>""</f>
        <v/>
      </c>
      <c r="BD994" t="str">
        <f t="shared" si="1210"/>
        <v>1</v>
      </c>
      <c r="BE994" t="str">
        <f t="shared" si="1210"/>
        <v>1</v>
      </c>
      <c r="BF994" t="str">
        <f t="shared" si="1178"/>
        <v xml:space="preserve">3         </v>
      </c>
      <c r="BG994" t="str">
        <f t="shared" si="1179"/>
        <v>Confirmado por laboratorio</v>
      </c>
      <c r="BH994" t="str">
        <f>"INSTITUTO DE CANCEROLOGIA SA"</f>
        <v>INSTITUTO DE CANCEROLOGIA SA</v>
      </c>
      <c r="BI994" t="str">
        <f t="shared" si="1214"/>
        <v>COLOMBIA</v>
      </c>
      <c r="BJ994" t="str">
        <f t="shared" si="1180"/>
        <v>CANCER INFANTIL</v>
      </c>
      <c r="BK994" t="str">
        <f>"ANTIOQUIA"</f>
        <v>ANTIOQUIA</v>
      </c>
      <c r="BL994" t="str">
        <f>"MEDELLIN"</f>
        <v>MEDELLIN</v>
      </c>
      <c r="BM994" t="str">
        <f t="shared" si="1188"/>
        <v>COLOMBIA</v>
      </c>
      <c r="BN994" t="str">
        <f>"ANTIOQUIA"</f>
        <v>ANTIOQUIA</v>
      </c>
      <c r="BO994" t="str">
        <f>"MEDELLIN"</f>
        <v>MEDELLIN</v>
      </c>
      <c r="BP994" t="str">
        <f>"ANTIOQUIA"</f>
        <v>ANTIOQUIA</v>
      </c>
      <c r="BQ994" t="str">
        <f>"MEDELLIN"</f>
        <v>MEDELLIN</v>
      </c>
    </row>
    <row r="995" spans="1:69" x14ac:dyDescent="0.25">
      <c r="A995" t="str">
        <f>"7285373"</f>
        <v>7285373</v>
      </c>
      <c r="B995" t="str">
        <f t="shared" si="1173"/>
        <v>459</v>
      </c>
      <c r="C995" t="str">
        <f>"22/01/2021 12:00:00 a. m."</f>
        <v>22/01/2021 12:00:00 a. m.</v>
      </c>
      <c r="D995" t="str">
        <f>"52"</f>
        <v>52</v>
      </c>
      <c r="E995" t="str">
        <f t="shared" si="1174"/>
        <v>2020</v>
      </c>
      <c r="F995" t="str">
        <f>"1100116133"</f>
        <v>1100116133</v>
      </c>
      <c r="G995" t="str">
        <f t="shared" si="1211"/>
        <v>01</v>
      </c>
      <c r="H995" t="str">
        <f>"15"</f>
        <v>15</v>
      </c>
      <c r="I995" t="str">
        <f t="shared" si="1209"/>
        <v>1</v>
      </c>
      <c r="J995" t="str">
        <f t="shared" ref="J995:J1000" si="1220">"M"</f>
        <v>M</v>
      </c>
      <c r="K995" t="str">
        <f t="shared" si="1213"/>
        <v>170</v>
      </c>
      <c r="L995" t="str">
        <f>"25"</f>
        <v>25</v>
      </c>
      <c r="M995" t="str">
        <f>"260"</f>
        <v>260</v>
      </c>
      <c r="N995" t="str">
        <f t="shared" si="1217"/>
        <v>1</v>
      </c>
      <c r="O995" t="str">
        <f>"9997"</f>
        <v>9997</v>
      </c>
      <c r="P995" t="str">
        <f>"C"</f>
        <v>C</v>
      </c>
      <c r="Q995" t="str">
        <f>"EPS037"</f>
        <v>EPS037</v>
      </c>
      <c r="R995" t="str">
        <f t="shared" si="1218"/>
        <v>6</v>
      </c>
      <c r="S995" t="str">
        <f>""</f>
        <v/>
      </c>
      <c r="T995" t="str">
        <f t="shared" si="1219"/>
        <v xml:space="preserve">                                                                                                    </v>
      </c>
      <c r="U995" t="str">
        <f>"2         "</f>
        <v xml:space="preserve">2         </v>
      </c>
      <c r="V995" t="str">
        <f t="shared" si="1154"/>
        <v>2</v>
      </c>
      <c r="W995" t="str">
        <f t="shared" si="1200"/>
        <v>2</v>
      </c>
      <c r="X995" t="str">
        <f t="shared" si="1212"/>
        <v>2</v>
      </c>
      <c r="Y995" t="str">
        <f t="shared" si="1206"/>
        <v>2</v>
      </c>
      <c r="Z995" t="str">
        <f t="shared" si="1206"/>
        <v>2</v>
      </c>
      <c r="AA995" t="str">
        <f t="shared" si="1175"/>
        <v xml:space="preserve">          </v>
      </c>
      <c r="AB995" t="str">
        <f t="shared" si="1165"/>
        <v>2</v>
      </c>
      <c r="AC995" t="str">
        <f t="shared" si="1166"/>
        <v>2</v>
      </c>
      <c r="AD995" t="str">
        <f t="shared" si="1207"/>
        <v>2</v>
      </c>
      <c r="AE995" t="str">
        <f t="shared" si="1207"/>
        <v>2</v>
      </c>
      <c r="AF995" t="str">
        <f t="shared" si="1207"/>
        <v>2</v>
      </c>
      <c r="AG995" t="str">
        <f t="shared" si="1207"/>
        <v>2</v>
      </c>
      <c r="AH995" t="str">
        <f t="shared" si="1201"/>
        <v>1</v>
      </c>
      <c r="AI995" t="str">
        <f t="shared" si="1216"/>
        <v xml:space="preserve">1         </v>
      </c>
      <c r="AJ995" t="str">
        <f t="shared" si="1187"/>
        <v>170</v>
      </c>
      <c r="AK995" t="str">
        <f>"25"</f>
        <v>25</v>
      </c>
      <c r="AL995" t="str">
        <f>"260"</f>
        <v>260</v>
      </c>
      <c r="AM995" t="str">
        <f>"11"</f>
        <v>11</v>
      </c>
      <c r="AN995" t="str">
        <f>"11001"</f>
        <v>11001</v>
      </c>
      <c r="AO995" t="str">
        <f>"22/12/2020 12:00:00 a. m."</f>
        <v>22/12/2020 12:00:00 a. m.</v>
      </c>
      <c r="AP995" t="str">
        <f>"1/08/2020 12:00:00 a. m."</f>
        <v>1/08/2020 12:00:00 a. m.</v>
      </c>
      <c r="AQ995" t="str">
        <f>"2"</f>
        <v>2</v>
      </c>
      <c r="AR995" t="str">
        <f>"1"</f>
        <v>1</v>
      </c>
      <c r="AS995" t="str">
        <f>"22/12/2020 12:00:00 a. m."</f>
        <v>22/12/2020 12:00:00 a. m.</v>
      </c>
      <c r="AT995" t="str">
        <f t="shared" si="1215"/>
        <v>1</v>
      </c>
      <c r="AU995" t="str">
        <f>""</f>
        <v/>
      </c>
      <c r="AV995" t="str">
        <f>"3"</f>
        <v>3</v>
      </c>
      <c r="AW995" t="str">
        <f>"7/12/2005 12:00:00 a. m."</f>
        <v>7/12/2005 12:00:00 a. m.</v>
      </c>
      <c r="AX995" t="str">
        <f>""</f>
        <v/>
      </c>
      <c r="AY995" t="str">
        <f t="shared" si="1176"/>
        <v>30/04/2021 12:00:00 a. m.</v>
      </c>
      <c r="AZ995" t="str">
        <f>"15/02/2021 12:00:00 a. m."</f>
        <v>15/02/2021 12:00:00 a. m.</v>
      </c>
      <c r="BA995" t="str">
        <f>""</f>
        <v/>
      </c>
      <c r="BB995" t="str">
        <f>""</f>
        <v/>
      </c>
      <c r="BC995" t="str">
        <f>""</f>
        <v/>
      </c>
      <c r="BD995" t="str">
        <f t="shared" si="1210"/>
        <v>1</v>
      </c>
      <c r="BE995" t="str">
        <f t="shared" si="1210"/>
        <v>1</v>
      </c>
      <c r="BF995" t="str">
        <f t="shared" si="1178"/>
        <v xml:space="preserve">3         </v>
      </c>
      <c r="BG995" t="str">
        <f t="shared" si="1179"/>
        <v>Confirmado por laboratorio</v>
      </c>
      <c r="BH995" t="str">
        <f>"FUNDACION HOSPITAL INFANTIL UNIVERSITARIO DE SAN"</f>
        <v>FUNDACION HOSPITAL INFANTIL UNIVERSITARIO DE SAN</v>
      </c>
      <c r="BI995" t="str">
        <f t="shared" si="1214"/>
        <v>COLOMBIA</v>
      </c>
      <c r="BJ995" t="str">
        <f t="shared" si="1180"/>
        <v>CANCER INFANTIL</v>
      </c>
      <c r="BK995" t="str">
        <f>"CUNDINAMARCA"</f>
        <v>CUNDINAMARCA</v>
      </c>
      <c r="BL995" t="str">
        <f>"EL ROSAL"</f>
        <v>EL ROSAL</v>
      </c>
      <c r="BM995" t="str">
        <f t="shared" si="1188"/>
        <v>COLOMBIA</v>
      </c>
      <c r="BN995" t="str">
        <f>"CUNDINAMARCA"</f>
        <v>CUNDINAMARCA</v>
      </c>
      <c r="BO995" t="str">
        <f>"EL ROSAL"</f>
        <v>EL ROSAL</v>
      </c>
      <c r="BP995" t="str">
        <f>"BOGOTA"</f>
        <v>BOGOTA</v>
      </c>
      <c r="BQ995" t="str">
        <f>"BOGOTA"</f>
        <v>BOGOTA</v>
      </c>
    </row>
    <row r="996" spans="1:69" x14ac:dyDescent="0.25">
      <c r="A996" t="str">
        <f>"7279033"</f>
        <v>7279033</v>
      </c>
      <c r="B996" t="str">
        <f t="shared" si="1173"/>
        <v>459</v>
      </c>
      <c r="C996" t="str">
        <f>"14/08/2020 12:00:00 a. m."</f>
        <v>14/08/2020 12:00:00 a. m.</v>
      </c>
      <c r="D996" t="str">
        <f>"33"</f>
        <v>33</v>
      </c>
      <c r="E996" t="str">
        <f t="shared" si="1174"/>
        <v>2020</v>
      </c>
      <c r="F996" t="str">
        <f>"7600103799"</f>
        <v>7600103799</v>
      </c>
      <c r="G996" t="str">
        <f t="shared" si="1211"/>
        <v>01</v>
      </c>
      <c r="H996" t="str">
        <f>"13"</f>
        <v>13</v>
      </c>
      <c r="I996" t="str">
        <f t="shared" si="1209"/>
        <v>1</v>
      </c>
      <c r="J996" t="str">
        <f t="shared" si="1220"/>
        <v>M</v>
      </c>
      <c r="K996" t="str">
        <f t="shared" si="1213"/>
        <v>170</v>
      </c>
      <c r="L996" t="str">
        <f>"76"</f>
        <v>76</v>
      </c>
      <c r="M996" t="str">
        <f>"001"</f>
        <v>001</v>
      </c>
      <c r="N996" t="str">
        <f t="shared" si="1217"/>
        <v>1</v>
      </c>
      <c r="O996" t="str">
        <f>"9999"</f>
        <v>9999</v>
      </c>
      <c r="P996" t="str">
        <f>"S"</f>
        <v>S</v>
      </c>
      <c r="Q996" t="str">
        <f>"EPSS45"</f>
        <v>EPSS45</v>
      </c>
      <c r="R996" t="str">
        <f t="shared" si="1218"/>
        <v>6</v>
      </c>
      <c r="S996" t="str">
        <f>""</f>
        <v/>
      </c>
      <c r="T996" t="str">
        <f t="shared" si="1219"/>
        <v xml:space="preserve">                                                                                                    </v>
      </c>
      <c r="U996" t="str">
        <f>"2         "</f>
        <v xml:space="preserve">2         </v>
      </c>
      <c r="V996" t="str">
        <f t="shared" si="1154"/>
        <v>2</v>
      </c>
      <c r="W996" t="str">
        <f t="shared" si="1200"/>
        <v>2</v>
      </c>
      <c r="X996" t="str">
        <f t="shared" si="1212"/>
        <v>2</v>
      </c>
      <c r="Y996" t="str">
        <f t="shared" si="1206"/>
        <v>2</v>
      </c>
      <c r="Z996" t="str">
        <f t="shared" si="1206"/>
        <v>2</v>
      </c>
      <c r="AA996" t="str">
        <f t="shared" si="1175"/>
        <v xml:space="preserve">          </v>
      </c>
      <c r="AB996" t="str">
        <f t="shared" si="1165"/>
        <v>2</v>
      </c>
      <c r="AC996" t="str">
        <f t="shared" si="1166"/>
        <v>2</v>
      </c>
      <c r="AD996" t="str">
        <f t="shared" si="1207"/>
        <v>2</v>
      </c>
      <c r="AE996" t="str">
        <f t="shared" si="1207"/>
        <v>2</v>
      </c>
      <c r="AF996" t="str">
        <f t="shared" si="1207"/>
        <v>2</v>
      </c>
      <c r="AG996" t="str">
        <f t="shared" si="1207"/>
        <v>2</v>
      </c>
      <c r="AH996" t="str">
        <f t="shared" si="1201"/>
        <v>1</v>
      </c>
      <c r="AI996" t="str">
        <f t="shared" si="1216"/>
        <v xml:space="preserve">1         </v>
      </c>
      <c r="AJ996" t="str">
        <f t="shared" si="1187"/>
        <v>170</v>
      </c>
      <c r="AK996" t="str">
        <f>"76"</f>
        <v>76</v>
      </c>
      <c r="AL996" t="str">
        <f>"001"</f>
        <v>001</v>
      </c>
      <c r="AM996" t="str">
        <f>"76"</f>
        <v>76</v>
      </c>
      <c r="AN996" t="str">
        <f>"76001"</f>
        <v>76001</v>
      </c>
      <c r="AO996" t="str">
        <f>"14/08/2020 12:00:00 a. m."</f>
        <v>14/08/2020 12:00:00 a. m.</v>
      </c>
      <c r="AP996" t="str">
        <f>"11/07/2020 12:00:00 a. m."</f>
        <v>11/07/2020 12:00:00 a. m.</v>
      </c>
      <c r="AQ996" t="str">
        <f>"2"</f>
        <v>2</v>
      </c>
      <c r="AR996" t="str">
        <f>"1"</f>
        <v>1</v>
      </c>
      <c r="AS996" t="str">
        <f>"14/08/2020 12:00:00 a. m."</f>
        <v>14/08/2020 12:00:00 a. m.</v>
      </c>
      <c r="AT996" t="str">
        <f t="shared" si="1215"/>
        <v>1</v>
      </c>
      <c r="AU996" t="str">
        <f>""</f>
        <v/>
      </c>
      <c r="AV996" t="str">
        <f>"3"</f>
        <v>3</v>
      </c>
      <c r="AW996" t="str">
        <f>"9/09/2006 12:00:00 a. m."</f>
        <v>9/09/2006 12:00:00 a. m.</v>
      </c>
      <c r="AX996" t="str">
        <f>""</f>
        <v/>
      </c>
      <c r="AY996" t="str">
        <f t="shared" si="1176"/>
        <v>30/04/2021 12:00:00 a. m.</v>
      </c>
      <c r="AZ996" t="str">
        <f>"19/09/2020 12:00:00 a. m."</f>
        <v>19/09/2020 12:00:00 a. m.</v>
      </c>
      <c r="BA996" t="str">
        <f>""</f>
        <v/>
      </c>
      <c r="BB996" t="str">
        <f>""</f>
        <v/>
      </c>
      <c r="BC996" t="str">
        <f>""</f>
        <v/>
      </c>
      <c r="BD996" t="str">
        <f t="shared" si="1210"/>
        <v>1</v>
      </c>
      <c r="BE996" t="str">
        <f t="shared" si="1210"/>
        <v>1</v>
      </c>
      <c r="BF996" t="str">
        <f t="shared" si="1178"/>
        <v xml:space="preserve">3         </v>
      </c>
      <c r="BG996" t="str">
        <f t="shared" si="1179"/>
        <v>Confirmado por laboratorio</v>
      </c>
      <c r="BH996" t="str">
        <f>"HOSPITAL UNIVERSITARIO DEL VALLE EVARISTO GARCIA"</f>
        <v>HOSPITAL UNIVERSITARIO DEL VALLE EVARISTO GARCIA</v>
      </c>
      <c r="BI996" t="str">
        <f t="shared" si="1214"/>
        <v>COLOMBIA</v>
      </c>
      <c r="BJ996" t="str">
        <f t="shared" si="1180"/>
        <v>CANCER INFANTIL</v>
      </c>
      <c r="BK996" t="str">
        <f>"VALLE"</f>
        <v>VALLE</v>
      </c>
      <c r="BL996" t="str">
        <f>"CALI"</f>
        <v>CALI</v>
      </c>
      <c r="BM996" t="str">
        <f t="shared" si="1188"/>
        <v>COLOMBIA</v>
      </c>
      <c r="BN996" t="str">
        <f>"VALLE"</f>
        <v>VALLE</v>
      </c>
      <c r="BO996" t="str">
        <f>"CALI"</f>
        <v>CALI</v>
      </c>
      <c r="BP996" t="str">
        <f>"VALLE"</f>
        <v>VALLE</v>
      </c>
      <c r="BQ996" t="str">
        <f>"CALI"</f>
        <v>CALI</v>
      </c>
    </row>
    <row r="997" spans="1:69" x14ac:dyDescent="0.25">
      <c r="A997" t="str">
        <f>"7279023"</f>
        <v>7279023</v>
      </c>
      <c r="B997" t="str">
        <f t="shared" si="1173"/>
        <v>459</v>
      </c>
      <c r="C997" t="str">
        <f>"30/11/2020 12:00:00 a. m."</f>
        <v>30/11/2020 12:00:00 a. m.</v>
      </c>
      <c r="D997" t="str">
        <f>"48"</f>
        <v>48</v>
      </c>
      <c r="E997" t="str">
        <f t="shared" si="1174"/>
        <v>2020</v>
      </c>
      <c r="F997" t="str">
        <f>"5200100283"</f>
        <v>5200100283</v>
      </c>
      <c r="G997" t="str">
        <f t="shared" si="1211"/>
        <v>01</v>
      </c>
      <c r="H997" t="str">
        <f>"15"</f>
        <v>15</v>
      </c>
      <c r="I997" t="str">
        <f t="shared" si="1209"/>
        <v>1</v>
      </c>
      <c r="J997" t="str">
        <f t="shared" si="1220"/>
        <v>M</v>
      </c>
      <c r="K997" t="str">
        <f t="shared" si="1213"/>
        <v>170</v>
      </c>
      <c r="L997" t="str">
        <f>"52"</f>
        <v>52</v>
      </c>
      <c r="M997" t="str">
        <f>"356"</f>
        <v>356</v>
      </c>
      <c r="N997" t="str">
        <f t="shared" si="1217"/>
        <v>1</v>
      </c>
      <c r="O997" t="str">
        <f>"9997"</f>
        <v>9997</v>
      </c>
      <c r="P997" t="str">
        <f>"S"</f>
        <v>S</v>
      </c>
      <c r="Q997" t="str">
        <f>"EPSI05"</f>
        <v>EPSI05</v>
      </c>
      <c r="R997" t="str">
        <f t="shared" si="1218"/>
        <v>6</v>
      </c>
      <c r="S997" t="str">
        <f>""</f>
        <v/>
      </c>
      <c r="T997" t="str">
        <f t="shared" si="1219"/>
        <v xml:space="preserve">                                                                                                    </v>
      </c>
      <c r="U997" t="str">
        <f>"1         "</f>
        <v xml:space="preserve">1         </v>
      </c>
      <c r="V997" t="str">
        <f t="shared" si="1154"/>
        <v>2</v>
      </c>
      <c r="W997" t="str">
        <f t="shared" si="1200"/>
        <v>2</v>
      </c>
      <c r="X997" t="str">
        <f t="shared" si="1212"/>
        <v>2</v>
      </c>
      <c r="Y997" t="str">
        <f t="shared" si="1206"/>
        <v>2</v>
      </c>
      <c r="Z997" t="str">
        <f t="shared" si="1206"/>
        <v>2</v>
      </c>
      <c r="AA997" t="str">
        <f t="shared" si="1175"/>
        <v xml:space="preserve">          </v>
      </c>
      <c r="AB997" t="str">
        <f t="shared" si="1165"/>
        <v>2</v>
      </c>
      <c r="AC997" t="str">
        <f t="shared" si="1166"/>
        <v>2</v>
      </c>
      <c r="AD997" t="str">
        <f t="shared" si="1207"/>
        <v>2</v>
      </c>
      <c r="AE997" t="str">
        <f t="shared" si="1207"/>
        <v>2</v>
      </c>
      <c r="AF997" t="str">
        <f t="shared" si="1207"/>
        <v>2</v>
      </c>
      <c r="AG997" t="str">
        <f t="shared" si="1207"/>
        <v>2</v>
      </c>
      <c r="AH997" t="str">
        <f t="shared" si="1201"/>
        <v>1</v>
      </c>
      <c r="AI997" t="str">
        <f t="shared" si="1216"/>
        <v xml:space="preserve">1         </v>
      </c>
      <c r="AJ997" t="str">
        <f t="shared" si="1187"/>
        <v>170</v>
      </c>
      <c r="AK997" t="str">
        <f>"52"</f>
        <v>52</v>
      </c>
      <c r="AL997" t="str">
        <f>"356"</f>
        <v>356</v>
      </c>
      <c r="AM997" t="str">
        <f>"52"</f>
        <v>52</v>
      </c>
      <c r="AN997" t="str">
        <f>"52001"</f>
        <v>52001</v>
      </c>
      <c r="AO997" t="str">
        <f>"23/11/2020 12:00:00 a. m."</f>
        <v>23/11/2020 12:00:00 a. m.</v>
      </c>
      <c r="AP997" t="str">
        <f>"22/11/2020 12:00:00 a. m."</f>
        <v>22/11/2020 12:00:00 a. m.</v>
      </c>
      <c r="AQ997" t="str">
        <f>"2"</f>
        <v>2</v>
      </c>
      <c r="AR997" t="str">
        <f>"1"</f>
        <v>1</v>
      </c>
      <c r="AS997" t="str">
        <f>"23/11/2020 12:00:00 a. m."</f>
        <v>23/11/2020 12:00:00 a. m.</v>
      </c>
      <c r="AT997" t="str">
        <f t="shared" si="1215"/>
        <v>1</v>
      </c>
      <c r="AU997" t="str">
        <f>""</f>
        <v/>
      </c>
      <c r="AV997" t="str">
        <f>"3"</f>
        <v>3</v>
      </c>
      <c r="AW997" t="str">
        <f>"12/01/2005 12:00:00 a. m."</f>
        <v>12/01/2005 12:00:00 a. m.</v>
      </c>
      <c r="AX997" t="str">
        <f>""</f>
        <v/>
      </c>
      <c r="AY997" t="str">
        <f t="shared" si="1176"/>
        <v>30/04/2021 12:00:00 a. m.</v>
      </c>
      <c r="AZ997" t="str">
        <f>"28/12/2020 12:00:00 a. m."</f>
        <v>28/12/2020 12:00:00 a. m.</v>
      </c>
      <c r="BA997" t="str">
        <f>""</f>
        <v/>
      </c>
      <c r="BB997" t="str">
        <f>""</f>
        <v/>
      </c>
      <c r="BC997" t="str">
        <f>""</f>
        <v/>
      </c>
      <c r="BD997" t="str">
        <f t="shared" si="1210"/>
        <v>1</v>
      </c>
      <c r="BE997" t="str">
        <f t="shared" si="1210"/>
        <v>1</v>
      </c>
      <c r="BF997" t="str">
        <f t="shared" si="1178"/>
        <v xml:space="preserve">3         </v>
      </c>
      <c r="BG997" t="str">
        <f t="shared" si="1179"/>
        <v>Confirmado por laboratorio</v>
      </c>
      <c r="BH997" t="str">
        <f>"HOSPITAL INFANTIL LOS ANGELES"</f>
        <v>HOSPITAL INFANTIL LOS ANGELES</v>
      </c>
      <c r="BI997" t="str">
        <f t="shared" si="1214"/>
        <v>COLOMBIA</v>
      </c>
      <c r="BJ997" t="str">
        <f t="shared" si="1180"/>
        <v>CANCER INFANTIL</v>
      </c>
      <c r="BK997" t="str">
        <f>"NARIÑO"</f>
        <v>NARIÑO</v>
      </c>
      <c r="BL997" t="str">
        <f>"IPIALES"</f>
        <v>IPIALES</v>
      </c>
      <c r="BM997" t="str">
        <f t="shared" si="1188"/>
        <v>COLOMBIA</v>
      </c>
      <c r="BN997" t="str">
        <f>"NARIÑO"</f>
        <v>NARIÑO</v>
      </c>
      <c r="BO997" t="str">
        <f>"IPIALES"</f>
        <v>IPIALES</v>
      </c>
      <c r="BP997" t="str">
        <f>"NARIÑO"</f>
        <v>NARIÑO</v>
      </c>
      <c r="BQ997" t="str">
        <f>"PASTO"</f>
        <v>PASTO</v>
      </c>
    </row>
    <row r="998" spans="1:69" x14ac:dyDescent="0.25">
      <c r="A998" t="str">
        <f>"7279025"</f>
        <v>7279025</v>
      </c>
      <c r="B998" t="str">
        <f t="shared" si="1173"/>
        <v>459</v>
      </c>
      <c r="C998" t="str">
        <f>"21/01/2020 12:00:00 a. m."</f>
        <v>21/01/2020 12:00:00 a. m.</v>
      </c>
      <c r="D998" t="str">
        <f>"04"</f>
        <v>04</v>
      </c>
      <c r="E998" t="str">
        <f t="shared" si="1174"/>
        <v>2020</v>
      </c>
      <c r="F998" t="str">
        <f>"5200100283"</f>
        <v>5200100283</v>
      </c>
      <c r="G998" t="str">
        <f t="shared" si="1211"/>
        <v>01</v>
      </c>
      <c r="H998" t="str">
        <f>"12"</f>
        <v>12</v>
      </c>
      <c r="I998" t="str">
        <f t="shared" si="1209"/>
        <v>1</v>
      </c>
      <c r="J998" t="str">
        <f t="shared" si="1220"/>
        <v>M</v>
      </c>
      <c r="K998" t="str">
        <f t="shared" si="1213"/>
        <v>170</v>
      </c>
      <c r="L998" t="str">
        <f>"52"</f>
        <v>52</v>
      </c>
      <c r="M998" t="str">
        <f>"356"</f>
        <v>356</v>
      </c>
      <c r="N998" t="str">
        <f t="shared" si="1217"/>
        <v>1</v>
      </c>
      <c r="O998" t="str">
        <f>"9997"</f>
        <v>9997</v>
      </c>
      <c r="P998" t="str">
        <f>"S"</f>
        <v>S</v>
      </c>
      <c r="Q998" t="str">
        <f>"EPSI05"</f>
        <v>EPSI05</v>
      </c>
      <c r="R998" t="str">
        <f t="shared" si="1218"/>
        <v>6</v>
      </c>
      <c r="S998" t="str">
        <f>""</f>
        <v/>
      </c>
      <c r="T998" t="str">
        <f t="shared" si="1219"/>
        <v xml:space="preserve">                                                                                                    </v>
      </c>
      <c r="U998" t="str">
        <f>"1         "</f>
        <v xml:space="preserve">1         </v>
      </c>
      <c r="V998" t="str">
        <f t="shared" si="1154"/>
        <v>2</v>
      </c>
      <c r="W998" t="str">
        <f t="shared" si="1200"/>
        <v>2</v>
      </c>
      <c r="X998" t="str">
        <f t="shared" si="1212"/>
        <v>2</v>
      </c>
      <c r="Y998" t="str">
        <f t="shared" si="1206"/>
        <v>2</v>
      </c>
      <c r="Z998" t="str">
        <f t="shared" si="1206"/>
        <v>2</v>
      </c>
      <c r="AA998" t="str">
        <f t="shared" si="1175"/>
        <v xml:space="preserve">          </v>
      </c>
      <c r="AB998" t="str">
        <f t="shared" si="1165"/>
        <v>2</v>
      </c>
      <c r="AC998" t="str">
        <f t="shared" si="1166"/>
        <v>2</v>
      </c>
      <c r="AD998" t="str">
        <f t="shared" si="1207"/>
        <v>2</v>
      </c>
      <c r="AE998" t="str">
        <f t="shared" si="1207"/>
        <v>2</v>
      </c>
      <c r="AF998" t="str">
        <f t="shared" si="1207"/>
        <v>2</v>
      </c>
      <c r="AG998" t="str">
        <f t="shared" si="1207"/>
        <v>2</v>
      </c>
      <c r="AH998" t="str">
        <f t="shared" si="1201"/>
        <v>1</v>
      </c>
      <c r="AI998" t="str">
        <f t="shared" si="1216"/>
        <v xml:space="preserve">1         </v>
      </c>
      <c r="AJ998" t="str">
        <f t="shared" si="1187"/>
        <v>170</v>
      </c>
      <c r="AK998" t="str">
        <f>"52"</f>
        <v>52</v>
      </c>
      <c r="AL998" t="str">
        <f>"356"</f>
        <v>356</v>
      </c>
      <c r="AM998" t="str">
        <f>"52"</f>
        <v>52</v>
      </c>
      <c r="AN998" t="str">
        <f>"52001"</f>
        <v>52001</v>
      </c>
      <c r="AO998" t="str">
        <f>"20/01/2020 12:00:00 a. m."</f>
        <v>20/01/2020 12:00:00 a. m.</v>
      </c>
      <c r="AP998" t="str">
        <f>"20/12/2019 12:00:00 a. m."</f>
        <v>20/12/2019 12:00:00 a. m.</v>
      </c>
      <c r="AQ998" t="str">
        <f>"2"</f>
        <v>2</v>
      </c>
      <c r="AR998" t="str">
        <f>"1"</f>
        <v>1</v>
      </c>
      <c r="AS998" t="str">
        <f>"20/01/2020 12:00:00 a. m."</f>
        <v>20/01/2020 12:00:00 a. m.</v>
      </c>
      <c r="AT998" t="str">
        <f t="shared" si="1215"/>
        <v>1</v>
      </c>
      <c r="AU998" t="str">
        <f>""</f>
        <v/>
      </c>
      <c r="AV998" t="str">
        <f>"3"</f>
        <v>3</v>
      </c>
      <c r="AW998" t="str">
        <f>"17/11/2007 12:00:00 a. m."</f>
        <v>17/11/2007 12:00:00 a. m.</v>
      </c>
      <c r="AX998" t="str">
        <f>""</f>
        <v/>
      </c>
      <c r="AY998" t="str">
        <f t="shared" si="1176"/>
        <v>30/04/2021 12:00:00 a. m.</v>
      </c>
      <c r="AZ998" t="str">
        <f>"10/06/2020 12:00:00 a. m."</f>
        <v>10/06/2020 12:00:00 a. m.</v>
      </c>
      <c r="BA998" t="str">
        <f>""</f>
        <v/>
      </c>
      <c r="BB998" t="str">
        <f>""</f>
        <v/>
      </c>
      <c r="BC998" t="str">
        <f>""</f>
        <v/>
      </c>
      <c r="BD998" t="str">
        <f t="shared" si="1210"/>
        <v>1</v>
      </c>
      <c r="BE998" t="str">
        <f t="shared" si="1210"/>
        <v>1</v>
      </c>
      <c r="BF998" t="str">
        <f t="shared" si="1178"/>
        <v xml:space="preserve">3         </v>
      </c>
      <c r="BG998" t="str">
        <f t="shared" si="1179"/>
        <v>Confirmado por laboratorio</v>
      </c>
      <c r="BH998" t="str">
        <f>"HOSPITAL INFANTIL LOS ANGELES"</f>
        <v>HOSPITAL INFANTIL LOS ANGELES</v>
      </c>
      <c r="BI998" t="str">
        <f t="shared" si="1214"/>
        <v>COLOMBIA</v>
      </c>
      <c r="BJ998" t="str">
        <f t="shared" si="1180"/>
        <v>CANCER INFANTIL</v>
      </c>
      <c r="BK998" t="str">
        <f>"NARIÑO"</f>
        <v>NARIÑO</v>
      </c>
      <c r="BL998" t="str">
        <f>"IPIALES"</f>
        <v>IPIALES</v>
      </c>
      <c r="BM998" t="str">
        <f t="shared" si="1188"/>
        <v>COLOMBIA</v>
      </c>
      <c r="BN998" t="str">
        <f>"NARIÑO"</f>
        <v>NARIÑO</v>
      </c>
      <c r="BO998" t="str">
        <f>"IPIALES"</f>
        <v>IPIALES</v>
      </c>
      <c r="BP998" t="str">
        <f>"NARIÑO"</f>
        <v>NARIÑO</v>
      </c>
      <c r="BQ998" t="str">
        <f>"PASTO"</f>
        <v>PASTO</v>
      </c>
    </row>
    <row r="999" spans="1:69" x14ac:dyDescent="0.25">
      <c r="A999" t="str">
        <f>"7291490"</f>
        <v>7291490</v>
      </c>
      <c r="B999" t="str">
        <f t="shared" si="1173"/>
        <v>459</v>
      </c>
      <c r="C999" t="str">
        <f>"11/03/2020 12:00:00 a. m."</f>
        <v>11/03/2020 12:00:00 a. m.</v>
      </c>
      <c r="D999" t="str">
        <f>"11"</f>
        <v>11</v>
      </c>
      <c r="E999" t="str">
        <f t="shared" si="1174"/>
        <v>2020</v>
      </c>
      <c r="F999" t="str">
        <f>"0500105616"</f>
        <v>0500105616</v>
      </c>
      <c r="G999" t="str">
        <f t="shared" si="1211"/>
        <v>01</v>
      </c>
      <c r="H999" t="str">
        <f>"12"</f>
        <v>12</v>
      </c>
      <c r="I999" t="str">
        <f t="shared" si="1209"/>
        <v>1</v>
      </c>
      <c r="J999" t="str">
        <f t="shared" si="1220"/>
        <v>M</v>
      </c>
      <c r="K999" t="str">
        <f t="shared" si="1213"/>
        <v>170</v>
      </c>
      <c r="L999" t="str">
        <f>"05"</f>
        <v>05</v>
      </c>
      <c r="M999" t="str">
        <f>"001"</f>
        <v>001</v>
      </c>
      <c r="N999" t="str">
        <f t="shared" si="1217"/>
        <v>1</v>
      </c>
      <c r="O999" t="str">
        <f>"9997"</f>
        <v>9997</v>
      </c>
      <c r="P999" t="str">
        <f>"C"</f>
        <v>C</v>
      </c>
      <c r="Q999" t="str">
        <f>"EPS010"</f>
        <v>EPS010</v>
      </c>
      <c r="R999" t="str">
        <f t="shared" si="1218"/>
        <v>6</v>
      </c>
      <c r="S999" t="str">
        <f>""</f>
        <v/>
      </c>
      <c r="T999" t="str">
        <f t="shared" si="1219"/>
        <v xml:space="preserve">                                                                                                    </v>
      </c>
      <c r="U999" t="str">
        <f>"3         "</f>
        <v xml:space="preserve">3         </v>
      </c>
      <c r="V999" t="str">
        <f t="shared" si="1154"/>
        <v>2</v>
      </c>
      <c r="W999" t="str">
        <f t="shared" si="1200"/>
        <v>2</v>
      </c>
      <c r="X999" t="str">
        <f t="shared" si="1212"/>
        <v>2</v>
      </c>
      <c r="Y999" t="str">
        <f t="shared" ref="Y999:Z1018" si="1221">"2"</f>
        <v>2</v>
      </c>
      <c r="Z999" t="str">
        <f t="shared" si="1221"/>
        <v>2</v>
      </c>
      <c r="AA999" t="str">
        <f t="shared" si="1175"/>
        <v xml:space="preserve">          </v>
      </c>
      <c r="AB999" t="str">
        <f t="shared" si="1165"/>
        <v>2</v>
      </c>
      <c r="AC999" t="str">
        <f t="shared" si="1166"/>
        <v>2</v>
      </c>
      <c r="AD999" t="str">
        <f t="shared" si="1207"/>
        <v>2</v>
      </c>
      <c r="AE999" t="str">
        <f t="shared" si="1207"/>
        <v>2</v>
      </c>
      <c r="AF999" t="str">
        <f t="shared" si="1207"/>
        <v>2</v>
      </c>
      <c r="AG999" t="str">
        <f t="shared" si="1207"/>
        <v>2</v>
      </c>
      <c r="AH999" t="str">
        <f t="shared" si="1201"/>
        <v>1</v>
      </c>
      <c r="AI999" t="str">
        <f t="shared" si="1216"/>
        <v xml:space="preserve">1         </v>
      </c>
      <c r="AJ999" t="str">
        <f t="shared" si="1187"/>
        <v>170</v>
      </c>
      <c r="AK999" t="str">
        <f>"05"</f>
        <v>05</v>
      </c>
      <c r="AL999" t="str">
        <f>"001"</f>
        <v>001</v>
      </c>
      <c r="AM999" t="str">
        <f>"05"</f>
        <v>05</v>
      </c>
      <c r="AN999" t="str">
        <f>"05001"</f>
        <v>05001</v>
      </c>
      <c r="AO999" t="str">
        <f>"11/03/2020 12:00:00 a. m."</f>
        <v>11/03/2020 12:00:00 a. m.</v>
      </c>
      <c r="AP999" t="str">
        <f>"1/01/2020 12:00:00 a. m."</f>
        <v>1/01/2020 12:00:00 a. m.</v>
      </c>
      <c r="AQ999" t="str">
        <f>"3"</f>
        <v>3</v>
      </c>
      <c r="AR999" t="str">
        <f>"2"</f>
        <v>2</v>
      </c>
      <c r="AS999" t="str">
        <f>""</f>
        <v/>
      </c>
      <c r="AT999" t="str">
        <f t="shared" si="1215"/>
        <v>1</v>
      </c>
      <c r="AU999" t="str">
        <f>""</f>
        <v/>
      </c>
      <c r="AV999" t="str">
        <f>"7"</f>
        <v>7</v>
      </c>
      <c r="AW999" t="str">
        <f>"6/05/2007 12:00:00 a. m."</f>
        <v>6/05/2007 12:00:00 a. m.</v>
      </c>
      <c r="AX999" t="str">
        <f>""</f>
        <v/>
      </c>
      <c r="AY999" t="str">
        <f t="shared" si="1176"/>
        <v>30/04/2021 12:00:00 a. m.</v>
      </c>
      <c r="AZ999" t="str">
        <f>"22/07/2020 12:00:00 a. m."</f>
        <v>22/07/2020 12:00:00 a. m.</v>
      </c>
      <c r="BA999" t="str">
        <f>""</f>
        <v/>
      </c>
      <c r="BB999" t="str">
        <f>""</f>
        <v/>
      </c>
      <c r="BC999" t="str">
        <f>""</f>
        <v/>
      </c>
      <c r="BD999" t="str">
        <f t="shared" si="1210"/>
        <v>1</v>
      </c>
      <c r="BE999" t="str">
        <f t="shared" si="1210"/>
        <v>1</v>
      </c>
      <c r="BF999" t="str">
        <f t="shared" si="1178"/>
        <v xml:space="preserve">3         </v>
      </c>
      <c r="BG999" t="str">
        <f t="shared" si="1179"/>
        <v>Confirmado por laboratorio</v>
      </c>
      <c r="BH999" t="str">
        <f>"INSTITUTO DE CANCEROLOGIA SA"</f>
        <v>INSTITUTO DE CANCEROLOGIA SA</v>
      </c>
      <c r="BI999" t="str">
        <f t="shared" si="1214"/>
        <v>COLOMBIA</v>
      </c>
      <c r="BJ999" t="str">
        <f t="shared" si="1180"/>
        <v>CANCER INFANTIL</v>
      </c>
      <c r="BK999" t="str">
        <f>"ANTIOQUIA"</f>
        <v>ANTIOQUIA</v>
      </c>
      <c r="BL999" t="str">
        <f>"MEDELLIN"</f>
        <v>MEDELLIN</v>
      </c>
      <c r="BM999" t="str">
        <f t="shared" si="1188"/>
        <v>COLOMBIA</v>
      </c>
      <c r="BN999" t="str">
        <f>"ANTIOQUIA"</f>
        <v>ANTIOQUIA</v>
      </c>
      <c r="BO999" t="str">
        <f>"MEDELLIN"</f>
        <v>MEDELLIN</v>
      </c>
      <c r="BP999" t="str">
        <f>"ANTIOQUIA"</f>
        <v>ANTIOQUIA</v>
      </c>
      <c r="BQ999" t="str">
        <f>"MEDELLIN"</f>
        <v>MEDELLIN</v>
      </c>
    </row>
    <row r="1000" spans="1:69" x14ac:dyDescent="0.25">
      <c r="A1000" t="str">
        <f>"7291417"</f>
        <v>7291417</v>
      </c>
      <c r="B1000" t="str">
        <f t="shared" si="1173"/>
        <v>459</v>
      </c>
      <c r="C1000" t="str">
        <f>"24/03/2020 12:00:00 a. m."</f>
        <v>24/03/2020 12:00:00 a. m.</v>
      </c>
      <c r="D1000" t="str">
        <f>"12"</f>
        <v>12</v>
      </c>
      <c r="E1000" t="str">
        <f t="shared" si="1174"/>
        <v>2020</v>
      </c>
      <c r="F1000" t="str">
        <f>"1700101920"</f>
        <v>1700101920</v>
      </c>
      <c r="G1000" t="str">
        <f t="shared" si="1211"/>
        <v>01</v>
      </c>
      <c r="H1000" t="str">
        <f>"9"</f>
        <v>9</v>
      </c>
      <c r="I1000" t="str">
        <f t="shared" si="1209"/>
        <v>1</v>
      </c>
      <c r="J1000" t="str">
        <f t="shared" si="1220"/>
        <v>M</v>
      </c>
      <c r="K1000" t="str">
        <f t="shared" si="1213"/>
        <v>170</v>
      </c>
      <c r="L1000" t="str">
        <f>"17"</f>
        <v>17</v>
      </c>
      <c r="M1000" t="str">
        <f>"001"</f>
        <v>001</v>
      </c>
      <c r="N1000" t="str">
        <f t="shared" si="1217"/>
        <v>1</v>
      </c>
      <c r="O1000" t="str">
        <f>"9997"</f>
        <v>9997</v>
      </c>
      <c r="P1000" t="str">
        <f>"C"</f>
        <v>C</v>
      </c>
      <c r="Q1000" t="str">
        <f>"EPS005"</f>
        <v>EPS005</v>
      </c>
      <c r="R1000" t="str">
        <f t="shared" si="1218"/>
        <v>6</v>
      </c>
      <c r="S1000" t="str">
        <f>""</f>
        <v/>
      </c>
      <c r="T1000" t="str">
        <f t="shared" si="1219"/>
        <v xml:space="preserve">                                                                                                    </v>
      </c>
      <c r="U1000" t="str">
        <f>"3         "</f>
        <v xml:space="preserve">3         </v>
      </c>
      <c r="V1000" t="str">
        <f t="shared" si="1154"/>
        <v>2</v>
      </c>
      <c r="W1000" t="str">
        <f t="shared" si="1200"/>
        <v>2</v>
      </c>
      <c r="X1000" t="str">
        <f t="shared" si="1212"/>
        <v>2</v>
      </c>
      <c r="Y1000" t="str">
        <f t="shared" si="1221"/>
        <v>2</v>
      </c>
      <c r="Z1000" t="str">
        <f t="shared" si="1221"/>
        <v>2</v>
      </c>
      <c r="AA1000" t="str">
        <f t="shared" si="1175"/>
        <v xml:space="preserve">          </v>
      </c>
      <c r="AB1000" t="str">
        <f t="shared" si="1165"/>
        <v>2</v>
      </c>
      <c r="AC1000" t="str">
        <f t="shared" si="1166"/>
        <v>2</v>
      </c>
      <c r="AD1000" t="str">
        <f t="shared" ref="AD1000:AG1019" si="1222">"2"</f>
        <v>2</v>
      </c>
      <c r="AE1000" t="str">
        <f t="shared" si="1222"/>
        <v>2</v>
      </c>
      <c r="AF1000" t="str">
        <f t="shared" si="1222"/>
        <v>2</v>
      </c>
      <c r="AG1000" t="str">
        <f t="shared" si="1222"/>
        <v>2</v>
      </c>
      <c r="AH1000" t="str">
        <f t="shared" si="1201"/>
        <v>1</v>
      </c>
      <c r="AI1000" t="str">
        <f t="shared" si="1216"/>
        <v xml:space="preserve">1         </v>
      </c>
      <c r="AJ1000" t="str">
        <f t="shared" si="1187"/>
        <v>170</v>
      </c>
      <c r="AK1000" t="str">
        <f>"17"</f>
        <v>17</v>
      </c>
      <c r="AL1000" t="str">
        <f>"001"</f>
        <v>001</v>
      </c>
      <c r="AM1000" t="str">
        <f>"17"</f>
        <v>17</v>
      </c>
      <c r="AN1000" t="str">
        <f>"17001"</f>
        <v>17001</v>
      </c>
      <c r="AO1000" t="str">
        <f>"20/03/2020 12:00:00 a. m."</f>
        <v>20/03/2020 12:00:00 a. m.</v>
      </c>
      <c r="AP1000" t="str">
        <f>"20/01/2020 12:00:00 a. m."</f>
        <v>20/01/2020 12:00:00 a. m.</v>
      </c>
      <c r="AQ1000" t="str">
        <f>"2"</f>
        <v>2</v>
      </c>
      <c r="AR1000" t="str">
        <f>"1"</f>
        <v>1</v>
      </c>
      <c r="AS1000" t="str">
        <f>"20/03/2020 12:00:00 a. m."</f>
        <v>20/03/2020 12:00:00 a. m.</v>
      </c>
      <c r="AT1000" t="str">
        <f t="shared" si="1215"/>
        <v>1</v>
      </c>
      <c r="AU1000" t="str">
        <f>""</f>
        <v/>
      </c>
      <c r="AV1000" t="str">
        <f>"3"</f>
        <v>3</v>
      </c>
      <c r="AW1000" t="str">
        <f>"28/02/2011 12:00:00 a. m."</f>
        <v>28/02/2011 12:00:00 a. m.</v>
      </c>
      <c r="AX1000" t="str">
        <f>""</f>
        <v/>
      </c>
      <c r="AY1000" t="str">
        <f t="shared" si="1176"/>
        <v>30/04/2021 12:00:00 a. m.</v>
      </c>
      <c r="AZ1000" t="str">
        <f>"7/04/2020 12:00:00 a. m."</f>
        <v>7/04/2020 12:00:00 a. m.</v>
      </c>
      <c r="BA1000" t="str">
        <f>""</f>
        <v/>
      </c>
      <c r="BB1000" t="str">
        <f>""</f>
        <v/>
      </c>
      <c r="BC1000" t="str">
        <f>""</f>
        <v/>
      </c>
      <c r="BD1000" t="str">
        <f t="shared" si="1210"/>
        <v>1</v>
      </c>
      <c r="BE1000" t="str">
        <f t="shared" si="1210"/>
        <v>1</v>
      </c>
      <c r="BF1000" t="str">
        <f t="shared" si="1178"/>
        <v xml:space="preserve">3         </v>
      </c>
      <c r="BG1000" t="str">
        <f t="shared" si="1179"/>
        <v>Confirmado por laboratorio</v>
      </c>
      <c r="BH1000" t="str">
        <f>"MEINTEGRAL SAS"</f>
        <v>MEINTEGRAL SAS</v>
      </c>
      <c r="BI1000" t="str">
        <f t="shared" si="1214"/>
        <v>COLOMBIA</v>
      </c>
      <c r="BJ1000" t="str">
        <f t="shared" si="1180"/>
        <v>CANCER INFANTIL</v>
      </c>
      <c r="BK1000" t="str">
        <f>"CALDAS"</f>
        <v>CALDAS</v>
      </c>
      <c r="BL1000" t="str">
        <f>"MANIZALES"</f>
        <v>MANIZALES</v>
      </c>
      <c r="BM1000" t="str">
        <f t="shared" si="1188"/>
        <v>COLOMBIA</v>
      </c>
      <c r="BN1000" t="str">
        <f>"CALDAS"</f>
        <v>CALDAS</v>
      </c>
      <c r="BO1000" t="str">
        <f>"MANIZALES"</f>
        <v>MANIZALES</v>
      </c>
      <c r="BP1000" t="str">
        <f>"CALDAS"</f>
        <v>CALDAS</v>
      </c>
      <c r="BQ1000" t="str">
        <f>"MANIZALES"</f>
        <v>MANIZALES</v>
      </c>
    </row>
    <row r="1001" spans="1:69" x14ac:dyDescent="0.25">
      <c r="A1001" t="str">
        <f>"7291515"</f>
        <v>7291515</v>
      </c>
      <c r="B1001" t="str">
        <f t="shared" si="1173"/>
        <v>459</v>
      </c>
      <c r="C1001" t="str">
        <f>"12/01/2021 12:00:00 a. m."</f>
        <v>12/01/2021 12:00:00 a. m.</v>
      </c>
      <c r="D1001" t="str">
        <f>"53"</f>
        <v>53</v>
      </c>
      <c r="E1001" t="str">
        <f t="shared" si="1174"/>
        <v>2020</v>
      </c>
      <c r="F1001" t="str">
        <f>"0500102175"</f>
        <v>0500102175</v>
      </c>
      <c r="G1001" t="str">
        <f t="shared" si="1211"/>
        <v>01</v>
      </c>
      <c r="H1001" t="str">
        <f>"4"</f>
        <v>4</v>
      </c>
      <c r="I1001" t="str">
        <f t="shared" si="1209"/>
        <v>1</v>
      </c>
      <c r="J1001" t="str">
        <f>"F"</f>
        <v>F</v>
      </c>
      <c r="K1001" t="str">
        <f t="shared" si="1213"/>
        <v>170</v>
      </c>
      <c r="L1001" t="str">
        <f>"05"</f>
        <v>05</v>
      </c>
      <c r="M1001" t="str">
        <f>"380"</f>
        <v>380</v>
      </c>
      <c r="N1001" t="str">
        <f t="shared" si="1217"/>
        <v>1</v>
      </c>
      <c r="O1001" t="str">
        <f>"9999"</f>
        <v>9999</v>
      </c>
      <c r="P1001" t="str">
        <f>"C"</f>
        <v>C</v>
      </c>
      <c r="Q1001" t="str">
        <f>"EPS010"</f>
        <v>EPS010</v>
      </c>
      <c r="R1001" t="str">
        <f t="shared" si="1218"/>
        <v>6</v>
      </c>
      <c r="S1001" t="str">
        <f>""</f>
        <v/>
      </c>
      <c r="T1001" t="str">
        <f t="shared" si="1219"/>
        <v xml:space="preserve">                                                                                                    </v>
      </c>
      <c r="U1001" t="str">
        <f>"2         "</f>
        <v xml:space="preserve">2         </v>
      </c>
      <c r="V1001" t="str">
        <f t="shared" si="1154"/>
        <v>2</v>
      </c>
      <c r="W1001" t="str">
        <f t="shared" si="1200"/>
        <v>2</v>
      </c>
      <c r="X1001" t="str">
        <f t="shared" si="1212"/>
        <v>2</v>
      </c>
      <c r="Y1001" t="str">
        <f t="shared" si="1221"/>
        <v>2</v>
      </c>
      <c r="Z1001" t="str">
        <f t="shared" si="1221"/>
        <v>2</v>
      </c>
      <c r="AA1001" t="str">
        <f t="shared" si="1175"/>
        <v xml:space="preserve">          </v>
      </c>
      <c r="AB1001" t="str">
        <f t="shared" si="1165"/>
        <v>2</v>
      </c>
      <c r="AC1001" t="str">
        <f t="shared" si="1166"/>
        <v>2</v>
      </c>
      <c r="AD1001" t="str">
        <f t="shared" si="1222"/>
        <v>2</v>
      </c>
      <c r="AE1001" t="str">
        <f t="shared" si="1222"/>
        <v>2</v>
      </c>
      <c r="AF1001" t="str">
        <f t="shared" si="1222"/>
        <v>2</v>
      </c>
      <c r="AG1001" t="str">
        <f t="shared" si="1222"/>
        <v>2</v>
      </c>
      <c r="AH1001" t="str">
        <f t="shared" si="1201"/>
        <v>1</v>
      </c>
      <c r="AI1001" t="str">
        <f t="shared" si="1216"/>
        <v xml:space="preserve">1         </v>
      </c>
      <c r="AJ1001" t="str">
        <f t="shared" si="1187"/>
        <v>170</v>
      </c>
      <c r="AK1001" t="str">
        <f>"05"</f>
        <v>05</v>
      </c>
      <c r="AL1001" t="str">
        <f>"380"</f>
        <v>380</v>
      </c>
      <c r="AM1001" t="str">
        <f>"05"</f>
        <v>05</v>
      </c>
      <c r="AN1001" t="str">
        <f>"05001"</f>
        <v>05001</v>
      </c>
      <c r="AO1001" t="str">
        <f>"28/12/2020 12:00:00 a. m."</f>
        <v>28/12/2020 12:00:00 a. m.</v>
      </c>
      <c r="AP1001" t="str">
        <f>"14/12/2020 12:00:00 a. m."</f>
        <v>14/12/2020 12:00:00 a. m.</v>
      </c>
      <c r="AQ1001" t="str">
        <f>"2"</f>
        <v>2</v>
      </c>
      <c r="AR1001" t="str">
        <f>"1"</f>
        <v>1</v>
      </c>
      <c r="AS1001" t="str">
        <f>"28/12/2020 12:00:00 a. m."</f>
        <v>28/12/2020 12:00:00 a. m.</v>
      </c>
      <c r="AT1001" t="str">
        <f t="shared" si="1215"/>
        <v>1</v>
      </c>
      <c r="AU1001" t="str">
        <f>""</f>
        <v/>
      </c>
      <c r="AV1001" t="str">
        <f>"3"</f>
        <v>3</v>
      </c>
      <c r="AW1001" t="str">
        <f>"11/04/2016 12:00:00 a. m."</f>
        <v>11/04/2016 12:00:00 a. m.</v>
      </c>
      <c r="AX1001" t="str">
        <f>""</f>
        <v/>
      </c>
      <c r="AY1001" t="str">
        <f t="shared" si="1176"/>
        <v>30/04/2021 12:00:00 a. m.</v>
      </c>
      <c r="AZ1001" t="str">
        <f>"8/03/2021 12:00:00 a. m."</f>
        <v>8/03/2021 12:00:00 a. m.</v>
      </c>
      <c r="BA1001" t="str">
        <f>""</f>
        <v/>
      </c>
      <c r="BB1001" t="str">
        <f>""</f>
        <v/>
      </c>
      <c r="BC1001" t="str">
        <f>""</f>
        <v/>
      </c>
      <c r="BD1001" t="str">
        <f t="shared" si="1210"/>
        <v>1</v>
      </c>
      <c r="BE1001" t="str">
        <f t="shared" si="1210"/>
        <v>1</v>
      </c>
      <c r="BF1001" t="str">
        <f t="shared" si="1178"/>
        <v xml:space="preserve">3         </v>
      </c>
      <c r="BG1001" t="str">
        <f t="shared" si="1179"/>
        <v>Confirmado por laboratorio</v>
      </c>
      <c r="BH1001" t="str">
        <f>"FUNDACION HOSPITALARIA SAN VICENTE DE PAUL"</f>
        <v>FUNDACION HOSPITALARIA SAN VICENTE DE PAUL</v>
      </c>
      <c r="BI1001" t="str">
        <f t="shared" si="1214"/>
        <v>COLOMBIA</v>
      </c>
      <c r="BJ1001" t="str">
        <f t="shared" si="1180"/>
        <v>CANCER INFANTIL</v>
      </c>
      <c r="BK1001" t="str">
        <f>"ANTIOQUIA"</f>
        <v>ANTIOQUIA</v>
      </c>
      <c r="BL1001" t="str">
        <f>"LA ESTRELLA"</f>
        <v>LA ESTRELLA</v>
      </c>
      <c r="BM1001" t="str">
        <f t="shared" si="1188"/>
        <v>COLOMBIA</v>
      </c>
      <c r="BN1001" t="str">
        <f>"ANTIOQUIA"</f>
        <v>ANTIOQUIA</v>
      </c>
      <c r="BO1001" t="str">
        <f>"LA ESTRELLA"</f>
        <v>LA ESTRELLA</v>
      </c>
      <c r="BP1001" t="str">
        <f>"ANTIOQUIA"</f>
        <v>ANTIOQUIA</v>
      </c>
      <c r="BQ1001" t="str">
        <f>"MEDELLIN"</f>
        <v>MEDELLIN</v>
      </c>
    </row>
    <row r="1002" spans="1:69" x14ac:dyDescent="0.25">
      <c r="A1002" t="str">
        <f>"7291791"</f>
        <v>7291791</v>
      </c>
      <c r="B1002" t="str">
        <f t="shared" si="1173"/>
        <v>459</v>
      </c>
      <c r="C1002" t="str">
        <f>"24/06/2020 12:00:00 a. m."</f>
        <v>24/06/2020 12:00:00 a. m.</v>
      </c>
      <c r="D1002" t="str">
        <f>"22"</f>
        <v>22</v>
      </c>
      <c r="E1002" t="str">
        <f t="shared" si="1174"/>
        <v>2020</v>
      </c>
      <c r="F1002" t="str">
        <f>"0800100278"</f>
        <v>0800100278</v>
      </c>
      <c r="G1002" t="str">
        <f t="shared" si="1211"/>
        <v>01</v>
      </c>
      <c r="H1002" t="str">
        <f>"14"</f>
        <v>14</v>
      </c>
      <c r="I1002" t="str">
        <f t="shared" si="1209"/>
        <v>1</v>
      </c>
      <c r="J1002" t="str">
        <f>"F"</f>
        <v>F</v>
      </c>
      <c r="K1002" t="str">
        <f t="shared" si="1213"/>
        <v>170</v>
      </c>
      <c r="L1002" t="str">
        <f>"44"</f>
        <v>44</v>
      </c>
      <c r="M1002" t="str">
        <f>"560"</f>
        <v>560</v>
      </c>
      <c r="N1002" t="str">
        <f t="shared" si="1217"/>
        <v>1</v>
      </c>
      <c r="O1002" t="str">
        <f>"9999"</f>
        <v>9999</v>
      </c>
      <c r="P1002" t="str">
        <f>"S"</f>
        <v>S</v>
      </c>
      <c r="Q1002" t="str">
        <f>"EPSI01"</f>
        <v>EPSI01</v>
      </c>
      <c r="R1002" t="str">
        <f t="shared" si="1218"/>
        <v>6</v>
      </c>
      <c r="S1002" t="str">
        <f>""</f>
        <v/>
      </c>
      <c r="T1002" t="str">
        <f t="shared" si="1219"/>
        <v xml:space="preserve">                                                                                                    </v>
      </c>
      <c r="U1002" t="str">
        <f>"1         "</f>
        <v xml:space="preserve">1         </v>
      </c>
      <c r="V1002" t="str">
        <f t="shared" si="1154"/>
        <v>2</v>
      </c>
      <c r="W1002" t="str">
        <f t="shared" si="1200"/>
        <v>2</v>
      </c>
      <c r="X1002" t="str">
        <f t="shared" si="1212"/>
        <v>2</v>
      </c>
      <c r="Y1002" t="str">
        <f t="shared" si="1221"/>
        <v>2</v>
      </c>
      <c r="Z1002" t="str">
        <f t="shared" si="1221"/>
        <v>2</v>
      </c>
      <c r="AA1002" t="str">
        <f t="shared" si="1175"/>
        <v xml:space="preserve">          </v>
      </c>
      <c r="AB1002" t="str">
        <f t="shared" si="1165"/>
        <v>2</v>
      </c>
      <c r="AC1002" t="str">
        <f t="shared" si="1166"/>
        <v>2</v>
      </c>
      <c r="AD1002" t="str">
        <f t="shared" si="1222"/>
        <v>2</v>
      </c>
      <c r="AE1002" t="str">
        <f t="shared" si="1222"/>
        <v>2</v>
      </c>
      <c r="AF1002" t="str">
        <f t="shared" si="1222"/>
        <v>2</v>
      </c>
      <c r="AG1002" t="str">
        <f t="shared" si="1222"/>
        <v>2</v>
      </c>
      <c r="AH1002" t="str">
        <f t="shared" si="1201"/>
        <v>1</v>
      </c>
      <c r="AI1002" t="str">
        <f t="shared" si="1216"/>
        <v xml:space="preserve">1         </v>
      </c>
      <c r="AJ1002" t="str">
        <f t="shared" si="1187"/>
        <v>170</v>
      </c>
      <c r="AK1002" t="str">
        <f>"44"</f>
        <v>44</v>
      </c>
      <c r="AL1002" t="str">
        <f>"560"</f>
        <v>560</v>
      </c>
      <c r="AM1002" t="str">
        <f>"08"</f>
        <v>08</v>
      </c>
      <c r="AN1002" t="str">
        <f>"08001"</f>
        <v>08001</v>
      </c>
      <c r="AO1002" t="str">
        <f>"30/05/2020 12:00:00 a. m."</f>
        <v>30/05/2020 12:00:00 a. m.</v>
      </c>
      <c r="AP1002" t="str">
        <f>"10/02/2020 12:00:00 a. m."</f>
        <v>10/02/2020 12:00:00 a. m.</v>
      </c>
      <c r="AQ1002" t="str">
        <f>"2"</f>
        <v>2</v>
      </c>
      <c r="AR1002" t="str">
        <f>"1"</f>
        <v>1</v>
      </c>
      <c r="AS1002" t="str">
        <f>"30/05/2020 12:00:00 a. m."</f>
        <v>30/05/2020 12:00:00 a. m.</v>
      </c>
      <c r="AT1002" t="str">
        <f t="shared" si="1215"/>
        <v>1</v>
      </c>
      <c r="AU1002" t="str">
        <f>""</f>
        <v/>
      </c>
      <c r="AV1002" t="str">
        <f>"3"</f>
        <v>3</v>
      </c>
      <c r="AW1002" t="str">
        <f>"8/01/2006 12:00:00 a. m."</f>
        <v>8/01/2006 12:00:00 a. m.</v>
      </c>
      <c r="AX1002" t="str">
        <f>""</f>
        <v/>
      </c>
      <c r="AY1002" t="str">
        <f t="shared" si="1176"/>
        <v>30/04/2021 12:00:00 a. m.</v>
      </c>
      <c r="AZ1002" t="str">
        <f>"18/01/2021 12:00:00 a. m."</f>
        <v>18/01/2021 12:00:00 a. m.</v>
      </c>
      <c r="BA1002" t="str">
        <f>""</f>
        <v/>
      </c>
      <c r="BB1002" t="str">
        <f>""</f>
        <v/>
      </c>
      <c r="BC1002" t="str">
        <f>""</f>
        <v/>
      </c>
      <c r="BD1002" t="str">
        <f t="shared" ref="BD1002:BE1021" si="1223">"1"</f>
        <v>1</v>
      </c>
      <c r="BE1002" t="str">
        <f t="shared" si="1223"/>
        <v>1</v>
      </c>
      <c r="BF1002" t="str">
        <f t="shared" si="1178"/>
        <v xml:space="preserve">3         </v>
      </c>
      <c r="BG1002" t="str">
        <f t="shared" si="1179"/>
        <v>Confirmado por laboratorio</v>
      </c>
      <c r="BH1002" t="str">
        <f>"CLINICA DE LA COSTA LTDA"</f>
        <v>CLINICA DE LA COSTA LTDA</v>
      </c>
      <c r="BI1002" t="str">
        <f t="shared" si="1214"/>
        <v>COLOMBIA</v>
      </c>
      <c r="BJ1002" t="str">
        <f t="shared" si="1180"/>
        <v>CANCER INFANTIL</v>
      </c>
      <c r="BK1002" t="str">
        <f>"GUAJIRA"</f>
        <v>GUAJIRA</v>
      </c>
      <c r="BL1002" t="str">
        <f>"MANAURE"</f>
        <v>MANAURE</v>
      </c>
      <c r="BM1002" t="str">
        <f t="shared" si="1188"/>
        <v>COLOMBIA</v>
      </c>
      <c r="BN1002" t="str">
        <f>"GUAJIRA"</f>
        <v>GUAJIRA</v>
      </c>
      <c r="BO1002" t="str">
        <f>"MANAURE"</f>
        <v>MANAURE</v>
      </c>
      <c r="BP1002" t="str">
        <f>"ATLANTICO"</f>
        <v>ATLANTICO</v>
      </c>
      <c r="BQ1002" t="str">
        <f>"BARRANQUILLA"</f>
        <v>BARRANQUILLA</v>
      </c>
    </row>
    <row r="1003" spans="1:69" x14ac:dyDescent="0.25">
      <c r="A1003" t="str">
        <f>"7291677"</f>
        <v>7291677</v>
      </c>
      <c r="B1003" t="str">
        <f t="shared" si="1173"/>
        <v>459</v>
      </c>
      <c r="C1003" t="str">
        <f>"25/09/2020 12:00:00 a. m."</f>
        <v>25/09/2020 12:00:00 a. m.</v>
      </c>
      <c r="D1003" t="str">
        <f>"39"</f>
        <v>39</v>
      </c>
      <c r="E1003" t="str">
        <f t="shared" si="1174"/>
        <v>2020</v>
      </c>
      <c r="F1003" t="str">
        <f>"1100108679"</f>
        <v>1100108679</v>
      </c>
      <c r="G1003" t="str">
        <f t="shared" si="1211"/>
        <v>01</v>
      </c>
      <c r="H1003" t="str">
        <f>"16"</f>
        <v>16</v>
      </c>
      <c r="I1003" t="str">
        <f t="shared" si="1209"/>
        <v>1</v>
      </c>
      <c r="J1003" t="str">
        <f>"M"</f>
        <v>M</v>
      </c>
      <c r="K1003" t="str">
        <f t="shared" si="1213"/>
        <v>170</v>
      </c>
      <c r="L1003" t="str">
        <f>"11"</f>
        <v>11</v>
      </c>
      <c r="M1003" t="str">
        <f>"001"</f>
        <v>001</v>
      </c>
      <c r="N1003" t="str">
        <f t="shared" si="1217"/>
        <v>1</v>
      </c>
      <c r="O1003" t="str">
        <f>"9997"</f>
        <v>9997</v>
      </c>
      <c r="P1003" t="str">
        <f>"S"</f>
        <v>S</v>
      </c>
      <c r="Q1003" t="str">
        <f>"CCF053"</f>
        <v>CCF053</v>
      </c>
      <c r="R1003" t="str">
        <f t="shared" si="1218"/>
        <v>6</v>
      </c>
      <c r="S1003" t="str">
        <f>""</f>
        <v/>
      </c>
      <c r="T1003" t="str">
        <f t="shared" si="1219"/>
        <v xml:space="preserve">                                                                                                    </v>
      </c>
      <c r="U1003" t="str">
        <f>"2         "</f>
        <v xml:space="preserve">2         </v>
      </c>
      <c r="V1003" t="str">
        <f t="shared" si="1154"/>
        <v>2</v>
      </c>
      <c r="W1003" t="str">
        <f t="shared" si="1200"/>
        <v>2</v>
      </c>
      <c r="X1003" t="str">
        <f t="shared" si="1212"/>
        <v>2</v>
      </c>
      <c r="Y1003" t="str">
        <f t="shared" si="1221"/>
        <v>2</v>
      </c>
      <c r="Z1003" t="str">
        <f t="shared" si="1221"/>
        <v>2</v>
      </c>
      <c r="AA1003" t="str">
        <f t="shared" si="1175"/>
        <v xml:space="preserve">          </v>
      </c>
      <c r="AB1003" t="str">
        <f t="shared" si="1165"/>
        <v>2</v>
      </c>
      <c r="AC1003" t="str">
        <f t="shared" si="1166"/>
        <v>2</v>
      </c>
      <c r="AD1003" t="str">
        <f t="shared" si="1222"/>
        <v>2</v>
      </c>
      <c r="AE1003" t="str">
        <f t="shared" si="1222"/>
        <v>2</v>
      </c>
      <c r="AF1003" t="str">
        <f t="shared" si="1222"/>
        <v>2</v>
      </c>
      <c r="AG1003" t="str">
        <f t="shared" si="1222"/>
        <v>2</v>
      </c>
      <c r="AH1003" t="str">
        <f t="shared" si="1201"/>
        <v>1</v>
      </c>
      <c r="AI1003" t="str">
        <f t="shared" si="1216"/>
        <v xml:space="preserve">1         </v>
      </c>
      <c r="AJ1003" t="str">
        <f t="shared" si="1187"/>
        <v>170</v>
      </c>
      <c r="AK1003" t="str">
        <f>"11"</f>
        <v>11</v>
      </c>
      <c r="AL1003" t="str">
        <f>"001"</f>
        <v>001</v>
      </c>
      <c r="AM1003" t="str">
        <f>"11"</f>
        <v>11</v>
      </c>
      <c r="AN1003" t="str">
        <f>"11001"</f>
        <v>11001</v>
      </c>
      <c r="AO1003" t="str">
        <f>"24/09/2020 12:00:00 a. m."</f>
        <v>24/09/2020 12:00:00 a. m.</v>
      </c>
      <c r="AP1003" t="str">
        <f>"24/06/2020 12:00:00 a. m."</f>
        <v>24/06/2020 12:00:00 a. m.</v>
      </c>
      <c r="AQ1003" t="str">
        <f>"2"</f>
        <v>2</v>
      </c>
      <c r="AR1003" t="str">
        <f>"1"</f>
        <v>1</v>
      </c>
      <c r="AS1003" t="str">
        <f>"24/09/2020 12:00:00 a. m."</f>
        <v>24/09/2020 12:00:00 a. m.</v>
      </c>
      <c r="AT1003" t="str">
        <f t="shared" si="1215"/>
        <v>1</v>
      </c>
      <c r="AU1003" t="str">
        <f>""</f>
        <v/>
      </c>
      <c r="AV1003" t="str">
        <f>"3"</f>
        <v>3</v>
      </c>
      <c r="AW1003" t="str">
        <f>"13/12/2003 12:00:00 a. m."</f>
        <v>13/12/2003 12:00:00 a. m.</v>
      </c>
      <c r="AX1003" t="str">
        <f>""</f>
        <v/>
      </c>
      <c r="AY1003" t="str">
        <f t="shared" si="1176"/>
        <v>30/04/2021 12:00:00 a. m.</v>
      </c>
      <c r="AZ1003" t="str">
        <f>"13/10/2020 12:00:00 a. m."</f>
        <v>13/10/2020 12:00:00 a. m.</v>
      </c>
      <c r="BA1003" t="str">
        <f>""</f>
        <v/>
      </c>
      <c r="BB1003" t="str">
        <f>""</f>
        <v/>
      </c>
      <c r="BC1003" t="str">
        <f>""</f>
        <v/>
      </c>
      <c r="BD1003" t="str">
        <f t="shared" si="1223"/>
        <v>1</v>
      </c>
      <c r="BE1003" t="str">
        <f t="shared" si="1223"/>
        <v>1</v>
      </c>
      <c r="BF1003" t="str">
        <f t="shared" si="1178"/>
        <v xml:space="preserve">3         </v>
      </c>
      <c r="BG1003" t="str">
        <f t="shared" si="1179"/>
        <v>Confirmado por laboratorio</v>
      </c>
      <c r="BH1003" t="str">
        <f>"SOCIEDAD DE CIRUGIA DE BOGOTA HOSPITAL DE SAN JOSE"</f>
        <v>SOCIEDAD DE CIRUGIA DE BOGOTA HOSPITAL DE SAN JOSE</v>
      </c>
      <c r="BI1003" t="str">
        <f t="shared" si="1214"/>
        <v>COLOMBIA</v>
      </c>
      <c r="BJ1003" t="str">
        <f t="shared" si="1180"/>
        <v>CANCER INFANTIL</v>
      </c>
      <c r="BK1003" t="str">
        <f>"BOGOTA"</f>
        <v>BOGOTA</v>
      </c>
      <c r="BL1003" t="str">
        <f>"BOGOTA"</f>
        <v>BOGOTA</v>
      </c>
      <c r="BM1003" t="str">
        <f t="shared" si="1188"/>
        <v>COLOMBIA</v>
      </c>
      <c r="BN1003" t="str">
        <f t="shared" ref="BN1003:BQ1004" si="1224">"BOGOTA"</f>
        <v>BOGOTA</v>
      </c>
      <c r="BO1003" t="str">
        <f t="shared" si="1224"/>
        <v>BOGOTA</v>
      </c>
      <c r="BP1003" t="str">
        <f t="shared" si="1224"/>
        <v>BOGOTA</v>
      </c>
      <c r="BQ1003" t="str">
        <f t="shared" si="1224"/>
        <v>BOGOTA</v>
      </c>
    </row>
    <row r="1004" spans="1:69" x14ac:dyDescent="0.25">
      <c r="A1004" t="str">
        <f>"7291695"</f>
        <v>7291695</v>
      </c>
      <c r="B1004" t="str">
        <f t="shared" si="1173"/>
        <v>459</v>
      </c>
      <c r="C1004" t="str">
        <f>"24/02/2020 12:00:00 a. m."</f>
        <v>24/02/2020 12:00:00 a. m.</v>
      </c>
      <c r="D1004" t="str">
        <f>"06"</f>
        <v>06</v>
      </c>
      <c r="E1004" t="str">
        <f t="shared" si="1174"/>
        <v>2020</v>
      </c>
      <c r="F1004" t="str">
        <f>"1100105681"</f>
        <v>1100105681</v>
      </c>
      <c r="G1004" t="str">
        <f t="shared" si="1211"/>
        <v>01</v>
      </c>
      <c r="H1004" t="str">
        <f>"15"</f>
        <v>15</v>
      </c>
      <c r="I1004" t="str">
        <f t="shared" si="1209"/>
        <v>1</v>
      </c>
      <c r="J1004" t="str">
        <f>"M"</f>
        <v>M</v>
      </c>
      <c r="K1004" t="str">
        <f t="shared" si="1213"/>
        <v>170</v>
      </c>
      <c r="L1004" t="str">
        <f>"11"</f>
        <v>11</v>
      </c>
      <c r="M1004" t="str">
        <f>"001"</f>
        <v>001</v>
      </c>
      <c r="N1004" t="str">
        <f t="shared" si="1217"/>
        <v>1</v>
      </c>
      <c r="O1004" t="str">
        <f>"9997"</f>
        <v>9997</v>
      </c>
      <c r="P1004" t="str">
        <f>"C"</f>
        <v>C</v>
      </c>
      <c r="Q1004" t="str">
        <f>"EPS017"</f>
        <v>EPS017</v>
      </c>
      <c r="R1004" t="str">
        <f t="shared" si="1218"/>
        <v>6</v>
      </c>
      <c r="S1004" t="str">
        <f>""</f>
        <v/>
      </c>
      <c r="T1004" t="str">
        <f t="shared" si="1219"/>
        <v xml:space="preserve">                                                                                                    </v>
      </c>
      <c r="U1004" t="str">
        <f>"2         "</f>
        <v xml:space="preserve">2         </v>
      </c>
      <c r="V1004" t="str">
        <f t="shared" si="1154"/>
        <v>2</v>
      </c>
      <c r="W1004" t="str">
        <f t="shared" si="1200"/>
        <v>2</v>
      </c>
      <c r="X1004" t="str">
        <f t="shared" si="1212"/>
        <v>2</v>
      </c>
      <c r="Y1004" t="str">
        <f t="shared" si="1221"/>
        <v>2</v>
      </c>
      <c r="Z1004" t="str">
        <f t="shared" si="1221"/>
        <v>2</v>
      </c>
      <c r="AA1004" t="str">
        <f t="shared" si="1175"/>
        <v xml:space="preserve">          </v>
      </c>
      <c r="AB1004" t="str">
        <f t="shared" si="1165"/>
        <v>2</v>
      </c>
      <c r="AC1004" t="str">
        <f t="shared" si="1166"/>
        <v>2</v>
      </c>
      <c r="AD1004" t="str">
        <f t="shared" si="1222"/>
        <v>2</v>
      </c>
      <c r="AE1004" t="str">
        <f t="shared" si="1222"/>
        <v>2</v>
      </c>
      <c r="AF1004" t="str">
        <f t="shared" si="1222"/>
        <v>2</v>
      </c>
      <c r="AG1004" t="str">
        <f t="shared" si="1222"/>
        <v>2</v>
      </c>
      <c r="AH1004" t="str">
        <f t="shared" si="1201"/>
        <v>1</v>
      </c>
      <c r="AI1004" t="str">
        <f t="shared" si="1216"/>
        <v xml:space="preserve">1         </v>
      </c>
      <c r="AJ1004" t="str">
        <f t="shared" si="1187"/>
        <v>170</v>
      </c>
      <c r="AK1004" t="str">
        <f>"11"</f>
        <v>11</v>
      </c>
      <c r="AL1004" t="str">
        <f>"001"</f>
        <v>001</v>
      </c>
      <c r="AM1004" t="str">
        <f>"11"</f>
        <v>11</v>
      </c>
      <c r="AN1004" t="str">
        <f>"11001"</f>
        <v>11001</v>
      </c>
      <c r="AO1004" t="str">
        <f>"6/02/2020 12:00:00 a. m."</f>
        <v>6/02/2020 12:00:00 a. m.</v>
      </c>
      <c r="AP1004" t="str">
        <f>"6/09/2019 12:00:00 a. m."</f>
        <v>6/09/2019 12:00:00 a. m.</v>
      </c>
      <c r="AQ1004" t="str">
        <f>"3"</f>
        <v>3</v>
      </c>
      <c r="AR1004" t="str">
        <f>"1"</f>
        <v>1</v>
      </c>
      <c r="AS1004" t="str">
        <f>"6/02/2020 12:00:00 a. m."</f>
        <v>6/02/2020 12:00:00 a. m.</v>
      </c>
      <c r="AT1004" t="str">
        <f>"2"</f>
        <v>2</v>
      </c>
      <c r="AU1004" t="str">
        <f>"8/01/2021 12:00:00 a. m."</f>
        <v>8/01/2021 12:00:00 a. m.</v>
      </c>
      <c r="AV1004" t="str">
        <f>"7"</f>
        <v>7</v>
      </c>
      <c r="AW1004" t="str">
        <f>"9/12/2004 12:00:00 a. m."</f>
        <v>9/12/2004 12:00:00 a. m.</v>
      </c>
      <c r="AX1004" t="str">
        <f>"C780"</f>
        <v>C780</v>
      </c>
      <c r="AY1004" t="str">
        <f t="shared" si="1176"/>
        <v>30/04/2021 12:00:00 a. m.</v>
      </c>
      <c r="AZ1004" t="str">
        <f>"2/02/2021 12:00:00 a. m."</f>
        <v>2/02/2021 12:00:00 a. m.</v>
      </c>
      <c r="BA1004" t="str">
        <f>""</f>
        <v/>
      </c>
      <c r="BB1004" t="str">
        <f>""</f>
        <v/>
      </c>
      <c r="BC1004" t="str">
        <f>""</f>
        <v/>
      </c>
      <c r="BD1004" t="str">
        <f t="shared" si="1223"/>
        <v>1</v>
      </c>
      <c r="BE1004" t="str">
        <f t="shared" si="1223"/>
        <v>1</v>
      </c>
      <c r="BF1004" t="str">
        <f t="shared" si="1178"/>
        <v xml:space="preserve">3         </v>
      </c>
      <c r="BG1004" t="str">
        <f t="shared" si="1179"/>
        <v>Confirmado por laboratorio</v>
      </c>
      <c r="BH1004" t="str">
        <f>"FUNDACION HOSPITAL DE LA MISERICORDIA"</f>
        <v>FUNDACION HOSPITAL DE LA MISERICORDIA</v>
      </c>
      <c r="BI1004" t="str">
        <f t="shared" si="1214"/>
        <v>COLOMBIA</v>
      </c>
      <c r="BJ1004" t="str">
        <f t="shared" si="1180"/>
        <v>CANCER INFANTIL</v>
      </c>
      <c r="BK1004" t="str">
        <f>"BOGOTA"</f>
        <v>BOGOTA</v>
      </c>
      <c r="BL1004" t="str">
        <f>"BOGOTA"</f>
        <v>BOGOTA</v>
      </c>
      <c r="BM1004" t="str">
        <f t="shared" si="1188"/>
        <v>COLOMBIA</v>
      </c>
      <c r="BN1004" t="str">
        <f t="shared" si="1224"/>
        <v>BOGOTA</v>
      </c>
      <c r="BO1004" t="str">
        <f t="shared" si="1224"/>
        <v>BOGOTA</v>
      </c>
      <c r="BP1004" t="str">
        <f t="shared" si="1224"/>
        <v>BOGOTA</v>
      </c>
      <c r="BQ1004" t="str">
        <f t="shared" si="1224"/>
        <v>BOGOTA</v>
      </c>
    </row>
    <row r="1005" spans="1:69" x14ac:dyDescent="0.25">
      <c r="A1005" t="str">
        <f>"7291689"</f>
        <v>7291689</v>
      </c>
      <c r="B1005" t="str">
        <f t="shared" si="1173"/>
        <v>459</v>
      </c>
      <c r="C1005" t="str">
        <f>"13/10/2020 12:00:00 a. m."</f>
        <v>13/10/2020 12:00:00 a. m.</v>
      </c>
      <c r="D1005" t="str">
        <f>"40"</f>
        <v>40</v>
      </c>
      <c r="E1005" t="str">
        <f t="shared" si="1174"/>
        <v>2020</v>
      </c>
      <c r="F1005" t="str">
        <f>"7600101111"</f>
        <v>7600101111</v>
      </c>
      <c r="G1005" t="str">
        <f t="shared" si="1211"/>
        <v>01</v>
      </c>
      <c r="H1005" t="str">
        <f>"14"</f>
        <v>14</v>
      </c>
      <c r="I1005" t="str">
        <f t="shared" si="1209"/>
        <v>1</v>
      </c>
      <c r="J1005" t="str">
        <f>"M"</f>
        <v>M</v>
      </c>
      <c r="K1005" t="str">
        <f t="shared" si="1213"/>
        <v>170</v>
      </c>
      <c r="L1005" t="str">
        <f>"76"</f>
        <v>76</v>
      </c>
      <c r="M1005" t="str">
        <f>"001"</f>
        <v>001</v>
      </c>
      <c r="N1005" t="str">
        <f t="shared" si="1217"/>
        <v>1</v>
      </c>
      <c r="O1005" t="str">
        <f>"9999"</f>
        <v>9999</v>
      </c>
      <c r="P1005" t="str">
        <f>"C"</f>
        <v>C</v>
      </c>
      <c r="Q1005" t="str">
        <f>"EPS012"</f>
        <v>EPS012</v>
      </c>
      <c r="R1005" t="str">
        <f t="shared" si="1218"/>
        <v>6</v>
      </c>
      <c r="S1005" t="str">
        <f>""</f>
        <v/>
      </c>
      <c r="T1005" t="str">
        <f t="shared" si="1219"/>
        <v xml:space="preserve">                                                                                                    </v>
      </c>
      <c r="U1005" t="str">
        <f>"3         "</f>
        <v xml:space="preserve">3         </v>
      </c>
      <c r="V1005" t="str">
        <f t="shared" si="1154"/>
        <v>2</v>
      </c>
      <c r="W1005" t="str">
        <f t="shared" si="1200"/>
        <v>2</v>
      </c>
      <c r="X1005" t="str">
        <f t="shared" si="1212"/>
        <v>2</v>
      </c>
      <c r="Y1005" t="str">
        <f t="shared" si="1221"/>
        <v>2</v>
      </c>
      <c r="Z1005" t="str">
        <f t="shared" si="1221"/>
        <v>2</v>
      </c>
      <c r="AA1005" t="str">
        <f t="shared" si="1175"/>
        <v xml:space="preserve">          </v>
      </c>
      <c r="AB1005" t="str">
        <f t="shared" si="1165"/>
        <v>2</v>
      </c>
      <c r="AC1005" t="str">
        <f t="shared" si="1166"/>
        <v>2</v>
      </c>
      <c r="AD1005" t="str">
        <f t="shared" si="1222"/>
        <v>2</v>
      </c>
      <c r="AE1005" t="str">
        <f t="shared" si="1222"/>
        <v>2</v>
      </c>
      <c r="AF1005" t="str">
        <f t="shared" si="1222"/>
        <v>2</v>
      </c>
      <c r="AG1005" t="str">
        <f t="shared" si="1222"/>
        <v>2</v>
      </c>
      <c r="AH1005" t="str">
        <f t="shared" si="1201"/>
        <v>1</v>
      </c>
      <c r="AI1005" t="str">
        <f t="shared" si="1216"/>
        <v xml:space="preserve">1         </v>
      </c>
      <c r="AJ1005" t="str">
        <f t="shared" si="1187"/>
        <v>170</v>
      </c>
      <c r="AK1005" t="str">
        <f>"76"</f>
        <v>76</v>
      </c>
      <c r="AL1005" t="str">
        <f>"001"</f>
        <v>001</v>
      </c>
      <c r="AM1005" t="str">
        <f>"76"</f>
        <v>76</v>
      </c>
      <c r="AN1005" t="str">
        <f>"76001"</f>
        <v>76001</v>
      </c>
      <c r="AO1005" t="str">
        <f>"2/10/2020 12:00:00 a. m."</f>
        <v>2/10/2020 12:00:00 a. m.</v>
      </c>
      <c r="AP1005" t="str">
        <f>"25/09/2020 12:00:00 a. m."</f>
        <v>25/09/2020 12:00:00 a. m.</v>
      </c>
      <c r="AQ1005" t="str">
        <f>"3"</f>
        <v>3</v>
      </c>
      <c r="AR1005" t="str">
        <f>"2"</f>
        <v>2</v>
      </c>
      <c r="AS1005" t="str">
        <f>""</f>
        <v/>
      </c>
      <c r="AT1005" t="str">
        <f t="shared" ref="AT1005:AT1011" si="1225">"1"</f>
        <v>1</v>
      </c>
      <c r="AU1005" t="str">
        <f>""</f>
        <v/>
      </c>
      <c r="AV1005" t="str">
        <f>"0"</f>
        <v>0</v>
      </c>
      <c r="AW1005" t="str">
        <f>"14/05/2006 12:00:00 a. m."</f>
        <v>14/05/2006 12:00:00 a. m.</v>
      </c>
      <c r="AX1005" t="str">
        <f>""</f>
        <v/>
      </c>
      <c r="AY1005" t="str">
        <f t="shared" si="1176"/>
        <v>30/04/2021 12:00:00 a. m.</v>
      </c>
      <c r="AZ1005" t="str">
        <f>"13/10/2020 12:00:00 a. m."</f>
        <v>13/10/2020 12:00:00 a. m.</v>
      </c>
      <c r="BA1005" t="str">
        <f>""</f>
        <v/>
      </c>
      <c r="BB1005" t="str">
        <f>""</f>
        <v/>
      </c>
      <c r="BC1005" t="str">
        <f>""</f>
        <v/>
      </c>
      <c r="BD1005" t="str">
        <f t="shared" si="1223"/>
        <v>1</v>
      </c>
      <c r="BE1005" t="str">
        <f t="shared" si="1223"/>
        <v>1</v>
      </c>
      <c r="BF1005" t="str">
        <f t="shared" si="1178"/>
        <v xml:space="preserve">3         </v>
      </c>
      <c r="BG1005" t="str">
        <f t="shared" si="1179"/>
        <v>Confirmado por laboratorio</v>
      </c>
      <c r="BH1005" t="str">
        <f>"CENTRO MEDICO IMBANACO CMI"</f>
        <v>CENTRO MEDICO IMBANACO CMI</v>
      </c>
      <c r="BI1005" t="str">
        <f t="shared" si="1214"/>
        <v>COLOMBIA</v>
      </c>
      <c r="BJ1005" t="str">
        <f t="shared" si="1180"/>
        <v>CANCER INFANTIL</v>
      </c>
      <c r="BK1005" t="str">
        <f>"VALLE"</f>
        <v>VALLE</v>
      </c>
      <c r="BL1005" t="str">
        <f>"CALI"</f>
        <v>CALI</v>
      </c>
      <c r="BM1005" t="str">
        <f t="shared" si="1188"/>
        <v>COLOMBIA</v>
      </c>
      <c r="BN1005" t="str">
        <f>"VALLE"</f>
        <v>VALLE</v>
      </c>
      <c r="BO1005" t="str">
        <f>"CALI"</f>
        <v>CALI</v>
      </c>
      <c r="BP1005" t="str">
        <f>"VALLE"</f>
        <v>VALLE</v>
      </c>
      <c r="BQ1005" t="str">
        <f>"CALI"</f>
        <v>CALI</v>
      </c>
    </row>
    <row r="1006" spans="1:69" x14ac:dyDescent="0.25">
      <c r="A1006" t="str">
        <f>"7291652"</f>
        <v>7291652</v>
      </c>
      <c r="B1006" t="str">
        <f t="shared" si="1173"/>
        <v>459</v>
      </c>
      <c r="C1006" t="str">
        <f>"15/09/2020 12:00:00 a. m."</f>
        <v>15/09/2020 12:00:00 a. m.</v>
      </c>
      <c r="D1006" t="str">
        <f>"08"</f>
        <v>08</v>
      </c>
      <c r="E1006" t="str">
        <f t="shared" si="1174"/>
        <v>2020</v>
      </c>
      <c r="F1006" t="str">
        <f>"1100105681"</f>
        <v>1100105681</v>
      </c>
      <c r="G1006" t="str">
        <f t="shared" si="1211"/>
        <v>01</v>
      </c>
      <c r="H1006" t="str">
        <f>"3"</f>
        <v>3</v>
      </c>
      <c r="I1006" t="str">
        <f t="shared" si="1209"/>
        <v>1</v>
      </c>
      <c r="J1006" t="str">
        <f>"F"</f>
        <v>F</v>
      </c>
      <c r="K1006" t="str">
        <f t="shared" si="1213"/>
        <v>170</v>
      </c>
      <c r="L1006" t="str">
        <f>"25"</f>
        <v>25</v>
      </c>
      <c r="M1006" t="str">
        <f>"307"</f>
        <v>307</v>
      </c>
      <c r="N1006" t="str">
        <f>"3"</f>
        <v>3</v>
      </c>
      <c r="O1006" t="str">
        <f>"9999"</f>
        <v>9999</v>
      </c>
      <c r="P1006" t="str">
        <f>"C"</f>
        <v>C</v>
      </c>
      <c r="Q1006" t="str">
        <f>"EPS002"</f>
        <v>EPS002</v>
      </c>
      <c r="R1006" t="str">
        <f t="shared" si="1218"/>
        <v>6</v>
      </c>
      <c r="S1006" t="str">
        <f>""</f>
        <v/>
      </c>
      <c r="T1006" t="str">
        <f t="shared" si="1219"/>
        <v xml:space="preserve">                                                                                                    </v>
      </c>
      <c r="U1006" t="str">
        <f>"2         "</f>
        <v xml:space="preserve">2         </v>
      </c>
      <c r="V1006" t="str">
        <f t="shared" si="1154"/>
        <v>2</v>
      </c>
      <c r="W1006" t="str">
        <f t="shared" si="1200"/>
        <v>2</v>
      </c>
      <c r="X1006" t="str">
        <f t="shared" si="1212"/>
        <v>2</v>
      </c>
      <c r="Y1006" t="str">
        <f t="shared" si="1221"/>
        <v>2</v>
      </c>
      <c r="Z1006" t="str">
        <f t="shared" si="1221"/>
        <v>2</v>
      </c>
      <c r="AA1006" t="str">
        <f t="shared" si="1175"/>
        <v xml:space="preserve">          </v>
      </c>
      <c r="AB1006" t="str">
        <f t="shared" si="1165"/>
        <v>2</v>
      </c>
      <c r="AC1006" t="str">
        <f t="shared" si="1166"/>
        <v>2</v>
      </c>
      <c r="AD1006" t="str">
        <f t="shared" si="1222"/>
        <v>2</v>
      </c>
      <c r="AE1006" t="str">
        <f t="shared" si="1222"/>
        <v>2</v>
      </c>
      <c r="AF1006" t="str">
        <f t="shared" si="1222"/>
        <v>2</v>
      </c>
      <c r="AG1006" t="str">
        <f t="shared" si="1222"/>
        <v>2</v>
      </c>
      <c r="AH1006" t="str">
        <f t="shared" si="1201"/>
        <v>1</v>
      </c>
      <c r="AI1006" t="str">
        <f t="shared" si="1216"/>
        <v xml:space="preserve">1         </v>
      </c>
      <c r="AJ1006" t="str">
        <f t="shared" si="1187"/>
        <v>170</v>
      </c>
      <c r="AK1006" t="str">
        <f>"25"</f>
        <v>25</v>
      </c>
      <c r="AL1006" t="str">
        <f>"307"</f>
        <v>307</v>
      </c>
      <c r="AM1006" t="str">
        <f>"11"</f>
        <v>11</v>
      </c>
      <c r="AN1006" t="str">
        <f>"11001"</f>
        <v>11001</v>
      </c>
      <c r="AO1006" t="str">
        <f>"18/02/2020 12:00:00 a. m."</f>
        <v>18/02/2020 12:00:00 a. m.</v>
      </c>
      <c r="AP1006" t="str">
        <f>"18/02/2020 12:00:00 a. m."</f>
        <v>18/02/2020 12:00:00 a. m.</v>
      </c>
      <c r="AQ1006" t="str">
        <f>"3"</f>
        <v>3</v>
      </c>
      <c r="AR1006" t="str">
        <f t="shared" ref="AR1006:AR1019" si="1226">"1"</f>
        <v>1</v>
      </c>
      <c r="AS1006" t="str">
        <f>"18/02/2020 12:00:00 a. m."</f>
        <v>18/02/2020 12:00:00 a. m.</v>
      </c>
      <c r="AT1006" t="str">
        <f t="shared" si="1225"/>
        <v>1</v>
      </c>
      <c r="AU1006" t="str">
        <f>""</f>
        <v/>
      </c>
      <c r="AV1006" t="str">
        <f>"0"</f>
        <v>0</v>
      </c>
      <c r="AW1006" t="str">
        <f>"5/05/2017 12:00:00 a. m."</f>
        <v>5/05/2017 12:00:00 a. m.</v>
      </c>
      <c r="AX1006" t="str">
        <f>""</f>
        <v/>
      </c>
      <c r="AY1006" t="str">
        <f t="shared" si="1176"/>
        <v>30/04/2021 12:00:00 a. m.</v>
      </c>
      <c r="AZ1006" t="str">
        <f>"15/09/2020 12:00:00 a. m."</f>
        <v>15/09/2020 12:00:00 a. m.</v>
      </c>
      <c r="BA1006" t="str">
        <f>""</f>
        <v/>
      </c>
      <c r="BB1006" t="str">
        <f>""</f>
        <v/>
      </c>
      <c r="BC1006" t="str">
        <f>""</f>
        <v/>
      </c>
      <c r="BD1006" t="str">
        <f t="shared" si="1223"/>
        <v>1</v>
      </c>
      <c r="BE1006" t="str">
        <f t="shared" si="1223"/>
        <v>1</v>
      </c>
      <c r="BF1006" t="str">
        <f t="shared" si="1178"/>
        <v xml:space="preserve">3         </v>
      </c>
      <c r="BG1006" t="str">
        <f t="shared" si="1179"/>
        <v>Confirmado por laboratorio</v>
      </c>
      <c r="BH1006" t="str">
        <f>"FUNDACION HOSPITAL DE LA MISERICORDIA"</f>
        <v>FUNDACION HOSPITAL DE LA MISERICORDIA</v>
      </c>
      <c r="BI1006" t="str">
        <f t="shared" si="1214"/>
        <v>COLOMBIA</v>
      </c>
      <c r="BJ1006" t="str">
        <f t="shared" si="1180"/>
        <v>CANCER INFANTIL</v>
      </c>
      <c r="BK1006" t="str">
        <f>"CUNDINAMARCA"</f>
        <v>CUNDINAMARCA</v>
      </c>
      <c r="BL1006" t="str">
        <f>"GIRARDOT"</f>
        <v>GIRARDOT</v>
      </c>
      <c r="BM1006" t="str">
        <f t="shared" si="1188"/>
        <v>COLOMBIA</v>
      </c>
      <c r="BN1006" t="str">
        <f>"CUNDINAMARCA"</f>
        <v>CUNDINAMARCA</v>
      </c>
      <c r="BO1006" t="str">
        <f>"GIRARDOT"</f>
        <v>GIRARDOT</v>
      </c>
      <c r="BP1006" t="str">
        <f>"BOGOTA"</f>
        <v>BOGOTA</v>
      </c>
      <c r="BQ1006" t="str">
        <f>"BOGOTA"</f>
        <v>BOGOTA</v>
      </c>
    </row>
    <row r="1007" spans="1:69" x14ac:dyDescent="0.25">
      <c r="A1007" t="str">
        <f>"7291653"</f>
        <v>7291653</v>
      </c>
      <c r="B1007" t="str">
        <f t="shared" si="1173"/>
        <v>459</v>
      </c>
      <c r="C1007" t="str">
        <f>"26/11/2020 12:00:00 a. m."</f>
        <v>26/11/2020 12:00:00 a. m.</v>
      </c>
      <c r="D1007" t="str">
        <f>"46"</f>
        <v>46</v>
      </c>
      <c r="E1007" t="str">
        <f t="shared" si="1174"/>
        <v>2020</v>
      </c>
      <c r="F1007" t="str">
        <f>"1100105681"</f>
        <v>1100105681</v>
      </c>
      <c r="G1007" t="str">
        <f t="shared" si="1211"/>
        <v>01</v>
      </c>
      <c r="H1007" t="str">
        <f>"2"</f>
        <v>2</v>
      </c>
      <c r="I1007" t="str">
        <f t="shared" si="1209"/>
        <v>1</v>
      </c>
      <c r="J1007" t="str">
        <f>"F"</f>
        <v>F</v>
      </c>
      <c r="K1007" t="str">
        <f t="shared" si="1213"/>
        <v>170</v>
      </c>
      <c r="L1007" t="str">
        <f>"25"</f>
        <v>25</v>
      </c>
      <c r="M1007" t="str">
        <f>"307"</f>
        <v>307</v>
      </c>
      <c r="N1007" t="str">
        <f t="shared" ref="N1007:N1014" si="1227">"1"</f>
        <v>1</v>
      </c>
      <c r="O1007" t="str">
        <f>"9999"</f>
        <v>9999</v>
      </c>
      <c r="P1007" t="str">
        <f>"C"</f>
        <v>C</v>
      </c>
      <c r="Q1007" t="str">
        <f>"EPS002"</f>
        <v>EPS002</v>
      </c>
      <c r="R1007" t="str">
        <f t="shared" si="1218"/>
        <v>6</v>
      </c>
      <c r="S1007" t="str">
        <f>""</f>
        <v/>
      </c>
      <c r="T1007" t="str">
        <f t="shared" si="1219"/>
        <v xml:space="preserve">                                                                                                    </v>
      </c>
      <c r="U1007" t="str">
        <f>"2         "</f>
        <v xml:space="preserve">2         </v>
      </c>
      <c r="V1007" t="str">
        <f t="shared" si="1154"/>
        <v>2</v>
      </c>
      <c r="W1007" t="str">
        <f t="shared" si="1200"/>
        <v>2</v>
      </c>
      <c r="X1007" t="str">
        <f t="shared" si="1212"/>
        <v>2</v>
      </c>
      <c r="Y1007" t="str">
        <f t="shared" si="1221"/>
        <v>2</v>
      </c>
      <c r="Z1007" t="str">
        <f t="shared" si="1221"/>
        <v>2</v>
      </c>
      <c r="AA1007" t="str">
        <f t="shared" si="1175"/>
        <v xml:space="preserve">          </v>
      </c>
      <c r="AB1007" t="str">
        <f t="shared" si="1165"/>
        <v>2</v>
      </c>
      <c r="AC1007" t="str">
        <f t="shared" si="1166"/>
        <v>2</v>
      </c>
      <c r="AD1007" t="str">
        <f t="shared" si="1222"/>
        <v>2</v>
      </c>
      <c r="AE1007" t="str">
        <f t="shared" si="1222"/>
        <v>2</v>
      </c>
      <c r="AF1007" t="str">
        <f t="shared" si="1222"/>
        <v>2</v>
      </c>
      <c r="AG1007" t="str">
        <f t="shared" si="1222"/>
        <v>2</v>
      </c>
      <c r="AH1007" t="str">
        <f t="shared" si="1201"/>
        <v>1</v>
      </c>
      <c r="AI1007" t="str">
        <f t="shared" si="1216"/>
        <v xml:space="preserve">1         </v>
      </c>
      <c r="AJ1007" t="str">
        <f t="shared" si="1187"/>
        <v>170</v>
      </c>
      <c r="AK1007" t="str">
        <f>"25"</f>
        <v>25</v>
      </c>
      <c r="AL1007" t="str">
        <f>"307"</f>
        <v>307</v>
      </c>
      <c r="AM1007" t="str">
        <f>"11"</f>
        <v>11</v>
      </c>
      <c r="AN1007" t="str">
        <f>"11001"</f>
        <v>11001</v>
      </c>
      <c r="AO1007" t="str">
        <f>"10/11/2020 12:00:00 a. m."</f>
        <v>10/11/2020 12:00:00 a. m.</v>
      </c>
      <c r="AP1007" t="str">
        <f>"1/11/2020 12:00:00 a. m."</f>
        <v>1/11/2020 12:00:00 a. m.</v>
      </c>
      <c r="AQ1007" t="str">
        <f>"3"</f>
        <v>3</v>
      </c>
      <c r="AR1007" t="str">
        <f t="shared" si="1226"/>
        <v>1</v>
      </c>
      <c r="AS1007" t="str">
        <f>"10/11/2020 12:00:00 a. m."</f>
        <v>10/11/2020 12:00:00 a. m.</v>
      </c>
      <c r="AT1007" t="str">
        <f t="shared" si="1225"/>
        <v>1</v>
      </c>
      <c r="AU1007" t="str">
        <f>""</f>
        <v/>
      </c>
      <c r="AV1007" t="str">
        <f>"0"</f>
        <v>0</v>
      </c>
      <c r="AW1007" t="str">
        <f>"4/09/2018 12:00:00 a. m."</f>
        <v>4/09/2018 12:00:00 a. m.</v>
      </c>
      <c r="AX1007" t="str">
        <f>""</f>
        <v/>
      </c>
      <c r="AY1007" t="str">
        <f t="shared" si="1176"/>
        <v>30/04/2021 12:00:00 a. m.</v>
      </c>
      <c r="AZ1007" t="str">
        <f>"8/01/2021 12:00:00 a. m."</f>
        <v>8/01/2021 12:00:00 a. m.</v>
      </c>
      <c r="BA1007" t="str">
        <f>""</f>
        <v/>
      </c>
      <c r="BB1007" t="str">
        <f>""</f>
        <v/>
      </c>
      <c r="BC1007" t="str">
        <f>""</f>
        <v/>
      </c>
      <c r="BD1007" t="str">
        <f t="shared" si="1223"/>
        <v>1</v>
      </c>
      <c r="BE1007" t="str">
        <f t="shared" si="1223"/>
        <v>1</v>
      </c>
      <c r="BF1007" t="str">
        <f t="shared" si="1178"/>
        <v xml:space="preserve">3         </v>
      </c>
      <c r="BG1007" t="str">
        <f t="shared" si="1179"/>
        <v>Confirmado por laboratorio</v>
      </c>
      <c r="BH1007" t="str">
        <f>"FUNDACION HOSPITAL DE LA MISERICORDIA"</f>
        <v>FUNDACION HOSPITAL DE LA MISERICORDIA</v>
      </c>
      <c r="BI1007" t="str">
        <f t="shared" si="1214"/>
        <v>COLOMBIA</v>
      </c>
      <c r="BJ1007" t="str">
        <f t="shared" si="1180"/>
        <v>CANCER INFANTIL</v>
      </c>
      <c r="BK1007" t="str">
        <f>"CUNDINAMARCA"</f>
        <v>CUNDINAMARCA</v>
      </c>
      <c r="BL1007" t="str">
        <f>"GIRARDOT"</f>
        <v>GIRARDOT</v>
      </c>
      <c r="BM1007" t="str">
        <f t="shared" si="1188"/>
        <v>COLOMBIA</v>
      </c>
      <c r="BN1007" t="str">
        <f>"CUNDINAMARCA"</f>
        <v>CUNDINAMARCA</v>
      </c>
      <c r="BO1007" t="str">
        <f>"GIRARDOT"</f>
        <v>GIRARDOT</v>
      </c>
      <c r="BP1007" t="str">
        <f>"BOGOTA"</f>
        <v>BOGOTA</v>
      </c>
      <c r="BQ1007" t="str">
        <f>"BOGOTA"</f>
        <v>BOGOTA</v>
      </c>
    </row>
    <row r="1008" spans="1:69" x14ac:dyDescent="0.25">
      <c r="A1008" t="str">
        <f>"7279026"</f>
        <v>7279026</v>
      </c>
      <c r="B1008" t="str">
        <f t="shared" si="1173"/>
        <v>459</v>
      </c>
      <c r="C1008" t="str">
        <f>"30/04/2020 12:00:00 a. m."</f>
        <v>30/04/2020 12:00:00 a. m.</v>
      </c>
      <c r="D1008" t="str">
        <f>"18"</f>
        <v>18</v>
      </c>
      <c r="E1008" t="str">
        <f t="shared" si="1174"/>
        <v>2020</v>
      </c>
      <c r="F1008" t="str">
        <f>"5200100283"</f>
        <v>5200100283</v>
      </c>
      <c r="G1008" t="str">
        <f t="shared" si="1211"/>
        <v>01</v>
      </c>
      <c r="H1008" t="str">
        <f>"5"</f>
        <v>5</v>
      </c>
      <c r="I1008" t="str">
        <f t="shared" si="1209"/>
        <v>1</v>
      </c>
      <c r="J1008" t="str">
        <f>"F"</f>
        <v>F</v>
      </c>
      <c r="K1008" t="str">
        <f t="shared" si="1213"/>
        <v>170</v>
      </c>
      <c r="L1008" t="str">
        <f>"52"</f>
        <v>52</v>
      </c>
      <c r="M1008" t="str">
        <f>"356"</f>
        <v>356</v>
      </c>
      <c r="N1008" t="str">
        <f t="shared" si="1227"/>
        <v>1</v>
      </c>
      <c r="O1008" t="str">
        <f>"9997"</f>
        <v>9997</v>
      </c>
      <c r="P1008" t="str">
        <f>"S"</f>
        <v>S</v>
      </c>
      <c r="Q1008" t="str">
        <f>"EPSI05"</f>
        <v>EPSI05</v>
      </c>
      <c r="R1008" t="str">
        <f t="shared" si="1218"/>
        <v>6</v>
      </c>
      <c r="S1008" t="str">
        <f>""</f>
        <v/>
      </c>
      <c r="T1008" t="str">
        <f t="shared" si="1219"/>
        <v xml:space="preserve">                                                                                                    </v>
      </c>
      <c r="U1008" t="str">
        <f>"1         "</f>
        <v xml:space="preserve">1         </v>
      </c>
      <c r="V1008" t="str">
        <f t="shared" si="1154"/>
        <v>2</v>
      </c>
      <c r="W1008" t="str">
        <f t="shared" si="1200"/>
        <v>2</v>
      </c>
      <c r="X1008" t="str">
        <f t="shared" si="1212"/>
        <v>2</v>
      </c>
      <c r="Y1008" t="str">
        <f t="shared" si="1221"/>
        <v>2</v>
      </c>
      <c r="Z1008" t="str">
        <f t="shared" si="1221"/>
        <v>2</v>
      </c>
      <c r="AA1008" t="str">
        <f t="shared" si="1175"/>
        <v xml:space="preserve">          </v>
      </c>
      <c r="AB1008" t="str">
        <f t="shared" si="1165"/>
        <v>2</v>
      </c>
      <c r="AC1008" t="str">
        <f t="shared" si="1166"/>
        <v>2</v>
      </c>
      <c r="AD1008" t="str">
        <f t="shared" si="1222"/>
        <v>2</v>
      </c>
      <c r="AE1008" t="str">
        <f t="shared" si="1222"/>
        <v>2</v>
      </c>
      <c r="AF1008" t="str">
        <f t="shared" si="1222"/>
        <v>2</v>
      </c>
      <c r="AG1008" t="str">
        <f t="shared" si="1222"/>
        <v>2</v>
      </c>
      <c r="AH1008" t="str">
        <f t="shared" si="1201"/>
        <v>1</v>
      </c>
      <c r="AI1008" t="str">
        <f t="shared" si="1216"/>
        <v xml:space="preserve">1         </v>
      </c>
      <c r="AJ1008" t="str">
        <f t="shared" si="1187"/>
        <v>170</v>
      </c>
      <c r="AK1008" t="str">
        <f>"52"</f>
        <v>52</v>
      </c>
      <c r="AL1008" t="str">
        <f>"356"</f>
        <v>356</v>
      </c>
      <c r="AM1008" t="str">
        <f>"52"</f>
        <v>52</v>
      </c>
      <c r="AN1008" t="str">
        <f>"52001"</f>
        <v>52001</v>
      </c>
      <c r="AO1008" t="str">
        <f>"30/04/2020 12:00:00 a. m."</f>
        <v>30/04/2020 12:00:00 a. m.</v>
      </c>
      <c r="AP1008" t="str">
        <f>"28/04/2020 12:00:00 a. m."</f>
        <v>28/04/2020 12:00:00 a. m.</v>
      </c>
      <c r="AQ1008" t="str">
        <f>"2"</f>
        <v>2</v>
      </c>
      <c r="AR1008" t="str">
        <f t="shared" si="1226"/>
        <v>1</v>
      </c>
      <c r="AS1008" t="str">
        <f>"30/04/2020 12:00:00 a. m."</f>
        <v>30/04/2020 12:00:00 a. m.</v>
      </c>
      <c r="AT1008" t="str">
        <f t="shared" si="1225"/>
        <v>1</v>
      </c>
      <c r="AU1008" t="str">
        <f>""</f>
        <v/>
      </c>
      <c r="AV1008" t="str">
        <f>"3"</f>
        <v>3</v>
      </c>
      <c r="AW1008" t="str">
        <f>"11/04/2015 12:00:00 a. m."</f>
        <v>11/04/2015 12:00:00 a. m.</v>
      </c>
      <c r="AX1008" t="str">
        <f>""</f>
        <v/>
      </c>
      <c r="AY1008" t="str">
        <f t="shared" si="1176"/>
        <v>30/04/2021 12:00:00 a. m.</v>
      </c>
      <c r="AZ1008" t="str">
        <f>"15/07/2020 12:00:00 a. m."</f>
        <v>15/07/2020 12:00:00 a. m.</v>
      </c>
      <c r="BA1008" t="str">
        <f>""</f>
        <v/>
      </c>
      <c r="BB1008" t="str">
        <f>""</f>
        <v/>
      </c>
      <c r="BC1008" t="str">
        <f>""</f>
        <v/>
      </c>
      <c r="BD1008" t="str">
        <f t="shared" si="1223"/>
        <v>1</v>
      </c>
      <c r="BE1008" t="str">
        <f t="shared" si="1223"/>
        <v>1</v>
      </c>
      <c r="BF1008" t="str">
        <f t="shared" si="1178"/>
        <v xml:space="preserve">3         </v>
      </c>
      <c r="BG1008" t="str">
        <f t="shared" si="1179"/>
        <v>Confirmado por laboratorio</v>
      </c>
      <c r="BH1008" t="str">
        <f>"HOSPITAL INFANTIL LOS ANGELES"</f>
        <v>HOSPITAL INFANTIL LOS ANGELES</v>
      </c>
      <c r="BI1008" t="str">
        <f t="shared" si="1214"/>
        <v>COLOMBIA</v>
      </c>
      <c r="BJ1008" t="str">
        <f t="shared" si="1180"/>
        <v>CANCER INFANTIL</v>
      </c>
      <c r="BK1008" t="str">
        <f>"NARIÑO"</f>
        <v>NARIÑO</v>
      </c>
      <c r="BL1008" t="str">
        <f>"IPIALES"</f>
        <v>IPIALES</v>
      </c>
      <c r="BM1008" t="str">
        <f t="shared" si="1188"/>
        <v>COLOMBIA</v>
      </c>
      <c r="BN1008" t="str">
        <f>"NARIÑO"</f>
        <v>NARIÑO</v>
      </c>
      <c r="BO1008" t="str">
        <f>"IPIALES"</f>
        <v>IPIALES</v>
      </c>
      <c r="BP1008" t="str">
        <f>"NARIÑO"</f>
        <v>NARIÑO</v>
      </c>
      <c r="BQ1008" t="str">
        <f>"PASTO"</f>
        <v>PASTO</v>
      </c>
    </row>
    <row r="1009" spans="1:69" x14ac:dyDescent="0.25">
      <c r="A1009" t="str">
        <f>"7279007"</f>
        <v>7279007</v>
      </c>
      <c r="B1009" t="str">
        <f t="shared" si="1173"/>
        <v>459</v>
      </c>
      <c r="C1009" t="str">
        <f>"19/11/2020 12:00:00 a. m."</f>
        <v>19/11/2020 12:00:00 a. m.</v>
      </c>
      <c r="D1009" t="str">
        <f>"37"</f>
        <v>37</v>
      </c>
      <c r="E1009" t="str">
        <f t="shared" si="1174"/>
        <v>2020</v>
      </c>
      <c r="F1009" t="str">
        <f>"1100105681"</f>
        <v>1100105681</v>
      </c>
      <c r="G1009" t="str">
        <f t="shared" si="1211"/>
        <v>01</v>
      </c>
      <c r="H1009" t="str">
        <f>"12"</f>
        <v>12</v>
      </c>
      <c r="I1009" t="str">
        <f t="shared" si="1209"/>
        <v>1</v>
      </c>
      <c r="J1009" t="str">
        <f>"M"</f>
        <v>M</v>
      </c>
      <c r="K1009" t="str">
        <f t="shared" si="1213"/>
        <v>170</v>
      </c>
      <c r="L1009" t="str">
        <f>"11"</f>
        <v>11</v>
      </c>
      <c r="M1009" t="str">
        <f>"001"</f>
        <v>001</v>
      </c>
      <c r="N1009" t="str">
        <f t="shared" si="1227"/>
        <v>1</v>
      </c>
      <c r="O1009" t="str">
        <f>"9997"</f>
        <v>9997</v>
      </c>
      <c r="P1009" t="str">
        <f>"C"</f>
        <v>C</v>
      </c>
      <c r="Q1009" t="str">
        <f>"ESSC24"</f>
        <v>ESSC24</v>
      </c>
      <c r="R1009" t="str">
        <f t="shared" si="1218"/>
        <v>6</v>
      </c>
      <c r="S1009" t="str">
        <f>""</f>
        <v/>
      </c>
      <c r="T1009" t="str">
        <f t="shared" si="1219"/>
        <v xml:space="preserve">                                                                                                    </v>
      </c>
      <c r="U1009" t="str">
        <f>"2         "</f>
        <v xml:space="preserve">2         </v>
      </c>
      <c r="V1009" t="str">
        <f t="shared" si="1154"/>
        <v>2</v>
      </c>
      <c r="W1009" t="str">
        <f t="shared" ref="W1009:W1040" si="1228">"2"</f>
        <v>2</v>
      </c>
      <c r="X1009" t="str">
        <f t="shared" si="1212"/>
        <v>2</v>
      </c>
      <c r="Y1009" t="str">
        <f t="shared" si="1221"/>
        <v>2</v>
      </c>
      <c r="Z1009" t="str">
        <f t="shared" si="1221"/>
        <v>2</v>
      </c>
      <c r="AA1009" t="str">
        <f t="shared" si="1175"/>
        <v xml:space="preserve">          </v>
      </c>
      <c r="AB1009" t="str">
        <f t="shared" si="1165"/>
        <v>2</v>
      </c>
      <c r="AC1009" t="str">
        <f t="shared" si="1166"/>
        <v>2</v>
      </c>
      <c r="AD1009" t="str">
        <f t="shared" si="1222"/>
        <v>2</v>
      </c>
      <c r="AE1009" t="str">
        <f t="shared" si="1222"/>
        <v>2</v>
      </c>
      <c r="AF1009" t="str">
        <f t="shared" si="1222"/>
        <v>2</v>
      </c>
      <c r="AG1009" t="str">
        <f t="shared" si="1222"/>
        <v>2</v>
      </c>
      <c r="AH1009" t="str">
        <f t="shared" ref="AH1009:AH1015" si="1229">"1"</f>
        <v>1</v>
      </c>
      <c r="AI1009" t="str">
        <f t="shared" si="1216"/>
        <v xml:space="preserve">1         </v>
      </c>
      <c r="AJ1009" t="str">
        <f t="shared" si="1187"/>
        <v>170</v>
      </c>
      <c r="AK1009" t="str">
        <f>"11"</f>
        <v>11</v>
      </c>
      <c r="AL1009" t="str">
        <f>"001"</f>
        <v>001</v>
      </c>
      <c r="AM1009" t="str">
        <f>"11"</f>
        <v>11</v>
      </c>
      <c r="AN1009" t="str">
        <f>"11001"</f>
        <v>11001</v>
      </c>
      <c r="AO1009" t="str">
        <f>"8/09/2020 12:00:00 a. m."</f>
        <v>8/09/2020 12:00:00 a. m.</v>
      </c>
      <c r="AP1009" t="str">
        <f>"1/09/2020 12:00:00 a. m."</f>
        <v>1/09/2020 12:00:00 a. m.</v>
      </c>
      <c r="AQ1009" t="str">
        <f t="shared" ref="AQ1009:AQ1015" si="1230">"3"</f>
        <v>3</v>
      </c>
      <c r="AR1009" t="str">
        <f t="shared" si="1226"/>
        <v>1</v>
      </c>
      <c r="AS1009" t="str">
        <f>"8/09/2020 12:00:00 a. m."</f>
        <v>8/09/2020 12:00:00 a. m.</v>
      </c>
      <c r="AT1009" t="str">
        <f t="shared" si="1225"/>
        <v>1</v>
      </c>
      <c r="AU1009" t="str">
        <f>""</f>
        <v/>
      </c>
      <c r="AV1009" t="str">
        <f>"0"</f>
        <v>0</v>
      </c>
      <c r="AW1009" t="str">
        <f>"7/11/2008 12:00:00 a. m."</f>
        <v>7/11/2008 12:00:00 a. m.</v>
      </c>
      <c r="AX1009" t="str">
        <f>""</f>
        <v/>
      </c>
      <c r="AY1009" t="str">
        <f t="shared" si="1176"/>
        <v>30/04/2021 12:00:00 a. m.</v>
      </c>
      <c r="AZ1009" t="str">
        <f>"19/11/2020 12:00:00 a. m."</f>
        <v>19/11/2020 12:00:00 a. m.</v>
      </c>
      <c r="BA1009" t="str">
        <f>""</f>
        <v/>
      </c>
      <c r="BB1009" t="str">
        <f>""</f>
        <v/>
      </c>
      <c r="BC1009" t="str">
        <f>""</f>
        <v/>
      </c>
      <c r="BD1009" t="str">
        <f t="shared" si="1223"/>
        <v>1</v>
      </c>
      <c r="BE1009" t="str">
        <f t="shared" si="1223"/>
        <v>1</v>
      </c>
      <c r="BF1009" t="str">
        <f t="shared" si="1178"/>
        <v xml:space="preserve">3         </v>
      </c>
      <c r="BG1009" t="str">
        <f t="shared" si="1179"/>
        <v>Confirmado por laboratorio</v>
      </c>
      <c r="BH1009" t="str">
        <f>"FUNDACION HOSPITAL DE LA MISERICORDIA"</f>
        <v>FUNDACION HOSPITAL DE LA MISERICORDIA</v>
      </c>
      <c r="BI1009" t="str">
        <f t="shared" si="1214"/>
        <v>COLOMBIA</v>
      </c>
      <c r="BJ1009" t="str">
        <f t="shared" si="1180"/>
        <v>CANCER INFANTIL</v>
      </c>
      <c r="BK1009" t="str">
        <f>"BOGOTA"</f>
        <v>BOGOTA</v>
      </c>
      <c r="BL1009" t="str">
        <f>"BOGOTA"</f>
        <v>BOGOTA</v>
      </c>
      <c r="BM1009" t="str">
        <f t="shared" si="1188"/>
        <v>COLOMBIA</v>
      </c>
      <c r="BN1009" t="str">
        <f t="shared" ref="BN1009:BQ1010" si="1231">"BOGOTA"</f>
        <v>BOGOTA</v>
      </c>
      <c r="BO1009" t="str">
        <f t="shared" si="1231"/>
        <v>BOGOTA</v>
      </c>
      <c r="BP1009" t="str">
        <f t="shared" si="1231"/>
        <v>BOGOTA</v>
      </c>
      <c r="BQ1009" t="str">
        <f t="shared" si="1231"/>
        <v>BOGOTA</v>
      </c>
    </row>
    <row r="1010" spans="1:69" x14ac:dyDescent="0.25">
      <c r="A1010" t="str">
        <f>"7279047"</f>
        <v>7279047</v>
      </c>
      <c r="B1010" t="str">
        <f t="shared" si="1173"/>
        <v>459</v>
      </c>
      <c r="C1010" t="str">
        <f>"26/03/2020 12:00:00 a. m."</f>
        <v>26/03/2020 12:00:00 a. m.</v>
      </c>
      <c r="D1010" t="str">
        <f>"06"</f>
        <v>06</v>
      </c>
      <c r="E1010" t="str">
        <f t="shared" si="1174"/>
        <v>2020</v>
      </c>
      <c r="F1010" t="str">
        <f>"1100105681"</f>
        <v>1100105681</v>
      </c>
      <c r="G1010" t="str">
        <f t="shared" si="1211"/>
        <v>01</v>
      </c>
      <c r="H1010" t="str">
        <f>"12"</f>
        <v>12</v>
      </c>
      <c r="I1010" t="str">
        <f t="shared" si="1209"/>
        <v>1</v>
      </c>
      <c r="J1010" t="str">
        <f>"M"</f>
        <v>M</v>
      </c>
      <c r="K1010" t="str">
        <f t="shared" si="1213"/>
        <v>170</v>
      </c>
      <c r="L1010" t="str">
        <f>"11"</f>
        <v>11</v>
      </c>
      <c r="M1010" t="str">
        <f>"001"</f>
        <v>001</v>
      </c>
      <c r="N1010" t="str">
        <f t="shared" si="1227"/>
        <v>1</v>
      </c>
      <c r="O1010" t="str">
        <f>"9997"</f>
        <v>9997</v>
      </c>
      <c r="P1010" t="str">
        <f>"C"</f>
        <v>C</v>
      </c>
      <c r="Q1010" t="str">
        <f>"EPS044"</f>
        <v>EPS044</v>
      </c>
      <c r="R1010" t="str">
        <f t="shared" si="1218"/>
        <v>6</v>
      </c>
      <c r="S1010" t="str">
        <f>""</f>
        <v/>
      </c>
      <c r="T1010" t="str">
        <f t="shared" si="1219"/>
        <v xml:space="preserve">                                                                                                    </v>
      </c>
      <c r="U1010" t="str">
        <f>"2         "</f>
        <v xml:space="preserve">2         </v>
      </c>
      <c r="V1010" t="str">
        <f t="shared" si="1154"/>
        <v>2</v>
      </c>
      <c r="W1010" t="str">
        <f t="shared" si="1228"/>
        <v>2</v>
      </c>
      <c r="X1010" t="str">
        <f t="shared" si="1212"/>
        <v>2</v>
      </c>
      <c r="Y1010" t="str">
        <f t="shared" si="1221"/>
        <v>2</v>
      </c>
      <c r="Z1010" t="str">
        <f t="shared" si="1221"/>
        <v>2</v>
      </c>
      <c r="AA1010" t="str">
        <f t="shared" si="1175"/>
        <v xml:space="preserve">          </v>
      </c>
      <c r="AB1010" t="str">
        <f t="shared" si="1165"/>
        <v>2</v>
      </c>
      <c r="AC1010" t="str">
        <f t="shared" si="1166"/>
        <v>2</v>
      </c>
      <c r="AD1010" t="str">
        <f t="shared" si="1222"/>
        <v>2</v>
      </c>
      <c r="AE1010" t="str">
        <f t="shared" si="1222"/>
        <v>2</v>
      </c>
      <c r="AF1010" t="str">
        <f t="shared" si="1222"/>
        <v>2</v>
      </c>
      <c r="AG1010" t="str">
        <f t="shared" si="1222"/>
        <v>2</v>
      </c>
      <c r="AH1010" t="str">
        <f t="shared" si="1229"/>
        <v>1</v>
      </c>
      <c r="AI1010" t="str">
        <f t="shared" si="1216"/>
        <v xml:space="preserve">1         </v>
      </c>
      <c r="AJ1010" t="str">
        <f t="shared" si="1187"/>
        <v>170</v>
      </c>
      <c r="AK1010" t="str">
        <f>"11"</f>
        <v>11</v>
      </c>
      <c r="AL1010" t="str">
        <f>"001"</f>
        <v>001</v>
      </c>
      <c r="AM1010" t="str">
        <f>"11"</f>
        <v>11</v>
      </c>
      <c r="AN1010" t="str">
        <f>"11001"</f>
        <v>11001</v>
      </c>
      <c r="AO1010" t="str">
        <f>"5/02/2020 12:00:00 a. m."</f>
        <v>5/02/2020 12:00:00 a. m.</v>
      </c>
      <c r="AP1010" t="str">
        <f>"31/12/2019 12:00:00 a. m."</f>
        <v>31/12/2019 12:00:00 a. m.</v>
      </c>
      <c r="AQ1010" t="str">
        <f t="shared" si="1230"/>
        <v>3</v>
      </c>
      <c r="AR1010" t="str">
        <f t="shared" si="1226"/>
        <v>1</v>
      </c>
      <c r="AS1010" t="str">
        <f>"5/02/2020 12:00:00 a. m."</f>
        <v>5/02/2020 12:00:00 a. m.</v>
      </c>
      <c r="AT1010" t="str">
        <f t="shared" si="1225"/>
        <v>1</v>
      </c>
      <c r="AU1010" t="str">
        <f>""</f>
        <v/>
      </c>
      <c r="AV1010" t="str">
        <f>"0"</f>
        <v>0</v>
      </c>
      <c r="AW1010" t="str">
        <f>"25/10/2007 12:00:00 a. m."</f>
        <v>25/10/2007 12:00:00 a. m.</v>
      </c>
      <c r="AX1010" t="str">
        <f>""</f>
        <v/>
      </c>
      <c r="AY1010" t="str">
        <f t="shared" si="1176"/>
        <v>30/04/2021 12:00:00 a. m.</v>
      </c>
      <c r="AZ1010" t="str">
        <f>"26/03/2020 12:00:00 a. m."</f>
        <v>26/03/2020 12:00:00 a. m.</v>
      </c>
      <c r="BA1010" t="str">
        <f>""</f>
        <v/>
      </c>
      <c r="BB1010" t="str">
        <f>""</f>
        <v/>
      </c>
      <c r="BC1010" t="str">
        <f>""</f>
        <v/>
      </c>
      <c r="BD1010" t="str">
        <f t="shared" si="1223"/>
        <v>1</v>
      </c>
      <c r="BE1010" t="str">
        <f t="shared" si="1223"/>
        <v>1</v>
      </c>
      <c r="BF1010" t="str">
        <f t="shared" si="1178"/>
        <v xml:space="preserve">3         </v>
      </c>
      <c r="BG1010" t="str">
        <f t="shared" si="1179"/>
        <v>Confirmado por laboratorio</v>
      </c>
      <c r="BH1010" t="str">
        <f>"FUNDACION HOSPITAL DE LA MISERICORDIA"</f>
        <v>FUNDACION HOSPITAL DE LA MISERICORDIA</v>
      </c>
      <c r="BI1010" t="str">
        <f t="shared" si="1214"/>
        <v>COLOMBIA</v>
      </c>
      <c r="BJ1010" t="str">
        <f t="shared" si="1180"/>
        <v>CANCER INFANTIL</v>
      </c>
      <c r="BK1010" t="str">
        <f>"BOGOTA"</f>
        <v>BOGOTA</v>
      </c>
      <c r="BL1010" t="str">
        <f>"BOGOTA"</f>
        <v>BOGOTA</v>
      </c>
      <c r="BM1010" t="str">
        <f t="shared" si="1188"/>
        <v>COLOMBIA</v>
      </c>
      <c r="BN1010" t="str">
        <f t="shared" si="1231"/>
        <v>BOGOTA</v>
      </c>
      <c r="BO1010" t="str">
        <f t="shared" si="1231"/>
        <v>BOGOTA</v>
      </c>
      <c r="BP1010" t="str">
        <f t="shared" si="1231"/>
        <v>BOGOTA</v>
      </c>
      <c r="BQ1010" t="str">
        <f t="shared" si="1231"/>
        <v>BOGOTA</v>
      </c>
    </row>
    <row r="1011" spans="1:69" x14ac:dyDescent="0.25">
      <c r="A1011" t="str">
        <f>"7285399"</f>
        <v>7285399</v>
      </c>
      <c r="B1011" t="str">
        <f t="shared" si="1173"/>
        <v>459</v>
      </c>
      <c r="C1011" t="str">
        <f>"4/02/2021 12:00:00 a. m."</f>
        <v>4/02/2021 12:00:00 a. m.</v>
      </c>
      <c r="D1011" t="str">
        <f>"45"</f>
        <v>45</v>
      </c>
      <c r="E1011" t="str">
        <f t="shared" si="1174"/>
        <v>2020</v>
      </c>
      <c r="F1011" t="str">
        <f>"0500102104"</f>
        <v>0500102104</v>
      </c>
      <c r="G1011" t="str">
        <f t="shared" si="1211"/>
        <v>01</v>
      </c>
      <c r="H1011" t="str">
        <f>"3"</f>
        <v>3</v>
      </c>
      <c r="I1011" t="str">
        <f t="shared" si="1209"/>
        <v>1</v>
      </c>
      <c r="J1011" t="str">
        <f>"F"</f>
        <v>F</v>
      </c>
      <c r="K1011" t="str">
        <f t="shared" si="1213"/>
        <v>170</v>
      </c>
      <c r="L1011" t="str">
        <f>"05"</f>
        <v>05</v>
      </c>
      <c r="M1011" t="str">
        <f>"321"</f>
        <v>321</v>
      </c>
      <c r="N1011" t="str">
        <f t="shared" si="1227"/>
        <v>1</v>
      </c>
      <c r="O1011" t="str">
        <f>"9999"</f>
        <v>9999</v>
      </c>
      <c r="P1011" t="str">
        <f>"S"</f>
        <v>S</v>
      </c>
      <c r="Q1011" t="str">
        <f>"EPSS40"</f>
        <v>EPSS40</v>
      </c>
      <c r="R1011" t="str">
        <f t="shared" si="1218"/>
        <v>6</v>
      </c>
      <c r="S1011" t="str">
        <f>""</f>
        <v/>
      </c>
      <c r="T1011" t="str">
        <f t="shared" si="1219"/>
        <v xml:space="preserve">                                                                                                    </v>
      </c>
      <c r="U1011" t="str">
        <f>"2         "</f>
        <v xml:space="preserve">2         </v>
      </c>
      <c r="V1011" t="str">
        <f t="shared" ref="V1011:V1046" si="1232">"2"</f>
        <v>2</v>
      </c>
      <c r="W1011" t="str">
        <f t="shared" si="1228"/>
        <v>2</v>
      </c>
      <c r="X1011" t="str">
        <f t="shared" si="1212"/>
        <v>2</v>
      </c>
      <c r="Y1011" t="str">
        <f t="shared" si="1221"/>
        <v>2</v>
      </c>
      <c r="Z1011" t="str">
        <f t="shared" si="1221"/>
        <v>2</v>
      </c>
      <c r="AA1011" t="str">
        <f t="shared" si="1175"/>
        <v xml:space="preserve">          </v>
      </c>
      <c r="AB1011" t="str">
        <f t="shared" si="1165"/>
        <v>2</v>
      </c>
      <c r="AC1011" t="str">
        <f t="shared" si="1166"/>
        <v>2</v>
      </c>
      <c r="AD1011" t="str">
        <f t="shared" si="1222"/>
        <v>2</v>
      </c>
      <c r="AE1011" t="str">
        <f t="shared" si="1222"/>
        <v>2</v>
      </c>
      <c r="AF1011" t="str">
        <f t="shared" si="1222"/>
        <v>2</v>
      </c>
      <c r="AG1011" t="str">
        <f t="shared" si="1222"/>
        <v>2</v>
      </c>
      <c r="AH1011" t="str">
        <f t="shared" si="1229"/>
        <v>1</v>
      </c>
      <c r="AI1011" t="str">
        <f t="shared" si="1216"/>
        <v xml:space="preserve">1         </v>
      </c>
      <c r="AJ1011" t="str">
        <f t="shared" si="1187"/>
        <v>170</v>
      </c>
      <c r="AK1011" t="str">
        <f>"05"</f>
        <v>05</v>
      </c>
      <c r="AL1011" t="str">
        <f>"321"</f>
        <v>321</v>
      </c>
      <c r="AM1011" t="str">
        <f>"05"</f>
        <v>05</v>
      </c>
      <c r="AN1011" t="str">
        <f>"05001"</f>
        <v>05001</v>
      </c>
      <c r="AO1011" t="str">
        <f>"6/11/2020 12:00:00 a. m."</f>
        <v>6/11/2020 12:00:00 a. m.</v>
      </c>
      <c r="AP1011" t="str">
        <f>"14/10/2020 12:00:00 a. m."</f>
        <v>14/10/2020 12:00:00 a. m.</v>
      </c>
      <c r="AQ1011" t="str">
        <f t="shared" si="1230"/>
        <v>3</v>
      </c>
      <c r="AR1011" t="str">
        <f t="shared" si="1226"/>
        <v>1</v>
      </c>
      <c r="AS1011" t="str">
        <f>"6/11/2020 12:00:00 a. m."</f>
        <v>6/11/2020 12:00:00 a. m.</v>
      </c>
      <c r="AT1011" t="str">
        <f t="shared" si="1225"/>
        <v>1</v>
      </c>
      <c r="AU1011" t="str">
        <f>""</f>
        <v/>
      </c>
      <c r="AV1011" t="str">
        <f>"0"</f>
        <v>0</v>
      </c>
      <c r="AW1011" t="str">
        <f>"25/03/2017 12:00:00 a. m."</f>
        <v>25/03/2017 12:00:00 a. m.</v>
      </c>
      <c r="AX1011" t="str">
        <f>""</f>
        <v/>
      </c>
      <c r="AY1011" t="str">
        <f t="shared" si="1176"/>
        <v>30/04/2021 12:00:00 a. m.</v>
      </c>
      <c r="AZ1011" t="str">
        <f>"4/02/2021 12:00:00 a. m."</f>
        <v>4/02/2021 12:00:00 a. m.</v>
      </c>
      <c r="BA1011" t="str">
        <f>""</f>
        <v/>
      </c>
      <c r="BB1011" t="str">
        <f>""</f>
        <v/>
      </c>
      <c r="BC1011" t="str">
        <f>""</f>
        <v/>
      </c>
      <c r="BD1011" t="str">
        <f t="shared" si="1223"/>
        <v>1</v>
      </c>
      <c r="BE1011" t="str">
        <f t="shared" si="1223"/>
        <v>1</v>
      </c>
      <c r="BF1011" t="str">
        <f t="shared" si="1178"/>
        <v xml:space="preserve">3         </v>
      </c>
      <c r="BG1011" t="str">
        <f t="shared" si="1179"/>
        <v>Confirmado por laboratorio</v>
      </c>
      <c r="BH1011" t="str">
        <f>"HOSPITAL PABLO TOBON URIBE"</f>
        <v>HOSPITAL PABLO TOBON URIBE</v>
      </c>
      <c r="BI1011" t="str">
        <f t="shared" si="1214"/>
        <v>COLOMBIA</v>
      </c>
      <c r="BJ1011" t="str">
        <f t="shared" si="1180"/>
        <v>CANCER INFANTIL</v>
      </c>
      <c r="BK1011" t="str">
        <f>"ANTIOQUIA"</f>
        <v>ANTIOQUIA</v>
      </c>
      <c r="BL1011" t="str">
        <f>"GUATAPE"</f>
        <v>GUATAPE</v>
      </c>
      <c r="BM1011" t="str">
        <f t="shared" si="1188"/>
        <v>COLOMBIA</v>
      </c>
      <c r="BN1011" t="str">
        <f>"ANTIOQUIA"</f>
        <v>ANTIOQUIA</v>
      </c>
      <c r="BO1011" t="str">
        <f>"GUATAPE"</f>
        <v>GUATAPE</v>
      </c>
      <c r="BP1011" t="str">
        <f>"ANTIOQUIA"</f>
        <v>ANTIOQUIA</v>
      </c>
      <c r="BQ1011" t="str">
        <f>"MEDELLIN"</f>
        <v>MEDELLIN</v>
      </c>
    </row>
    <row r="1012" spans="1:69" x14ac:dyDescent="0.25">
      <c r="A1012" t="str">
        <f>"7285369"</f>
        <v>7285369</v>
      </c>
      <c r="B1012" t="str">
        <f t="shared" si="1173"/>
        <v>459</v>
      </c>
      <c r="C1012" t="str">
        <f>"16/03/2020 12:00:00 a. m."</f>
        <v>16/03/2020 12:00:00 a. m.</v>
      </c>
      <c r="D1012" t="str">
        <f>"11"</f>
        <v>11</v>
      </c>
      <c r="E1012" t="str">
        <f t="shared" si="1174"/>
        <v>2020</v>
      </c>
      <c r="F1012" t="str">
        <f>"0857300803"</f>
        <v>0857300803</v>
      </c>
      <c r="G1012" t="str">
        <f t="shared" si="1211"/>
        <v>01</v>
      </c>
      <c r="H1012" t="str">
        <f>"11"</f>
        <v>11</v>
      </c>
      <c r="I1012" t="str">
        <f t="shared" si="1209"/>
        <v>1</v>
      </c>
      <c r="J1012" t="str">
        <f>"F"</f>
        <v>F</v>
      </c>
      <c r="K1012" t="str">
        <f t="shared" si="1213"/>
        <v>170</v>
      </c>
      <c r="L1012" t="str">
        <f>"08"</f>
        <v>08</v>
      </c>
      <c r="M1012" t="str">
        <f>"001"</f>
        <v>001</v>
      </c>
      <c r="N1012" t="str">
        <f t="shared" si="1227"/>
        <v>1</v>
      </c>
      <c r="O1012" t="str">
        <f>"9997"</f>
        <v>9997</v>
      </c>
      <c r="P1012" t="str">
        <f>"C"</f>
        <v>C</v>
      </c>
      <c r="Q1012" t="str">
        <f>"EPS010"</f>
        <v>EPS010</v>
      </c>
      <c r="R1012" t="str">
        <f t="shared" si="1218"/>
        <v>6</v>
      </c>
      <c r="S1012" t="str">
        <f>""</f>
        <v/>
      </c>
      <c r="T1012" t="str">
        <f t="shared" si="1219"/>
        <v xml:space="preserve">                                                                                                    </v>
      </c>
      <c r="U1012" t="str">
        <f>"5         "</f>
        <v xml:space="preserve">5         </v>
      </c>
      <c r="V1012" t="str">
        <f t="shared" si="1232"/>
        <v>2</v>
      </c>
      <c r="W1012" t="str">
        <f t="shared" si="1228"/>
        <v>2</v>
      </c>
      <c r="X1012" t="str">
        <f t="shared" si="1212"/>
        <v>2</v>
      </c>
      <c r="Y1012" t="str">
        <f t="shared" si="1221"/>
        <v>2</v>
      </c>
      <c r="Z1012" t="str">
        <f t="shared" si="1221"/>
        <v>2</v>
      </c>
      <c r="AA1012" t="str">
        <f t="shared" si="1175"/>
        <v xml:space="preserve">          </v>
      </c>
      <c r="AB1012" t="str">
        <f t="shared" si="1165"/>
        <v>2</v>
      </c>
      <c r="AC1012" t="str">
        <f t="shared" si="1166"/>
        <v>2</v>
      </c>
      <c r="AD1012" t="str">
        <f t="shared" si="1222"/>
        <v>2</v>
      </c>
      <c r="AE1012" t="str">
        <f t="shared" si="1222"/>
        <v>2</v>
      </c>
      <c r="AF1012" t="str">
        <f t="shared" si="1222"/>
        <v>2</v>
      </c>
      <c r="AG1012" t="str">
        <f t="shared" si="1222"/>
        <v>2</v>
      </c>
      <c r="AH1012" t="str">
        <f t="shared" si="1229"/>
        <v>1</v>
      </c>
      <c r="AI1012" t="str">
        <f t="shared" si="1216"/>
        <v xml:space="preserve">1         </v>
      </c>
      <c r="AJ1012" t="str">
        <f t="shared" si="1187"/>
        <v>170</v>
      </c>
      <c r="AK1012" t="str">
        <f>"08"</f>
        <v>08</v>
      </c>
      <c r="AL1012" t="str">
        <f>"001"</f>
        <v>001</v>
      </c>
      <c r="AM1012" t="str">
        <f>"08"</f>
        <v>08</v>
      </c>
      <c r="AN1012" t="str">
        <f>"08573"</f>
        <v>08573</v>
      </c>
      <c r="AO1012" t="str">
        <f>"8/03/2020 12:00:00 a. m."</f>
        <v>8/03/2020 12:00:00 a. m.</v>
      </c>
      <c r="AP1012" t="str">
        <f>"1/11/2019 12:00:00 a. m."</f>
        <v>1/11/2019 12:00:00 a. m.</v>
      </c>
      <c r="AQ1012" t="str">
        <f t="shared" si="1230"/>
        <v>3</v>
      </c>
      <c r="AR1012" t="str">
        <f t="shared" si="1226"/>
        <v>1</v>
      </c>
      <c r="AS1012" t="str">
        <f>"8/03/2020 12:00:00 a. m."</f>
        <v>8/03/2020 12:00:00 a. m.</v>
      </c>
      <c r="AT1012" t="str">
        <f>"2"</f>
        <v>2</v>
      </c>
      <c r="AU1012" t="str">
        <f>"25/03/2020 12:00:00 a. m."</f>
        <v>25/03/2020 12:00:00 a. m.</v>
      </c>
      <c r="AV1012" t="str">
        <f>"7"</f>
        <v>7</v>
      </c>
      <c r="AW1012" t="str">
        <f>"17/04/2008 12:00:00 a. m."</f>
        <v>17/04/2008 12:00:00 a. m.</v>
      </c>
      <c r="AX1012" t="str">
        <f>"J961"</f>
        <v>J961</v>
      </c>
      <c r="AY1012" t="str">
        <f t="shared" si="1176"/>
        <v>30/04/2021 12:00:00 a. m.</v>
      </c>
      <c r="AZ1012" t="str">
        <f>"16/02/2021 12:00:00 a. m."</f>
        <v>16/02/2021 12:00:00 a. m.</v>
      </c>
      <c r="BA1012" t="str">
        <f>""</f>
        <v/>
      </c>
      <c r="BB1012" t="str">
        <f>""</f>
        <v/>
      </c>
      <c r="BC1012" t="str">
        <f>""</f>
        <v/>
      </c>
      <c r="BD1012" t="str">
        <f t="shared" si="1223"/>
        <v>1</v>
      </c>
      <c r="BE1012" t="str">
        <f t="shared" si="1223"/>
        <v>1</v>
      </c>
      <c r="BF1012" t="str">
        <f t="shared" si="1178"/>
        <v xml:space="preserve">3         </v>
      </c>
      <c r="BG1012" t="str">
        <f t="shared" si="1179"/>
        <v>Confirmado por laboratorio</v>
      </c>
      <c r="BH1012" t="str">
        <f>"CLINICA PORTOAZUL SA"</f>
        <v>CLINICA PORTOAZUL SA</v>
      </c>
      <c r="BI1012" t="str">
        <f t="shared" si="1214"/>
        <v>COLOMBIA</v>
      </c>
      <c r="BJ1012" t="str">
        <f t="shared" si="1180"/>
        <v>CANCER INFANTIL</v>
      </c>
      <c r="BK1012" t="str">
        <f>"ATLANTICO"</f>
        <v>ATLANTICO</v>
      </c>
      <c r="BL1012" t="str">
        <f>"BARRANQUILLA"</f>
        <v>BARRANQUILLA</v>
      </c>
      <c r="BM1012" t="str">
        <f t="shared" si="1188"/>
        <v>COLOMBIA</v>
      </c>
      <c r="BN1012" t="str">
        <f>"ATLANTICO"</f>
        <v>ATLANTICO</v>
      </c>
      <c r="BO1012" t="str">
        <f>"BARRANQUILLA"</f>
        <v>BARRANQUILLA</v>
      </c>
      <c r="BP1012" t="str">
        <f>"ATLANTICO"</f>
        <v>ATLANTICO</v>
      </c>
      <c r="BQ1012" t="str">
        <f>"PUERTO COLOMBIA"</f>
        <v>PUERTO COLOMBIA</v>
      </c>
    </row>
    <row r="1013" spans="1:69" x14ac:dyDescent="0.25">
      <c r="A1013" t="str">
        <f>"7285330"</f>
        <v>7285330</v>
      </c>
      <c r="B1013" t="str">
        <f t="shared" si="1173"/>
        <v>459</v>
      </c>
      <c r="C1013" t="str">
        <f>"7/07/2020 12:00:00 a. m."</f>
        <v>7/07/2020 12:00:00 a. m.</v>
      </c>
      <c r="D1013" t="str">
        <f>"25"</f>
        <v>25</v>
      </c>
      <c r="E1013" t="str">
        <f t="shared" si="1174"/>
        <v>2020</v>
      </c>
      <c r="F1013" t="str">
        <f>"0500101150"</f>
        <v>0500101150</v>
      </c>
      <c r="G1013" t="str">
        <f t="shared" si="1211"/>
        <v>01</v>
      </c>
      <c r="H1013" t="str">
        <f>"15"</f>
        <v>15</v>
      </c>
      <c r="I1013" t="str">
        <f t="shared" si="1209"/>
        <v>1</v>
      </c>
      <c r="J1013" t="str">
        <f>"M"</f>
        <v>M</v>
      </c>
      <c r="K1013" t="str">
        <f t="shared" si="1213"/>
        <v>170</v>
      </c>
      <c r="L1013" t="str">
        <f>"05"</f>
        <v>05</v>
      </c>
      <c r="M1013" t="str">
        <f>"001"</f>
        <v>001</v>
      </c>
      <c r="N1013" t="str">
        <f t="shared" si="1227"/>
        <v>1</v>
      </c>
      <c r="O1013" t="str">
        <f>"9997"</f>
        <v>9997</v>
      </c>
      <c r="P1013" t="str">
        <f>"C"</f>
        <v>C</v>
      </c>
      <c r="Q1013" t="str">
        <f>"EPS040"</f>
        <v>EPS040</v>
      </c>
      <c r="R1013" t="str">
        <f t="shared" si="1218"/>
        <v>6</v>
      </c>
      <c r="S1013" t="str">
        <f>""</f>
        <v/>
      </c>
      <c r="T1013" t="str">
        <f t="shared" si="1219"/>
        <v xml:space="preserve">                                                                                                    </v>
      </c>
      <c r="U1013" t="str">
        <f>"          "</f>
        <v xml:space="preserve">          </v>
      </c>
      <c r="V1013" t="str">
        <f t="shared" si="1232"/>
        <v>2</v>
      </c>
      <c r="W1013" t="str">
        <f t="shared" si="1228"/>
        <v>2</v>
      </c>
      <c r="X1013" t="str">
        <f t="shared" si="1212"/>
        <v>2</v>
      </c>
      <c r="Y1013" t="str">
        <f t="shared" si="1221"/>
        <v>2</v>
      </c>
      <c r="Z1013" t="str">
        <f t="shared" si="1221"/>
        <v>2</v>
      </c>
      <c r="AA1013" t="str">
        <f t="shared" si="1175"/>
        <v xml:space="preserve">          </v>
      </c>
      <c r="AB1013" t="str">
        <f t="shared" si="1165"/>
        <v>2</v>
      </c>
      <c r="AC1013" t="str">
        <f t="shared" si="1166"/>
        <v>2</v>
      </c>
      <c r="AD1013" t="str">
        <f t="shared" si="1222"/>
        <v>2</v>
      </c>
      <c r="AE1013" t="str">
        <f t="shared" si="1222"/>
        <v>2</v>
      </c>
      <c r="AF1013" t="str">
        <f t="shared" si="1222"/>
        <v>2</v>
      </c>
      <c r="AG1013" t="str">
        <f t="shared" si="1222"/>
        <v>2</v>
      </c>
      <c r="AH1013" t="str">
        <f t="shared" si="1229"/>
        <v>1</v>
      </c>
      <c r="AI1013" t="str">
        <f t="shared" si="1216"/>
        <v xml:space="preserve">1         </v>
      </c>
      <c r="AJ1013" t="str">
        <f t="shared" si="1187"/>
        <v>170</v>
      </c>
      <c r="AK1013" t="str">
        <f>"05"</f>
        <v>05</v>
      </c>
      <c r="AL1013" t="str">
        <f>"001"</f>
        <v>001</v>
      </c>
      <c r="AM1013" t="str">
        <f>"05"</f>
        <v>05</v>
      </c>
      <c r="AN1013" t="str">
        <f>"05001"</f>
        <v>05001</v>
      </c>
      <c r="AO1013" t="str">
        <f>"20/06/2020 12:00:00 a. m."</f>
        <v>20/06/2020 12:00:00 a. m.</v>
      </c>
      <c r="AP1013" t="str">
        <f>"1/04/2020 12:00:00 a. m."</f>
        <v>1/04/2020 12:00:00 a. m.</v>
      </c>
      <c r="AQ1013" t="str">
        <f t="shared" si="1230"/>
        <v>3</v>
      </c>
      <c r="AR1013" t="str">
        <f t="shared" si="1226"/>
        <v>1</v>
      </c>
      <c r="AS1013" t="str">
        <f>"20/06/2020 12:00:00 a. m."</f>
        <v>20/06/2020 12:00:00 a. m.</v>
      </c>
      <c r="AT1013" t="str">
        <f>"1"</f>
        <v>1</v>
      </c>
      <c r="AU1013" t="str">
        <f>""</f>
        <v/>
      </c>
      <c r="AV1013" t="str">
        <f>"0"</f>
        <v>0</v>
      </c>
      <c r="AW1013" t="str">
        <f>"28/01/2005 12:00:00 a. m."</f>
        <v>28/01/2005 12:00:00 a. m.</v>
      </c>
      <c r="AX1013" t="str">
        <f>""</f>
        <v/>
      </c>
      <c r="AY1013" t="str">
        <f t="shared" si="1176"/>
        <v>30/04/2021 12:00:00 a. m.</v>
      </c>
      <c r="AZ1013" t="str">
        <f>"7/07/2020 12:00:00 a. m."</f>
        <v>7/07/2020 12:00:00 a. m.</v>
      </c>
      <c r="BA1013" t="str">
        <f>""</f>
        <v/>
      </c>
      <c r="BB1013" t="str">
        <f>""</f>
        <v/>
      </c>
      <c r="BC1013" t="str">
        <f>""</f>
        <v/>
      </c>
      <c r="BD1013" t="str">
        <f t="shared" si="1223"/>
        <v>1</v>
      </c>
      <c r="BE1013" t="str">
        <f t="shared" si="1223"/>
        <v>1</v>
      </c>
      <c r="BF1013" t="str">
        <f t="shared" si="1178"/>
        <v xml:space="preserve">3         </v>
      </c>
      <c r="BG1013" t="str">
        <f t="shared" si="1179"/>
        <v>Confirmado por laboratorio</v>
      </c>
      <c r="BH1013" t="str">
        <f>"FUNDACIÓN INSTITUTO NEUROLOGICO DE ANTIOQUIA"</f>
        <v>FUNDACIÓN INSTITUTO NEUROLOGICO DE ANTIOQUIA</v>
      </c>
      <c r="BI1013" t="str">
        <f t="shared" si="1214"/>
        <v>COLOMBIA</v>
      </c>
      <c r="BJ1013" t="str">
        <f t="shared" si="1180"/>
        <v>CANCER INFANTIL</v>
      </c>
      <c r="BK1013" t="str">
        <f>"ANTIOQUIA"</f>
        <v>ANTIOQUIA</v>
      </c>
      <c r="BL1013" t="str">
        <f>"MEDELLIN"</f>
        <v>MEDELLIN</v>
      </c>
      <c r="BM1013" t="str">
        <f t="shared" si="1188"/>
        <v>COLOMBIA</v>
      </c>
      <c r="BN1013" t="str">
        <f>"ANTIOQUIA"</f>
        <v>ANTIOQUIA</v>
      </c>
      <c r="BO1013" t="str">
        <f>"MEDELLIN"</f>
        <v>MEDELLIN</v>
      </c>
      <c r="BP1013" t="str">
        <f>"ANTIOQUIA"</f>
        <v>ANTIOQUIA</v>
      </c>
      <c r="BQ1013" t="str">
        <f>"MEDELLIN"</f>
        <v>MEDELLIN</v>
      </c>
    </row>
    <row r="1014" spans="1:69" x14ac:dyDescent="0.25">
      <c r="A1014" t="str">
        <f>"7285381"</f>
        <v>7285381</v>
      </c>
      <c r="B1014" t="str">
        <f t="shared" si="1173"/>
        <v>459</v>
      </c>
      <c r="C1014" t="str">
        <f>"21/10/2020 12:00:00 a. m."</f>
        <v>21/10/2020 12:00:00 a. m.</v>
      </c>
      <c r="D1014" t="str">
        <f>"23"</f>
        <v>23</v>
      </c>
      <c r="E1014" t="str">
        <f t="shared" si="1174"/>
        <v>2020</v>
      </c>
      <c r="F1014" t="str">
        <f>"0500102175"</f>
        <v>0500102175</v>
      </c>
      <c r="G1014" t="str">
        <f t="shared" si="1211"/>
        <v>01</v>
      </c>
      <c r="H1014" t="str">
        <f>"9"</f>
        <v>9</v>
      </c>
      <c r="I1014" t="str">
        <f t="shared" si="1209"/>
        <v>1</v>
      </c>
      <c r="J1014" t="str">
        <f>"F"</f>
        <v>F</v>
      </c>
      <c r="K1014" t="str">
        <f t="shared" si="1213"/>
        <v>170</v>
      </c>
      <c r="L1014" t="str">
        <f>"05"</f>
        <v>05</v>
      </c>
      <c r="M1014" t="str">
        <f>"001"</f>
        <v>001</v>
      </c>
      <c r="N1014" t="str">
        <f t="shared" si="1227"/>
        <v>1</v>
      </c>
      <c r="O1014" t="str">
        <f>"9997"</f>
        <v>9997</v>
      </c>
      <c r="P1014" t="str">
        <f>"C"</f>
        <v>C</v>
      </c>
      <c r="Q1014" t="str">
        <f>"EPS037"</f>
        <v>EPS037</v>
      </c>
      <c r="R1014" t="str">
        <f t="shared" si="1218"/>
        <v>6</v>
      </c>
      <c r="S1014" t="str">
        <f>""</f>
        <v/>
      </c>
      <c r="T1014" t="str">
        <f t="shared" si="1219"/>
        <v xml:space="preserve">                                                                                                    </v>
      </c>
      <c r="U1014" t="str">
        <f>"2         "</f>
        <v xml:space="preserve">2         </v>
      </c>
      <c r="V1014" t="str">
        <f t="shared" si="1232"/>
        <v>2</v>
      </c>
      <c r="W1014" t="str">
        <f t="shared" si="1228"/>
        <v>2</v>
      </c>
      <c r="X1014" t="str">
        <f t="shared" si="1212"/>
        <v>2</v>
      </c>
      <c r="Y1014" t="str">
        <f t="shared" si="1221"/>
        <v>2</v>
      </c>
      <c r="Z1014" t="str">
        <f t="shared" si="1221"/>
        <v>2</v>
      </c>
      <c r="AA1014" t="str">
        <f t="shared" si="1175"/>
        <v xml:space="preserve">          </v>
      </c>
      <c r="AB1014" t="str">
        <f t="shared" si="1165"/>
        <v>2</v>
      </c>
      <c r="AC1014" t="str">
        <f t="shared" si="1166"/>
        <v>2</v>
      </c>
      <c r="AD1014" t="str">
        <f t="shared" si="1222"/>
        <v>2</v>
      </c>
      <c r="AE1014" t="str">
        <f t="shared" si="1222"/>
        <v>2</v>
      </c>
      <c r="AF1014" t="str">
        <f t="shared" si="1222"/>
        <v>2</v>
      </c>
      <c r="AG1014" t="str">
        <f t="shared" si="1222"/>
        <v>2</v>
      </c>
      <c r="AH1014" t="str">
        <f t="shared" si="1229"/>
        <v>1</v>
      </c>
      <c r="AI1014" t="str">
        <f t="shared" si="1216"/>
        <v xml:space="preserve">1         </v>
      </c>
      <c r="AJ1014" t="str">
        <f t="shared" si="1187"/>
        <v>170</v>
      </c>
      <c r="AK1014" t="str">
        <f>"05"</f>
        <v>05</v>
      </c>
      <c r="AL1014" t="str">
        <f>"001"</f>
        <v>001</v>
      </c>
      <c r="AM1014" t="str">
        <f>"05"</f>
        <v>05</v>
      </c>
      <c r="AN1014" t="str">
        <f>"05001"</f>
        <v>05001</v>
      </c>
      <c r="AO1014" t="str">
        <f>"2/06/2020 12:00:00 a. m."</f>
        <v>2/06/2020 12:00:00 a. m.</v>
      </c>
      <c r="AP1014" t="str">
        <f>"25/05/2020 12:00:00 a. m."</f>
        <v>25/05/2020 12:00:00 a. m.</v>
      </c>
      <c r="AQ1014" t="str">
        <f t="shared" si="1230"/>
        <v>3</v>
      </c>
      <c r="AR1014" t="str">
        <f t="shared" si="1226"/>
        <v>1</v>
      </c>
      <c r="AS1014" t="str">
        <f>"2/06/2020 12:00:00 a. m."</f>
        <v>2/06/2020 12:00:00 a. m.</v>
      </c>
      <c r="AT1014" t="str">
        <f>"1"</f>
        <v>1</v>
      </c>
      <c r="AU1014" t="str">
        <f>""</f>
        <v/>
      </c>
      <c r="AV1014" t="str">
        <f>"0"</f>
        <v>0</v>
      </c>
      <c r="AW1014" t="str">
        <f>"30/08/2011 12:00:00 a. m."</f>
        <v>30/08/2011 12:00:00 a. m.</v>
      </c>
      <c r="AX1014" t="str">
        <f>""</f>
        <v/>
      </c>
      <c r="AY1014" t="str">
        <f t="shared" si="1176"/>
        <v>30/04/2021 12:00:00 a. m.</v>
      </c>
      <c r="AZ1014" t="str">
        <f>"21/10/2020 12:00:00 a. m."</f>
        <v>21/10/2020 12:00:00 a. m.</v>
      </c>
      <c r="BA1014" t="str">
        <f>""</f>
        <v/>
      </c>
      <c r="BB1014" t="str">
        <f>""</f>
        <v/>
      </c>
      <c r="BC1014" t="str">
        <f>""</f>
        <v/>
      </c>
      <c r="BD1014" t="str">
        <f t="shared" si="1223"/>
        <v>1</v>
      </c>
      <c r="BE1014" t="str">
        <f t="shared" si="1223"/>
        <v>1</v>
      </c>
      <c r="BF1014" t="str">
        <f t="shared" si="1178"/>
        <v xml:space="preserve">3         </v>
      </c>
      <c r="BG1014" t="str">
        <f t="shared" si="1179"/>
        <v>Confirmado por laboratorio</v>
      </c>
      <c r="BH1014" t="str">
        <f>"FUNDACION HOSPITALARIA SAN VICENTE DE PAUL"</f>
        <v>FUNDACION HOSPITALARIA SAN VICENTE DE PAUL</v>
      </c>
      <c r="BI1014" t="str">
        <f t="shared" si="1214"/>
        <v>COLOMBIA</v>
      </c>
      <c r="BJ1014" t="str">
        <f t="shared" si="1180"/>
        <v>CANCER INFANTIL</v>
      </c>
      <c r="BK1014" t="str">
        <f>"ANTIOQUIA"</f>
        <v>ANTIOQUIA</v>
      </c>
      <c r="BL1014" t="str">
        <f>"MEDELLIN"</f>
        <v>MEDELLIN</v>
      </c>
      <c r="BM1014" t="str">
        <f t="shared" si="1188"/>
        <v>COLOMBIA</v>
      </c>
      <c r="BN1014" t="str">
        <f>"ANTIOQUIA"</f>
        <v>ANTIOQUIA</v>
      </c>
      <c r="BO1014" t="str">
        <f>"MEDELLIN"</f>
        <v>MEDELLIN</v>
      </c>
      <c r="BP1014" t="str">
        <f>"ANTIOQUIA"</f>
        <v>ANTIOQUIA</v>
      </c>
      <c r="BQ1014" t="str">
        <f>"MEDELLIN"</f>
        <v>MEDELLIN</v>
      </c>
    </row>
    <row r="1015" spans="1:69" x14ac:dyDescent="0.25">
      <c r="A1015" t="str">
        <f>"7285386"</f>
        <v>7285386</v>
      </c>
      <c r="B1015" t="str">
        <f t="shared" si="1173"/>
        <v>459</v>
      </c>
      <c r="C1015" t="str">
        <f>"21/10/2020 12:00:00 a. m."</f>
        <v>21/10/2020 12:00:00 a. m.</v>
      </c>
      <c r="D1015" t="str">
        <f>"22"</f>
        <v>22</v>
      </c>
      <c r="E1015" t="str">
        <f t="shared" si="1174"/>
        <v>2020</v>
      </c>
      <c r="F1015" t="str">
        <f>"0500102175"</f>
        <v>0500102175</v>
      </c>
      <c r="G1015" t="str">
        <f t="shared" si="1211"/>
        <v>01</v>
      </c>
      <c r="H1015" t="str">
        <f>"16"</f>
        <v>16</v>
      </c>
      <c r="I1015" t="str">
        <f t="shared" si="1209"/>
        <v>1</v>
      </c>
      <c r="J1015" t="str">
        <f>"M"</f>
        <v>M</v>
      </c>
      <c r="K1015" t="str">
        <f t="shared" si="1213"/>
        <v>170</v>
      </c>
      <c r="L1015" t="str">
        <f>"05"</f>
        <v>05</v>
      </c>
      <c r="M1015" t="str">
        <f>"113"</f>
        <v>113</v>
      </c>
      <c r="N1015" t="str">
        <f>"3"</f>
        <v>3</v>
      </c>
      <c r="O1015" t="str">
        <f>"6111"</f>
        <v>6111</v>
      </c>
      <c r="P1015" t="str">
        <f>"S"</f>
        <v>S</v>
      </c>
      <c r="Q1015" t="str">
        <f>"EPSS37"</f>
        <v>EPSS37</v>
      </c>
      <c r="R1015" t="str">
        <f t="shared" si="1218"/>
        <v>6</v>
      </c>
      <c r="S1015" t="str">
        <f>""</f>
        <v/>
      </c>
      <c r="T1015" t="str">
        <f t="shared" si="1219"/>
        <v xml:space="preserve">                                                                                                    </v>
      </c>
      <c r="U1015" t="str">
        <f>"2         "</f>
        <v xml:space="preserve">2         </v>
      </c>
      <c r="V1015" t="str">
        <f t="shared" si="1232"/>
        <v>2</v>
      </c>
      <c r="W1015" t="str">
        <f t="shared" si="1228"/>
        <v>2</v>
      </c>
      <c r="X1015" t="str">
        <f t="shared" si="1212"/>
        <v>2</v>
      </c>
      <c r="Y1015" t="str">
        <f t="shared" si="1221"/>
        <v>2</v>
      </c>
      <c r="Z1015" t="str">
        <f t="shared" si="1221"/>
        <v>2</v>
      </c>
      <c r="AA1015" t="str">
        <f t="shared" si="1175"/>
        <v xml:space="preserve">          </v>
      </c>
      <c r="AB1015" t="str">
        <f t="shared" si="1165"/>
        <v>2</v>
      </c>
      <c r="AC1015" t="str">
        <f t="shared" si="1166"/>
        <v>2</v>
      </c>
      <c r="AD1015" t="str">
        <f t="shared" si="1222"/>
        <v>2</v>
      </c>
      <c r="AE1015" t="str">
        <f t="shared" si="1222"/>
        <v>2</v>
      </c>
      <c r="AF1015" t="str">
        <f t="shared" si="1222"/>
        <v>2</v>
      </c>
      <c r="AG1015" t="str">
        <f t="shared" si="1222"/>
        <v>2</v>
      </c>
      <c r="AH1015" t="str">
        <f t="shared" si="1229"/>
        <v>1</v>
      </c>
      <c r="AI1015" t="str">
        <f t="shared" si="1216"/>
        <v xml:space="preserve">1         </v>
      </c>
      <c r="AJ1015" t="str">
        <f t="shared" si="1187"/>
        <v>170</v>
      </c>
      <c r="AK1015" t="str">
        <f>"05"</f>
        <v>05</v>
      </c>
      <c r="AL1015" t="str">
        <f>"113"</f>
        <v>113</v>
      </c>
      <c r="AM1015" t="str">
        <f>"05"</f>
        <v>05</v>
      </c>
      <c r="AN1015" t="str">
        <f>"05001"</f>
        <v>05001</v>
      </c>
      <c r="AO1015" t="str">
        <f>"28/05/2020 12:00:00 a. m."</f>
        <v>28/05/2020 12:00:00 a. m.</v>
      </c>
      <c r="AP1015" t="str">
        <f>"1/05/2020 12:00:00 a. m."</f>
        <v>1/05/2020 12:00:00 a. m.</v>
      </c>
      <c r="AQ1015" t="str">
        <f t="shared" si="1230"/>
        <v>3</v>
      </c>
      <c r="AR1015" t="str">
        <f t="shared" si="1226"/>
        <v>1</v>
      </c>
      <c r="AS1015" t="str">
        <f>"28/05/2020 12:00:00 a. m."</f>
        <v>28/05/2020 12:00:00 a. m.</v>
      </c>
      <c r="AT1015" t="str">
        <f>"1"</f>
        <v>1</v>
      </c>
      <c r="AU1015" t="str">
        <f>""</f>
        <v/>
      </c>
      <c r="AV1015" t="str">
        <f>"0"</f>
        <v>0</v>
      </c>
      <c r="AW1015" t="str">
        <f>"1/03/2004 12:00:00 a. m."</f>
        <v>1/03/2004 12:00:00 a. m.</v>
      </c>
      <c r="AX1015" t="str">
        <f>""</f>
        <v/>
      </c>
      <c r="AY1015" t="str">
        <f t="shared" si="1176"/>
        <v>30/04/2021 12:00:00 a. m.</v>
      </c>
      <c r="AZ1015" t="str">
        <f>"21/10/2020 12:00:00 a. m."</f>
        <v>21/10/2020 12:00:00 a. m.</v>
      </c>
      <c r="BA1015" t="str">
        <f>""</f>
        <v/>
      </c>
      <c r="BB1015" t="str">
        <f>""</f>
        <v/>
      </c>
      <c r="BC1015" t="str">
        <f>""</f>
        <v/>
      </c>
      <c r="BD1015" t="str">
        <f t="shared" si="1223"/>
        <v>1</v>
      </c>
      <c r="BE1015" t="str">
        <f t="shared" si="1223"/>
        <v>1</v>
      </c>
      <c r="BF1015" t="str">
        <f t="shared" si="1178"/>
        <v xml:space="preserve">3         </v>
      </c>
      <c r="BG1015" t="str">
        <f t="shared" si="1179"/>
        <v>Confirmado por laboratorio</v>
      </c>
      <c r="BH1015" t="str">
        <f>"FUNDACION HOSPITALARIA SAN VICENTE DE PAUL"</f>
        <v>FUNDACION HOSPITALARIA SAN VICENTE DE PAUL</v>
      </c>
      <c r="BI1015" t="str">
        <f t="shared" si="1214"/>
        <v>COLOMBIA</v>
      </c>
      <c r="BJ1015" t="str">
        <f t="shared" si="1180"/>
        <v>CANCER INFANTIL</v>
      </c>
      <c r="BK1015" t="str">
        <f>"ANTIOQUIA"</f>
        <v>ANTIOQUIA</v>
      </c>
      <c r="BL1015" t="str">
        <f>"BURITICA"</f>
        <v>BURITICA</v>
      </c>
      <c r="BM1015" t="str">
        <f t="shared" si="1188"/>
        <v>COLOMBIA</v>
      </c>
      <c r="BN1015" t="str">
        <f>"ANTIOQUIA"</f>
        <v>ANTIOQUIA</v>
      </c>
      <c r="BO1015" t="str">
        <f>"BURITICA"</f>
        <v>BURITICA</v>
      </c>
      <c r="BP1015" t="str">
        <f>"ANTIOQUIA"</f>
        <v>ANTIOQUIA</v>
      </c>
      <c r="BQ1015" t="str">
        <f>"MEDELLIN"</f>
        <v>MEDELLIN</v>
      </c>
    </row>
    <row r="1016" spans="1:69" x14ac:dyDescent="0.25">
      <c r="A1016" t="str">
        <f>"7285327"</f>
        <v>7285327</v>
      </c>
      <c r="B1016" t="str">
        <f t="shared" si="1173"/>
        <v>459</v>
      </c>
      <c r="C1016" t="str">
        <f>"11/02/2020 12:00:00 a. m."</f>
        <v>11/02/2020 12:00:00 a. m.</v>
      </c>
      <c r="D1016" t="str">
        <f>"04"</f>
        <v>04</v>
      </c>
      <c r="E1016" t="str">
        <f t="shared" si="1174"/>
        <v>2020</v>
      </c>
      <c r="F1016" t="str">
        <f>"0500102175"</f>
        <v>0500102175</v>
      </c>
      <c r="G1016" t="str">
        <f t="shared" si="1211"/>
        <v>01</v>
      </c>
      <c r="H1016" t="str">
        <f>"4"</f>
        <v>4</v>
      </c>
      <c r="I1016" t="str">
        <f>"2"</f>
        <v>2</v>
      </c>
      <c r="J1016" t="str">
        <f>"M"</f>
        <v>M</v>
      </c>
      <c r="K1016" t="str">
        <f t="shared" si="1213"/>
        <v>170</v>
      </c>
      <c r="L1016" t="str">
        <f>"05"</f>
        <v>05</v>
      </c>
      <c r="M1016" t="str">
        <f>"001"</f>
        <v>001</v>
      </c>
      <c r="N1016" t="str">
        <f>"2"</f>
        <v>2</v>
      </c>
      <c r="O1016" t="str">
        <f t="shared" ref="O1016:O1021" si="1233">"9999"</f>
        <v>9999</v>
      </c>
      <c r="P1016" t="str">
        <f>"C"</f>
        <v>C</v>
      </c>
      <c r="Q1016" t="str">
        <f>"EPS040"</f>
        <v>EPS040</v>
      </c>
      <c r="R1016" t="str">
        <f t="shared" si="1218"/>
        <v>6</v>
      </c>
      <c r="S1016" t="str">
        <f>""</f>
        <v/>
      </c>
      <c r="T1016" t="str">
        <f t="shared" si="1219"/>
        <v xml:space="preserve">                                                                                                    </v>
      </c>
      <c r="U1016" t="str">
        <f>"2         "</f>
        <v xml:space="preserve">2         </v>
      </c>
      <c r="V1016" t="str">
        <f t="shared" si="1232"/>
        <v>2</v>
      </c>
      <c r="W1016" t="str">
        <f t="shared" si="1228"/>
        <v>2</v>
      </c>
      <c r="X1016" t="str">
        <f t="shared" si="1212"/>
        <v>2</v>
      </c>
      <c r="Y1016" t="str">
        <f t="shared" si="1221"/>
        <v>2</v>
      </c>
      <c r="Z1016" t="str">
        <f t="shared" si="1221"/>
        <v>2</v>
      </c>
      <c r="AA1016" t="str">
        <f t="shared" si="1175"/>
        <v xml:space="preserve">          </v>
      </c>
      <c r="AB1016" t="str">
        <f t="shared" si="1165"/>
        <v>2</v>
      </c>
      <c r="AC1016" t="str">
        <f>"1"</f>
        <v>1</v>
      </c>
      <c r="AD1016" t="str">
        <f t="shared" si="1222"/>
        <v>2</v>
      </c>
      <c r="AE1016" t="str">
        <f t="shared" si="1222"/>
        <v>2</v>
      </c>
      <c r="AF1016" t="str">
        <f t="shared" si="1222"/>
        <v>2</v>
      </c>
      <c r="AG1016" t="str">
        <f t="shared" si="1222"/>
        <v>2</v>
      </c>
      <c r="AH1016" t="str">
        <f>"2"</f>
        <v>2</v>
      </c>
      <c r="AI1016" t="str">
        <f t="shared" si="1216"/>
        <v xml:space="preserve">1         </v>
      </c>
      <c r="AJ1016" t="str">
        <f t="shared" si="1187"/>
        <v>170</v>
      </c>
      <c r="AK1016" t="str">
        <f>"05"</f>
        <v>05</v>
      </c>
      <c r="AL1016" t="str">
        <f>"001"</f>
        <v>001</v>
      </c>
      <c r="AM1016" t="str">
        <f>"05"</f>
        <v>05</v>
      </c>
      <c r="AN1016" t="str">
        <f>"05001"</f>
        <v>05001</v>
      </c>
      <c r="AO1016" t="str">
        <f>"22/01/2020 12:00:00 a. m."</f>
        <v>22/01/2020 12:00:00 a. m.</v>
      </c>
      <c r="AP1016" t="str">
        <f>"19/01/2020 12:00:00 a. m."</f>
        <v>19/01/2020 12:00:00 a. m.</v>
      </c>
      <c r="AQ1016" t="str">
        <f>"2"</f>
        <v>2</v>
      </c>
      <c r="AR1016" t="str">
        <f t="shared" si="1226"/>
        <v>1</v>
      </c>
      <c r="AS1016" t="str">
        <f>"28/01/2020 12:00:00 a. m."</f>
        <v>28/01/2020 12:00:00 a. m.</v>
      </c>
      <c r="AT1016" t="str">
        <f>"1"</f>
        <v>1</v>
      </c>
      <c r="AU1016" t="str">
        <f>""</f>
        <v/>
      </c>
      <c r="AV1016" t="str">
        <f>"3"</f>
        <v>3</v>
      </c>
      <c r="AW1016" t="str">
        <f>"14/09/2019 12:00:00 a. m."</f>
        <v>14/09/2019 12:00:00 a. m.</v>
      </c>
      <c r="AX1016" t="str">
        <f>""</f>
        <v/>
      </c>
      <c r="AY1016" t="str">
        <f t="shared" si="1176"/>
        <v>30/04/2021 12:00:00 a. m.</v>
      </c>
      <c r="AZ1016" t="str">
        <f>"25/02/2020 12:00:00 a. m."</f>
        <v>25/02/2020 12:00:00 a. m.</v>
      </c>
      <c r="BA1016" t="str">
        <f>""</f>
        <v/>
      </c>
      <c r="BB1016" t="str">
        <f>""</f>
        <v/>
      </c>
      <c r="BC1016" t="str">
        <f>""</f>
        <v/>
      </c>
      <c r="BD1016" t="str">
        <f t="shared" si="1223"/>
        <v>1</v>
      </c>
      <c r="BE1016" t="str">
        <f t="shared" si="1223"/>
        <v>1</v>
      </c>
      <c r="BF1016" t="str">
        <f t="shared" si="1178"/>
        <v xml:space="preserve">3         </v>
      </c>
      <c r="BG1016" t="str">
        <f t="shared" si="1179"/>
        <v>Confirmado por laboratorio</v>
      </c>
      <c r="BH1016" t="str">
        <f>"FUNDACION HOSPITALARIA SAN VICENTE DE PAUL"</f>
        <v>FUNDACION HOSPITALARIA SAN VICENTE DE PAUL</v>
      </c>
      <c r="BI1016" t="str">
        <f t="shared" si="1214"/>
        <v>COLOMBIA</v>
      </c>
      <c r="BJ1016" t="str">
        <f t="shared" si="1180"/>
        <v>CANCER INFANTIL</v>
      </c>
      <c r="BK1016" t="str">
        <f>"ANTIOQUIA"</f>
        <v>ANTIOQUIA</v>
      </c>
      <c r="BL1016" t="str">
        <f>"MEDELLIN"</f>
        <v>MEDELLIN</v>
      </c>
      <c r="BM1016" t="str">
        <f t="shared" si="1188"/>
        <v>COLOMBIA</v>
      </c>
      <c r="BN1016" t="str">
        <f>"ANTIOQUIA"</f>
        <v>ANTIOQUIA</v>
      </c>
      <c r="BO1016" t="str">
        <f>"MEDELLIN"</f>
        <v>MEDELLIN</v>
      </c>
      <c r="BP1016" t="str">
        <f>"ANTIOQUIA"</f>
        <v>ANTIOQUIA</v>
      </c>
      <c r="BQ1016" t="str">
        <f>"MEDELLIN"</f>
        <v>MEDELLIN</v>
      </c>
    </row>
    <row r="1017" spans="1:69" x14ac:dyDescent="0.25">
      <c r="A1017" t="str">
        <f>"7291528"</f>
        <v>7291528</v>
      </c>
      <c r="B1017" t="str">
        <f t="shared" si="1173"/>
        <v>459</v>
      </c>
      <c r="C1017" t="str">
        <f>"21/10/2020 12:00:00 a. m."</f>
        <v>21/10/2020 12:00:00 a. m.</v>
      </c>
      <c r="D1017" t="str">
        <f>"33"</f>
        <v>33</v>
      </c>
      <c r="E1017" t="str">
        <f t="shared" si="1174"/>
        <v>2020</v>
      </c>
      <c r="F1017" t="str">
        <f>"0500102175"</f>
        <v>0500102175</v>
      </c>
      <c r="G1017" t="str">
        <f t="shared" si="1211"/>
        <v>01</v>
      </c>
      <c r="H1017" t="str">
        <f>"8"</f>
        <v>8</v>
      </c>
      <c r="I1017" t="str">
        <f>"1"</f>
        <v>1</v>
      </c>
      <c r="J1017" t="str">
        <f>"M"</f>
        <v>M</v>
      </c>
      <c r="K1017" t="str">
        <f t="shared" si="1213"/>
        <v>170</v>
      </c>
      <c r="L1017" t="str">
        <f>"05"</f>
        <v>05</v>
      </c>
      <c r="M1017" t="str">
        <f>"001"</f>
        <v>001</v>
      </c>
      <c r="N1017" t="str">
        <f>"1"</f>
        <v>1</v>
      </c>
      <c r="O1017" t="str">
        <f t="shared" si="1233"/>
        <v>9999</v>
      </c>
      <c r="P1017" t="str">
        <f>"C"</f>
        <v>C</v>
      </c>
      <c r="Q1017" t="str">
        <f>"EPS041"</f>
        <v>EPS041</v>
      </c>
      <c r="R1017" t="str">
        <f t="shared" si="1218"/>
        <v>6</v>
      </c>
      <c r="S1017" t="str">
        <f>""</f>
        <v/>
      </c>
      <c r="T1017" t="str">
        <f t="shared" si="1219"/>
        <v xml:space="preserve">                                                                                                    </v>
      </c>
      <c r="U1017" t="str">
        <f>"2         "</f>
        <v xml:space="preserve">2         </v>
      </c>
      <c r="V1017" t="str">
        <f t="shared" si="1232"/>
        <v>2</v>
      </c>
      <c r="W1017" t="str">
        <f t="shared" si="1228"/>
        <v>2</v>
      </c>
      <c r="X1017" t="str">
        <f t="shared" si="1212"/>
        <v>2</v>
      </c>
      <c r="Y1017" t="str">
        <f t="shared" si="1221"/>
        <v>2</v>
      </c>
      <c r="Z1017" t="str">
        <f t="shared" si="1221"/>
        <v>2</v>
      </c>
      <c r="AA1017" t="str">
        <f t="shared" si="1175"/>
        <v xml:space="preserve">          </v>
      </c>
      <c r="AB1017" t="str">
        <f t="shared" si="1165"/>
        <v>2</v>
      </c>
      <c r="AC1017" t="str">
        <f t="shared" ref="AC1017:AC1046" si="1234">"2"</f>
        <v>2</v>
      </c>
      <c r="AD1017" t="str">
        <f t="shared" si="1222"/>
        <v>2</v>
      </c>
      <c r="AE1017" t="str">
        <f t="shared" si="1222"/>
        <v>2</v>
      </c>
      <c r="AF1017" t="str">
        <f t="shared" si="1222"/>
        <v>2</v>
      </c>
      <c r="AG1017" t="str">
        <f t="shared" si="1222"/>
        <v>2</v>
      </c>
      <c r="AH1017" t="str">
        <f t="shared" ref="AH1017:AH1046" si="1235">"1"</f>
        <v>1</v>
      </c>
      <c r="AI1017" t="str">
        <f t="shared" si="1216"/>
        <v xml:space="preserve">1         </v>
      </c>
      <c r="AJ1017" t="str">
        <f t="shared" si="1187"/>
        <v>170</v>
      </c>
      <c r="AK1017" t="str">
        <f>"05"</f>
        <v>05</v>
      </c>
      <c r="AL1017" t="str">
        <f>"001"</f>
        <v>001</v>
      </c>
      <c r="AM1017" t="str">
        <f>"05"</f>
        <v>05</v>
      </c>
      <c r="AN1017" t="str">
        <f>"05001"</f>
        <v>05001</v>
      </c>
      <c r="AO1017" t="str">
        <f>"9/08/2020 12:00:00 a. m."</f>
        <v>9/08/2020 12:00:00 a. m.</v>
      </c>
      <c r="AP1017" t="str">
        <f>"1/08/2020 12:00:00 a. m."</f>
        <v>1/08/2020 12:00:00 a. m.</v>
      </c>
      <c r="AQ1017" t="str">
        <f t="shared" ref="AQ1017:AQ1023" si="1236">"3"</f>
        <v>3</v>
      </c>
      <c r="AR1017" t="str">
        <f t="shared" si="1226"/>
        <v>1</v>
      </c>
      <c r="AS1017" t="str">
        <f>"9/08/2020 12:00:00 a. m."</f>
        <v>9/08/2020 12:00:00 a. m.</v>
      </c>
      <c r="AT1017" t="str">
        <f>"2"</f>
        <v>2</v>
      </c>
      <c r="AU1017" t="str">
        <f>"13/08/2020 12:00:00 a. m."</f>
        <v>13/08/2020 12:00:00 a. m.</v>
      </c>
      <c r="AV1017" t="str">
        <f>"0"</f>
        <v>0</v>
      </c>
      <c r="AW1017" t="str">
        <f>"15/12/2011 12:00:00 a. m."</f>
        <v>15/12/2011 12:00:00 a. m.</v>
      </c>
      <c r="AX1017" t="str">
        <f>"C381"</f>
        <v>C381</v>
      </c>
      <c r="AY1017" t="str">
        <f t="shared" si="1176"/>
        <v>30/04/2021 12:00:00 a. m.</v>
      </c>
      <c r="AZ1017" t="str">
        <f>"21/10/2020 12:00:00 a. m."</f>
        <v>21/10/2020 12:00:00 a. m.</v>
      </c>
      <c r="BA1017" t="str">
        <f>""</f>
        <v/>
      </c>
      <c r="BB1017" t="str">
        <f>""</f>
        <v/>
      </c>
      <c r="BC1017" t="str">
        <f>""</f>
        <v/>
      </c>
      <c r="BD1017" t="str">
        <f t="shared" si="1223"/>
        <v>1</v>
      </c>
      <c r="BE1017" t="str">
        <f t="shared" si="1223"/>
        <v>1</v>
      </c>
      <c r="BF1017" t="str">
        <f t="shared" si="1178"/>
        <v xml:space="preserve">3         </v>
      </c>
      <c r="BG1017" t="str">
        <f t="shared" si="1179"/>
        <v>Confirmado por laboratorio</v>
      </c>
      <c r="BH1017" t="str">
        <f>"FUNDACION HOSPITALARIA SAN VICENTE DE PAUL"</f>
        <v>FUNDACION HOSPITALARIA SAN VICENTE DE PAUL</v>
      </c>
      <c r="BI1017" t="str">
        <f t="shared" si="1214"/>
        <v>COLOMBIA</v>
      </c>
      <c r="BJ1017" t="str">
        <f t="shared" si="1180"/>
        <v>CANCER INFANTIL</v>
      </c>
      <c r="BK1017" t="str">
        <f>"ANTIOQUIA"</f>
        <v>ANTIOQUIA</v>
      </c>
      <c r="BL1017" t="str">
        <f>"MEDELLIN"</f>
        <v>MEDELLIN</v>
      </c>
      <c r="BM1017" t="str">
        <f t="shared" si="1188"/>
        <v>COLOMBIA</v>
      </c>
      <c r="BN1017" t="str">
        <f>"ANTIOQUIA"</f>
        <v>ANTIOQUIA</v>
      </c>
      <c r="BO1017" t="str">
        <f>"MEDELLIN"</f>
        <v>MEDELLIN</v>
      </c>
      <c r="BP1017" t="str">
        <f>"ANTIOQUIA"</f>
        <v>ANTIOQUIA</v>
      </c>
      <c r="BQ1017" t="str">
        <f>"MEDELLIN"</f>
        <v>MEDELLIN</v>
      </c>
    </row>
    <row r="1018" spans="1:69" x14ac:dyDescent="0.25">
      <c r="A1018" t="str">
        <f>"7279172"</f>
        <v>7279172</v>
      </c>
      <c r="B1018" t="str">
        <f t="shared" si="1173"/>
        <v>459</v>
      </c>
      <c r="C1018" t="str">
        <f>"20/11/2020 12:00:00 a. m."</f>
        <v>20/11/2020 12:00:00 a. m.</v>
      </c>
      <c r="D1018" t="str">
        <f>"47"</f>
        <v>47</v>
      </c>
      <c r="E1018" t="str">
        <f t="shared" si="1174"/>
        <v>2020</v>
      </c>
      <c r="F1018" t="str">
        <f>"7600102870"</f>
        <v>7600102870</v>
      </c>
      <c r="G1018" t="str">
        <f t="shared" si="1211"/>
        <v>01</v>
      </c>
      <c r="H1018" t="str">
        <f>"3"</f>
        <v>3</v>
      </c>
      <c r="I1018" t="str">
        <f>"1"</f>
        <v>1</v>
      </c>
      <c r="J1018" t="str">
        <f>"M"</f>
        <v>M</v>
      </c>
      <c r="K1018" t="str">
        <f t="shared" si="1213"/>
        <v>170</v>
      </c>
      <c r="L1018" t="str">
        <f>"19"</f>
        <v>19</v>
      </c>
      <c r="M1018" t="str">
        <f>"455"</f>
        <v>455</v>
      </c>
      <c r="N1018" t="str">
        <f>"1"</f>
        <v>1</v>
      </c>
      <c r="O1018" t="str">
        <f t="shared" si="1233"/>
        <v>9999</v>
      </c>
      <c r="P1018" t="str">
        <f>"C"</f>
        <v>C</v>
      </c>
      <c r="Q1018" t="str">
        <f>"EPS018"</f>
        <v>EPS018</v>
      </c>
      <c r="R1018" t="str">
        <f t="shared" si="1218"/>
        <v>6</v>
      </c>
      <c r="S1018" t="str">
        <f>""</f>
        <v/>
      </c>
      <c r="T1018" t="str">
        <f t="shared" si="1219"/>
        <v xml:space="preserve">                                                                                                    </v>
      </c>
      <c r="U1018" t="str">
        <f>"          "</f>
        <v xml:space="preserve">          </v>
      </c>
      <c r="V1018" t="str">
        <f t="shared" si="1232"/>
        <v>2</v>
      </c>
      <c r="W1018" t="str">
        <f t="shared" si="1228"/>
        <v>2</v>
      </c>
      <c r="X1018" t="str">
        <f t="shared" si="1212"/>
        <v>2</v>
      </c>
      <c r="Y1018" t="str">
        <f t="shared" si="1221"/>
        <v>2</v>
      </c>
      <c r="Z1018" t="str">
        <f t="shared" si="1221"/>
        <v>2</v>
      </c>
      <c r="AA1018" t="str">
        <f t="shared" si="1175"/>
        <v xml:space="preserve">          </v>
      </c>
      <c r="AB1018" t="str">
        <f t="shared" si="1165"/>
        <v>2</v>
      </c>
      <c r="AC1018" t="str">
        <f t="shared" si="1234"/>
        <v>2</v>
      </c>
      <c r="AD1018" t="str">
        <f t="shared" si="1222"/>
        <v>2</v>
      </c>
      <c r="AE1018" t="str">
        <f t="shared" si="1222"/>
        <v>2</v>
      </c>
      <c r="AF1018" t="str">
        <f t="shared" si="1222"/>
        <v>2</v>
      </c>
      <c r="AG1018" t="str">
        <f t="shared" si="1222"/>
        <v>2</v>
      </c>
      <c r="AH1018" t="str">
        <f t="shared" si="1235"/>
        <v>1</v>
      </c>
      <c r="AI1018" t="str">
        <f t="shared" si="1216"/>
        <v xml:space="preserve">1         </v>
      </c>
      <c r="AJ1018" t="str">
        <f t="shared" si="1187"/>
        <v>170</v>
      </c>
      <c r="AK1018" t="str">
        <f>"19"</f>
        <v>19</v>
      </c>
      <c r="AL1018" t="str">
        <f>"455"</f>
        <v>455</v>
      </c>
      <c r="AM1018" t="str">
        <f>"76"</f>
        <v>76</v>
      </c>
      <c r="AN1018" t="str">
        <f>"76001"</f>
        <v>76001</v>
      </c>
      <c r="AO1018" t="str">
        <f>"18/11/2020 12:00:00 a. m."</f>
        <v>18/11/2020 12:00:00 a. m.</v>
      </c>
      <c r="AP1018" t="str">
        <f>"1/07/2020 12:00:00 a. m."</f>
        <v>1/07/2020 12:00:00 a. m.</v>
      </c>
      <c r="AQ1018" t="str">
        <f t="shared" si="1236"/>
        <v>3</v>
      </c>
      <c r="AR1018" t="str">
        <f t="shared" si="1226"/>
        <v>1</v>
      </c>
      <c r="AS1018" t="str">
        <f>"18/11/2020 12:00:00 a. m."</f>
        <v>18/11/2020 12:00:00 a. m.</v>
      </c>
      <c r="AT1018" t="str">
        <f t="shared" ref="AT1018:AT1026" si="1237">"1"</f>
        <v>1</v>
      </c>
      <c r="AU1018" t="str">
        <f>""</f>
        <v/>
      </c>
      <c r="AV1018" t="str">
        <f>"7"</f>
        <v>7</v>
      </c>
      <c r="AW1018" t="str">
        <f>"4/05/2017 12:00:00 a. m."</f>
        <v>4/05/2017 12:00:00 a. m.</v>
      </c>
      <c r="AX1018" t="str">
        <f>""</f>
        <v/>
      </c>
      <c r="AY1018" t="str">
        <f t="shared" si="1176"/>
        <v>30/04/2021 12:00:00 a. m.</v>
      </c>
      <c r="AZ1018" t="str">
        <f>"23/02/2021 12:00:00 a. m."</f>
        <v>23/02/2021 12:00:00 a. m.</v>
      </c>
      <c r="BA1018" t="str">
        <f>""</f>
        <v/>
      </c>
      <c r="BB1018" t="str">
        <f>""</f>
        <v/>
      </c>
      <c r="BC1018" t="str">
        <f>""</f>
        <v/>
      </c>
      <c r="BD1018" t="str">
        <f t="shared" si="1223"/>
        <v>1</v>
      </c>
      <c r="BE1018" t="str">
        <f t="shared" si="1223"/>
        <v>1</v>
      </c>
      <c r="BF1018" t="str">
        <f t="shared" si="1178"/>
        <v xml:space="preserve">3         </v>
      </c>
      <c r="BG1018" t="str">
        <f t="shared" si="1179"/>
        <v>Confirmado por laboratorio</v>
      </c>
      <c r="BH1018" t="str">
        <f>"FUNDACION VALLE DEL LILI"</f>
        <v>FUNDACION VALLE DEL LILI</v>
      </c>
      <c r="BI1018" t="str">
        <f t="shared" si="1214"/>
        <v>COLOMBIA</v>
      </c>
      <c r="BJ1018" t="str">
        <f t="shared" si="1180"/>
        <v>CANCER INFANTIL</v>
      </c>
      <c r="BK1018" t="str">
        <f>"CAUCA"</f>
        <v>CAUCA</v>
      </c>
      <c r="BL1018" t="str">
        <f>"MIRANDA"</f>
        <v>MIRANDA</v>
      </c>
      <c r="BM1018" t="str">
        <f t="shared" si="1188"/>
        <v>COLOMBIA</v>
      </c>
      <c r="BN1018" t="str">
        <f>"CAUCA"</f>
        <v>CAUCA</v>
      </c>
      <c r="BO1018" t="str">
        <f>"MIRANDA"</f>
        <v>MIRANDA</v>
      </c>
      <c r="BP1018" t="str">
        <f>"VALLE"</f>
        <v>VALLE</v>
      </c>
      <c r="BQ1018" t="str">
        <f>"CALI"</f>
        <v>CALI</v>
      </c>
    </row>
    <row r="1019" spans="1:69" x14ac:dyDescent="0.25">
      <c r="A1019" t="str">
        <f>"7279205"</f>
        <v>7279205</v>
      </c>
      <c r="B1019" t="str">
        <f t="shared" si="1173"/>
        <v>459</v>
      </c>
      <c r="C1019" t="str">
        <f>"1/03/2021 12:00:00 a. m."</f>
        <v>1/03/2021 12:00:00 a. m.</v>
      </c>
      <c r="D1019" t="str">
        <f>"50"</f>
        <v>50</v>
      </c>
      <c r="E1019" t="str">
        <f t="shared" si="1174"/>
        <v>2020</v>
      </c>
      <c r="F1019" t="str">
        <f>"7600101111"</f>
        <v>7600101111</v>
      </c>
      <c r="G1019" t="str">
        <f t="shared" si="1211"/>
        <v>01</v>
      </c>
      <c r="H1019" t="str">
        <f>"3"</f>
        <v>3</v>
      </c>
      <c r="I1019" t="str">
        <f>"2"</f>
        <v>2</v>
      </c>
      <c r="J1019" t="str">
        <f>"M"</f>
        <v>M</v>
      </c>
      <c r="K1019" t="str">
        <f t="shared" ref="K1019:K1046" si="1238">"170"</f>
        <v>170</v>
      </c>
      <c r="L1019" t="str">
        <f>"76"</f>
        <v>76</v>
      </c>
      <c r="M1019" t="str">
        <f>"275"</f>
        <v>275</v>
      </c>
      <c r="N1019" t="str">
        <f>"3"</f>
        <v>3</v>
      </c>
      <c r="O1019" t="str">
        <f t="shared" si="1233"/>
        <v>9999</v>
      </c>
      <c r="P1019" t="str">
        <f>"S"</f>
        <v>S</v>
      </c>
      <c r="Q1019" t="str">
        <f>"ESS024"</f>
        <v>ESS024</v>
      </c>
      <c r="R1019" t="str">
        <f t="shared" si="1218"/>
        <v>6</v>
      </c>
      <c r="S1019" t="str">
        <f>""</f>
        <v/>
      </c>
      <c r="T1019" t="str">
        <f t="shared" si="1219"/>
        <v xml:space="preserve">                                                                                                    </v>
      </c>
      <c r="U1019" t="str">
        <f>"          "</f>
        <v xml:space="preserve">          </v>
      </c>
      <c r="V1019" t="str">
        <f t="shared" si="1232"/>
        <v>2</v>
      </c>
      <c r="W1019" t="str">
        <f t="shared" si="1228"/>
        <v>2</v>
      </c>
      <c r="X1019" t="str">
        <f t="shared" si="1212"/>
        <v>2</v>
      </c>
      <c r="Y1019" t="str">
        <f t="shared" ref="Y1019:Z1038" si="1239">"2"</f>
        <v>2</v>
      </c>
      <c r="Z1019" t="str">
        <f t="shared" si="1239"/>
        <v>2</v>
      </c>
      <c r="AA1019" t="str">
        <f t="shared" si="1175"/>
        <v xml:space="preserve">          </v>
      </c>
      <c r="AB1019" t="str">
        <f t="shared" si="1165"/>
        <v>2</v>
      </c>
      <c r="AC1019" t="str">
        <f t="shared" si="1234"/>
        <v>2</v>
      </c>
      <c r="AD1019" t="str">
        <f t="shared" si="1222"/>
        <v>2</v>
      </c>
      <c r="AE1019" t="str">
        <f t="shared" si="1222"/>
        <v>2</v>
      </c>
      <c r="AF1019" t="str">
        <f t="shared" si="1222"/>
        <v>2</v>
      </c>
      <c r="AG1019" t="str">
        <f t="shared" si="1222"/>
        <v>2</v>
      </c>
      <c r="AH1019" t="str">
        <f t="shared" si="1235"/>
        <v>1</v>
      </c>
      <c r="AI1019" t="str">
        <f t="shared" si="1216"/>
        <v xml:space="preserve">1         </v>
      </c>
      <c r="AJ1019" t="str">
        <f t="shared" si="1187"/>
        <v>170</v>
      </c>
      <c r="AK1019" t="str">
        <f>"76"</f>
        <v>76</v>
      </c>
      <c r="AL1019" t="str">
        <f>"275"</f>
        <v>275</v>
      </c>
      <c r="AM1019" t="str">
        <f>"76"</f>
        <v>76</v>
      </c>
      <c r="AN1019" t="str">
        <f>"76001"</f>
        <v>76001</v>
      </c>
      <c r="AO1019" t="str">
        <f>"11/12/2020 12:00:00 a. m."</f>
        <v>11/12/2020 12:00:00 a. m.</v>
      </c>
      <c r="AP1019" t="str">
        <f>"11/12/2020 12:00:00 a. m."</f>
        <v>11/12/2020 12:00:00 a. m.</v>
      </c>
      <c r="AQ1019" t="str">
        <f t="shared" si="1236"/>
        <v>3</v>
      </c>
      <c r="AR1019" t="str">
        <f t="shared" si="1226"/>
        <v>1</v>
      </c>
      <c r="AS1019" t="str">
        <f>"11/12/2020 12:00:00 a. m."</f>
        <v>11/12/2020 12:00:00 a. m.</v>
      </c>
      <c r="AT1019" t="str">
        <f t="shared" si="1237"/>
        <v>1</v>
      </c>
      <c r="AU1019" t="str">
        <f>""</f>
        <v/>
      </c>
      <c r="AV1019" t="str">
        <f>"0"</f>
        <v>0</v>
      </c>
      <c r="AW1019" t="str">
        <f>"5/11/2020 12:00:00 a. m."</f>
        <v>5/11/2020 12:00:00 a. m.</v>
      </c>
      <c r="AX1019" t="str">
        <f>""</f>
        <v/>
      </c>
      <c r="AY1019" t="str">
        <f t="shared" si="1176"/>
        <v>30/04/2021 12:00:00 a. m.</v>
      </c>
      <c r="AZ1019" t="str">
        <f>"1/03/2021 12:00:00 a. m."</f>
        <v>1/03/2021 12:00:00 a. m.</v>
      </c>
      <c r="BA1019" t="str">
        <f>""</f>
        <v/>
      </c>
      <c r="BB1019" t="str">
        <f>""</f>
        <v/>
      </c>
      <c r="BC1019" t="str">
        <f>""</f>
        <v/>
      </c>
      <c r="BD1019" t="str">
        <f t="shared" si="1223"/>
        <v>1</v>
      </c>
      <c r="BE1019" t="str">
        <f t="shared" si="1223"/>
        <v>1</v>
      </c>
      <c r="BF1019" t="str">
        <f t="shared" si="1178"/>
        <v xml:space="preserve">3         </v>
      </c>
      <c r="BG1019" t="str">
        <f t="shared" si="1179"/>
        <v>Confirmado por laboratorio</v>
      </c>
      <c r="BH1019" t="str">
        <f>"CENTRO MEDICO IMBANACO CMI"</f>
        <v>CENTRO MEDICO IMBANACO CMI</v>
      </c>
      <c r="BI1019" t="str">
        <f t="shared" ref="BI1019:BI1046" si="1240">"COLOMBIA"</f>
        <v>COLOMBIA</v>
      </c>
      <c r="BJ1019" t="str">
        <f t="shared" si="1180"/>
        <v>CANCER INFANTIL</v>
      </c>
      <c r="BK1019" t="str">
        <f>"VALLE"</f>
        <v>VALLE</v>
      </c>
      <c r="BL1019" t="str">
        <f>"FLORIDA"</f>
        <v>FLORIDA</v>
      </c>
      <c r="BM1019" t="str">
        <f t="shared" si="1188"/>
        <v>COLOMBIA</v>
      </c>
      <c r="BN1019" t="str">
        <f>"VALLE"</f>
        <v>VALLE</v>
      </c>
      <c r="BO1019" t="str">
        <f>"FLORIDA"</f>
        <v>FLORIDA</v>
      </c>
      <c r="BP1019" t="str">
        <f>"VALLE"</f>
        <v>VALLE</v>
      </c>
      <c r="BQ1019" t="str">
        <f>"CALI"</f>
        <v>CALI</v>
      </c>
    </row>
    <row r="1020" spans="1:69" x14ac:dyDescent="0.25">
      <c r="A1020" t="str">
        <f>"7279296"</f>
        <v>7279296</v>
      </c>
      <c r="B1020" t="str">
        <f t="shared" si="1173"/>
        <v>459</v>
      </c>
      <c r="C1020" t="str">
        <f>"27/04/2020 12:00:00 a. m."</f>
        <v>27/04/2020 12:00:00 a. m.</v>
      </c>
      <c r="D1020" t="str">
        <f>"18"</f>
        <v>18</v>
      </c>
      <c r="E1020" t="str">
        <f t="shared" si="1174"/>
        <v>2020</v>
      </c>
      <c r="F1020" t="str">
        <f>"0500102104"</f>
        <v>0500102104</v>
      </c>
      <c r="G1020" t="str">
        <f t="shared" si="1211"/>
        <v>01</v>
      </c>
      <c r="H1020" t="str">
        <f>"17"</f>
        <v>17</v>
      </c>
      <c r="I1020" t="str">
        <f t="shared" ref="I1020:I1034" si="1241">"1"</f>
        <v>1</v>
      </c>
      <c r="J1020" t="str">
        <f>"F"</f>
        <v>F</v>
      </c>
      <c r="K1020" t="str">
        <f t="shared" si="1238"/>
        <v>170</v>
      </c>
      <c r="L1020" t="str">
        <f>"05"</f>
        <v>05</v>
      </c>
      <c r="M1020" t="str">
        <f>"615"</f>
        <v>615</v>
      </c>
      <c r="N1020" t="str">
        <f>"1"</f>
        <v>1</v>
      </c>
      <c r="O1020" t="str">
        <f t="shared" si="1233"/>
        <v>9999</v>
      </c>
      <c r="P1020" t="str">
        <f>"C"</f>
        <v>C</v>
      </c>
      <c r="Q1020" t="str">
        <f>"EPS010"</f>
        <v>EPS010</v>
      </c>
      <c r="R1020" t="str">
        <f t="shared" si="1218"/>
        <v>6</v>
      </c>
      <c r="S1020" t="str">
        <f>""</f>
        <v/>
      </c>
      <c r="T1020" t="str">
        <f t="shared" si="1219"/>
        <v xml:space="preserve">                                                                                                    </v>
      </c>
      <c r="U1020" t="str">
        <f>"2         "</f>
        <v xml:space="preserve">2         </v>
      </c>
      <c r="V1020" t="str">
        <f t="shared" si="1232"/>
        <v>2</v>
      </c>
      <c r="W1020" t="str">
        <f t="shared" si="1228"/>
        <v>2</v>
      </c>
      <c r="X1020" t="str">
        <f t="shared" si="1212"/>
        <v>2</v>
      </c>
      <c r="Y1020" t="str">
        <f t="shared" si="1239"/>
        <v>2</v>
      </c>
      <c r="Z1020" t="str">
        <f t="shared" si="1239"/>
        <v>2</v>
      </c>
      <c r="AA1020" t="str">
        <f t="shared" si="1175"/>
        <v xml:space="preserve">          </v>
      </c>
      <c r="AB1020" t="str">
        <f t="shared" ref="AB1020:AB1046" si="1242">"2"</f>
        <v>2</v>
      </c>
      <c r="AC1020" t="str">
        <f t="shared" si="1234"/>
        <v>2</v>
      </c>
      <c r="AD1020" t="str">
        <f t="shared" ref="AD1020:AG1039" si="1243">"2"</f>
        <v>2</v>
      </c>
      <c r="AE1020" t="str">
        <f t="shared" si="1243"/>
        <v>2</v>
      </c>
      <c r="AF1020" t="str">
        <f t="shared" si="1243"/>
        <v>2</v>
      </c>
      <c r="AG1020" t="str">
        <f t="shared" si="1243"/>
        <v>2</v>
      </c>
      <c r="AH1020" t="str">
        <f t="shared" si="1235"/>
        <v>1</v>
      </c>
      <c r="AI1020" t="str">
        <f t="shared" si="1216"/>
        <v xml:space="preserve">1         </v>
      </c>
      <c r="AJ1020" t="str">
        <f t="shared" si="1187"/>
        <v>170</v>
      </c>
      <c r="AK1020" t="str">
        <f>"05"</f>
        <v>05</v>
      </c>
      <c r="AL1020" t="str">
        <f>"615"</f>
        <v>615</v>
      </c>
      <c r="AM1020" t="str">
        <f>"05"</f>
        <v>05</v>
      </c>
      <c r="AN1020" t="str">
        <f>"05001"</f>
        <v>05001</v>
      </c>
      <c r="AO1020" t="str">
        <f>"27/04/2020 12:00:00 a. m."</f>
        <v>27/04/2020 12:00:00 a. m.</v>
      </c>
      <c r="AP1020" t="str">
        <f>"27/06/2019 12:00:00 a. m."</f>
        <v>27/06/2019 12:00:00 a. m.</v>
      </c>
      <c r="AQ1020" t="str">
        <f t="shared" si="1236"/>
        <v>3</v>
      </c>
      <c r="AR1020" t="str">
        <f>"2"</f>
        <v>2</v>
      </c>
      <c r="AS1020" t="str">
        <f>""</f>
        <v/>
      </c>
      <c r="AT1020" t="str">
        <f t="shared" si="1237"/>
        <v>1</v>
      </c>
      <c r="AU1020" t="str">
        <f>""</f>
        <v/>
      </c>
      <c r="AV1020" t="str">
        <f>"0"</f>
        <v>0</v>
      </c>
      <c r="AW1020" t="str">
        <f>"8/01/2003 12:00:00 a. m."</f>
        <v>8/01/2003 12:00:00 a. m.</v>
      </c>
      <c r="AX1020" t="str">
        <f>""</f>
        <v/>
      </c>
      <c r="AY1020" t="str">
        <f t="shared" si="1176"/>
        <v>30/04/2021 12:00:00 a. m.</v>
      </c>
      <c r="AZ1020" t="str">
        <f>"11/05/2020 12:00:00 a. m."</f>
        <v>11/05/2020 12:00:00 a. m.</v>
      </c>
      <c r="BA1020" t="str">
        <f>""</f>
        <v/>
      </c>
      <c r="BB1020" t="str">
        <f>""</f>
        <v/>
      </c>
      <c r="BC1020" t="str">
        <f>""</f>
        <v/>
      </c>
      <c r="BD1020" t="str">
        <f t="shared" si="1223"/>
        <v>1</v>
      </c>
      <c r="BE1020" t="str">
        <f t="shared" si="1223"/>
        <v>1</v>
      </c>
      <c r="BF1020" t="str">
        <f t="shared" si="1178"/>
        <v xml:space="preserve">3         </v>
      </c>
      <c r="BG1020" t="str">
        <f t="shared" si="1179"/>
        <v>Confirmado por laboratorio</v>
      </c>
      <c r="BH1020" t="str">
        <f>"HOSPITAL PABLO TOBON URIBE"</f>
        <v>HOSPITAL PABLO TOBON URIBE</v>
      </c>
      <c r="BI1020" t="str">
        <f t="shared" si="1240"/>
        <v>COLOMBIA</v>
      </c>
      <c r="BJ1020" t="str">
        <f t="shared" si="1180"/>
        <v>CANCER INFANTIL</v>
      </c>
      <c r="BK1020" t="str">
        <f>"ANTIOQUIA"</f>
        <v>ANTIOQUIA</v>
      </c>
      <c r="BL1020" t="str">
        <f>"RIONEGRO"</f>
        <v>RIONEGRO</v>
      </c>
      <c r="BM1020" t="str">
        <f t="shared" si="1188"/>
        <v>COLOMBIA</v>
      </c>
      <c r="BN1020" t="str">
        <f>"ANTIOQUIA"</f>
        <v>ANTIOQUIA</v>
      </c>
      <c r="BO1020" t="str">
        <f>"RIONEGRO"</f>
        <v>RIONEGRO</v>
      </c>
      <c r="BP1020" t="str">
        <f>"ANTIOQUIA"</f>
        <v>ANTIOQUIA</v>
      </c>
      <c r="BQ1020" t="str">
        <f>"MEDELLIN"</f>
        <v>MEDELLIN</v>
      </c>
    </row>
    <row r="1021" spans="1:69" x14ac:dyDescent="0.25">
      <c r="A1021" t="str">
        <f>"7279145"</f>
        <v>7279145</v>
      </c>
      <c r="B1021" t="str">
        <f t="shared" si="1173"/>
        <v>459</v>
      </c>
      <c r="C1021" t="str">
        <f>"12/08/2020 12:00:00 a. m."</f>
        <v>12/08/2020 12:00:00 a. m.</v>
      </c>
      <c r="D1021" t="str">
        <f>"30"</f>
        <v>30</v>
      </c>
      <c r="E1021" t="str">
        <f t="shared" si="1174"/>
        <v>2020</v>
      </c>
      <c r="F1021" t="str">
        <f>"0500102175"</f>
        <v>0500102175</v>
      </c>
      <c r="G1021" t="str">
        <f t="shared" si="1211"/>
        <v>01</v>
      </c>
      <c r="H1021" t="str">
        <f>"1"</f>
        <v>1</v>
      </c>
      <c r="I1021" t="str">
        <f t="shared" si="1241"/>
        <v>1</v>
      </c>
      <c r="J1021" t="str">
        <f>"F"</f>
        <v>F</v>
      </c>
      <c r="K1021" t="str">
        <f t="shared" si="1238"/>
        <v>170</v>
      </c>
      <c r="L1021" t="str">
        <f>"05"</f>
        <v>05</v>
      </c>
      <c r="M1021" t="str">
        <f>"055"</f>
        <v>055</v>
      </c>
      <c r="N1021" t="str">
        <f>"3"</f>
        <v>3</v>
      </c>
      <c r="O1021" t="str">
        <f t="shared" si="1233"/>
        <v>9999</v>
      </c>
      <c r="P1021" t="str">
        <f>"S"</f>
        <v>S</v>
      </c>
      <c r="Q1021" t="str">
        <f>"EPSS40"</f>
        <v>EPSS40</v>
      </c>
      <c r="R1021" t="str">
        <f t="shared" si="1218"/>
        <v>6</v>
      </c>
      <c r="S1021" t="str">
        <f>""</f>
        <v/>
      </c>
      <c r="T1021" t="str">
        <f t="shared" si="1219"/>
        <v xml:space="preserve">                                                                                                    </v>
      </c>
      <c r="U1021" t="str">
        <f>"2         "</f>
        <v xml:space="preserve">2         </v>
      </c>
      <c r="V1021" t="str">
        <f t="shared" si="1232"/>
        <v>2</v>
      </c>
      <c r="W1021" t="str">
        <f t="shared" si="1228"/>
        <v>2</v>
      </c>
      <c r="X1021" t="str">
        <f t="shared" si="1212"/>
        <v>2</v>
      </c>
      <c r="Y1021" t="str">
        <f t="shared" si="1239"/>
        <v>2</v>
      </c>
      <c r="Z1021" t="str">
        <f t="shared" si="1239"/>
        <v>2</v>
      </c>
      <c r="AA1021" t="str">
        <f t="shared" si="1175"/>
        <v xml:space="preserve">          </v>
      </c>
      <c r="AB1021" t="str">
        <f t="shared" si="1242"/>
        <v>2</v>
      </c>
      <c r="AC1021" t="str">
        <f t="shared" si="1234"/>
        <v>2</v>
      </c>
      <c r="AD1021" t="str">
        <f t="shared" si="1243"/>
        <v>2</v>
      </c>
      <c r="AE1021" t="str">
        <f t="shared" si="1243"/>
        <v>2</v>
      </c>
      <c r="AF1021" t="str">
        <f t="shared" si="1243"/>
        <v>2</v>
      </c>
      <c r="AG1021" t="str">
        <f t="shared" si="1243"/>
        <v>2</v>
      </c>
      <c r="AH1021" t="str">
        <f t="shared" si="1235"/>
        <v>1</v>
      </c>
      <c r="AI1021" t="str">
        <f t="shared" si="1216"/>
        <v xml:space="preserve">1         </v>
      </c>
      <c r="AJ1021" t="str">
        <f t="shared" si="1187"/>
        <v>170</v>
      </c>
      <c r="AK1021" t="str">
        <f>"05"</f>
        <v>05</v>
      </c>
      <c r="AL1021" t="str">
        <f>"055"</f>
        <v>055</v>
      </c>
      <c r="AM1021" t="str">
        <f>"05"</f>
        <v>05</v>
      </c>
      <c r="AN1021" t="str">
        <f>"05001"</f>
        <v>05001</v>
      </c>
      <c r="AO1021" t="str">
        <f>"24/07/2020 12:00:00 a. m."</f>
        <v>24/07/2020 12:00:00 a. m.</v>
      </c>
      <c r="AP1021" t="str">
        <f>"5/07/2020 12:00:00 a. m."</f>
        <v>5/07/2020 12:00:00 a. m.</v>
      </c>
      <c r="AQ1021" t="str">
        <f t="shared" si="1236"/>
        <v>3</v>
      </c>
      <c r="AR1021" t="str">
        <f t="shared" ref="AR1021:AR1038" si="1244">"1"</f>
        <v>1</v>
      </c>
      <c r="AS1021" t="str">
        <f>"24/07/2020 12:00:00 a. m."</f>
        <v>24/07/2020 12:00:00 a. m.</v>
      </c>
      <c r="AT1021" t="str">
        <f t="shared" si="1237"/>
        <v>1</v>
      </c>
      <c r="AU1021" t="str">
        <f>""</f>
        <v/>
      </c>
      <c r="AV1021" t="str">
        <f>"7"</f>
        <v>7</v>
      </c>
      <c r="AW1021" t="str">
        <f>"13/04/2019 12:00:00 a. m."</f>
        <v>13/04/2019 12:00:00 a. m.</v>
      </c>
      <c r="AX1021" t="str">
        <f>""</f>
        <v/>
      </c>
      <c r="AY1021" t="str">
        <f t="shared" si="1176"/>
        <v>30/04/2021 12:00:00 a. m.</v>
      </c>
      <c r="AZ1021" t="str">
        <f>"22/10/2020 12:00:00 a. m."</f>
        <v>22/10/2020 12:00:00 a. m.</v>
      </c>
      <c r="BA1021" t="str">
        <f>""</f>
        <v/>
      </c>
      <c r="BB1021" t="str">
        <f>""</f>
        <v/>
      </c>
      <c r="BC1021" t="str">
        <f>""</f>
        <v/>
      </c>
      <c r="BD1021" t="str">
        <f t="shared" si="1223"/>
        <v>1</v>
      </c>
      <c r="BE1021" t="str">
        <f t="shared" si="1223"/>
        <v>1</v>
      </c>
      <c r="BF1021" t="str">
        <f t="shared" si="1178"/>
        <v xml:space="preserve">3         </v>
      </c>
      <c r="BG1021" t="str">
        <f t="shared" si="1179"/>
        <v>Confirmado por laboratorio</v>
      </c>
      <c r="BH1021" t="str">
        <f>"FUNDACION HOSPITALARIA SAN VICENTE DE PAUL"</f>
        <v>FUNDACION HOSPITALARIA SAN VICENTE DE PAUL</v>
      </c>
      <c r="BI1021" t="str">
        <f t="shared" si="1240"/>
        <v>COLOMBIA</v>
      </c>
      <c r="BJ1021" t="str">
        <f t="shared" si="1180"/>
        <v>CANCER INFANTIL</v>
      </c>
      <c r="BK1021" t="str">
        <f>"ANTIOQUIA"</f>
        <v>ANTIOQUIA</v>
      </c>
      <c r="BL1021" t="str">
        <f>"ARGELIA"</f>
        <v>ARGELIA</v>
      </c>
      <c r="BM1021" t="str">
        <f t="shared" si="1188"/>
        <v>COLOMBIA</v>
      </c>
      <c r="BN1021" t="str">
        <f>"ANTIOQUIA"</f>
        <v>ANTIOQUIA</v>
      </c>
      <c r="BO1021" t="str">
        <f>"ARGELIA"</f>
        <v>ARGELIA</v>
      </c>
      <c r="BP1021" t="str">
        <f>"ANTIOQUIA"</f>
        <v>ANTIOQUIA</v>
      </c>
      <c r="BQ1021" t="str">
        <f>"MEDELLIN"</f>
        <v>MEDELLIN</v>
      </c>
    </row>
    <row r="1022" spans="1:69" x14ac:dyDescent="0.25">
      <c r="A1022" t="str">
        <f>"7279234"</f>
        <v>7279234</v>
      </c>
      <c r="B1022" t="str">
        <f t="shared" si="1173"/>
        <v>459</v>
      </c>
      <c r="C1022" t="str">
        <f>"27/10/2020 12:00:00 a. m."</f>
        <v>27/10/2020 12:00:00 a. m.</v>
      </c>
      <c r="D1022" t="str">
        <f>"43"</f>
        <v>43</v>
      </c>
      <c r="E1022" t="str">
        <f t="shared" si="1174"/>
        <v>2020</v>
      </c>
      <c r="F1022" t="str">
        <f>"1100106065"</f>
        <v>1100106065</v>
      </c>
      <c r="G1022" t="str">
        <f t="shared" si="1211"/>
        <v>01</v>
      </c>
      <c r="H1022" t="str">
        <f>"16"</f>
        <v>16</v>
      </c>
      <c r="I1022" t="str">
        <f t="shared" si="1241"/>
        <v>1</v>
      </c>
      <c r="J1022" t="str">
        <f>"F"</f>
        <v>F</v>
      </c>
      <c r="K1022" t="str">
        <f t="shared" si="1238"/>
        <v>170</v>
      </c>
      <c r="L1022" t="str">
        <f>"18"</f>
        <v>18</v>
      </c>
      <c r="M1022" t="str">
        <f>"592"</f>
        <v>592</v>
      </c>
      <c r="N1022" t="str">
        <f>"3"</f>
        <v>3</v>
      </c>
      <c r="O1022" t="str">
        <f>"9997"</f>
        <v>9997</v>
      </c>
      <c r="P1022" t="str">
        <f>"S"</f>
        <v>S</v>
      </c>
      <c r="Q1022" t="str">
        <f>"ESS062"</f>
        <v>ESS062</v>
      </c>
      <c r="R1022" t="str">
        <f t="shared" si="1218"/>
        <v>6</v>
      </c>
      <c r="S1022" t="str">
        <f>""</f>
        <v/>
      </c>
      <c r="T1022" t="str">
        <f t="shared" si="1219"/>
        <v xml:space="preserve">                                                                                                    </v>
      </c>
      <c r="U1022" t="str">
        <f>"1         "</f>
        <v xml:space="preserve">1         </v>
      </c>
      <c r="V1022" t="str">
        <f t="shared" si="1232"/>
        <v>2</v>
      </c>
      <c r="W1022" t="str">
        <f t="shared" si="1228"/>
        <v>2</v>
      </c>
      <c r="X1022" t="str">
        <f t="shared" si="1212"/>
        <v>2</v>
      </c>
      <c r="Y1022" t="str">
        <f t="shared" si="1239"/>
        <v>2</v>
      </c>
      <c r="Z1022" t="str">
        <f t="shared" si="1239"/>
        <v>2</v>
      </c>
      <c r="AA1022" t="str">
        <f t="shared" si="1175"/>
        <v xml:space="preserve">          </v>
      </c>
      <c r="AB1022" t="str">
        <f t="shared" si="1242"/>
        <v>2</v>
      </c>
      <c r="AC1022" t="str">
        <f t="shared" si="1234"/>
        <v>2</v>
      </c>
      <c r="AD1022" t="str">
        <f t="shared" si="1243"/>
        <v>2</v>
      </c>
      <c r="AE1022" t="str">
        <f t="shared" si="1243"/>
        <v>2</v>
      </c>
      <c r="AF1022" t="str">
        <f t="shared" si="1243"/>
        <v>2</v>
      </c>
      <c r="AG1022" t="str">
        <f t="shared" si="1243"/>
        <v>2</v>
      </c>
      <c r="AH1022" t="str">
        <f t="shared" si="1235"/>
        <v>1</v>
      </c>
      <c r="AI1022" t="str">
        <f t="shared" si="1216"/>
        <v xml:space="preserve">1         </v>
      </c>
      <c r="AJ1022" t="str">
        <f t="shared" si="1187"/>
        <v>170</v>
      </c>
      <c r="AK1022" t="str">
        <f>"18"</f>
        <v>18</v>
      </c>
      <c r="AL1022" t="str">
        <f>"592"</f>
        <v>592</v>
      </c>
      <c r="AM1022" t="str">
        <f>"11"</f>
        <v>11</v>
      </c>
      <c r="AN1022" t="str">
        <f>"11001"</f>
        <v>11001</v>
      </c>
      <c r="AO1022" t="str">
        <f>"21/10/2020 12:00:00 a. m."</f>
        <v>21/10/2020 12:00:00 a. m.</v>
      </c>
      <c r="AP1022" t="str">
        <f>"20/09/2020 12:00:00 a. m."</f>
        <v>20/09/2020 12:00:00 a. m.</v>
      </c>
      <c r="AQ1022" t="str">
        <f t="shared" si="1236"/>
        <v>3</v>
      </c>
      <c r="AR1022" t="str">
        <f t="shared" si="1244"/>
        <v>1</v>
      </c>
      <c r="AS1022" t="str">
        <f>"21/10/2020 12:00:00 a. m."</f>
        <v>21/10/2020 12:00:00 a. m.</v>
      </c>
      <c r="AT1022" t="str">
        <f t="shared" si="1237"/>
        <v>1</v>
      </c>
      <c r="AU1022" t="str">
        <f>""</f>
        <v/>
      </c>
      <c r="AV1022" t="str">
        <f>"0"</f>
        <v>0</v>
      </c>
      <c r="AW1022" t="str">
        <f>"2/02/2004 12:00:00 a. m."</f>
        <v>2/02/2004 12:00:00 a. m.</v>
      </c>
      <c r="AX1022" t="str">
        <f>""</f>
        <v/>
      </c>
      <c r="AY1022" t="str">
        <f t="shared" si="1176"/>
        <v>30/04/2021 12:00:00 a. m.</v>
      </c>
      <c r="AZ1022" t="str">
        <f>"30/10/2020 12:00:00 a. m."</f>
        <v>30/10/2020 12:00:00 a. m.</v>
      </c>
      <c r="BA1022" t="str">
        <f>""</f>
        <v/>
      </c>
      <c r="BB1022" t="str">
        <f>""</f>
        <v/>
      </c>
      <c r="BC1022" t="str">
        <f>""</f>
        <v/>
      </c>
      <c r="BD1022" t="str">
        <f t="shared" ref="BD1022:BE1046" si="1245">"1"</f>
        <v>1</v>
      </c>
      <c r="BE1022" t="str">
        <f t="shared" si="1245"/>
        <v>1</v>
      </c>
      <c r="BF1022" t="str">
        <f t="shared" si="1178"/>
        <v xml:space="preserve">3         </v>
      </c>
      <c r="BG1022" t="str">
        <f t="shared" si="1179"/>
        <v>Confirmado por laboratorio</v>
      </c>
      <c r="BH1022" t="str">
        <f>"ESE INSTITUTO NACIONAL DE CANCEROLOGIA"</f>
        <v>ESE INSTITUTO NACIONAL DE CANCEROLOGIA</v>
      </c>
      <c r="BI1022" t="str">
        <f t="shared" si="1240"/>
        <v>COLOMBIA</v>
      </c>
      <c r="BJ1022" t="str">
        <f t="shared" si="1180"/>
        <v>CANCER INFANTIL</v>
      </c>
      <c r="BK1022" t="str">
        <f>"CAQUETA"</f>
        <v>CAQUETA</v>
      </c>
      <c r="BL1022" t="str">
        <f>"PUERTO RICO"</f>
        <v>PUERTO RICO</v>
      </c>
      <c r="BM1022" t="str">
        <f t="shared" si="1188"/>
        <v>COLOMBIA</v>
      </c>
      <c r="BN1022" t="str">
        <f>"CAQUETA"</f>
        <v>CAQUETA</v>
      </c>
      <c r="BO1022" t="str">
        <f>"PUERTO RICO"</f>
        <v>PUERTO RICO</v>
      </c>
      <c r="BP1022" t="str">
        <f>"BOGOTA"</f>
        <v>BOGOTA</v>
      </c>
      <c r="BQ1022" t="str">
        <f>"BOGOTA"</f>
        <v>BOGOTA</v>
      </c>
    </row>
    <row r="1023" spans="1:69" x14ac:dyDescent="0.25">
      <c r="A1023" t="str">
        <f>"7279137"</f>
        <v>7279137</v>
      </c>
      <c r="B1023" t="str">
        <f t="shared" si="1173"/>
        <v>459</v>
      </c>
      <c r="C1023" t="str">
        <f>"13/11/2020 12:00:00 a. m."</f>
        <v>13/11/2020 12:00:00 a. m.</v>
      </c>
      <c r="D1023" t="str">
        <f>"44"</f>
        <v>44</v>
      </c>
      <c r="E1023" t="str">
        <f t="shared" si="1174"/>
        <v>2020</v>
      </c>
      <c r="F1023" t="str">
        <f>"2000100409"</f>
        <v>2000100409</v>
      </c>
      <c r="G1023" t="str">
        <f t="shared" si="1211"/>
        <v>01</v>
      </c>
      <c r="H1023" t="str">
        <f>"6"</f>
        <v>6</v>
      </c>
      <c r="I1023" t="str">
        <f t="shared" si="1241"/>
        <v>1</v>
      </c>
      <c r="J1023" t="str">
        <f>"F"</f>
        <v>F</v>
      </c>
      <c r="K1023" t="str">
        <f t="shared" si="1238"/>
        <v>170</v>
      </c>
      <c r="L1023" t="str">
        <f>"13"</f>
        <v>13</v>
      </c>
      <c r="M1023" t="str">
        <f>"667"</f>
        <v>667</v>
      </c>
      <c r="N1023" t="str">
        <f>"3"</f>
        <v>3</v>
      </c>
      <c r="O1023" t="str">
        <f>"9997"</f>
        <v>9997</v>
      </c>
      <c r="P1023" t="str">
        <f>"S"</f>
        <v>S</v>
      </c>
      <c r="Q1023" t="str">
        <f>"EPSS41"</f>
        <v>EPSS41</v>
      </c>
      <c r="R1023" t="str">
        <f t="shared" si="1218"/>
        <v>6</v>
      </c>
      <c r="S1023" t="str">
        <f>""</f>
        <v/>
      </c>
      <c r="T1023" t="str">
        <f t="shared" si="1219"/>
        <v xml:space="preserve">                                                                                                    </v>
      </c>
      <c r="U1023" t="str">
        <f>"1         "</f>
        <v xml:space="preserve">1         </v>
      </c>
      <c r="V1023" t="str">
        <f t="shared" si="1232"/>
        <v>2</v>
      </c>
      <c r="W1023" t="str">
        <f t="shared" si="1228"/>
        <v>2</v>
      </c>
      <c r="X1023" t="str">
        <f t="shared" si="1212"/>
        <v>2</v>
      </c>
      <c r="Y1023" t="str">
        <f t="shared" si="1239"/>
        <v>2</v>
      </c>
      <c r="Z1023" t="str">
        <f t="shared" si="1239"/>
        <v>2</v>
      </c>
      <c r="AA1023" t="str">
        <f t="shared" si="1175"/>
        <v xml:space="preserve">          </v>
      </c>
      <c r="AB1023" t="str">
        <f t="shared" si="1242"/>
        <v>2</v>
      </c>
      <c r="AC1023" t="str">
        <f t="shared" si="1234"/>
        <v>2</v>
      </c>
      <c r="AD1023" t="str">
        <f t="shared" si="1243"/>
        <v>2</v>
      </c>
      <c r="AE1023" t="str">
        <f t="shared" si="1243"/>
        <v>2</v>
      </c>
      <c r="AF1023" t="str">
        <f t="shared" si="1243"/>
        <v>2</v>
      </c>
      <c r="AG1023" t="str">
        <f t="shared" si="1243"/>
        <v>2</v>
      </c>
      <c r="AH1023" t="str">
        <f t="shared" si="1235"/>
        <v>1</v>
      </c>
      <c r="AI1023" t="str">
        <f t="shared" si="1216"/>
        <v xml:space="preserve">1         </v>
      </c>
      <c r="AJ1023" t="str">
        <f t="shared" si="1187"/>
        <v>170</v>
      </c>
      <c r="AK1023" t="str">
        <f>"13"</f>
        <v>13</v>
      </c>
      <c r="AL1023" t="str">
        <f>"667"</f>
        <v>667</v>
      </c>
      <c r="AM1023" t="str">
        <f>"20"</f>
        <v>20</v>
      </c>
      <c r="AN1023" t="str">
        <f>"20001"</f>
        <v>20001</v>
      </c>
      <c r="AO1023" t="str">
        <f>"26/10/2020 12:00:00 a. m."</f>
        <v>26/10/2020 12:00:00 a. m.</v>
      </c>
      <c r="AP1023" t="str">
        <f>"23/10/2020 12:00:00 a. m."</f>
        <v>23/10/2020 12:00:00 a. m.</v>
      </c>
      <c r="AQ1023" t="str">
        <f t="shared" si="1236"/>
        <v>3</v>
      </c>
      <c r="AR1023" t="str">
        <f t="shared" si="1244"/>
        <v>1</v>
      </c>
      <c r="AS1023" t="str">
        <f>"26/10/2020 12:00:00 a. m."</f>
        <v>26/10/2020 12:00:00 a. m.</v>
      </c>
      <c r="AT1023" t="str">
        <f t="shared" si="1237"/>
        <v>1</v>
      </c>
      <c r="AU1023" t="str">
        <f>""</f>
        <v/>
      </c>
      <c r="AV1023" t="str">
        <f>"7"</f>
        <v>7</v>
      </c>
      <c r="AW1023" t="str">
        <f>"6/02/2014 12:00:00 a. m."</f>
        <v>6/02/2014 12:00:00 a. m.</v>
      </c>
      <c r="AX1023" t="str">
        <f>""</f>
        <v/>
      </c>
      <c r="AY1023" t="str">
        <f t="shared" si="1176"/>
        <v>30/04/2021 12:00:00 a. m.</v>
      </c>
      <c r="AZ1023" t="str">
        <f>"5/04/2021 12:00:00 a. m."</f>
        <v>5/04/2021 12:00:00 a. m.</v>
      </c>
      <c r="BA1023" t="str">
        <f>""</f>
        <v/>
      </c>
      <c r="BB1023" t="str">
        <f>""</f>
        <v/>
      </c>
      <c r="BC1023" t="str">
        <f>""</f>
        <v/>
      </c>
      <c r="BD1023" t="str">
        <f t="shared" si="1245"/>
        <v>1</v>
      </c>
      <c r="BE1023" t="str">
        <f t="shared" si="1245"/>
        <v>1</v>
      </c>
      <c r="BF1023" t="str">
        <f t="shared" si="1178"/>
        <v xml:space="preserve">3         </v>
      </c>
      <c r="BG1023" t="str">
        <f t="shared" si="1179"/>
        <v>Confirmado por laboratorio</v>
      </c>
      <c r="BH1023" t="str">
        <f>"SOCIEDAD DE ONCOLOGIA Y HEMATOLOGIA DEL CESAR LTDA"</f>
        <v>SOCIEDAD DE ONCOLOGIA Y HEMATOLOGIA DEL CESAR LTDA</v>
      </c>
      <c r="BI1023" t="str">
        <f t="shared" si="1240"/>
        <v>COLOMBIA</v>
      </c>
      <c r="BJ1023" t="str">
        <f t="shared" si="1180"/>
        <v>CANCER INFANTIL</v>
      </c>
      <c r="BK1023" t="str">
        <f>"BOLIVAR"</f>
        <v>BOLIVAR</v>
      </c>
      <c r="BL1023" t="str">
        <f>"SAN MARTIN DE LOBA"</f>
        <v>SAN MARTIN DE LOBA</v>
      </c>
      <c r="BM1023" t="str">
        <f t="shared" si="1188"/>
        <v>COLOMBIA</v>
      </c>
      <c r="BN1023" t="str">
        <f>"BOLIVAR"</f>
        <v>BOLIVAR</v>
      </c>
      <c r="BO1023" t="str">
        <f>"SAN MARTIN DE LOBA"</f>
        <v>SAN MARTIN DE LOBA</v>
      </c>
      <c r="BP1023" t="str">
        <f>"CESAR"</f>
        <v>CESAR</v>
      </c>
      <c r="BQ1023" t="str">
        <f>"VALLEDUPAR"</f>
        <v>VALLEDUPAR</v>
      </c>
    </row>
    <row r="1024" spans="1:69" x14ac:dyDescent="0.25">
      <c r="A1024" t="str">
        <f>"7291633"</f>
        <v>7291633</v>
      </c>
      <c r="B1024" t="str">
        <f t="shared" si="1173"/>
        <v>459</v>
      </c>
      <c r="C1024" t="str">
        <f>"18/03/2020 12:00:00 a. m."</f>
        <v>18/03/2020 12:00:00 a. m.</v>
      </c>
      <c r="D1024" t="str">
        <f>"12"</f>
        <v>12</v>
      </c>
      <c r="E1024" t="str">
        <f t="shared" si="1174"/>
        <v>2020</v>
      </c>
      <c r="F1024" t="str">
        <f>"1100116338"</f>
        <v>1100116338</v>
      </c>
      <c r="G1024" t="str">
        <f>"83"</f>
        <v>83</v>
      </c>
      <c r="H1024" t="str">
        <f>"13"</f>
        <v>13</v>
      </c>
      <c r="I1024" t="str">
        <f t="shared" si="1241"/>
        <v>1</v>
      </c>
      <c r="J1024" t="str">
        <f>"M"</f>
        <v>M</v>
      </c>
      <c r="K1024" t="str">
        <f t="shared" si="1238"/>
        <v>170</v>
      </c>
      <c r="L1024" t="str">
        <f>"13"</f>
        <v>13</v>
      </c>
      <c r="M1024" t="str">
        <f>"001"</f>
        <v>001</v>
      </c>
      <c r="N1024" t="str">
        <f t="shared" ref="N1024:N1036" si="1246">"1"</f>
        <v>1</v>
      </c>
      <c r="O1024" t="str">
        <f>"9997"</f>
        <v>9997</v>
      </c>
      <c r="P1024" t="str">
        <f>"P"</f>
        <v>P</v>
      </c>
      <c r="Q1024" t="str">
        <f>"RES003"</f>
        <v>RES003</v>
      </c>
      <c r="R1024" t="str">
        <f t="shared" si="1218"/>
        <v>6</v>
      </c>
      <c r="S1024" t="str">
        <f>""</f>
        <v/>
      </c>
      <c r="T1024" t="str">
        <f t="shared" si="1219"/>
        <v xml:space="preserve">                                                                                                    </v>
      </c>
      <c r="U1024" t="str">
        <f>"3         "</f>
        <v xml:space="preserve">3         </v>
      </c>
      <c r="V1024" t="str">
        <f t="shared" si="1232"/>
        <v>2</v>
      </c>
      <c r="W1024" t="str">
        <f t="shared" si="1228"/>
        <v>2</v>
      </c>
      <c r="X1024" t="str">
        <f t="shared" si="1212"/>
        <v>2</v>
      </c>
      <c r="Y1024" t="str">
        <f t="shared" si="1239"/>
        <v>2</v>
      </c>
      <c r="Z1024" t="str">
        <f t="shared" si="1239"/>
        <v>2</v>
      </c>
      <c r="AA1024" t="str">
        <f t="shared" si="1175"/>
        <v xml:space="preserve">          </v>
      </c>
      <c r="AB1024" t="str">
        <f t="shared" si="1242"/>
        <v>2</v>
      </c>
      <c r="AC1024" t="str">
        <f t="shared" si="1234"/>
        <v>2</v>
      </c>
      <c r="AD1024" t="str">
        <f t="shared" si="1243"/>
        <v>2</v>
      </c>
      <c r="AE1024" t="str">
        <f t="shared" si="1243"/>
        <v>2</v>
      </c>
      <c r="AF1024" t="str">
        <f t="shared" si="1243"/>
        <v>2</v>
      </c>
      <c r="AG1024" t="str">
        <f t="shared" si="1243"/>
        <v>2</v>
      </c>
      <c r="AH1024" t="str">
        <f t="shared" si="1235"/>
        <v>1</v>
      </c>
      <c r="AI1024" t="str">
        <f t="shared" si="1216"/>
        <v xml:space="preserve">1         </v>
      </c>
      <c r="AJ1024" t="str">
        <f t="shared" si="1187"/>
        <v>170</v>
      </c>
      <c r="AK1024" t="str">
        <f>"13"</f>
        <v>13</v>
      </c>
      <c r="AL1024" t="str">
        <f>"001"</f>
        <v>001</v>
      </c>
      <c r="AM1024" t="str">
        <f>"11"</f>
        <v>11</v>
      </c>
      <c r="AN1024" t="str">
        <f>"11001"</f>
        <v>11001</v>
      </c>
      <c r="AO1024" t="str">
        <f>"16/03/2020 12:00:00 a. m."</f>
        <v>16/03/2020 12:00:00 a. m.</v>
      </c>
      <c r="AP1024" t="str">
        <f>"30/11/2019 12:00:00 a. m."</f>
        <v>30/11/2019 12:00:00 a. m.</v>
      </c>
      <c r="AQ1024" t="str">
        <f>"2"</f>
        <v>2</v>
      </c>
      <c r="AR1024" t="str">
        <f t="shared" si="1244"/>
        <v>1</v>
      </c>
      <c r="AS1024" t="str">
        <f>"16/03/2020 12:00:00 a. m."</f>
        <v>16/03/2020 12:00:00 a. m.</v>
      </c>
      <c r="AT1024" t="str">
        <f t="shared" si="1237"/>
        <v>1</v>
      </c>
      <c r="AU1024" t="str">
        <f>""</f>
        <v/>
      </c>
      <c r="AV1024" t="str">
        <f>"3"</f>
        <v>3</v>
      </c>
      <c r="AW1024" t="str">
        <f>"26/11/2006 12:00:00 a. m."</f>
        <v>26/11/2006 12:00:00 a. m.</v>
      </c>
      <c r="AX1024" t="str">
        <f>""</f>
        <v/>
      </c>
      <c r="AY1024" t="str">
        <f t="shared" si="1176"/>
        <v>30/04/2021 12:00:00 a. m.</v>
      </c>
      <c r="AZ1024" t="str">
        <f>"4/04/2020 12:00:00 a. m."</f>
        <v>4/04/2020 12:00:00 a. m.</v>
      </c>
      <c r="BA1024" t="str">
        <f>""</f>
        <v/>
      </c>
      <c r="BB1024" t="str">
        <f>""</f>
        <v/>
      </c>
      <c r="BC1024" t="str">
        <f>""</f>
        <v/>
      </c>
      <c r="BD1024" t="str">
        <f t="shared" si="1245"/>
        <v>1</v>
      </c>
      <c r="BE1024" t="str">
        <f t="shared" si="1245"/>
        <v>1</v>
      </c>
      <c r="BF1024" t="str">
        <f t="shared" si="1178"/>
        <v xml:space="preserve">3         </v>
      </c>
      <c r="BG1024" t="str">
        <f t="shared" si="1179"/>
        <v>Confirmado por laboratorio</v>
      </c>
      <c r="BH1024" t="str">
        <f>"HOSPITAL MILITAR CENTRAL CHAPINERO"</f>
        <v>HOSPITAL MILITAR CENTRAL CHAPINERO</v>
      </c>
      <c r="BI1024" t="str">
        <f t="shared" si="1240"/>
        <v>COLOMBIA</v>
      </c>
      <c r="BJ1024" t="str">
        <f t="shared" si="1180"/>
        <v>CANCER INFANTIL</v>
      </c>
      <c r="BK1024" t="str">
        <f>"BOLIVAR"</f>
        <v>BOLIVAR</v>
      </c>
      <c r="BL1024" t="str">
        <f>"CARTAGENA"</f>
        <v>CARTAGENA</v>
      </c>
      <c r="BM1024" t="str">
        <f t="shared" si="1188"/>
        <v>COLOMBIA</v>
      </c>
      <c r="BN1024" t="str">
        <f>"BOLIVAR"</f>
        <v>BOLIVAR</v>
      </c>
      <c r="BO1024" t="str">
        <f>"CARTAGENA"</f>
        <v>CARTAGENA</v>
      </c>
      <c r="BP1024" t="str">
        <f>"BOGOTA"</f>
        <v>BOGOTA</v>
      </c>
      <c r="BQ1024" t="str">
        <f>"BOGOTA"</f>
        <v>BOGOTA</v>
      </c>
    </row>
    <row r="1025" spans="1:69" x14ac:dyDescent="0.25">
      <c r="A1025" t="str">
        <f>"7291594"</f>
        <v>7291594</v>
      </c>
      <c r="B1025" t="str">
        <f t="shared" si="1173"/>
        <v>459</v>
      </c>
      <c r="C1025" t="str">
        <f>"14/01/2020 12:00:00 a. m."</f>
        <v>14/01/2020 12:00:00 a. m.</v>
      </c>
      <c r="D1025" t="str">
        <f>"02"</f>
        <v>02</v>
      </c>
      <c r="E1025" t="str">
        <f t="shared" si="1174"/>
        <v>2020</v>
      </c>
      <c r="F1025" t="str">
        <f>"1100109111"</f>
        <v>1100109111</v>
      </c>
      <c r="G1025" t="str">
        <f t="shared" ref="G1025:G1032" si="1247">"01"</f>
        <v>01</v>
      </c>
      <c r="H1025" t="str">
        <f>"4"</f>
        <v>4</v>
      </c>
      <c r="I1025" t="str">
        <f t="shared" si="1241"/>
        <v>1</v>
      </c>
      <c r="J1025" t="str">
        <f>"F"</f>
        <v>F</v>
      </c>
      <c r="K1025" t="str">
        <f t="shared" si="1238"/>
        <v>170</v>
      </c>
      <c r="L1025" t="str">
        <f>"25"</f>
        <v>25</v>
      </c>
      <c r="M1025" t="str">
        <f>"430"</f>
        <v>430</v>
      </c>
      <c r="N1025" t="str">
        <f t="shared" si="1246"/>
        <v>1</v>
      </c>
      <c r="O1025" t="str">
        <f>"9999"</f>
        <v>9999</v>
      </c>
      <c r="P1025" t="str">
        <f>"S"</f>
        <v>S</v>
      </c>
      <c r="Q1025" t="str">
        <f>"EPSS17"</f>
        <v>EPSS17</v>
      </c>
      <c r="R1025" t="str">
        <f t="shared" ref="R1025:R1046" si="1248">"6"</f>
        <v>6</v>
      </c>
      <c r="S1025" t="str">
        <f>""</f>
        <v/>
      </c>
      <c r="T1025" t="str">
        <f t="shared" ref="T1025:T1046" si="1249">"                                                                                                    "</f>
        <v xml:space="preserve">                                                                                                    </v>
      </c>
      <c r="U1025" t="str">
        <f>"1         "</f>
        <v xml:space="preserve">1         </v>
      </c>
      <c r="V1025" t="str">
        <f t="shared" si="1232"/>
        <v>2</v>
      </c>
      <c r="W1025" t="str">
        <f t="shared" si="1228"/>
        <v>2</v>
      </c>
      <c r="X1025" t="str">
        <f t="shared" si="1212"/>
        <v>2</v>
      </c>
      <c r="Y1025" t="str">
        <f t="shared" si="1239"/>
        <v>2</v>
      </c>
      <c r="Z1025" t="str">
        <f t="shared" si="1239"/>
        <v>2</v>
      </c>
      <c r="AA1025" t="str">
        <f t="shared" si="1175"/>
        <v xml:space="preserve">          </v>
      </c>
      <c r="AB1025" t="str">
        <f t="shared" si="1242"/>
        <v>2</v>
      </c>
      <c r="AC1025" t="str">
        <f t="shared" si="1234"/>
        <v>2</v>
      </c>
      <c r="AD1025" t="str">
        <f t="shared" si="1243"/>
        <v>2</v>
      </c>
      <c r="AE1025" t="str">
        <f t="shared" si="1243"/>
        <v>2</v>
      </c>
      <c r="AF1025" t="str">
        <f t="shared" si="1243"/>
        <v>2</v>
      </c>
      <c r="AG1025" t="str">
        <f t="shared" si="1243"/>
        <v>2</v>
      </c>
      <c r="AH1025" t="str">
        <f t="shared" si="1235"/>
        <v>1</v>
      </c>
      <c r="AI1025" t="str">
        <f t="shared" si="1216"/>
        <v xml:space="preserve">1         </v>
      </c>
      <c r="AJ1025" t="str">
        <f t="shared" si="1187"/>
        <v>170</v>
      </c>
      <c r="AK1025" t="str">
        <f>"25"</f>
        <v>25</v>
      </c>
      <c r="AL1025" t="str">
        <f>"430"</f>
        <v>430</v>
      </c>
      <c r="AM1025" t="str">
        <f>"11"</f>
        <v>11</v>
      </c>
      <c r="AN1025" t="str">
        <f>"11001"</f>
        <v>11001</v>
      </c>
      <c r="AO1025" t="str">
        <f>"8/01/2020 12:00:00 a. m."</f>
        <v>8/01/2020 12:00:00 a. m.</v>
      </c>
      <c r="AP1025" t="str">
        <f>"7/01/2020 12:00:00 a. m."</f>
        <v>7/01/2020 12:00:00 a. m.</v>
      </c>
      <c r="AQ1025" t="str">
        <f>"3"</f>
        <v>3</v>
      </c>
      <c r="AR1025" t="str">
        <f t="shared" si="1244"/>
        <v>1</v>
      </c>
      <c r="AS1025" t="str">
        <f>"8/01/2020 12:00:00 a. m."</f>
        <v>8/01/2020 12:00:00 a. m.</v>
      </c>
      <c r="AT1025" t="str">
        <f t="shared" si="1237"/>
        <v>1</v>
      </c>
      <c r="AU1025" t="str">
        <f>""</f>
        <v/>
      </c>
      <c r="AV1025" t="str">
        <f>"0"</f>
        <v>0</v>
      </c>
      <c r="AW1025" t="str">
        <f>"12/05/2015 12:00:00 a. m."</f>
        <v>12/05/2015 12:00:00 a. m.</v>
      </c>
      <c r="AX1025" t="str">
        <f>""</f>
        <v/>
      </c>
      <c r="AY1025" t="str">
        <f t="shared" si="1176"/>
        <v>30/04/2021 12:00:00 a. m.</v>
      </c>
      <c r="AZ1025" t="str">
        <f>"21/01/2020 12:00:00 a. m."</f>
        <v>21/01/2020 12:00:00 a. m.</v>
      </c>
      <c r="BA1025" t="str">
        <f>""</f>
        <v/>
      </c>
      <c r="BB1025" t="str">
        <f>""</f>
        <v/>
      </c>
      <c r="BC1025" t="str">
        <f>""</f>
        <v/>
      </c>
      <c r="BD1025" t="str">
        <f t="shared" si="1245"/>
        <v>1</v>
      </c>
      <c r="BE1025" t="str">
        <f t="shared" si="1245"/>
        <v>1</v>
      </c>
      <c r="BF1025" t="str">
        <f t="shared" si="1178"/>
        <v xml:space="preserve">3         </v>
      </c>
      <c r="BG1025" t="str">
        <f t="shared" si="1179"/>
        <v>Confirmado por laboratorio</v>
      </c>
      <c r="BH1025" t="str">
        <f>"FUNDACION CARDIOINFANTIL INSTITUTO DE CARDIOLOGIA"</f>
        <v>FUNDACION CARDIOINFANTIL INSTITUTO DE CARDIOLOGIA</v>
      </c>
      <c r="BI1025" t="str">
        <f t="shared" si="1240"/>
        <v>COLOMBIA</v>
      </c>
      <c r="BJ1025" t="str">
        <f t="shared" si="1180"/>
        <v>CANCER INFANTIL</v>
      </c>
      <c r="BK1025" t="str">
        <f>"CUNDINAMARCA"</f>
        <v>CUNDINAMARCA</v>
      </c>
      <c r="BL1025" t="str">
        <f>"MADRID"</f>
        <v>MADRID</v>
      </c>
      <c r="BM1025" t="str">
        <f t="shared" si="1188"/>
        <v>COLOMBIA</v>
      </c>
      <c r="BN1025" t="str">
        <f>"CUNDINAMARCA"</f>
        <v>CUNDINAMARCA</v>
      </c>
      <c r="BO1025" t="str">
        <f>"MADRID"</f>
        <v>MADRID</v>
      </c>
      <c r="BP1025" t="str">
        <f>"BOGOTA"</f>
        <v>BOGOTA</v>
      </c>
      <c r="BQ1025" t="str">
        <f>"BOGOTA"</f>
        <v>BOGOTA</v>
      </c>
    </row>
    <row r="1026" spans="1:69" x14ac:dyDescent="0.25">
      <c r="A1026" t="str">
        <f>"7291525"</f>
        <v>7291525</v>
      </c>
      <c r="B1026" t="str">
        <f t="shared" ref="B1026:B1046" si="1250">"459"</f>
        <v>459</v>
      </c>
      <c r="C1026" t="str">
        <f>"9/11/2020 12:00:00 a. m."</f>
        <v>9/11/2020 12:00:00 a. m.</v>
      </c>
      <c r="D1026" t="str">
        <f>"44"</f>
        <v>44</v>
      </c>
      <c r="E1026" t="str">
        <f t="shared" ref="E1026:E1046" si="1251">"2020"</f>
        <v>2020</v>
      </c>
      <c r="F1026" t="str">
        <f>"6827601666"</f>
        <v>6827601666</v>
      </c>
      <c r="G1026" t="str">
        <f t="shared" si="1247"/>
        <v>01</v>
      </c>
      <c r="H1026" t="str">
        <f>"12"</f>
        <v>12</v>
      </c>
      <c r="I1026" t="str">
        <f t="shared" si="1241"/>
        <v>1</v>
      </c>
      <c r="J1026" t="str">
        <f>"F"</f>
        <v>F</v>
      </c>
      <c r="K1026" t="str">
        <f t="shared" si="1238"/>
        <v>170</v>
      </c>
      <c r="L1026" t="str">
        <f>"68"</f>
        <v>68</v>
      </c>
      <c r="M1026" t="str">
        <f>"001"</f>
        <v>001</v>
      </c>
      <c r="N1026" t="str">
        <f t="shared" si="1246"/>
        <v>1</v>
      </c>
      <c r="O1026" t="str">
        <f>"9997"</f>
        <v>9997</v>
      </c>
      <c r="P1026" t="str">
        <f>"C"</f>
        <v>C</v>
      </c>
      <c r="Q1026" t="str">
        <f>"EPS037"</f>
        <v>EPS037</v>
      </c>
      <c r="R1026" t="str">
        <f t="shared" si="1248"/>
        <v>6</v>
      </c>
      <c r="S1026" t="str">
        <f>""</f>
        <v/>
      </c>
      <c r="T1026" t="str">
        <f t="shared" si="1249"/>
        <v xml:space="preserve">                                                                                                    </v>
      </c>
      <c r="U1026" t="str">
        <f>"3         "</f>
        <v xml:space="preserve">3         </v>
      </c>
      <c r="V1026" t="str">
        <f t="shared" si="1232"/>
        <v>2</v>
      </c>
      <c r="W1026" t="str">
        <f t="shared" si="1228"/>
        <v>2</v>
      </c>
      <c r="X1026" t="str">
        <f t="shared" si="1212"/>
        <v>2</v>
      </c>
      <c r="Y1026" t="str">
        <f t="shared" si="1239"/>
        <v>2</v>
      </c>
      <c r="Z1026" t="str">
        <f t="shared" si="1239"/>
        <v>2</v>
      </c>
      <c r="AA1026" t="str">
        <f t="shared" ref="AA1026:AA1046" si="1252">"          "</f>
        <v xml:space="preserve">          </v>
      </c>
      <c r="AB1026" t="str">
        <f t="shared" si="1242"/>
        <v>2</v>
      </c>
      <c r="AC1026" t="str">
        <f t="shared" si="1234"/>
        <v>2</v>
      </c>
      <c r="AD1026" t="str">
        <f t="shared" si="1243"/>
        <v>2</v>
      </c>
      <c r="AE1026" t="str">
        <f t="shared" si="1243"/>
        <v>2</v>
      </c>
      <c r="AF1026" t="str">
        <f t="shared" si="1243"/>
        <v>2</v>
      </c>
      <c r="AG1026" t="str">
        <f t="shared" si="1243"/>
        <v>2</v>
      </c>
      <c r="AH1026" t="str">
        <f t="shared" si="1235"/>
        <v>1</v>
      </c>
      <c r="AI1026" t="str">
        <f t="shared" si="1216"/>
        <v xml:space="preserve">1         </v>
      </c>
      <c r="AJ1026" t="str">
        <f t="shared" si="1187"/>
        <v>170</v>
      </c>
      <c r="AK1026" t="str">
        <f>"68"</f>
        <v>68</v>
      </c>
      <c r="AL1026" t="str">
        <f>"001"</f>
        <v>001</v>
      </c>
      <c r="AM1026" t="str">
        <f>"68"</f>
        <v>68</v>
      </c>
      <c r="AN1026" t="str">
        <f>"68276"</f>
        <v>68276</v>
      </c>
      <c r="AO1026" t="str">
        <f>"26/10/2020 12:00:00 a. m."</f>
        <v>26/10/2020 12:00:00 a. m.</v>
      </c>
      <c r="AP1026" t="str">
        <f>"1/06/2020 12:00:00 a. m."</f>
        <v>1/06/2020 12:00:00 a. m.</v>
      </c>
      <c r="AQ1026" t="str">
        <f>"3"</f>
        <v>3</v>
      </c>
      <c r="AR1026" t="str">
        <f t="shared" si="1244"/>
        <v>1</v>
      </c>
      <c r="AS1026" t="str">
        <f>"26/10/2020 12:00:00 a. m."</f>
        <v>26/10/2020 12:00:00 a. m.</v>
      </c>
      <c r="AT1026" t="str">
        <f t="shared" si="1237"/>
        <v>1</v>
      </c>
      <c r="AU1026" t="str">
        <f>""</f>
        <v/>
      </c>
      <c r="AV1026" t="str">
        <f>"3"</f>
        <v>3</v>
      </c>
      <c r="AW1026" t="str">
        <f>"1/02/2008 12:00:00 a. m."</f>
        <v>1/02/2008 12:00:00 a. m.</v>
      </c>
      <c r="AX1026" t="str">
        <f>""</f>
        <v/>
      </c>
      <c r="AY1026" t="str">
        <f t="shared" ref="AY1026:AY1046" si="1253">"30/04/2021 12:00:00 a. m."</f>
        <v>30/04/2021 12:00:00 a. m.</v>
      </c>
      <c r="AZ1026" t="str">
        <f>"25/11/2020 12:00:00 a. m."</f>
        <v>25/11/2020 12:00:00 a. m.</v>
      </c>
      <c r="BA1026" t="str">
        <f>""</f>
        <v/>
      </c>
      <c r="BB1026" t="str">
        <f>""</f>
        <v/>
      </c>
      <c r="BC1026" t="str">
        <f>""</f>
        <v/>
      </c>
      <c r="BD1026" t="str">
        <f t="shared" si="1245"/>
        <v>1</v>
      </c>
      <c r="BE1026" t="str">
        <f t="shared" si="1245"/>
        <v>1</v>
      </c>
      <c r="BF1026" t="str">
        <f t="shared" ref="BF1026:BF1046" si="1254">"3         "</f>
        <v xml:space="preserve">3         </v>
      </c>
      <c r="BG1026" t="str">
        <f t="shared" ref="BG1026:BG1046" si="1255">"Confirmado por laboratorio"</f>
        <v>Confirmado por laboratorio</v>
      </c>
      <c r="BH1026" t="str">
        <f>"FUNDACION OFTALMOLOGICA DE SDER FOSCAL"</f>
        <v>FUNDACION OFTALMOLOGICA DE SDER FOSCAL</v>
      </c>
      <c r="BI1026" t="str">
        <f t="shared" si="1240"/>
        <v>COLOMBIA</v>
      </c>
      <c r="BJ1026" t="str">
        <f t="shared" ref="BJ1026:BJ1046" si="1256">"CANCER INFANTIL"</f>
        <v>CANCER INFANTIL</v>
      </c>
      <c r="BK1026" t="str">
        <f>"SANTANDER"</f>
        <v>SANTANDER</v>
      </c>
      <c r="BL1026" t="str">
        <f>"BUCARAMANGA"</f>
        <v>BUCARAMANGA</v>
      </c>
      <c r="BM1026" t="str">
        <f t="shared" si="1188"/>
        <v>COLOMBIA</v>
      </c>
      <c r="BN1026" t="str">
        <f>"SANTANDER"</f>
        <v>SANTANDER</v>
      </c>
      <c r="BO1026" t="str">
        <f>"BUCARAMANGA"</f>
        <v>BUCARAMANGA</v>
      </c>
      <c r="BP1026" t="str">
        <f>"SANTANDER"</f>
        <v>SANTANDER</v>
      </c>
      <c r="BQ1026" t="str">
        <f>"FLORIDABLANCA"</f>
        <v>FLORIDABLANCA</v>
      </c>
    </row>
    <row r="1027" spans="1:69" x14ac:dyDescent="0.25">
      <c r="A1027" t="str">
        <f>"7279011"</f>
        <v>7279011</v>
      </c>
      <c r="B1027" t="str">
        <f t="shared" si="1250"/>
        <v>459</v>
      </c>
      <c r="C1027" t="str">
        <f>"11/09/2020 12:00:00 a. m."</f>
        <v>11/09/2020 12:00:00 a. m.</v>
      </c>
      <c r="D1027" t="str">
        <f>"26"</f>
        <v>26</v>
      </c>
      <c r="E1027" t="str">
        <f t="shared" si="1251"/>
        <v>2020</v>
      </c>
      <c r="F1027" t="str">
        <f>"1100105681"</f>
        <v>1100105681</v>
      </c>
      <c r="G1027" t="str">
        <f t="shared" si="1247"/>
        <v>01</v>
      </c>
      <c r="H1027" t="str">
        <f>"4"</f>
        <v>4</v>
      </c>
      <c r="I1027" t="str">
        <f t="shared" si="1241"/>
        <v>1</v>
      </c>
      <c r="J1027" t="str">
        <f>"M"</f>
        <v>M</v>
      </c>
      <c r="K1027" t="str">
        <f t="shared" si="1238"/>
        <v>170</v>
      </c>
      <c r="L1027" t="str">
        <f>"41"</f>
        <v>41</v>
      </c>
      <c r="M1027" t="str">
        <f>"349"</f>
        <v>349</v>
      </c>
      <c r="N1027" t="str">
        <f t="shared" si="1246"/>
        <v>1</v>
      </c>
      <c r="O1027" t="str">
        <f>"9999"</f>
        <v>9999</v>
      </c>
      <c r="P1027" t="str">
        <f>"S"</f>
        <v>S</v>
      </c>
      <c r="Q1027" t="str">
        <f>"EPSS41"</f>
        <v>EPSS41</v>
      </c>
      <c r="R1027" t="str">
        <f t="shared" si="1248"/>
        <v>6</v>
      </c>
      <c r="S1027" t="str">
        <f>""</f>
        <v/>
      </c>
      <c r="T1027" t="str">
        <f t="shared" si="1249"/>
        <v xml:space="preserve">                                                                                                    </v>
      </c>
      <c r="U1027" t="str">
        <f>"2         "</f>
        <v xml:space="preserve">2         </v>
      </c>
      <c r="V1027" t="str">
        <f t="shared" si="1232"/>
        <v>2</v>
      </c>
      <c r="W1027" t="str">
        <f t="shared" si="1228"/>
        <v>2</v>
      </c>
      <c r="X1027" t="str">
        <f t="shared" si="1212"/>
        <v>2</v>
      </c>
      <c r="Y1027" t="str">
        <f t="shared" si="1239"/>
        <v>2</v>
      </c>
      <c r="Z1027" t="str">
        <f t="shared" si="1239"/>
        <v>2</v>
      </c>
      <c r="AA1027" t="str">
        <f t="shared" si="1252"/>
        <v xml:space="preserve">          </v>
      </c>
      <c r="AB1027" t="str">
        <f t="shared" si="1242"/>
        <v>2</v>
      </c>
      <c r="AC1027" t="str">
        <f t="shared" si="1234"/>
        <v>2</v>
      </c>
      <c r="AD1027" t="str">
        <f t="shared" si="1243"/>
        <v>2</v>
      </c>
      <c r="AE1027" t="str">
        <f t="shared" si="1243"/>
        <v>2</v>
      </c>
      <c r="AF1027" t="str">
        <f t="shared" si="1243"/>
        <v>2</v>
      </c>
      <c r="AG1027" t="str">
        <f t="shared" si="1243"/>
        <v>2</v>
      </c>
      <c r="AH1027" t="str">
        <f t="shared" si="1235"/>
        <v>1</v>
      </c>
      <c r="AI1027" t="str">
        <f t="shared" si="1216"/>
        <v xml:space="preserve">1         </v>
      </c>
      <c r="AJ1027" t="str">
        <f t="shared" si="1187"/>
        <v>170</v>
      </c>
      <c r="AK1027" t="str">
        <f>"41"</f>
        <v>41</v>
      </c>
      <c r="AL1027" t="str">
        <f>"349"</f>
        <v>349</v>
      </c>
      <c r="AM1027" t="str">
        <f>"11"</f>
        <v>11</v>
      </c>
      <c r="AN1027" t="str">
        <f>"11001"</f>
        <v>11001</v>
      </c>
      <c r="AO1027" t="str">
        <f>"27/06/2020 12:00:00 a. m."</f>
        <v>27/06/2020 12:00:00 a. m.</v>
      </c>
      <c r="AP1027" t="str">
        <f>"20/05/2020 12:00:00 a. m."</f>
        <v>20/05/2020 12:00:00 a. m.</v>
      </c>
      <c r="AQ1027" t="str">
        <f>"3"</f>
        <v>3</v>
      </c>
      <c r="AR1027" t="str">
        <f t="shared" si="1244"/>
        <v>1</v>
      </c>
      <c r="AS1027" t="str">
        <f>"27/06/2020 12:00:00 a. m."</f>
        <v>27/06/2020 12:00:00 a. m.</v>
      </c>
      <c r="AT1027" t="str">
        <f>"2"</f>
        <v>2</v>
      </c>
      <c r="AU1027" t="str">
        <f>"2/07/2020 12:00:00 a. m."</f>
        <v>2/07/2020 12:00:00 a. m.</v>
      </c>
      <c r="AV1027" t="str">
        <f>"0"</f>
        <v>0</v>
      </c>
      <c r="AW1027" t="str">
        <f>"13/08/2016 12:00:00 a. m."</f>
        <v>13/08/2016 12:00:00 a. m.</v>
      </c>
      <c r="AX1027" t="str">
        <f>"C384"</f>
        <v>C384</v>
      </c>
      <c r="AY1027" t="str">
        <f t="shared" si="1253"/>
        <v>30/04/2021 12:00:00 a. m.</v>
      </c>
      <c r="AZ1027" t="str">
        <f>"11/09/2020 12:00:00 a. m."</f>
        <v>11/09/2020 12:00:00 a. m.</v>
      </c>
      <c r="BA1027" t="str">
        <f>""</f>
        <v/>
      </c>
      <c r="BB1027" t="str">
        <f>""</f>
        <v/>
      </c>
      <c r="BC1027" t="str">
        <f>""</f>
        <v/>
      </c>
      <c r="BD1027" t="str">
        <f t="shared" si="1245"/>
        <v>1</v>
      </c>
      <c r="BE1027" t="str">
        <f t="shared" si="1245"/>
        <v>1</v>
      </c>
      <c r="BF1027" t="str">
        <f t="shared" si="1254"/>
        <v xml:space="preserve">3         </v>
      </c>
      <c r="BG1027" t="str">
        <f t="shared" si="1255"/>
        <v>Confirmado por laboratorio</v>
      </c>
      <c r="BH1027" t="str">
        <f>"FUNDACION HOSPITAL DE LA MISERICORDIA"</f>
        <v>FUNDACION HOSPITAL DE LA MISERICORDIA</v>
      </c>
      <c r="BI1027" t="str">
        <f t="shared" si="1240"/>
        <v>COLOMBIA</v>
      </c>
      <c r="BJ1027" t="str">
        <f t="shared" si="1256"/>
        <v>CANCER INFANTIL</v>
      </c>
      <c r="BK1027" t="str">
        <f>"HUILA"</f>
        <v>HUILA</v>
      </c>
      <c r="BL1027" t="str">
        <f>"HOBO"</f>
        <v>HOBO</v>
      </c>
      <c r="BM1027" t="str">
        <f t="shared" si="1188"/>
        <v>COLOMBIA</v>
      </c>
      <c r="BN1027" t="str">
        <f>"HUILA"</f>
        <v>HUILA</v>
      </c>
      <c r="BO1027" t="str">
        <f>"HOBO"</f>
        <v>HOBO</v>
      </c>
      <c r="BP1027" t="str">
        <f t="shared" ref="BP1027:BQ1029" si="1257">"BOGOTA"</f>
        <v>BOGOTA</v>
      </c>
      <c r="BQ1027" t="str">
        <f t="shared" si="1257"/>
        <v>BOGOTA</v>
      </c>
    </row>
    <row r="1028" spans="1:69" x14ac:dyDescent="0.25">
      <c r="A1028" t="str">
        <f>"7279050"</f>
        <v>7279050</v>
      </c>
      <c r="B1028" t="str">
        <f t="shared" si="1250"/>
        <v>459</v>
      </c>
      <c r="C1028" t="str">
        <f>"29/09/2020 12:00:00 a. m."</f>
        <v>29/09/2020 12:00:00 a. m.</v>
      </c>
      <c r="D1028" t="str">
        <f>"31"</f>
        <v>31</v>
      </c>
      <c r="E1028" t="str">
        <f t="shared" si="1251"/>
        <v>2020</v>
      </c>
      <c r="F1028" t="str">
        <f>"1100105681"</f>
        <v>1100105681</v>
      </c>
      <c r="G1028" t="str">
        <f t="shared" si="1247"/>
        <v>01</v>
      </c>
      <c r="H1028" t="str">
        <f>"13"</f>
        <v>13</v>
      </c>
      <c r="I1028" t="str">
        <f t="shared" si="1241"/>
        <v>1</v>
      </c>
      <c r="J1028" t="str">
        <f>"F"</f>
        <v>F</v>
      </c>
      <c r="K1028" t="str">
        <f t="shared" si="1238"/>
        <v>170</v>
      </c>
      <c r="L1028" t="str">
        <f>"94"</f>
        <v>94</v>
      </c>
      <c r="M1028" t="str">
        <f>"001"</f>
        <v>001</v>
      </c>
      <c r="N1028" t="str">
        <f t="shared" si="1246"/>
        <v>1</v>
      </c>
      <c r="O1028" t="str">
        <f>"9997"</f>
        <v>9997</v>
      </c>
      <c r="P1028" t="str">
        <f>"S"</f>
        <v>S</v>
      </c>
      <c r="Q1028" t="str">
        <f>"EPSS41"</f>
        <v>EPSS41</v>
      </c>
      <c r="R1028" t="str">
        <f t="shared" si="1248"/>
        <v>6</v>
      </c>
      <c r="S1028" t="str">
        <f>""</f>
        <v/>
      </c>
      <c r="T1028" t="str">
        <f t="shared" si="1249"/>
        <v xml:space="preserve">                                                                                                    </v>
      </c>
      <c r="U1028" t="str">
        <f>"2         "</f>
        <v xml:space="preserve">2         </v>
      </c>
      <c r="V1028" t="str">
        <f t="shared" si="1232"/>
        <v>2</v>
      </c>
      <c r="W1028" t="str">
        <f t="shared" si="1228"/>
        <v>2</v>
      </c>
      <c r="X1028" t="str">
        <f t="shared" si="1212"/>
        <v>2</v>
      </c>
      <c r="Y1028" t="str">
        <f t="shared" si="1239"/>
        <v>2</v>
      </c>
      <c r="Z1028" t="str">
        <f t="shared" si="1239"/>
        <v>2</v>
      </c>
      <c r="AA1028" t="str">
        <f t="shared" si="1252"/>
        <v xml:space="preserve">          </v>
      </c>
      <c r="AB1028" t="str">
        <f t="shared" si="1242"/>
        <v>2</v>
      </c>
      <c r="AC1028" t="str">
        <f t="shared" si="1234"/>
        <v>2</v>
      </c>
      <c r="AD1028" t="str">
        <f t="shared" si="1243"/>
        <v>2</v>
      </c>
      <c r="AE1028" t="str">
        <f t="shared" si="1243"/>
        <v>2</v>
      </c>
      <c r="AF1028" t="str">
        <f t="shared" si="1243"/>
        <v>2</v>
      </c>
      <c r="AG1028" t="str">
        <f t="shared" si="1243"/>
        <v>2</v>
      </c>
      <c r="AH1028" t="str">
        <f t="shared" si="1235"/>
        <v>1</v>
      </c>
      <c r="AI1028" t="str">
        <f t="shared" si="1216"/>
        <v xml:space="preserve">1         </v>
      </c>
      <c r="AJ1028" t="str">
        <f t="shared" si="1187"/>
        <v>170</v>
      </c>
      <c r="AK1028" t="str">
        <f>"94"</f>
        <v>94</v>
      </c>
      <c r="AL1028" t="str">
        <f>"001"</f>
        <v>001</v>
      </c>
      <c r="AM1028" t="str">
        <f>"11"</f>
        <v>11</v>
      </c>
      <c r="AN1028" t="str">
        <f>"11001"</f>
        <v>11001</v>
      </c>
      <c r="AO1028" t="str">
        <f>"30/07/2020 12:00:00 a. m."</f>
        <v>30/07/2020 12:00:00 a. m.</v>
      </c>
      <c r="AP1028" t="str">
        <f>"27/07/2020 12:00:00 a. m."</f>
        <v>27/07/2020 12:00:00 a. m.</v>
      </c>
      <c r="AQ1028" t="str">
        <f>"3"</f>
        <v>3</v>
      </c>
      <c r="AR1028" t="str">
        <f t="shared" si="1244"/>
        <v>1</v>
      </c>
      <c r="AS1028" t="str">
        <f>"30/07/2020 12:00:00 a. m."</f>
        <v>30/07/2020 12:00:00 a. m.</v>
      </c>
      <c r="AT1028" t="str">
        <f>"1"</f>
        <v>1</v>
      </c>
      <c r="AU1028" t="str">
        <f>""</f>
        <v/>
      </c>
      <c r="AV1028" t="str">
        <f>"0"</f>
        <v>0</v>
      </c>
      <c r="AW1028" t="str">
        <f>"1/02/2007 12:00:00 a. m."</f>
        <v>1/02/2007 12:00:00 a. m.</v>
      </c>
      <c r="AX1028" t="str">
        <f>""</f>
        <v/>
      </c>
      <c r="AY1028" t="str">
        <f t="shared" si="1253"/>
        <v>30/04/2021 12:00:00 a. m.</v>
      </c>
      <c r="AZ1028" t="str">
        <f>"29/09/2020 12:00:00 a. m."</f>
        <v>29/09/2020 12:00:00 a. m.</v>
      </c>
      <c r="BA1028" t="str">
        <f>""</f>
        <v/>
      </c>
      <c r="BB1028" t="str">
        <f>""</f>
        <v/>
      </c>
      <c r="BC1028" t="str">
        <f>""</f>
        <v/>
      </c>
      <c r="BD1028" t="str">
        <f t="shared" si="1245"/>
        <v>1</v>
      </c>
      <c r="BE1028" t="str">
        <f t="shared" si="1245"/>
        <v>1</v>
      </c>
      <c r="BF1028" t="str">
        <f t="shared" si="1254"/>
        <v xml:space="preserve">3         </v>
      </c>
      <c r="BG1028" t="str">
        <f t="shared" si="1255"/>
        <v>Confirmado por laboratorio</v>
      </c>
      <c r="BH1028" t="str">
        <f>"FUNDACION HOSPITAL DE LA MISERICORDIA"</f>
        <v>FUNDACION HOSPITAL DE LA MISERICORDIA</v>
      </c>
      <c r="BI1028" t="str">
        <f t="shared" si="1240"/>
        <v>COLOMBIA</v>
      </c>
      <c r="BJ1028" t="str">
        <f t="shared" si="1256"/>
        <v>CANCER INFANTIL</v>
      </c>
      <c r="BK1028" t="str">
        <f>"GUAINIA"</f>
        <v>GUAINIA</v>
      </c>
      <c r="BL1028" t="str">
        <f>"PUERTO INIRIDA"</f>
        <v>PUERTO INIRIDA</v>
      </c>
      <c r="BM1028" t="str">
        <f t="shared" si="1188"/>
        <v>COLOMBIA</v>
      </c>
      <c r="BN1028" t="str">
        <f>"GUAINIA"</f>
        <v>GUAINIA</v>
      </c>
      <c r="BO1028" t="str">
        <f>"PUERTO INIRIDA"</f>
        <v>PUERTO INIRIDA</v>
      </c>
      <c r="BP1028" t="str">
        <f t="shared" si="1257"/>
        <v>BOGOTA</v>
      </c>
      <c r="BQ1028" t="str">
        <f t="shared" si="1257"/>
        <v>BOGOTA</v>
      </c>
    </row>
    <row r="1029" spans="1:69" x14ac:dyDescent="0.25">
      <c r="A1029" t="str">
        <f>"7278954"</f>
        <v>7278954</v>
      </c>
      <c r="B1029" t="str">
        <f t="shared" si="1250"/>
        <v>459</v>
      </c>
      <c r="C1029" t="str">
        <f>"5/06/2020 12:00:00 a. m."</f>
        <v>5/06/2020 12:00:00 a. m.</v>
      </c>
      <c r="D1029" t="str">
        <f>"21"</f>
        <v>21</v>
      </c>
      <c r="E1029" t="str">
        <f t="shared" si="1251"/>
        <v>2020</v>
      </c>
      <c r="F1029" t="str">
        <f>"1100105681"</f>
        <v>1100105681</v>
      </c>
      <c r="G1029" t="str">
        <f t="shared" si="1247"/>
        <v>01</v>
      </c>
      <c r="H1029" t="str">
        <f>"10"</f>
        <v>10</v>
      </c>
      <c r="I1029" t="str">
        <f t="shared" si="1241"/>
        <v>1</v>
      </c>
      <c r="J1029" t="str">
        <f>"F"</f>
        <v>F</v>
      </c>
      <c r="K1029" t="str">
        <f t="shared" si="1238"/>
        <v>170</v>
      </c>
      <c r="L1029" t="str">
        <f>"25"</f>
        <v>25</v>
      </c>
      <c r="M1029" t="str">
        <f>"899"</f>
        <v>899</v>
      </c>
      <c r="N1029" t="str">
        <f t="shared" si="1246"/>
        <v>1</v>
      </c>
      <c r="O1029" t="str">
        <f>"9997"</f>
        <v>9997</v>
      </c>
      <c r="P1029" t="str">
        <f>"C"</f>
        <v>C</v>
      </c>
      <c r="Q1029" t="str">
        <f>"EPS037"</f>
        <v>EPS037</v>
      </c>
      <c r="R1029" t="str">
        <f t="shared" si="1248"/>
        <v>6</v>
      </c>
      <c r="S1029" t="str">
        <f>""</f>
        <v/>
      </c>
      <c r="T1029" t="str">
        <f t="shared" si="1249"/>
        <v xml:space="preserve">                                                                                                    </v>
      </c>
      <c r="U1029" t="str">
        <f>"2         "</f>
        <v xml:space="preserve">2         </v>
      </c>
      <c r="V1029" t="str">
        <f t="shared" si="1232"/>
        <v>2</v>
      </c>
      <c r="W1029" t="str">
        <f t="shared" si="1228"/>
        <v>2</v>
      </c>
      <c r="X1029" t="str">
        <f t="shared" si="1212"/>
        <v>2</v>
      </c>
      <c r="Y1029" t="str">
        <f t="shared" si="1239"/>
        <v>2</v>
      </c>
      <c r="Z1029" t="str">
        <f t="shared" si="1239"/>
        <v>2</v>
      </c>
      <c r="AA1029" t="str">
        <f t="shared" si="1252"/>
        <v xml:space="preserve">          </v>
      </c>
      <c r="AB1029" t="str">
        <f t="shared" si="1242"/>
        <v>2</v>
      </c>
      <c r="AC1029" t="str">
        <f t="shared" si="1234"/>
        <v>2</v>
      </c>
      <c r="AD1029" t="str">
        <f t="shared" si="1243"/>
        <v>2</v>
      </c>
      <c r="AE1029" t="str">
        <f t="shared" si="1243"/>
        <v>2</v>
      </c>
      <c r="AF1029" t="str">
        <f t="shared" si="1243"/>
        <v>2</v>
      </c>
      <c r="AG1029" t="str">
        <f t="shared" si="1243"/>
        <v>2</v>
      </c>
      <c r="AH1029" t="str">
        <f t="shared" si="1235"/>
        <v>1</v>
      </c>
      <c r="AI1029" t="str">
        <f t="shared" si="1216"/>
        <v xml:space="preserve">1         </v>
      </c>
      <c r="AJ1029" t="str">
        <f t="shared" si="1187"/>
        <v>170</v>
      </c>
      <c r="AK1029" t="str">
        <f>"25"</f>
        <v>25</v>
      </c>
      <c r="AL1029" t="str">
        <f>"899"</f>
        <v>899</v>
      </c>
      <c r="AM1029" t="str">
        <f>"11"</f>
        <v>11</v>
      </c>
      <c r="AN1029" t="str">
        <f>"11001"</f>
        <v>11001</v>
      </c>
      <c r="AO1029" t="str">
        <f>"17/05/2020 12:00:00 a. m."</f>
        <v>17/05/2020 12:00:00 a. m.</v>
      </c>
      <c r="AP1029" t="str">
        <f>"17/05/2020 12:00:00 a. m."</f>
        <v>17/05/2020 12:00:00 a. m.</v>
      </c>
      <c r="AQ1029" t="str">
        <f>"3"</f>
        <v>3</v>
      </c>
      <c r="AR1029" t="str">
        <f t="shared" si="1244"/>
        <v>1</v>
      </c>
      <c r="AS1029" t="str">
        <f>"17/05/2020 12:00:00 a. m."</f>
        <v>17/05/2020 12:00:00 a. m.</v>
      </c>
      <c r="AT1029" t="str">
        <f>"1"</f>
        <v>1</v>
      </c>
      <c r="AU1029" t="str">
        <f>""</f>
        <v/>
      </c>
      <c r="AV1029" t="str">
        <f>"0"</f>
        <v>0</v>
      </c>
      <c r="AW1029" t="str">
        <f>"16/11/2009 12:00:00 a. m."</f>
        <v>16/11/2009 12:00:00 a. m.</v>
      </c>
      <c r="AX1029" t="str">
        <f>""</f>
        <v/>
      </c>
      <c r="AY1029" t="str">
        <f t="shared" si="1253"/>
        <v>30/04/2021 12:00:00 a. m.</v>
      </c>
      <c r="AZ1029" t="str">
        <f>"16/06/2020 12:00:00 a. m."</f>
        <v>16/06/2020 12:00:00 a. m.</v>
      </c>
      <c r="BA1029" t="str">
        <f>""</f>
        <v/>
      </c>
      <c r="BB1029" t="str">
        <f>""</f>
        <v/>
      </c>
      <c r="BC1029" t="str">
        <f>""</f>
        <v/>
      </c>
      <c r="BD1029" t="str">
        <f t="shared" si="1245"/>
        <v>1</v>
      </c>
      <c r="BE1029" t="str">
        <f t="shared" si="1245"/>
        <v>1</v>
      </c>
      <c r="BF1029" t="str">
        <f t="shared" si="1254"/>
        <v xml:space="preserve">3         </v>
      </c>
      <c r="BG1029" t="str">
        <f t="shared" si="1255"/>
        <v>Confirmado por laboratorio</v>
      </c>
      <c r="BH1029" t="str">
        <f>"FUNDACION HOSPITAL DE LA MISERICORDIA"</f>
        <v>FUNDACION HOSPITAL DE LA MISERICORDIA</v>
      </c>
      <c r="BI1029" t="str">
        <f t="shared" si="1240"/>
        <v>COLOMBIA</v>
      </c>
      <c r="BJ1029" t="str">
        <f t="shared" si="1256"/>
        <v>CANCER INFANTIL</v>
      </c>
      <c r="BK1029" t="str">
        <f>"CUNDINAMARCA"</f>
        <v>CUNDINAMARCA</v>
      </c>
      <c r="BL1029" t="str">
        <f>"ZIPAQUIRA"</f>
        <v>ZIPAQUIRA</v>
      </c>
      <c r="BM1029" t="str">
        <f t="shared" si="1188"/>
        <v>COLOMBIA</v>
      </c>
      <c r="BN1029" t="str">
        <f>"CUNDINAMARCA"</f>
        <v>CUNDINAMARCA</v>
      </c>
      <c r="BO1029" t="str">
        <f>"ZIPAQUIRA"</f>
        <v>ZIPAQUIRA</v>
      </c>
      <c r="BP1029" t="str">
        <f t="shared" si="1257"/>
        <v>BOGOTA</v>
      </c>
      <c r="BQ1029" t="str">
        <f t="shared" si="1257"/>
        <v>BOGOTA</v>
      </c>
    </row>
    <row r="1030" spans="1:69" x14ac:dyDescent="0.25">
      <c r="A1030" t="str">
        <f>"7291415"</f>
        <v>7291415</v>
      </c>
      <c r="B1030" t="str">
        <f t="shared" si="1250"/>
        <v>459</v>
      </c>
      <c r="C1030" t="str">
        <f>"13/03/2020 12:00:00 a. m."</f>
        <v>13/03/2020 12:00:00 a. m.</v>
      </c>
      <c r="D1030" t="str">
        <f>"11"</f>
        <v>11</v>
      </c>
      <c r="E1030" t="str">
        <f t="shared" si="1251"/>
        <v>2020</v>
      </c>
      <c r="F1030" t="str">
        <f>"7600103799"</f>
        <v>7600103799</v>
      </c>
      <c r="G1030" t="str">
        <f t="shared" si="1247"/>
        <v>01</v>
      </c>
      <c r="H1030" t="str">
        <f>"6"</f>
        <v>6</v>
      </c>
      <c r="I1030" t="str">
        <f t="shared" si="1241"/>
        <v>1</v>
      </c>
      <c r="J1030" t="str">
        <f>"F"</f>
        <v>F</v>
      </c>
      <c r="K1030" t="str">
        <f t="shared" si="1238"/>
        <v>170</v>
      </c>
      <c r="L1030" t="str">
        <f>"76"</f>
        <v>76</v>
      </c>
      <c r="M1030" t="str">
        <f>"001"</f>
        <v>001</v>
      </c>
      <c r="N1030" t="str">
        <f t="shared" si="1246"/>
        <v>1</v>
      </c>
      <c r="O1030" t="str">
        <f>"9999"</f>
        <v>9999</v>
      </c>
      <c r="P1030" t="str">
        <f>"N"</f>
        <v>N</v>
      </c>
      <c r="Q1030" t="str">
        <f>""</f>
        <v/>
      </c>
      <c r="R1030" t="str">
        <f t="shared" si="1248"/>
        <v>6</v>
      </c>
      <c r="S1030" t="str">
        <f>""</f>
        <v/>
      </c>
      <c r="T1030" t="str">
        <f t="shared" si="1249"/>
        <v xml:space="preserve">                                                                                                    </v>
      </c>
      <c r="U1030" t="str">
        <f>"          "</f>
        <v xml:space="preserve">          </v>
      </c>
      <c r="V1030" t="str">
        <f t="shared" si="1232"/>
        <v>2</v>
      </c>
      <c r="W1030" t="str">
        <f t="shared" si="1228"/>
        <v>2</v>
      </c>
      <c r="X1030" t="str">
        <f t="shared" si="1212"/>
        <v>2</v>
      </c>
      <c r="Y1030" t="str">
        <f t="shared" si="1239"/>
        <v>2</v>
      </c>
      <c r="Z1030" t="str">
        <f t="shared" si="1239"/>
        <v>2</v>
      </c>
      <c r="AA1030" t="str">
        <f t="shared" si="1252"/>
        <v xml:space="preserve">          </v>
      </c>
      <c r="AB1030" t="str">
        <f t="shared" si="1242"/>
        <v>2</v>
      </c>
      <c r="AC1030" t="str">
        <f t="shared" si="1234"/>
        <v>2</v>
      </c>
      <c r="AD1030" t="str">
        <f t="shared" si="1243"/>
        <v>2</v>
      </c>
      <c r="AE1030" t="str">
        <f t="shared" si="1243"/>
        <v>2</v>
      </c>
      <c r="AF1030" t="str">
        <f t="shared" si="1243"/>
        <v>2</v>
      </c>
      <c r="AG1030" t="str">
        <f t="shared" si="1243"/>
        <v>2</v>
      </c>
      <c r="AH1030" t="str">
        <f t="shared" si="1235"/>
        <v>1</v>
      </c>
      <c r="AI1030" t="str">
        <f t="shared" si="1216"/>
        <v xml:space="preserve">1         </v>
      </c>
      <c r="AJ1030" t="str">
        <f t="shared" si="1187"/>
        <v>170</v>
      </c>
      <c r="AK1030" t="str">
        <f>"76"</f>
        <v>76</v>
      </c>
      <c r="AL1030" t="str">
        <f>"001"</f>
        <v>001</v>
      </c>
      <c r="AM1030" t="str">
        <f>"76"</f>
        <v>76</v>
      </c>
      <c r="AN1030" t="str">
        <f>"76001"</f>
        <v>76001</v>
      </c>
      <c r="AO1030" t="str">
        <f>"13/03/2020 12:00:00 a. m."</f>
        <v>13/03/2020 12:00:00 a. m.</v>
      </c>
      <c r="AP1030" t="str">
        <f>"15/02/2020 12:00:00 a. m."</f>
        <v>15/02/2020 12:00:00 a. m.</v>
      </c>
      <c r="AQ1030" t="str">
        <f>"2"</f>
        <v>2</v>
      </c>
      <c r="AR1030" t="str">
        <f t="shared" si="1244"/>
        <v>1</v>
      </c>
      <c r="AS1030" t="str">
        <f>"13/03/2020 12:00:00 a. m."</f>
        <v>13/03/2020 12:00:00 a. m.</v>
      </c>
      <c r="AT1030" t="str">
        <f>"2"</f>
        <v>2</v>
      </c>
      <c r="AU1030" t="str">
        <f>"22/04/2020 12:00:00 a. m."</f>
        <v>22/04/2020 12:00:00 a. m.</v>
      </c>
      <c r="AV1030" t="str">
        <f>"3"</f>
        <v>3</v>
      </c>
      <c r="AW1030" t="str">
        <f>"26/08/2013 12:00:00 a. m."</f>
        <v>26/08/2013 12:00:00 a. m.</v>
      </c>
      <c r="AX1030" t="str">
        <f>"9999"</f>
        <v>9999</v>
      </c>
      <c r="AY1030" t="str">
        <f t="shared" si="1253"/>
        <v>30/04/2021 12:00:00 a. m.</v>
      </c>
      <c r="AZ1030" t="str">
        <f>"25/03/2020 12:00:00 a. m."</f>
        <v>25/03/2020 12:00:00 a. m.</v>
      </c>
      <c r="BA1030" t="str">
        <f>""</f>
        <v/>
      </c>
      <c r="BB1030" t="str">
        <f>""</f>
        <v/>
      </c>
      <c r="BC1030" t="str">
        <f>""</f>
        <v/>
      </c>
      <c r="BD1030" t="str">
        <f t="shared" si="1245"/>
        <v>1</v>
      </c>
      <c r="BE1030" t="str">
        <f t="shared" si="1245"/>
        <v>1</v>
      </c>
      <c r="BF1030" t="str">
        <f t="shared" si="1254"/>
        <v xml:space="preserve">3         </v>
      </c>
      <c r="BG1030" t="str">
        <f t="shared" si="1255"/>
        <v>Confirmado por laboratorio</v>
      </c>
      <c r="BH1030" t="str">
        <f>"HOSPITAL UNIVERSITARIO DEL VALLE EVARISTO GARCIA"</f>
        <v>HOSPITAL UNIVERSITARIO DEL VALLE EVARISTO GARCIA</v>
      </c>
      <c r="BI1030" t="str">
        <f t="shared" si="1240"/>
        <v>COLOMBIA</v>
      </c>
      <c r="BJ1030" t="str">
        <f t="shared" si="1256"/>
        <v>CANCER INFANTIL</v>
      </c>
      <c r="BK1030" t="str">
        <f>"VALLE"</f>
        <v>VALLE</v>
      </c>
      <c r="BL1030" t="str">
        <f>"CALI"</f>
        <v>CALI</v>
      </c>
      <c r="BM1030" t="str">
        <f t="shared" si="1188"/>
        <v>COLOMBIA</v>
      </c>
      <c r="BN1030" t="str">
        <f>"VALLE"</f>
        <v>VALLE</v>
      </c>
      <c r="BO1030" t="str">
        <f>"CALI"</f>
        <v>CALI</v>
      </c>
      <c r="BP1030" t="str">
        <f>"VALLE"</f>
        <v>VALLE</v>
      </c>
      <c r="BQ1030" t="str">
        <f>"CALI"</f>
        <v>CALI</v>
      </c>
    </row>
    <row r="1031" spans="1:69" x14ac:dyDescent="0.25">
      <c r="A1031" t="str">
        <f>"7291353"</f>
        <v>7291353</v>
      </c>
      <c r="B1031" t="str">
        <f t="shared" si="1250"/>
        <v>459</v>
      </c>
      <c r="C1031" t="str">
        <f>"3/11/2020 12:00:00 a. m."</f>
        <v>3/11/2020 12:00:00 a. m.</v>
      </c>
      <c r="D1031" t="str">
        <f>"43"</f>
        <v>43</v>
      </c>
      <c r="E1031" t="str">
        <f t="shared" si="1251"/>
        <v>2020</v>
      </c>
      <c r="F1031" t="str">
        <f>"7600103799"</f>
        <v>7600103799</v>
      </c>
      <c r="G1031" t="str">
        <f t="shared" si="1247"/>
        <v>01</v>
      </c>
      <c r="H1031" t="str">
        <f>"15"</f>
        <v>15</v>
      </c>
      <c r="I1031" t="str">
        <f t="shared" si="1241"/>
        <v>1</v>
      </c>
      <c r="J1031" t="str">
        <f>"M"</f>
        <v>M</v>
      </c>
      <c r="K1031" t="str">
        <f t="shared" si="1238"/>
        <v>170</v>
      </c>
      <c r="L1031" t="str">
        <f>"76"</f>
        <v>76</v>
      </c>
      <c r="M1031" t="str">
        <f>"001"</f>
        <v>001</v>
      </c>
      <c r="N1031" t="str">
        <f t="shared" si="1246"/>
        <v>1</v>
      </c>
      <c r="O1031" t="str">
        <f>"9999"</f>
        <v>9999</v>
      </c>
      <c r="P1031" t="str">
        <f>"S"</f>
        <v>S</v>
      </c>
      <c r="Q1031" t="str">
        <f>"EPSS45"</f>
        <v>EPSS45</v>
      </c>
      <c r="R1031" t="str">
        <f t="shared" si="1248"/>
        <v>6</v>
      </c>
      <c r="S1031" t="str">
        <f>""</f>
        <v/>
      </c>
      <c r="T1031" t="str">
        <f t="shared" si="1249"/>
        <v xml:space="preserve">                                                                                                    </v>
      </c>
      <c r="U1031" t="str">
        <f>"2         "</f>
        <v xml:space="preserve">2         </v>
      </c>
      <c r="V1031" t="str">
        <f t="shared" si="1232"/>
        <v>2</v>
      </c>
      <c r="W1031" t="str">
        <f t="shared" si="1228"/>
        <v>2</v>
      </c>
      <c r="X1031" t="str">
        <f t="shared" si="1212"/>
        <v>2</v>
      </c>
      <c r="Y1031" t="str">
        <f t="shared" si="1239"/>
        <v>2</v>
      </c>
      <c r="Z1031" t="str">
        <f t="shared" si="1239"/>
        <v>2</v>
      </c>
      <c r="AA1031" t="str">
        <f t="shared" si="1252"/>
        <v xml:space="preserve">          </v>
      </c>
      <c r="AB1031" t="str">
        <f t="shared" si="1242"/>
        <v>2</v>
      </c>
      <c r="AC1031" t="str">
        <f t="shared" si="1234"/>
        <v>2</v>
      </c>
      <c r="AD1031" t="str">
        <f t="shared" si="1243"/>
        <v>2</v>
      </c>
      <c r="AE1031" t="str">
        <f t="shared" si="1243"/>
        <v>2</v>
      </c>
      <c r="AF1031" t="str">
        <f t="shared" si="1243"/>
        <v>2</v>
      </c>
      <c r="AG1031" t="str">
        <f t="shared" si="1243"/>
        <v>2</v>
      </c>
      <c r="AH1031" t="str">
        <f t="shared" si="1235"/>
        <v>1</v>
      </c>
      <c r="AI1031" t="str">
        <f t="shared" si="1216"/>
        <v xml:space="preserve">1         </v>
      </c>
      <c r="AJ1031" t="str">
        <f t="shared" si="1187"/>
        <v>170</v>
      </c>
      <c r="AK1031" t="str">
        <f>"76"</f>
        <v>76</v>
      </c>
      <c r="AL1031" t="str">
        <f>"001"</f>
        <v>001</v>
      </c>
      <c r="AM1031" t="str">
        <f>"76"</f>
        <v>76</v>
      </c>
      <c r="AN1031" t="str">
        <f>"76001"</f>
        <v>76001</v>
      </c>
      <c r="AO1031" t="str">
        <f>"23/10/2020 12:00:00 a. m."</f>
        <v>23/10/2020 12:00:00 a. m.</v>
      </c>
      <c r="AP1031" t="str">
        <f>"1/09/2020 12:00:00 a. m."</f>
        <v>1/09/2020 12:00:00 a. m.</v>
      </c>
      <c r="AQ1031" t="str">
        <f>"2"</f>
        <v>2</v>
      </c>
      <c r="AR1031" t="str">
        <f t="shared" si="1244"/>
        <v>1</v>
      </c>
      <c r="AS1031" t="str">
        <f>"23/10/2020 12:00:00 a. m."</f>
        <v>23/10/2020 12:00:00 a. m.</v>
      </c>
      <c r="AT1031" t="str">
        <f>"1"</f>
        <v>1</v>
      </c>
      <c r="AU1031" t="str">
        <f>""</f>
        <v/>
      </c>
      <c r="AV1031" t="str">
        <f>"3"</f>
        <v>3</v>
      </c>
      <c r="AW1031" t="str">
        <f>"5/05/2005 12:00:00 a. m."</f>
        <v>5/05/2005 12:00:00 a. m.</v>
      </c>
      <c r="AX1031" t="str">
        <f>""</f>
        <v/>
      </c>
      <c r="AY1031" t="str">
        <f t="shared" si="1253"/>
        <v>30/04/2021 12:00:00 a. m.</v>
      </c>
      <c r="AZ1031" t="str">
        <f>"20/11/2020 12:00:00 a. m."</f>
        <v>20/11/2020 12:00:00 a. m.</v>
      </c>
      <c r="BA1031" t="str">
        <f>""</f>
        <v/>
      </c>
      <c r="BB1031" t="str">
        <f>""</f>
        <v/>
      </c>
      <c r="BC1031" t="str">
        <f>""</f>
        <v/>
      </c>
      <c r="BD1031" t="str">
        <f t="shared" si="1245"/>
        <v>1</v>
      </c>
      <c r="BE1031" t="str">
        <f t="shared" si="1245"/>
        <v>1</v>
      </c>
      <c r="BF1031" t="str">
        <f t="shared" si="1254"/>
        <v xml:space="preserve">3         </v>
      </c>
      <c r="BG1031" t="str">
        <f t="shared" si="1255"/>
        <v>Confirmado por laboratorio</v>
      </c>
      <c r="BH1031" t="str">
        <f>"HOSPITAL UNIVERSITARIO DEL VALLE EVARISTO GARCIA"</f>
        <v>HOSPITAL UNIVERSITARIO DEL VALLE EVARISTO GARCIA</v>
      </c>
      <c r="BI1031" t="str">
        <f t="shared" si="1240"/>
        <v>COLOMBIA</v>
      </c>
      <c r="BJ1031" t="str">
        <f t="shared" si="1256"/>
        <v>CANCER INFANTIL</v>
      </c>
      <c r="BK1031" t="str">
        <f>"VALLE"</f>
        <v>VALLE</v>
      </c>
      <c r="BL1031" t="str">
        <f>"CALI"</f>
        <v>CALI</v>
      </c>
      <c r="BM1031" t="str">
        <f t="shared" si="1188"/>
        <v>COLOMBIA</v>
      </c>
      <c r="BN1031" t="str">
        <f>"VALLE"</f>
        <v>VALLE</v>
      </c>
      <c r="BO1031" t="str">
        <f>"CALI"</f>
        <v>CALI</v>
      </c>
      <c r="BP1031" t="str">
        <f>"VALLE"</f>
        <v>VALLE</v>
      </c>
      <c r="BQ1031" t="str">
        <f>"CALI"</f>
        <v>CALI</v>
      </c>
    </row>
    <row r="1032" spans="1:69" x14ac:dyDescent="0.25">
      <c r="A1032" t="str">
        <f>"7291363"</f>
        <v>7291363</v>
      </c>
      <c r="B1032" t="str">
        <f t="shared" si="1250"/>
        <v>459</v>
      </c>
      <c r="C1032" t="str">
        <f>"3/03/2020 12:00:00 a. m."</f>
        <v>3/03/2020 12:00:00 a. m.</v>
      </c>
      <c r="D1032" t="str">
        <f>"04"</f>
        <v>04</v>
      </c>
      <c r="E1032" t="str">
        <f t="shared" si="1251"/>
        <v>2020</v>
      </c>
      <c r="F1032" t="str">
        <f>"7600103066"</f>
        <v>7600103066</v>
      </c>
      <c r="G1032" t="str">
        <f t="shared" si="1247"/>
        <v>01</v>
      </c>
      <c r="H1032" t="str">
        <f>"10"</f>
        <v>10</v>
      </c>
      <c r="I1032" t="str">
        <f t="shared" si="1241"/>
        <v>1</v>
      </c>
      <c r="J1032" t="str">
        <f>"M"</f>
        <v>M</v>
      </c>
      <c r="K1032" t="str">
        <f t="shared" si="1238"/>
        <v>170</v>
      </c>
      <c r="L1032" t="str">
        <f>"76"</f>
        <v>76</v>
      </c>
      <c r="M1032" t="str">
        <f>"001"</f>
        <v>001</v>
      </c>
      <c r="N1032" t="str">
        <f t="shared" si="1246"/>
        <v>1</v>
      </c>
      <c r="O1032" t="str">
        <f>"9997"</f>
        <v>9997</v>
      </c>
      <c r="P1032" t="str">
        <f>"C"</f>
        <v>C</v>
      </c>
      <c r="Q1032" t="str">
        <f>"EPS002"</f>
        <v>EPS002</v>
      </c>
      <c r="R1032" t="str">
        <f t="shared" si="1248"/>
        <v>6</v>
      </c>
      <c r="S1032" t="str">
        <f>""</f>
        <v/>
      </c>
      <c r="T1032" t="str">
        <f t="shared" si="1249"/>
        <v xml:space="preserve">                                                                                                    </v>
      </c>
      <c r="U1032" t="str">
        <f>"3         "</f>
        <v xml:space="preserve">3         </v>
      </c>
      <c r="V1032" t="str">
        <f t="shared" si="1232"/>
        <v>2</v>
      </c>
      <c r="W1032" t="str">
        <f t="shared" si="1228"/>
        <v>2</v>
      </c>
      <c r="X1032" t="str">
        <f t="shared" si="1212"/>
        <v>2</v>
      </c>
      <c r="Y1032" t="str">
        <f t="shared" si="1239"/>
        <v>2</v>
      </c>
      <c r="Z1032" t="str">
        <f t="shared" si="1239"/>
        <v>2</v>
      </c>
      <c r="AA1032" t="str">
        <f t="shared" si="1252"/>
        <v xml:space="preserve">          </v>
      </c>
      <c r="AB1032" t="str">
        <f t="shared" si="1242"/>
        <v>2</v>
      </c>
      <c r="AC1032" t="str">
        <f t="shared" si="1234"/>
        <v>2</v>
      </c>
      <c r="AD1032" t="str">
        <f t="shared" si="1243"/>
        <v>2</v>
      </c>
      <c r="AE1032" t="str">
        <f t="shared" si="1243"/>
        <v>2</v>
      </c>
      <c r="AF1032" t="str">
        <f t="shared" si="1243"/>
        <v>2</v>
      </c>
      <c r="AG1032" t="str">
        <f t="shared" si="1243"/>
        <v>2</v>
      </c>
      <c r="AH1032" t="str">
        <f t="shared" si="1235"/>
        <v>1</v>
      </c>
      <c r="AI1032" t="str">
        <f t="shared" si="1216"/>
        <v xml:space="preserve">1         </v>
      </c>
      <c r="AJ1032" t="str">
        <f t="shared" si="1187"/>
        <v>170</v>
      </c>
      <c r="AK1032" t="str">
        <f>"76"</f>
        <v>76</v>
      </c>
      <c r="AL1032" t="str">
        <f>"001"</f>
        <v>001</v>
      </c>
      <c r="AM1032" t="str">
        <f>"76"</f>
        <v>76</v>
      </c>
      <c r="AN1032" t="str">
        <f>"76001"</f>
        <v>76001</v>
      </c>
      <c r="AO1032" t="str">
        <f>"24/01/2020 12:00:00 a. m."</f>
        <v>24/01/2020 12:00:00 a. m.</v>
      </c>
      <c r="AP1032" t="str">
        <f>"23/12/2019 12:00:00 a. m."</f>
        <v>23/12/2019 12:00:00 a. m.</v>
      </c>
      <c r="AQ1032" t="str">
        <f>"3"</f>
        <v>3</v>
      </c>
      <c r="AR1032" t="str">
        <f t="shared" si="1244"/>
        <v>1</v>
      </c>
      <c r="AS1032" t="str">
        <f>"24/01/2020 12:00:00 a. m."</f>
        <v>24/01/2020 12:00:00 a. m.</v>
      </c>
      <c r="AT1032" t="str">
        <f>"1"</f>
        <v>1</v>
      </c>
      <c r="AU1032" t="str">
        <f>""</f>
        <v/>
      </c>
      <c r="AV1032" t="str">
        <f>"3"</f>
        <v>3</v>
      </c>
      <c r="AW1032" t="str">
        <f>"12/05/2009 12:00:00 a. m."</f>
        <v>12/05/2009 12:00:00 a. m.</v>
      </c>
      <c r="AX1032" t="str">
        <f>""</f>
        <v/>
      </c>
      <c r="AY1032" t="str">
        <f t="shared" si="1253"/>
        <v>30/04/2021 12:00:00 a. m.</v>
      </c>
      <c r="AZ1032" t="str">
        <f>"17/03/2020 12:00:00 a. m."</f>
        <v>17/03/2020 12:00:00 a. m.</v>
      </c>
      <c r="BA1032" t="str">
        <f>""</f>
        <v/>
      </c>
      <c r="BB1032" t="str">
        <f>""</f>
        <v/>
      </c>
      <c r="BC1032" t="str">
        <f>""</f>
        <v/>
      </c>
      <c r="BD1032" t="str">
        <f t="shared" si="1245"/>
        <v>1</v>
      </c>
      <c r="BE1032" t="str">
        <f t="shared" si="1245"/>
        <v>1</v>
      </c>
      <c r="BF1032" t="str">
        <f t="shared" si="1254"/>
        <v xml:space="preserve">3         </v>
      </c>
      <c r="BG1032" t="str">
        <f t="shared" si="1255"/>
        <v>Confirmado por laboratorio</v>
      </c>
      <c r="BH1032" t="str">
        <f>"CLINICA DE OCCIDENTE SA"</f>
        <v>CLINICA DE OCCIDENTE SA</v>
      </c>
      <c r="BI1032" t="str">
        <f t="shared" si="1240"/>
        <v>COLOMBIA</v>
      </c>
      <c r="BJ1032" t="str">
        <f t="shared" si="1256"/>
        <v>CANCER INFANTIL</v>
      </c>
      <c r="BK1032" t="str">
        <f>"VALLE"</f>
        <v>VALLE</v>
      </c>
      <c r="BL1032" t="str">
        <f>"CALI"</f>
        <v>CALI</v>
      </c>
      <c r="BM1032" t="str">
        <f t="shared" si="1188"/>
        <v>COLOMBIA</v>
      </c>
      <c r="BN1032" t="str">
        <f>"VALLE"</f>
        <v>VALLE</v>
      </c>
      <c r="BO1032" t="str">
        <f>"CALI"</f>
        <v>CALI</v>
      </c>
      <c r="BP1032" t="str">
        <f>"VALLE"</f>
        <v>VALLE</v>
      </c>
      <c r="BQ1032" t="str">
        <f>"CALI"</f>
        <v>CALI</v>
      </c>
    </row>
    <row r="1033" spans="1:69" x14ac:dyDescent="0.25">
      <c r="A1033" t="str">
        <f>"7291448"</f>
        <v>7291448</v>
      </c>
      <c r="B1033" t="str">
        <f t="shared" si="1250"/>
        <v>459</v>
      </c>
      <c r="C1033" t="str">
        <f>"12/02/2020 12:00:00 a. m."</f>
        <v>12/02/2020 12:00:00 a. m.</v>
      </c>
      <c r="D1033" t="str">
        <f>"07"</f>
        <v>07</v>
      </c>
      <c r="E1033" t="str">
        <f t="shared" si="1251"/>
        <v>2020</v>
      </c>
      <c r="F1033" t="str">
        <f>"1100116338"</f>
        <v>1100116338</v>
      </c>
      <c r="G1033" t="str">
        <f>"83"</f>
        <v>83</v>
      </c>
      <c r="H1033" t="str">
        <f>"14"</f>
        <v>14</v>
      </c>
      <c r="I1033" t="str">
        <f t="shared" si="1241"/>
        <v>1</v>
      </c>
      <c r="J1033" t="str">
        <f>"M"</f>
        <v>M</v>
      </c>
      <c r="K1033" t="str">
        <f t="shared" si="1238"/>
        <v>170</v>
      </c>
      <c r="L1033" t="str">
        <f>"25"</f>
        <v>25</v>
      </c>
      <c r="M1033" t="str">
        <f>"269"</f>
        <v>269</v>
      </c>
      <c r="N1033" t="str">
        <f t="shared" si="1246"/>
        <v>1</v>
      </c>
      <c r="O1033" t="str">
        <f>"9997"</f>
        <v>9997</v>
      </c>
      <c r="P1033" t="str">
        <f>"P"</f>
        <v>P</v>
      </c>
      <c r="Q1033" t="str">
        <f>"RES003"</f>
        <v>RES003</v>
      </c>
      <c r="R1033" t="str">
        <f t="shared" si="1248"/>
        <v>6</v>
      </c>
      <c r="S1033" t="str">
        <f>""</f>
        <v/>
      </c>
      <c r="T1033" t="str">
        <f t="shared" si="1249"/>
        <v xml:space="preserve">                                                                                                    </v>
      </c>
      <c r="U1033" t="str">
        <f>"1         "</f>
        <v xml:space="preserve">1         </v>
      </c>
      <c r="V1033" t="str">
        <f t="shared" si="1232"/>
        <v>2</v>
      </c>
      <c r="W1033" t="str">
        <f t="shared" si="1228"/>
        <v>2</v>
      </c>
      <c r="X1033" t="str">
        <f t="shared" si="1212"/>
        <v>2</v>
      </c>
      <c r="Y1033" t="str">
        <f t="shared" si="1239"/>
        <v>2</v>
      </c>
      <c r="Z1033" t="str">
        <f t="shared" si="1239"/>
        <v>2</v>
      </c>
      <c r="AA1033" t="str">
        <f t="shared" si="1252"/>
        <v xml:space="preserve">          </v>
      </c>
      <c r="AB1033" t="str">
        <f t="shared" si="1242"/>
        <v>2</v>
      </c>
      <c r="AC1033" t="str">
        <f t="shared" si="1234"/>
        <v>2</v>
      </c>
      <c r="AD1033" t="str">
        <f t="shared" si="1243"/>
        <v>2</v>
      </c>
      <c r="AE1033" t="str">
        <f t="shared" si="1243"/>
        <v>2</v>
      </c>
      <c r="AF1033" t="str">
        <f t="shared" si="1243"/>
        <v>2</v>
      </c>
      <c r="AG1033" t="str">
        <f t="shared" si="1243"/>
        <v>2</v>
      </c>
      <c r="AH1033" t="str">
        <f t="shared" si="1235"/>
        <v>1</v>
      </c>
      <c r="AI1033" t="str">
        <f t="shared" si="1216"/>
        <v xml:space="preserve">1         </v>
      </c>
      <c r="AJ1033" t="str">
        <f t="shared" ref="AJ1033:AJ1046" si="1258">"170"</f>
        <v>170</v>
      </c>
      <c r="AK1033" t="str">
        <f>"25"</f>
        <v>25</v>
      </c>
      <c r="AL1033" t="str">
        <f>"269"</f>
        <v>269</v>
      </c>
      <c r="AM1033" t="str">
        <f>"11"</f>
        <v>11</v>
      </c>
      <c r="AN1033" t="str">
        <f>"11001"</f>
        <v>11001</v>
      </c>
      <c r="AO1033" t="str">
        <f>"5/02/2020 12:00:00 a. m."</f>
        <v>5/02/2020 12:00:00 a. m.</v>
      </c>
      <c r="AP1033" t="str">
        <f>"15/11/2019 12:00:00 a. m."</f>
        <v>15/11/2019 12:00:00 a. m.</v>
      </c>
      <c r="AQ1033" t="str">
        <f>"2"</f>
        <v>2</v>
      </c>
      <c r="AR1033" t="str">
        <f t="shared" si="1244"/>
        <v>1</v>
      </c>
      <c r="AS1033" t="str">
        <f>"12/02/2020 12:00:00 a. m."</f>
        <v>12/02/2020 12:00:00 a. m.</v>
      </c>
      <c r="AT1033" t="str">
        <f>"2"</f>
        <v>2</v>
      </c>
      <c r="AU1033" t="str">
        <f>"8/08/2020 12:00:00 a. m."</f>
        <v>8/08/2020 12:00:00 a. m.</v>
      </c>
      <c r="AV1033" t="str">
        <f>"3"</f>
        <v>3</v>
      </c>
      <c r="AW1033" t="str">
        <f>"9/05/2005 12:00:00 a. m."</f>
        <v>9/05/2005 12:00:00 a. m.</v>
      </c>
      <c r="AX1033" t="str">
        <f>"I28X"</f>
        <v>I28X</v>
      </c>
      <c r="AY1033" t="str">
        <f t="shared" si="1253"/>
        <v>30/04/2021 12:00:00 a. m.</v>
      </c>
      <c r="AZ1033" t="str">
        <f>"12/06/2020 12:00:00 a. m."</f>
        <v>12/06/2020 12:00:00 a. m.</v>
      </c>
      <c r="BA1033" t="str">
        <f>"3"</f>
        <v>3</v>
      </c>
      <c r="BB1033" t="str">
        <f>"8001306320"</f>
        <v>8001306320</v>
      </c>
      <c r="BC1033" t="str">
        <f>"0"</f>
        <v>0</v>
      </c>
      <c r="BD1033" t="str">
        <f t="shared" si="1245"/>
        <v>1</v>
      </c>
      <c r="BE1033" t="str">
        <f t="shared" si="1245"/>
        <v>1</v>
      </c>
      <c r="BF1033" t="str">
        <f t="shared" si="1254"/>
        <v xml:space="preserve">3         </v>
      </c>
      <c r="BG1033" t="str">
        <f t="shared" si="1255"/>
        <v>Confirmado por laboratorio</v>
      </c>
      <c r="BH1033" t="str">
        <f>"HOSPITAL MILITAR CENTRAL CHAPINERO"</f>
        <v>HOSPITAL MILITAR CENTRAL CHAPINERO</v>
      </c>
      <c r="BI1033" t="str">
        <f t="shared" si="1240"/>
        <v>COLOMBIA</v>
      </c>
      <c r="BJ1033" t="str">
        <f t="shared" si="1256"/>
        <v>CANCER INFANTIL</v>
      </c>
      <c r="BK1033" t="str">
        <f>"CUNDINAMARCA"</f>
        <v>CUNDINAMARCA</v>
      </c>
      <c r="BL1033" t="str">
        <f>"FACATATIVA"</f>
        <v>FACATATIVA</v>
      </c>
      <c r="BM1033" t="str">
        <f t="shared" ref="BM1033:BM1046" si="1259">"COLOMBIA"</f>
        <v>COLOMBIA</v>
      </c>
      <c r="BN1033" t="str">
        <f>"CUNDINAMARCA"</f>
        <v>CUNDINAMARCA</v>
      </c>
      <c r="BO1033" t="str">
        <f>"FACATATIVA"</f>
        <v>FACATATIVA</v>
      </c>
      <c r="BP1033" t="str">
        <f t="shared" ref="BP1033:BQ1036" si="1260">"BOGOTA"</f>
        <v>BOGOTA</v>
      </c>
      <c r="BQ1033" t="str">
        <f t="shared" si="1260"/>
        <v>BOGOTA</v>
      </c>
    </row>
    <row r="1034" spans="1:69" x14ac:dyDescent="0.25">
      <c r="A1034" t="str">
        <f>"7291461"</f>
        <v>7291461</v>
      </c>
      <c r="B1034" t="str">
        <f t="shared" si="1250"/>
        <v>459</v>
      </c>
      <c r="C1034" t="str">
        <f>"8/11/2020 12:00:00 a. m."</f>
        <v>8/11/2020 12:00:00 a. m.</v>
      </c>
      <c r="D1034" t="str">
        <f>"19"</f>
        <v>19</v>
      </c>
      <c r="E1034" t="str">
        <f t="shared" si="1251"/>
        <v>2020</v>
      </c>
      <c r="F1034" t="str">
        <f>"1100105681"</f>
        <v>1100105681</v>
      </c>
      <c r="G1034" t="str">
        <f>"01"</f>
        <v>01</v>
      </c>
      <c r="H1034" t="str">
        <f>"14"</f>
        <v>14</v>
      </c>
      <c r="I1034" t="str">
        <f t="shared" si="1241"/>
        <v>1</v>
      </c>
      <c r="J1034" t="str">
        <f>"F"</f>
        <v>F</v>
      </c>
      <c r="K1034" t="str">
        <f t="shared" si="1238"/>
        <v>170</v>
      </c>
      <c r="L1034" t="str">
        <f>"15"</f>
        <v>15</v>
      </c>
      <c r="M1034" t="str">
        <f>"759"</f>
        <v>759</v>
      </c>
      <c r="N1034" t="str">
        <f t="shared" si="1246"/>
        <v>1</v>
      </c>
      <c r="O1034" t="str">
        <f>"9997"</f>
        <v>9997</v>
      </c>
      <c r="P1034" t="str">
        <f>"C"</f>
        <v>C</v>
      </c>
      <c r="Q1034" t="str">
        <f>"EPS037"</f>
        <v>EPS037</v>
      </c>
      <c r="R1034" t="str">
        <f t="shared" si="1248"/>
        <v>6</v>
      </c>
      <c r="S1034" t="str">
        <f>""</f>
        <v/>
      </c>
      <c r="T1034" t="str">
        <f t="shared" si="1249"/>
        <v xml:space="preserve">                                                                                                    </v>
      </c>
      <c r="U1034" t="str">
        <f>"2         "</f>
        <v xml:space="preserve">2         </v>
      </c>
      <c r="V1034" t="str">
        <f t="shared" si="1232"/>
        <v>2</v>
      </c>
      <c r="W1034" t="str">
        <f t="shared" si="1228"/>
        <v>2</v>
      </c>
      <c r="X1034" t="str">
        <f t="shared" si="1212"/>
        <v>2</v>
      </c>
      <c r="Y1034" t="str">
        <f t="shared" si="1239"/>
        <v>2</v>
      </c>
      <c r="Z1034" t="str">
        <f t="shared" si="1239"/>
        <v>2</v>
      </c>
      <c r="AA1034" t="str">
        <f t="shared" si="1252"/>
        <v xml:space="preserve">          </v>
      </c>
      <c r="AB1034" t="str">
        <f t="shared" si="1242"/>
        <v>2</v>
      </c>
      <c r="AC1034" t="str">
        <f t="shared" si="1234"/>
        <v>2</v>
      </c>
      <c r="AD1034" t="str">
        <f t="shared" si="1243"/>
        <v>2</v>
      </c>
      <c r="AE1034" t="str">
        <f t="shared" si="1243"/>
        <v>2</v>
      </c>
      <c r="AF1034" t="str">
        <f t="shared" si="1243"/>
        <v>2</v>
      </c>
      <c r="AG1034" t="str">
        <f t="shared" si="1243"/>
        <v>2</v>
      </c>
      <c r="AH1034" t="str">
        <f t="shared" si="1235"/>
        <v>1</v>
      </c>
      <c r="AI1034" t="str">
        <f>"2         "</f>
        <v xml:space="preserve">2         </v>
      </c>
      <c r="AJ1034" t="str">
        <f t="shared" si="1258"/>
        <v>170</v>
      </c>
      <c r="AK1034" t="str">
        <f>"15"</f>
        <v>15</v>
      </c>
      <c r="AL1034" t="str">
        <f>"759"</f>
        <v>759</v>
      </c>
      <c r="AM1034" t="str">
        <f>"11"</f>
        <v>11</v>
      </c>
      <c r="AN1034" t="str">
        <f>"11001"</f>
        <v>11001</v>
      </c>
      <c r="AO1034" t="str">
        <f>"9/05/2020 12:00:00 a. m."</f>
        <v>9/05/2020 12:00:00 a. m.</v>
      </c>
      <c r="AP1034" t="str">
        <f>"25/04/2020 12:00:00 a. m."</f>
        <v>25/04/2020 12:00:00 a. m.</v>
      </c>
      <c r="AQ1034" t="str">
        <f>"3"</f>
        <v>3</v>
      </c>
      <c r="AR1034" t="str">
        <f t="shared" si="1244"/>
        <v>1</v>
      </c>
      <c r="AS1034" t="str">
        <f>"9/05/2020 12:00:00 a. m."</f>
        <v>9/05/2020 12:00:00 a. m.</v>
      </c>
      <c r="AT1034" t="str">
        <f t="shared" ref="AT1034:AT1046" si="1261">"1"</f>
        <v>1</v>
      </c>
      <c r="AU1034" t="str">
        <f>""</f>
        <v/>
      </c>
      <c r="AV1034" t="str">
        <f>"0"</f>
        <v>0</v>
      </c>
      <c r="AW1034" t="str">
        <f>"18/05/2006 12:00:00 a. m."</f>
        <v>18/05/2006 12:00:00 a. m.</v>
      </c>
      <c r="AX1034" t="str">
        <f>""</f>
        <v/>
      </c>
      <c r="AY1034" t="str">
        <f t="shared" si="1253"/>
        <v>30/04/2021 12:00:00 a. m.</v>
      </c>
      <c r="AZ1034" t="str">
        <f>"8/11/2020 12:00:00 a. m."</f>
        <v>8/11/2020 12:00:00 a. m.</v>
      </c>
      <c r="BA1034" t="str">
        <f>""</f>
        <v/>
      </c>
      <c r="BB1034" t="str">
        <f>""</f>
        <v/>
      </c>
      <c r="BC1034" t="str">
        <f>""</f>
        <v/>
      </c>
      <c r="BD1034" t="str">
        <f t="shared" si="1245"/>
        <v>1</v>
      </c>
      <c r="BE1034" t="str">
        <f t="shared" si="1245"/>
        <v>1</v>
      </c>
      <c r="BF1034" t="str">
        <f t="shared" si="1254"/>
        <v xml:space="preserve">3         </v>
      </c>
      <c r="BG1034" t="str">
        <f t="shared" si="1255"/>
        <v>Confirmado por laboratorio</v>
      </c>
      <c r="BH1034" t="str">
        <f>"FUNDACION HOSPITAL DE LA MISERICORDIA"</f>
        <v>FUNDACION HOSPITAL DE LA MISERICORDIA</v>
      </c>
      <c r="BI1034" t="str">
        <f t="shared" si="1240"/>
        <v>COLOMBIA</v>
      </c>
      <c r="BJ1034" t="str">
        <f t="shared" si="1256"/>
        <v>CANCER INFANTIL</v>
      </c>
      <c r="BK1034" t="str">
        <f>"BOYACA"</f>
        <v>BOYACA</v>
      </c>
      <c r="BL1034" t="str">
        <f>"SOGAMOSO"</f>
        <v>SOGAMOSO</v>
      </c>
      <c r="BM1034" t="str">
        <f t="shared" si="1259"/>
        <v>COLOMBIA</v>
      </c>
      <c r="BN1034" t="str">
        <f>"BOYACA"</f>
        <v>BOYACA</v>
      </c>
      <c r="BO1034" t="str">
        <f>"SOGAMOSO"</f>
        <v>SOGAMOSO</v>
      </c>
      <c r="BP1034" t="str">
        <f t="shared" si="1260"/>
        <v>BOGOTA</v>
      </c>
      <c r="BQ1034" t="str">
        <f t="shared" si="1260"/>
        <v>BOGOTA</v>
      </c>
    </row>
    <row r="1035" spans="1:69" x14ac:dyDescent="0.25">
      <c r="A1035" t="str">
        <f>"7278965"</f>
        <v>7278965</v>
      </c>
      <c r="B1035" t="str">
        <f t="shared" si="1250"/>
        <v>459</v>
      </c>
      <c r="C1035" t="str">
        <f>"11/10/2020 12:00:00 a. m."</f>
        <v>11/10/2020 12:00:00 a. m.</v>
      </c>
      <c r="D1035" t="str">
        <f>"39"</f>
        <v>39</v>
      </c>
      <c r="E1035" t="str">
        <f t="shared" si="1251"/>
        <v>2020</v>
      </c>
      <c r="F1035" t="str">
        <f>"1100105681"</f>
        <v>1100105681</v>
      </c>
      <c r="G1035" t="str">
        <f>"01"</f>
        <v>01</v>
      </c>
      <c r="H1035" t="str">
        <f>"6"</f>
        <v>6</v>
      </c>
      <c r="I1035" t="str">
        <f>"2"</f>
        <v>2</v>
      </c>
      <c r="J1035" t="str">
        <f>"F"</f>
        <v>F</v>
      </c>
      <c r="K1035" t="str">
        <f t="shared" si="1238"/>
        <v>170</v>
      </c>
      <c r="L1035" t="str">
        <f>"25"</f>
        <v>25</v>
      </c>
      <c r="M1035" t="str">
        <f>"899"</f>
        <v>899</v>
      </c>
      <c r="N1035" t="str">
        <f t="shared" si="1246"/>
        <v>1</v>
      </c>
      <c r="O1035" t="str">
        <f>"9999"</f>
        <v>9999</v>
      </c>
      <c r="P1035" t="str">
        <f>"C"</f>
        <v>C</v>
      </c>
      <c r="Q1035" t="str">
        <f>"EPS005"</f>
        <v>EPS005</v>
      </c>
      <c r="R1035" t="str">
        <f t="shared" si="1248"/>
        <v>6</v>
      </c>
      <c r="S1035" t="str">
        <f>""</f>
        <v/>
      </c>
      <c r="T1035" t="str">
        <f t="shared" si="1249"/>
        <v xml:space="preserve">                                                                                                    </v>
      </c>
      <c r="U1035" t="str">
        <f>"2         "</f>
        <v xml:space="preserve">2         </v>
      </c>
      <c r="V1035" t="str">
        <f t="shared" si="1232"/>
        <v>2</v>
      </c>
      <c r="W1035" t="str">
        <f t="shared" si="1228"/>
        <v>2</v>
      </c>
      <c r="X1035" t="str">
        <f t="shared" si="1212"/>
        <v>2</v>
      </c>
      <c r="Y1035" t="str">
        <f t="shared" si="1239"/>
        <v>2</v>
      </c>
      <c r="Z1035" t="str">
        <f t="shared" si="1239"/>
        <v>2</v>
      </c>
      <c r="AA1035" t="str">
        <f t="shared" si="1252"/>
        <v xml:space="preserve">          </v>
      </c>
      <c r="AB1035" t="str">
        <f t="shared" si="1242"/>
        <v>2</v>
      </c>
      <c r="AC1035" t="str">
        <f t="shared" si="1234"/>
        <v>2</v>
      </c>
      <c r="AD1035" t="str">
        <f t="shared" si="1243"/>
        <v>2</v>
      </c>
      <c r="AE1035" t="str">
        <f t="shared" si="1243"/>
        <v>2</v>
      </c>
      <c r="AF1035" t="str">
        <f t="shared" si="1243"/>
        <v>2</v>
      </c>
      <c r="AG1035" t="str">
        <f t="shared" si="1243"/>
        <v>2</v>
      </c>
      <c r="AH1035" t="str">
        <f t="shared" si="1235"/>
        <v>1</v>
      </c>
      <c r="AI1035" t="str">
        <f>"1         "</f>
        <v xml:space="preserve">1         </v>
      </c>
      <c r="AJ1035" t="str">
        <f t="shared" si="1258"/>
        <v>170</v>
      </c>
      <c r="AK1035" t="str">
        <f>"25"</f>
        <v>25</v>
      </c>
      <c r="AL1035" t="str">
        <f>"899"</f>
        <v>899</v>
      </c>
      <c r="AM1035" t="str">
        <f>"11"</f>
        <v>11</v>
      </c>
      <c r="AN1035" t="str">
        <f>"11001"</f>
        <v>11001</v>
      </c>
      <c r="AO1035" t="str">
        <f>"26/09/2020 12:00:00 a. m."</f>
        <v>26/09/2020 12:00:00 a. m.</v>
      </c>
      <c r="AP1035" t="str">
        <f>"26/09/2020 12:00:00 a. m."</f>
        <v>26/09/2020 12:00:00 a. m.</v>
      </c>
      <c r="AQ1035" t="str">
        <f>"3"</f>
        <v>3</v>
      </c>
      <c r="AR1035" t="str">
        <f t="shared" si="1244"/>
        <v>1</v>
      </c>
      <c r="AS1035" t="str">
        <f>"26/09/2020 12:00:00 a. m."</f>
        <v>26/09/2020 12:00:00 a. m.</v>
      </c>
      <c r="AT1035" t="str">
        <f t="shared" si="1261"/>
        <v>1</v>
      </c>
      <c r="AU1035" t="str">
        <f>""</f>
        <v/>
      </c>
      <c r="AV1035" t="str">
        <f>"0"</f>
        <v>0</v>
      </c>
      <c r="AW1035" t="str">
        <f>"24/05/2020 12:00:00 a. m."</f>
        <v>24/05/2020 12:00:00 a. m.</v>
      </c>
      <c r="AX1035" t="str">
        <f>""</f>
        <v/>
      </c>
      <c r="AY1035" t="str">
        <f t="shared" si="1253"/>
        <v>30/04/2021 12:00:00 a. m.</v>
      </c>
      <c r="AZ1035" t="str">
        <f>"27/11/2020 12:00:00 a. m."</f>
        <v>27/11/2020 12:00:00 a. m.</v>
      </c>
      <c r="BA1035" t="str">
        <f>""</f>
        <v/>
      </c>
      <c r="BB1035" t="str">
        <f>""</f>
        <v/>
      </c>
      <c r="BC1035" t="str">
        <f>""</f>
        <v/>
      </c>
      <c r="BD1035" t="str">
        <f t="shared" si="1245"/>
        <v>1</v>
      </c>
      <c r="BE1035" t="str">
        <f t="shared" si="1245"/>
        <v>1</v>
      </c>
      <c r="BF1035" t="str">
        <f t="shared" si="1254"/>
        <v xml:space="preserve">3         </v>
      </c>
      <c r="BG1035" t="str">
        <f t="shared" si="1255"/>
        <v>Confirmado por laboratorio</v>
      </c>
      <c r="BH1035" t="str">
        <f>"FUNDACION HOSPITAL DE LA MISERICORDIA"</f>
        <v>FUNDACION HOSPITAL DE LA MISERICORDIA</v>
      </c>
      <c r="BI1035" t="str">
        <f t="shared" si="1240"/>
        <v>COLOMBIA</v>
      </c>
      <c r="BJ1035" t="str">
        <f t="shared" si="1256"/>
        <v>CANCER INFANTIL</v>
      </c>
      <c r="BK1035" t="str">
        <f>"CUNDINAMARCA"</f>
        <v>CUNDINAMARCA</v>
      </c>
      <c r="BL1035" t="str">
        <f>"ZIPAQUIRA"</f>
        <v>ZIPAQUIRA</v>
      </c>
      <c r="BM1035" t="str">
        <f t="shared" si="1259"/>
        <v>COLOMBIA</v>
      </c>
      <c r="BN1035" t="str">
        <f>"CUNDINAMARCA"</f>
        <v>CUNDINAMARCA</v>
      </c>
      <c r="BO1035" t="str">
        <f>"ZIPAQUIRA"</f>
        <v>ZIPAQUIRA</v>
      </c>
      <c r="BP1035" t="str">
        <f t="shared" si="1260"/>
        <v>BOGOTA</v>
      </c>
      <c r="BQ1035" t="str">
        <f t="shared" si="1260"/>
        <v>BOGOTA</v>
      </c>
    </row>
    <row r="1036" spans="1:69" x14ac:dyDescent="0.25">
      <c r="A1036" t="str">
        <f>"7279289"</f>
        <v>7279289</v>
      </c>
      <c r="B1036" t="str">
        <f t="shared" si="1250"/>
        <v>459</v>
      </c>
      <c r="C1036" t="str">
        <f>"20/11/2020 12:00:00 a. m."</f>
        <v>20/11/2020 12:00:00 a. m.</v>
      </c>
      <c r="D1036" t="str">
        <f>"43"</f>
        <v>43</v>
      </c>
      <c r="E1036" t="str">
        <f t="shared" si="1251"/>
        <v>2020</v>
      </c>
      <c r="F1036" t="str">
        <f>"1100105681"</f>
        <v>1100105681</v>
      </c>
      <c r="G1036" t="str">
        <f>"01"</f>
        <v>01</v>
      </c>
      <c r="H1036" t="str">
        <f>"17"</f>
        <v>17</v>
      </c>
      <c r="I1036" t="str">
        <f>"1"</f>
        <v>1</v>
      </c>
      <c r="J1036" t="str">
        <f>"F"</f>
        <v>F</v>
      </c>
      <c r="K1036" t="str">
        <f t="shared" si="1238"/>
        <v>170</v>
      </c>
      <c r="L1036" t="str">
        <f>"25"</f>
        <v>25</v>
      </c>
      <c r="M1036" t="str">
        <f>"126"</f>
        <v>126</v>
      </c>
      <c r="N1036" t="str">
        <f t="shared" si="1246"/>
        <v>1</v>
      </c>
      <c r="O1036" t="str">
        <f>"9997"</f>
        <v>9997</v>
      </c>
      <c r="P1036" t="str">
        <f>"C"</f>
        <v>C</v>
      </c>
      <c r="Q1036" t="str">
        <f>"EPS017"</f>
        <v>EPS017</v>
      </c>
      <c r="R1036" t="str">
        <f t="shared" si="1248"/>
        <v>6</v>
      </c>
      <c r="S1036" t="str">
        <f>""</f>
        <v/>
      </c>
      <c r="T1036" t="str">
        <f t="shared" si="1249"/>
        <v xml:space="preserve">                                                                                                    </v>
      </c>
      <c r="U1036" t="str">
        <f>"2         "</f>
        <v xml:space="preserve">2         </v>
      </c>
      <c r="V1036" t="str">
        <f t="shared" si="1232"/>
        <v>2</v>
      </c>
      <c r="W1036" t="str">
        <f t="shared" si="1228"/>
        <v>2</v>
      </c>
      <c r="X1036" t="str">
        <f t="shared" si="1212"/>
        <v>2</v>
      </c>
      <c r="Y1036" t="str">
        <f t="shared" si="1239"/>
        <v>2</v>
      </c>
      <c r="Z1036" t="str">
        <f t="shared" si="1239"/>
        <v>2</v>
      </c>
      <c r="AA1036" t="str">
        <f t="shared" si="1252"/>
        <v xml:space="preserve">          </v>
      </c>
      <c r="AB1036" t="str">
        <f t="shared" si="1242"/>
        <v>2</v>
      </c>
      <c r="AC1036" t="str">
        <f t="shared" si="1234"/>
        <v>2</v>
      </c>
      <c r="AD1036" t="str">
        <f t="shared" si="1243"/>
        <v>2</v>
      </c>
      <c r="AE1036" t="str">
        <f t="shared" si="1243"/>
        <v>2</v>
      </c>
      <c r="AF1036" t="str">
        <f t="shared" si="1243"/>
        <v>2</v>
      </c>
      <c r="AG1036" t="str">
        <f t="shared" si="1243"/>
        <v>2</v>
      </c>
      <c r="AH1036" t="str">
        <f t="shared" si="1235"/>
        <v>1</v>
      </c>
      <c r="AI1036" t="str">
        <f>"2         "</f>
        <v xml:space="preserve">2         </v>
      </c>
      <c r="AJ1036" t="str">
        <f t="shared" si="1258"/>
        <v>170</v>
      </c>
      <c r="AK1036" t="str">
        <f>"25"</f>
        <v>25</v>
      </c>
      <c r="AL1036" t="str">
        <f>"126"</f>
        <v>126</v>
      </c>
      <c r="AM1036" t="str">
        <f>"11"</f>
        <v>11</v>
      </c>
      <c r="AN1036" t="str">
        <f>"11001"</f>
        <v>11001</v>
      </c>
      <c r="AO1036" t="str">
        <f>"24/10/2020 12:00:00 a. m."</f>
        <v>24/10/2020 12:00:00 a. m.</v>
      </c>
      <c r="AP1036" t="str">
        <f>"1/04/2020 12:00:00 a. m."</f>
        <v>1/04/2020 12:00:00 a. m.</v>
      </c>
      <c r="AQ1036" t="str">
        <f>"3"</f>
        <v>3</v>
      </c>
      <c r="AR1036" t="str">
        <f t="shared" si="1244"/>
        <v>1</v>
      </c>
      <c r="AS1036" t="str">
        <f>"24/10/2020 12:00:00 a. m."</f>
        <v>24/10/2020 12:00:00 a. m.</v>
      </c>
      <c r="AT1036" t="str">
        <f t="shared" si="1261"/>
        <v>1</v>
      </c>
      <c r="AU1036" t="str">
        <f>""</f>
        <v/>
      </c>
      <c r="AV1036" t="str">
        <f>"0"</f>
        <v>0</v>
      </c>
      <c r="AW1036" t="str">
        <f>"26/07/2003 12:00:00 a. m."</f>
        <v>26/07/2003 12:00:00 a. m.</v>
      </c>
      <c r="AX1036" t="str">
        <f>""</f>
        <v/>
      </c>
      <c r="AY1036" t="str">
        <f t="shared" si="1253"/>
        <v>30/04/2021 12:00:00 a. m.</v>
      </c>
      <c r="AZ1036" t="str">
        <f>"15/12/2020 12:00:00 a. m."</f>
        <v>15/12/2020 12:00:00 a. m.</v>
      </c>
      <c r="BA1036" t="str">
        <f>""</f>
        <v/>
      </c>
      <c r="BB1036" t="str">
        <f>""</f>
        <v/>
      </c>
      <c r="BC1036" t="str">
        <f>""</f>
        <v/>
      </c>
      <c r="BD1036" t="str">
        <f t="shared" si="1245"/>
        <v>1</v>
      </c>
      <c r="BE1036" t="str">
        <f t="shared" si="1245"/>
        <v>1</v>
      </c>
      <c r="BF1036" t="str">
        <f t="shared" si="1254"/>
        <v xml:space="preserve">3         </v>
      </c>
      <c r="BG1036" t="str">
        <f t="shared" si="1255"/>
        <v>Confirmado por laboratorio</v>
      </c>
      <c r="BH1036" t="str">
        <f>"FUNDACION HOSPITAL DE LA MISERICORDIA"</f>
        <v>FUNDACION HOSPITAL DE LA MISERICORDIA</v>
      </c>
      <c r="BI1036" t="str">
        <f t="shared" si="1240"/>
        <v>COLOMBIA</v>
      </c>
      <c r="BJ1036" t="str">
        <f t="shared" si="1256"/>
        <v>CANCER INFANTIL</v>
      </c>
      <c r="BK1036" t="str">
        <f>"CUNDINAMARCA"</f>
        <v>CUNDINAMARCA</v>
      </c>
      <c r="BL1036" t="str">
        <f>"CAJICA"</f>
        <v>CAJICA</v>
      </c>
      <c r="BM1036" t="str">
        <f t="shared" si="1259"/>
        <v>COLOMBIA</v>
      </c>
      <c r="BN1036" t="str">
        <f>"CUNDINAMARCA"</f>
        <v>CUNDINAMARCA</v>
      </c>
      <c r="BO1036" t="str">
        <f>"CAJICA"</f>
        <v>CAJICA</v>
      </c>
      <c r="BP1036" t="str">
        <f t="shared" si="1260"/>
        <v>BOGOTA</v>
      </c>
      <c r="BQ1036" t="str">
        <f t="shared" si="1260"/>
        <v>BOGOTA</v>
      </c>
    </row>
    <row r="1037" spans="1:69" x14ac:dyDescent="0.25">
      <c r="A1037" t="str">
        <f>"7279203"</f>
        <v>7279203</v>
      </c>
      <c r="B1037" t="str">
        <f t="shared" si="1250"/>
        <v>459</v>
      </c>
      <c r="C1037" t="str">
        <f>"28/05/2020 12:00:00 a. m."</f>
        <v>28/05/2020 12:00:00 a. m.</v>
      </c>
      <c r="D1037" t="str">
        <f>"21"</f>
        <v>21</v>
      </c>
      <c r="E1037" t="str">
        <f t="shared" si="1251"/>
        <v>2020</v>
      </c>
      <c r="F1037" t="str">
        <f>"6600101587"</f>
        <v>6600101587</v>
      </c>
      <c r="G1037" t="str">
        <f>"02"</f>
        <v>02</v>
      </c>
      <c r="H1037" t="str">
        <f>"1"</f>
        <v>1</v>
      </c>
      <c r="I1037" t="str">
        <f>"1"</f>
        <v>1</v>
      </c>
      <c r="J1037" t="str">
        <f>"M"</f>
        <v>M</v>
      </c>
      <c r="K1037" t="str">
        <f t="shared" si="1238"/>
        <v>170</v>
      </c>
      <c r="L1037" t="str">
        <f>"66"</f>
        <v>66</v>
      </c>
      <c r="M1037" t="str">
        <f>"001"</f>
        <v>001</v>
      </c>
      <c r="N1037" t="str">
        <f>"2"</f>
        <v>2</v>
      </c>
      <c r="O1037" t="str">
        <f>"9999"</f>
        <v>9999</v>
      </c>
      <c r="P1037" t="str">
        <f>"C"</f>
        <v>C</v>
      </c>
      <c r="Q1037" t="str">
        <f>"EPS037"</f>
        <v>EPS037</v>
      </c>
      <c r="R1037" t="str">
        <f t="shared" si="1248"/>
        <v>6</v>
      </c>
      <c r="S1037" t="str">
        <f>""</f>
        <v/>
      </c>
      <c r="T1037" t="str">
        <f t="shared" si="1249"/>
        <v xml:space="preserve">                                                                                                    </v>
      </c>
      <c r="U1037" t="str">
        <f>"2         "</f>
        <v xml:space="preserve">2         </v>
      </c>
      <c r="V1037" t="str">
        <f t="shared" si="1232"/>
        <v>2</v>
      </c>
      <c r="W1037" t="str">
        <f t="shared" si="1228"/>
        <v>2</v>
      </c>
      <c r="X1037" t="str">
        <f t="shared" si="1212"/>
        <v>2</v>
      </c>
      <c r="Y1037" t="str">
        <f t="shared" si="1239"/>
        <v>2</v>
      </c>
      <c r="Z1037" t="str">
        <f t="shared" si="1239"/>
        <v>2</v>
      </c>
      <c r="AA1037" t="str">
        <f t="shared" si="1252"/>
        <v xml:space="preserve">          </v>
      </c>
      <c r="AB1037" t="str">
        <f t="shared" si="1242"/>
        <v>2</v>
      </c>
      <c r="AC1037" t="str">
        <f t="shared" si="1234"/>
        <v>2</v>
      </c>
      <c r="AD1037" t="str">
        <f t="shared" si="1243"/>
        <v>2</v>
      </c>
      <c r="AE1037" t="str">
        <f t="shared" si="1243"/>
        <v>2</v>
      </c>
      <c r="AF1037" t="str">
        <f t="shared" si="1243"/>
        <v>2</v>
      </c>
      <c r="AG1037" t="str">
        <f t="shared" si="1243"/>
        <v>2</v>
      </c>
      <c r="AH1037" t="str">
        <f t="shared" si="1235"/>
        <v>1</v>
      </c>
      <c r="AI1037" t="str">
        <f t="shared" ref="AI1037:AI1042" si="1262">"1         "</f>
        <v xml:space="preserve">1         </v>
      </c>
      <c r="AJ1037" t="str">
        <f t="shared" si="1258"/>
        <v>170</v>
      </c>
      <c r="AK1037" t="str">
        <f>"66"</f>
        <v>66</v>
      </c>
      <c r="AL1037" t="str">
        <f>"001"</f>
        <v>001</v>
      </c>
      <c r="AM1037" t="str">
        <f>"66"</f>
        <v>66</v>
      </c>
      <c r="AN1037" t="str">
        <f>"66001"</f>
        <v>66001</v>
      </c>
      <c r="AO1037" t="str">
        <f>"22/05/2020 12:00:00 a. m."</f>
        <v>22/05/2020 12:00:00 a. m.</v>
      </c>
      <c r="AP1037" t="str">
        <f>"22/05/2020 12:00:00 a. m."</f>
        <v>22/05/2020 12:00:00 a. m.</v>
      </c>
      <c r="AQ1037" t="str">
        <f>"2"</f>
        <v>2</v>
      </c>
      <c r="AR1037" t="str">
        <f t="shared" si="1244"/>
        <v>1</v>
      </c>
      <c r="AS1037" t="str">
        <f>"22/05/2020 12:00:00 a. m."</f>
        <v>22/05/2020 12:00:00 a. m.</v>
      </c>
      <c r="AT1037" t="str">
        <f t="shared" si="1261"/>
        <v>1</v>
      </c>
      <c r="AU1037" t="str">
        <f>""</f>
        <v/>
      </c>
      <c r="AV1037" t="str">
        <f>"3"</f>
        <v>3</v>
      </c>
      <c r="AW1037" t="str">
        <f>"4/05/2019 12:00:00 a. m."</f>
        <v>4/05/2019 12:00:00 a. m.</v>
      </c>
      <c r="AX1037" t="str">
        <f>""</f>
        <v/>
      </c>
      <c r="AY1037" t="str">
        <f t="shared" si="1253"/>
        <v>30/04/2021 12:00:00 a. m.</v>
      </c>
      <c r="AZ1037" t="str">
        <f>"30/06/2020 12:00:00 a. m."</f>
        <v>30/06/2020 12:00:00 a. m.</v>
      </c>
      <c r="BA1037" t="str">
        <f>""</f>
        <v/>
      </c>
      <c r="BB1037" t="str">
        <f>""</f>
        <v/>
      </c>
      <c r="BC1037" t="str">
        <f>""</f>
        <v/>
      </c>
      <c r="BD1037" t="str">
        <f t="shared" si="1245"/>
        <v>1</v>
      </c>
      <c r="BE1037" t="str">
        <f t="shared" si="1245"/>
        <v>1</v>
      </c>
      <c r="BF1037" t="str">
        <f t="shared" si="1254"/>
        <v xml:space="preserve">3         </v>
      </c>
      <c r="BG1037" t="str">
        <f t="shared" si="1255"/>
        <v>Confirmado por laboratorio</v>
      </c>
      <c r="BH1037" t="str">
        <f>"SOCIEDAD COMERCIALIZADORA DE INSUMOS Y SERVICIOS M"</f>
        <v>SOCIEDAD COMERCIALIZADORA DE INSUMOS Y SERVICIOS M</v>
      </c>
      <c r="BI1037" t="str">
        <f t="shared" si="1240"/>
        <v>COLOMBIA</v>
      </c>
      <c r="BJ1037" t="str">
        <f t="shared" si="1256"/>
        <v>CANCER INFANTIL</v>
      </c>
      <c r="BK1037" t="str">
        <f>"RISARALDA"</f>
        <v>RISARALDA</v>
      </c>
      <c r="BL1037" t="str">
        <f>"PEREIRA"</f>
        <v>PEREIRA</v>
      </c>
      <c r="BM1037" t="str">
        <f t="shared" si="1259"/>
        <v>COLOMBIA</v>
      </c>
      <c r="BN1037" t="str">
        <f>"RISARALDA"</f>
        <v>RISARALDA</v>
      </c>
      <c r="BO1037" t="str">
        <f>"PEREIRA"</f>
        <v>PEREIRA</v>
      </c>
      <c r="BP1037" t="str">
        <f>"RISARALDA"</f>
        <v>RISARALDA</v>
      </c>
      <c r="BQ1037" t="str">
        <f>"PEREIRA"</f>
        <v>PEREIRA</v>
      </c>
    </row>
    <row r="1038" spans="1:69" x14ac:dyDescent="0.25">
      <c r="A1038" t="str">
        <f>"7291377"</f>
        <v>7291377</v>
      </c>
      <c r="B1038" t="str">
        <f t="shared" si="1250"/>
        <v>459</v>
      </c>
      <c r="C1038" t="str">
        <f>"20/01/2020 12:00:00 a. m."</f>
        <v>20/01/2020 12:00:00 a. m.</v>
      </c>
      <c r="D1038" t="str">
        <f>"03"</f>
        <v>03</v>
      </c>
      <c r="E1038" t="str">
        <f t="shared" si="1251"/>
        <v>2020</v>
      </c>
      <c r="F1038" t="str">
        <f>"7600102541"</f>
        <v>7600102541</v>
      </c>
      <c r="G1038" t="str">
        <f t="shared" ref="G1038:G1046" si="1263">"01"</f>
        <v>01</v>
      </c>
      <c r="H1038" t="str">
        <f>"4"</f>
        <v>4</v>
      </c>
      <c r="I1038" t="str">
        <f>"2"</f>
        <v>2</v>
      </c>
      <c r="J1038" t="str">
        <f>"F"</f>
        <v>F</v>
      </c>
      <c r="K1038" t="str">
        <f t="shared" si="1238"/>
        <v>170</v>
      </c>
      <c r="L1038" t="str">
        <f>"76"</f>
        <v>76</v>
      </c>
      <c r="M1038" t="str">
        <f>"233"</f>
        <v>233</v>
      </c>
      <c r="N1038" t="str">
        <f>"1"</f>
        <v>1</v>
      </c>
      <c r="O1038" t="str">
        <f>"9999"</f>
        <v>9999</v>
      </c>
      <c r="P1038" t="str">
        <f>"S"</f>
        <v>S</v>
      </c>
      <c r="Q1038" t="str">
        <f>"ESS024"</f>
        <v>ESS024</v>
      </c>
      <c r="R1038" t="str">
        <f t="shared" si="1248"/>
        <v>6</v>
      </c>
      <c r="S1038" t="str">
        <f>""</f>
        <v/>
      </c>
      <c r="T1038" t="str">
        <f t="shared" si="1249"/>
        <v xml:space="preserve">                                                                                                    </v>
      </c>
      <c r="U1038" t="str">
        <f>"1         "</f>
        <v xml:space="preserve">1         </v>
      </c>
      <c r="V1038" t="str">
        <f t="shared" si="1232"/>
        <v>2</v>
      </c>
      <c r="W1038" t="str">
        <f t="shared" si="1228"/>
        <v>2</v>
      </c>
      <c r="X1038" t="str">
        <f t="shared" si="1212"/>
        <v>2</v>
      </c>
      <c r="Y1038" t="str">
        <f t="shared" si="1239"/>
        <v>2</v>
      </c>
      <c r="Z1038" t="str">
        <f t="shared" si="1239"/>
        <v>2</v>
      </c>
      <c r="AA1038" t="str">
        <f t="shared" si="1252"/>
        <v xml:space="preserve">          </v>
      </c>
      <c r="AB1038" t="str">
        <f t="shared" si="1242"/>
        <v>2</v>
      </c>
      <c r="AC1038" t="str">
        <f t="shared" si="1234"/>
        <v>2</v>
      </c>
      <c r="AD1038" t="str">
        <f t="shared" si="1243"/>
        <v>2</v>
      </c>
      <c r="AE1038" t="str">
        <f t="shared" si="1243"/>
        <v>2</v>
      </c>
      <c r="AF1038" t="str">
        <f t="shared" si="1243"/>
        <v>2</v>
      </c>
      <c r="AG1038" t="str">
        <f t="shared" si="1243"/>
        <v>2</v>
      </c>
      <c r="AH1038" t="str">
        <f t="shared" si="1235"/>
        <v>1</v>
      </c>
      <c r="AI1038" t="str">
        <f t="shared" si="1262"/>
        <v xml:space="preserve">1         </v>
      </c>
      <c r="AJ1038" t="str">
        <f t="shared" si="1258"/>
        <v>170</v>
      </c>
      <c r="AK1038" t="str">
        <f>"76"</f>
        <v>76</v>
      </c>
      <c r="AL1038" t="str">
        <f>"233"</f>
        <v>233</v>
      </c>
      <c r="AM1038" t="str">
        <f>"76"</f>
        <v>76</v>
      </c>
      <c r="AN1038" t="str">
        <f>"76001"</f>
        <v>76001</v>
      </c>
      <c r="AO1038" t="str">
        <f>"17/01/2020 12:00:00 a. m."</f>
        <v>17/01/2020 12:00:00 a. m.</v>
      </c>
      <c r="AP1038" t="str">
        <f>"10/01/2020 12:00:00 a. m."</f>
        <v>10/01/2020 12:00:00 a. m.</v>
      </c>
      <c r="AQ1038" t="str">
        <f>"2"</f>
        <v>2</v>
      </c>
      <c r="AR1038" t="str">
        <f t="shared" si="1244"/>
        <v>1</v>
      </c>
      <c r="AS1038" t="str">
        <f>"17/01/2020 12:00:00 a. m."</f>
        <v>17/01/2020 12:00:00 a. m.</v>
      </c>
      <c r="AT1038" t="str">
        <f t="shared" si="1261"/>
        <v>1</v>
      </c>
      <c r="AU1038" t="str">
        <f>""</f>
        <v/>
      </c>
      <c r="AV1038" t="str">
        <f>"3"</f>
        <v>3</v>
      </c>
      <c r="AW1038" t="str">
        <f>"24/08/2019 12:00:00 a. m."</f>
        <v>24/08/2019 12:00:00 a. m.</v>
      </c>
      <c r="AX1038" t="str">
        <f>""</f>
        <v/>
      </c>
      <c r="AY1038" t="str">
        <f t="shared" si="1253"/>
        <v>30/04/2021 12:00:00 a. m.</v>
      </c>
      <c r="AZ1038" t="str">
        <f>"7/02/2020 12:00:00 a. m."</f>
        <v>7/02/2020 12:00:00 a. m.</v>
      </c>
      <c r="BA1038" t="str">
        <f>""</f>
        <v/>
      </c>
      <c r="BB1038" t="str">
        <f>""</f>
        <v/>
      </c>
      <c r="BC1038" t="str">
        <f>""</f>
        <v/>
      </c>
      <c r="BD1038" t="str">
        <f t="shared" si="1245"/>
        <v>1</v>
      </c>
      <c r="BE1038" t="str">
        <f t="shared" si="1245"/>
        <v>1</v>
      </c>
      <c r="BF1038" t="str">
        <f t="shared" si="1254"/>
        <v xml:space="preserve">3         </v>
      </c>
      <c r="BG1038" t="str">
        <f t="shared" si="1255"/>
        <v>Confirmado por laboratorio</v>
      </c>
      <c r="BH1038" t="str">
        <f>"FUNDACION CLINICA INFANTIL CLUB NOEL"</f>
        <v>FUNDACION CLINICA INFANTIL CLUB NOEL</v>
      </c>
      <c r="BI1038" t="str">
        <f t="shared" si="1240"/>
        <v>COLOMBIA</v>
      </c>
      <c r="BJ1038" t="str">
        <f t="shared" si="1256"/>
        <v>CANCER INFANTIL</v>
      </c>
      <c r="BK1038" t="str">
        <f>"VALLE"</f>
        <v>VALLE</v>
      </c>
      <c r="BL1038" t="str">
        <f>"DAGUA"</f>
        <v>DAGUA</v>
      </c>
      <c r="BM1038" t="str">
        <f t="shared" si="1259"/>
        <v>COLOMBIA</v>
      </c>
      <c r="BN1038" t="str">
        <f>"VALLE"</f>
        <v>VALLE</v>
      </c>
      <c r="BO1038" t="str">
        <f>"DAGUA"</f>
        <v>DAGUA</v>
      </c>
      <c r="BP1038" t="str">
        <f>"VALLE"</f>
        <v>VALLE</v>
      </c>
      <c r="BQ1038" t="str">
        <f>"CALI"</f>
        <v>CALI</v>
      </c>
    </row>
    <row r="1039" spans="1:69" x14ac:dyDescent="0.25">
      <c r="A1039" t="str">
        <f>"7291403"</f>
        <v>7291403</v>
      </c>
      <c r="B1039" t="str">
        <f t="shared" si="1250"/>
        <v>459</v>
      </c>
      <c r="C1039" t="str">
        <f>"18/05/2020 12:00:00 a. m."</f>
        <v>18/05/2020 12:00:00 a. m.</v>
      </c>
      <c r="D1039" t="str">
        <f>"20"</f>
        <v>20</v>
      </c>
      <c r="E1039" t="str">
        <f t="shared" si="1251"/>
        <v>2020</v>
      </c>
      <c r="F1039" t="str">
        <f>"7600109043"</f>
        <v>7600109043</v>
      </c>
      <c r="G1039" t="str">
        <f t="shared" si="1263"/>
        <v>01</v>
      </c>
      <c r="H1039" t="str">
        <f>"10"</f>
        <v>10</v>
      </c>
      <c r="I1039" t="str">
        <f t="shared" ref="I1039:I1046" si="1264">"1"</f>
        <v>1</v>
      </c>
      <c r="J1039" t="str">
        <f>"F"</f>
        <v>F</v>
      </c>
      <c r="K1039" t="str">
        <f t="shared" si="1238"/>
        <v>170</v>
      </c>
      <c r="L1039" t="str">
        <f>"76"</f>
        <v>76</v>
      </c>
      <c r="M1039" t="str">
        <f>"001"</f>
        <v>001</v>
      </c>
      <c r="N1039" t="str">
        <f>"1"</f>
        <v>1</v>
      </c>
      <c r="O1039" t="str">
        <f>"9997"</f>
        <v>9997</v>
      </c>
      <c r="P1039" t="str">
        <f>"C"</f>
        <v>C</v>
      </c>
      <c r="Q1039" t="str">
        <f>"EPS005"</f>
        <v>EPS005</v>
      </c>
      <c r="R1039" t="str">
        <f t="shared" si="1248"/>
        <v>6</v>
      </c>
      <c r="S1039" t="str">
        <f>""</f>
        <v/>
      </c>
      <c r="T1039" t="str">
        <f t="shared" si="1249"/>
        <v xml:space="preserve">                                                                                                    </v>
      </c>
      <c r="U1039" t="str">
        <f>"2         "</f>
        <v xml:space="preserve">2         </v>
      </c>
      <c r="V1039" t="str">
        <f t="shared" si="1232"/>
        <v>2</v>
      </c>
      <c r="W1039" t="str">
        <f t="shared" si="1228"/>
        <v>2</v>
      </c>
      <c r="X1039" t="str">
        <f t="shared" si="1212"/>
        <v>2</v>
      </c>
      <c r="Y1039" t="str">
        <f t="shared" ref="Y1039:Z1046" si="1265">"2"</f>
        <v>2</v>
      </c>
      <c r="Z1039" t="str">
        <f t="shared" si="1265"/>
        <v>2</v>
      </c>
      <c r="AA1039" t="str">
        <f t="shared" si="1252"/>
        <v xml:space="preserve">          </v>
      </c>
      <c r="AB1039" t="str">
        <f t="shared" si="1242"/>
        <v>2</v>
      </c>
      <c r="AC1039" t="str">
        <f t="shared" si="1234"/>
        <v>2</v>
      </c>
      <c r="AD1039" t="str">
        <f t="shared" si="1243"/>
        <v>2</v>
      </c>
      <c r="AE1039" t="str">
        <f t="shared" si="1243"/>
        <v>2</v>
      </c>
      <c r="AF1039" t="str">
        <f t="shared" si="1243"/>
        <v>2</v>
      </c>
      <c r="AG1039" t="str">
        <f t="shared" si="1243"/>
        <v>2</v>
      </c>
      <c r="AH1039" t="str">
        <f t="shared" si="1235"/>
        <v>1</v>
      </c>
      <c r="AI1039" t="str">
        <f t="shared" si="1262"/>
        <v xml:space="preserve">1         </v>
      </c>
      <c r="AJ1039" t="str">
        <f t="shared" si="1258"/>
        <v>170</v>
      </c>
      <c r="AK1039" t="str">
        <f>"76"</f>
        <v>76</v>
      </c>
      <c r="AL1039" t="str">
        <f>"001"</f>
        <v>001</v>
      </c>
      <c r="AM1039" t="str">
        <f>"76"</f>
        <v>76</v>
      </c>
      <c r="AN1039" t="str">
        <f>"76001"</f>
        <v>76001</v>
      </c>
      <c r="AO1039" t="str">
        <f>"12/05/2020 12:00:00 a. m."</f>
        <v>12/05/2020 12:00:00 a. m.</v>
      </c>
      <c r="AP1039" t="str">
        <f>"4/02/2020 12:00:00 a. m."</f>
        <v>4/02/2020 12:00:00 a. m.</v>
      </c>
      <c r="AQ1039" t="str">
        <f>"3"</f>
        <v>3</v>
      </c>
      <c r="AR1039" t="str">
        <f>"2"</f>
        <v>2</v>
      </c>
      <c r="AS1039" t="str">
        <f>""</f>
        <v/>
      </c>
      <c r="AT1039" t="str">
        <f t="shared" si="1261"/>
        <v>1</v>
      </c>
      <c r="AU1039" t="str">
        <f>""</f>
        <v/>
      </c>
      <c r="AV1039" t="str">
        <f>"3"</f>
        <v>3</v>
      </c>
      <c r="AW1039" t="str">
        <f>"4/07/2009 12:00:00 a. m."</f>
        <v>4/07/2009 12:00:00 a. m.</v>
      </c>
      <c r="AX1039" t="str">
        <f>""</f>
        <v/>
      </c>
      <c r="AY1039" t="str">
        <f t="shared" si="1253"/>
        <v>30/04/2021 12:00:00 a. m.</v>
      </c>
      <c r="AZ1039" t="str">
        <f>"20/11/2020 12:00:00 a. m."</f>
        <v>20/11/2020 12:00:00 a. m.</v>
      </c>
      <c r="BA1039" t="str">
        <f>""</f>
        <v/>
      </c>
      <c r="BB1039" t="str">
        <f>""</f>
        <v/>
      </c>
      <c r="BC1039" t="str">
        <f>""</f>
        <v/>
      </c>
      <c r="BD1039" t="str">
        <f t="shared" si="1245"/>
        <v>1</v>
      </c>
      <c r="BE1039" t="str">
        <f t="shared" si="1245"/>
        <v>1</v>
      </c>
      <c r="BF1039" t="str">
        <f t="shared" si="1254"/>
        <v xml:space="preserve">3         </v>
      </c>
      <c r="BG1039" t="str">
        <f t="shared" si="1255"/>
        <v>Confirmado por laboratorio</v>
      </c>
      <c r="BH1039" t="str">
        <f>"UNIDAD ATENCION PRIMARIA SANITAS TEQUENDAMA"</f>
        <v>UNIDAD ATENCION PRIMARIA SANITAS TEQUENDAMA</v>
      </c>
      <c r="BI1039" t="str">
        <f t="shared" si="1240"/>
        <v>COLOMBIA</v>
      </c>
      <c r="BJ1039" t="str">
        <f t="shared" si="1256"/>
        <v>CANCER INFANTIL</v>
      </c>
      <c r="BK1039" t="str">
        <f>"VALLE"</f>
        <v>VALLE</v>
      </c>
      <c r="BL1039" t="str">
        <f>"CALI"</f>
        <v>CALI</v>
      </c>
      <c r="BM1039" t="str">
        <f t="shared" si="1259"/>
        <v>COLOMBIA</v>
      </c>
      <c r="BN1039" t="str">
        <f>"VALLE"</f>
        <v>VALLE</v>
      </c>
      <c r="BO1039" t="str">
        <f>"CALI"</f>
        <v>CALI</v>
      </c>
      <c r="BP1039" t="str">
        <f>"VALLE"</f>
        <v>VALLE</v>
      </c>
      <c r="BQ1039" t="str">
        <f>"CALI"</f>
        <v>CALI</v>
      </c>
    </row>
    <row r="1040" spans="1:69" x14ac:dyDescent="0.25">
      <c r="A1040" t="str">
        <f>"7279201"</f>
        <v>7279201</v>
      </c>
      <c r="B1040" t="str">
        <f t="shared" si="1250"/>
        <v>459</v>
      </c>
      <c r="C1040" t="str">
        <f>"6/05/2020 12:00:00 a. m."</f>
        <v>6/05/2020 12:00:00 a. m.</v>
      </c>
      <c r="D1040" t="str">
        <f>"18"</f>
        <v>18</v>
      </c>
      <c r="E1040" t="str">
        <f t="shared" si="1251"/>
        <v>2020</v>
      </c>
      <c r="F1040" t="str">
        <f>"1700101920"</f>
        <v>1700101920</v>
      </c>
      <c r="G1040" t="str">
        <f t="shared" si="1263"/>
        <v>01</v>
      </c>
      <c r="H1040" t="str">
        <f>"2"</f>
        <v>2</v>
      </c>
      <c r="I1040" t="str">
        <f t="shared" si="1264"/>
        <v>1</v>
      </c>
      <c r="J1040" t="str">
        <f>"F"</f>
        <v>F</v>
      </c>
      <c r="K1040" t="str">
        <f t="shared" si="1238"/>
        <v>170</v>
      </c>
      <c r="L1040" t="str">
        <f>"17"</f>
        <v>17</v>
      </c>
      <c r="M1040" t="str">
        <f>"013"</f>
        <v>013</v>
      </c>
      <c r="N1040" t="str">
        <f>"3"</f>
        <v>3</v>
      </c>
      <c r="O1040" t="str">
        <f>"9999"</f>
        <v>9999</v>
      </c>
      <c r="P1040" t="str">
        <f>"S"</f>
        <v>S</v>
      </c>
      <c r="Q1040" t="str">
        <f>"ESS062"</f>
        <v>ESS062</v>
      </c>
      <c r="R1040" t="str">
        <f t="shared" si="1248"/>
        <v>6</v>
      </c>
      <c r="S1040" t="str">
        <f>""</f>
        <v/>
      </c>
      <c r="T1040" t="str">
        <f t="shared" si="1249"/>
        <v xml:space="preserve">                                                                                                    </v>
      </c>
      <c r="U1040" t="str">
        <f>"1         "</f>
        <v xml:space="preserve">1         </v>
      </c>
      <c r="V1040" t="str">
        <f t="shared" si="1232"/>
        <v>2</v>
      </c>
      <c r="W1040" t="str">
        <f t="shared" si="1228"/>
        <v>2</v>
      </c>
      <c r="X1040" t="str">
        <f t="shared" si="1212"/>
        <v>2</v>
      </c>
      <c r="Y1040" t="str">
        <f t="shared" si="1265"/>
        <v>2</v>
      </c>
      <c r="Z1040" t="str">
        <f t="shared" si="1265"/>
        <v>2</v>
      </c>
      <c r="AA1040" t="str">
        <f t="shared" si="1252"/>
        <v xml:space="preserve">          </v>
      </c>
      <c r="AB1040" t="str">
        <f t="shared" si="1242"/>
        <v>2</v>
      </c>
      <c r="AC1040" t="str">
        <f t="shared" si="1234"/>
        <v>2</v>
      </c>
      <c r="AD1040" t="str">
        <f t="shared" ref="AD1040:AG1046" si="1266">"2"</f>
        <v>2</v>
      </c>
      <c r="AE1040" t="str">
        <f t="shared" si="1266"/>
        <v>2</v>
      </c>
      <c r="AF1040" t="str">
        <f t="shared" si="1266"/>
        <v>2</v>
      </c>
      <c r="AG1040" t="str">
        <f t="shared" si="1266"/>
        <v>2</v>
      </c>
      <c r="AH1040" t="str">
        <f t="shared" si="1235"/>
        <v>1</v>
      </c>
      <c r="AI1040" t="str">
        <f t="shared" si="1262"/>
        <v xml:space="preserve">1         </v>
      </c>
      <c r="AJ1040" t="str">
        <f t="shared" si="1258"/>
        <v>170</v>
      </c>
      <c r="AK1040" t="str">
        <f>"17"</f>
        <v>17</v>
      </c>
      <c r="AL1040" t="str">
        <f>"013"</f>
        <v>013</v>
      </c>
      <c r="AM1040" t="str">
        <f>"17"</f>
        <v>17</v>
      </c>
      <c r="AN1040" t="str">
        <f>"17001"</f>
        <v>17001</v>
      </c>
      <c r="AO1040" t="str">
        <f>"1/05/2020 12:00:00 a. m."</f>
        <v>1/05/2020 12:00:00 a. m.</v>
      </c>
      <c r="AP1040" t="str">
        <f>"1/04/2020 12:00:00 a. m."</f>
        <v>1/04/2020 12:00:00 a. m.</v>
      </c>
      <c r="AQ1040" t="str">
        <f>"2"</f>
        <v>2</v>
      </c>
      <c r="AR1040" t="str">
        <f t="shared" ref="AR1040:AR1045" si="1267">"1"</f>
        <v>1</v>
      </c>
      <c r="AS1040" t="str">
        <f>"2/05/2020 12:00:00 a. m."</f>
        <v>2/05/2020 12:00:00 a. m.</v>
      </c>
      <c r="AT1040" t="str">
        <f t="shared" si="1261"/>
        <v>1</v>
      </c>
      <c r="AU1040" t="str">
        <f>""</f>
        <v/>
      </c>
      <c r="AV1040" t="str">
        <f>"3"</f>
        <v>3</v>
      </c>
      <c r="AW1040" t="str">
        <f>"2/03/2018 12:00:00 a. m."</f>
        <v>2/03/2018 12:00:00 a. m.</v>
      </c>
      <c r="AX1040" t="str">
        <f>""</f>
        <v/>
      </c>
      <c r="AY1040" t="str">
        <f t="shared" si="1253"/>
        <v>30/04/2021 12:00:00 a. m.</v>
      </c>
      <c r="AZ1040" t="str">
        <f>"16/07/2020 12:00:00 a. m."</f>
        <v>16/07/2020 12:00:00 a. m.</v>
      </c>
      <c r="BA1040" t="str">
        <f>""</f>
        <v/>
      </c>
      <c r="BB1040" t="str">
        <f>""</f>
        <v/>
      </c>
      <c r="BC1040" t="str">
        <f>""</f>
        <v/>
      </c>
      <c r="BD1040" t="str">
        <f t="shared" si="1245"/>
        <v>1</v>
      </c>
      <c r="BE1040" t="str">
        <f t="shared" si="1245"/>
        <v>1</v>
      </c>
      <c r="BF1040" t="str">
        <f t="shared" si="1254"/>
        <v xml:space="preserve">3         </v>
      </c>
      <c r="BG1040" t="str">
        <f t="shared" si="1255"/>
        <v>Confirmado por laboratorio</v>
      </c>
      <c r="BH1040" t="str">
        <f>"MEINTEGRAL SAS"</f>
        <v>MEINTEGRAL SAS</v>
      </c>
      <c r="BI1040" t="str">
        <f t="shared" si="1240"/>
        <v>COLOMBIA</v>
      </c>
      <c r="BJ1040" t="str">
        <f t="shared" si="1256"/>
        <v>CANCER INFANTIL</v>
      </c>
      <c r="BK1040" t="str">
        <f>"CALDAS"</f>
        <v>CALDAS</v>
      </c>
      <c r="BL1040" t="str">
        <f>"AGUADAS"</f>
        <v>AGUADAS</v>
      </c>
      <c r="BM1040" t="str">
        <f t="shared" si="1259"/>
        <v>COLOMBIA</v>
      </c>
      <c r="BN1040" t="str">
        <f>"CALDAS"</f>
        <v>CALDAS</v>
      </c>
      <c r="BO1040" t="str">
        <f>"AGUADAS"</f>
        <v>AGUADAS</v>
      </c>
      <c r="BP1040" t="str">
        <f>"CALDAS"</f>
        <v>CALDAS</v>
      </c>
      <c r="BQ1040" t="str">
        <f>"MANIZALES"</f>
        <v>MANIZALES</v>
      </c>
    </row>
    <row r="1041" spans="1:69" x14ac:dyDescent="0.25">
      <c r="A1041" t="str">
        <f>"7279113"</f>
        <v>7279113</v>
      </c>
      <c r="B1041" t="str">
        <f t="shared" si="1250"/>
        <v>459</v>
      </c>
      <c r="C1041" t="str">
        <f>"15/01/2021 12:00:00 a. m."</f>
        <v>15/01/2021 12:00:00 a. m.</v>
      </c>
      <c r="D1041" t="str">
        <f>"50"</f>
        <v>50</v>
      </c>
      <c r="E1041" t="str">
        <f t="shared" si="1251"/>
        <v>2020</v>
      </c>
      <c r="F1041" t="str">
        <f>"1300101187"</f>
        <v>1300101187</v>
      </c>
      <c r="G1041" t="str">
        <f t="shared" si="1263"/>
        <v>01</v>
      </c>
      <c r="H1041" t="str">
        <f>"8"</f>
        <v>8</v>
      </c>
      <c r="I1041" t="str">
        <f t="shared" si="1264"/>
        <v>1</v>
      </c>
      <c r="J1041" t="str">
        <f>"F"</f>
        <v>F</v>
      </c>
      <c r="K1041" t="str">
        <f t="shared" si="1238"/>
        <v>170</v>
      </c>
      <c r="L1041" t="str">
        <f>"13"</f>
        <v>13</v>
      </c>
      <c r="M1041" t="str">
        <f>"001"</f>
        <v>001</v>
      </c>
      <c r="N1041" t="str">
        <f>"1"</f>
        <v>1</v>
      </c>
      <c r="O1041" t="str">
        <f>"9997"</f>
        <v>9997</v>
      </c>
      <c r="P1041" t="str">
        <f>"S"</f>
        <v>S</v>
      </c>
      <c r="Q1041" t="str">
        <f>"ESS024"</f>
        <v>ESS024</v>
      </c>
      <c r="R1041" t="str">
        <f t="shared" si="1248"/>
        <v>6</v>
      </c>
      <c r="S1041" t="str">
        <f>""</f>
        <v/>
      </c>
      <c r="T1041" t="str">
        <f t="shared" si="1249"/>
        <v xml:space="preserve">                                                                                                    </v>
      </c>
      <c r="U1041" t="str">
        <f>"1         "</f>
        <v xml:space="preserve">1         </v>
      </c>
      <c r="V1041" t="str">
        <f t="shared" si="1232"/>
        <v>2</v>
      </c>
      <c r="W1041" t="str">
        <f t="shared" ref="W1041:W1046" si="1268">"2"</f>
        <v>2</v>
      </c>
      <c r="X1041" t="str">
        <f t="shared" si="1212"/>
        <v>2</v>
      </c>
      <c r="Y1041" t="str">
        <f t="shared" si="1265"/>
        <v>2</v>
      </c>
      <c r="Z1041" t="str">
        <f t="shared" si="1265"/>
        <v>2</v>
      </c>
      <c r="AA1041" t="str">
        <f t="shared" si="1252"/>
        <v xml:space="preserve">          </v>
      </c>
      <c r="AB1041" t="str">
        <f t="shared" si="1242"/>
        <v>2</v>
      </c>
      <c r="AC1041" t="str">
        <f t="shared" si="1234"/>
        <v>2</v>
      </c>
      <c r="AD1041" t="str">
        <f t="shared" si="1266"/>
        <v>2</v>
      </c>
      <c r="AE1041" t="str">
        <f t="shared" si="1266"/>
        <v>2</v>
      </c>
      <c r="AF1041" t="str">
        <f t="shared" si="1266"/>
        <v>2</v>
      </c>
      <c r="AG1041" t="str">
        <f t="shared" si="1266"/>
        <v>2</v>
      </c>
      <c r="AH1041" t="str">
        <f t="shared" si="1235"/>
        <v>1</v>
      </c>
      <c r="AI1041" t="str">
        <f t="shared" si="1262"/>
        <v xml:space="preserve">1         </v>
      </c>
      <c r="AJ1041" t="str">
        <f t="shared" si="1258"/>
        <v>170</v>
      </c>
      <c r="AK1041" t="str">
        <f>"13"</f>
        <v>13</v>
      </c>
      <c r="AL1041" t="str">
        <f>"001"</f>
        <v>001</v>
      </c>
      <c r="AM1041" t="str">
        <f>"13"</f>
        <v>13</v>
      </c>
      <c r="AN1041" t="str">
        <f>"13001"</f>
        <v>13001</v>
      </c>
      <c r="AO1041" t="str">
        <f>"9/12/2020 12:00:00 a. m."</f>
        <v>9/12/2020 12:00:00 a. m.</v>
      </c>
      <c r="AP1041" t="str">
        <f>"4/12/2020 12:00:00 a. m."</f>
        <v>4/12/2020 12:00:00 a. m.</v>
      </c>
      <c r="AQ1041" t="str">
        <f t="shared" ref="AQ1041:AQ1046" si="1269">"3"</f>
        <v>3</v>
      </c>
      <c r="AR1041" t="str">
        <f t="shared" si="1267"/>
        <v>1</v>
      </c>
      <c r="AS1041" t="str">
        <f>"9/12/2020 12:00:00 a. m."</f>
        <v>9/12/2020 12:00:00 a. m.</v>
      </c>
      <c r="AT1041" t="str">
        <f t="shared" si="1261"/>
        <v>1</v>
      </c>
      <c r="AU1041" t="str">
        <f>""</f>
        <v/>
      </c>
      <c r="AV1041" t="str">
        <f>"0"</f>
        <v>0</v>
      </c>
      <c r="AW1041" t="str">
        <f>"24/10/2012 12:00:00 a. m."</f>
        <v>24/10/2012 12:00:00 a. m.</v>
      </c>
      <c r="AX1041" t="str">
        <f>""</f>
        <v/>
      </c>
      <c r="AY1041" t="str">
        <f t="shared" si="1253"/>
        <v>30/04/2021 12:00:00 a. m.</v>
      </c>
      <c r="AZ1041" t="str">
        <f>"15/01/2021 12:00:00 a. m."</f>
        <v>15/01/2021 12:00:00 a. m.</v>
      </c>
      <c r="BA1041" t="str">
        <f>""</f>
        <v/>
      </c>
      <c r="BB1041" t="str">
        <f>""</f>
        <v/>
      </c>
      <c r="BC1041" t="str">
        <f>""</f>
        <v/>
      </c>
      <c r="BD1041" t="str">
        <f t="shared" si="1245"/>
        <v>1</v>
      </c>
      <c r="BE1041" t="str">
        <f t="shared" si="1245"/>
        <v>1</v>
      </c>
      <c r="BF1041" t="str">
        <f t="shared" si="1254"/>
        <v xml:space="preserve">3         </v>
      </c>
      <c r="BG1041" t="str">
        <f t="shared" si="1255"/>
        <v>Confirmado por laboratorio</v>
      </c>
      <c r="BH1041" t="str">
        <f>"HOSPITAL INFANTIL NAPOLEON FRANCO PAREJA"</f>
        <v>HOSPITAL INFANTIL NAPOLEON FRANCO PAREJA</v>
      </c>
      <c r="BI1041" t="str">
        <f t="shared" si="1240"/>
        <v>COLOMBIA</v>
      </c>
      <c r="BJ1041" t="str">
        <f t="shared" si="1256"/>
        <v>CANCER INFANTIL</v>
      </c>
      <c r="BK1041" t="str">
        <f>"BOLIVAR"</f>
        <v>BOLIVAR</v>
      </c>
      <c r="BL1041" t="str">
        <f>"CARTAGENA"</f>
        <v>CARTAGENA</v>
      </c>
      <c r="BM1041" t="str">
        <f t="shared" si="1259"/>
        <v>COLOMBIA</v>
      </c>
      <c r="BN1041" t="str">
        <f>"BOLIVAR"</f>
        <v>BOLIVAR</v>
      </c>
      <c r="BO1041" t="str">
        <f>"CARTAGENA"</f>
        <v>CARTAGENA</v>
      </c>
      <c r="BP1041" t="str">
        <f>"BOLIVAR"</f>
        <v>BOLIVAR</v>
      </c>
      <c r="BQ1041" t="str">
        <f>"CARTAGENA"</f>
        <v>CARTAGENA</v>
      </c>
    </row>
    <row r="1042" spans="1:69" x14ac:dyDescent="0.25">
      <c r="A1042" t="str">
        <f>"7279186"</f>
        <v>7279186</v>
      </c>
      <c r="B1042" t="str">
        <f t="shared" si="1250"/>
        <v>459</v>
      </c>
      <c r="C1042" t="str">
        <f>"1/03/2021 12:00:00 a. m."</f>
        <v>1/03/2021 12:00:00 a. m.</v>
      </c>
      <c r="D1042" t="str">
        <f>"49"</f>
        <v>49</v>
      </c>
      <c r="E1042" t="str">
        <f t="shared" si="1251"/>
        <v>2020</v>
      </c>
      <c r="F1042" t="str">
        <f>"7600101111"</f>
        <v>7600101111</v>
      </c>
      <c r="G1042" t="str">
        <f t="shared" si="1263"/>
        <v>01</v>
      </c>
      <c r="H1042" t="str">
        <f>"12"</f>
        <v>12</v>
      </c>
      <c r="I1042" t="str">
        <f t="shared" si="1264"/>
        <v>1</v>
      </c>
      <c r="J1042" t="str">
        <f>"F"</f>
        <v>F</v>
      </c>
      <c r="K1042" t="str">
        <f t="shared" si="1238"/>
        <v>170</v>
      </c>
      <c r="L1042" t="str">
        <f>"19"</f>
        <v>19</v>
      </c>
      <c r="M1042" t="str">
        <f>"698"</f>
        <v>698</v>
      </c>
      <c r="N1042" t="str">
        <f>"2"</f>
        <v>2</v>
      </c>
      <c r="O1042" t="str">
        <f>"9999"</f>
        <v>9999</v>
      </c>
      <c r="P1042" t="str">
        <f>"S"</f>
        <v>S</v>
      </c>
      <c r="Q1042" t="str">
        <f>"EPSI03"</f>
        <v>EPSI03</v>
      </c>
      <c r="R1042" t="str">
        <f t="shared" si="1248"/>
        <v>6</v>
      </c>
      <c r="S1042" t="str">
        <f>""</f>
        <v/>
      </c>
      <c r="T1042" t="str">
        <f t="shared" si="1249"/>
        <v xml:space="preserve">                                                                                                    </v>
      </c>
      <c r="U1042" t="str">
        <f>"          "</f>
        <v xml:space="preserve">          </v>
      </c>
      <c r="V1042" t="str">
        <f t="shared" si="1232"/>
        <v>2</v>
      </c>
      <c r="W1042" t="str">
        <f t="shared" si="1268"/>
        <v>2</v>
      </c>
      <c r="X1042" t="str">
        <f t="shared" si="1212"/>
        <v>2</v>
      </c>
      <c r="Y1042" t="str">
        <f t="shared" si="1265"/>
        <v>2</v>
      </c>
      <c r="Z1042" t="str">
        <f t="shared" si="1265"/>
        <v>2</v>
      </c>
      <c r="AA1042" t="str">
        <f t="shared" si="1252"/>
        <v xml:space="preserve">          </v>
      </c>
      <c r="AB1042" t="str">
        <f t="shared" si="1242"/>
        <v>2</v>
      </c>
      <c r="AC1042" t="str">
        <f t="shared" si="1234"/>
        <v>2</v>
      </c>
      <c r="AD1042" t="str">
        <f t="shared" si="1266"/>
        <v>2</v>
      </c>
      <c r="AE1042" t="str">
        <f t="shared" si="1266"/>
        <v>2</v>
      </c>
      <c r="AF1042" t="str">
        <f t="shared" si="1266"/>
        <v>2</v>
      </c>
      <c r="AG1042" t="str">
        <f t="shared" si="1266"/>
        <v>2</v>
      </c>
      <c r="AH1042" t="str">
        <f t="shared" si="1235"/>
        <v>1</v>
      </c>
      <c r="AI1042" t="str">
        <f t="shared" si="1262"/>
        <v xml:space="preserve">1         </v>
      </c>
      <c r="AJ1042" t="str">
        <f t="shared" si="1258"/>
        <v>170</v>
      </c>
      <c r="AK1042" t="str">
        <f>"19"</f>
        <v>19</v>
      </c>
      <c r="AL1042" t="str">
        <f>"698"</f>
        <v>698</v>
      </c>
      <c r="AM1042" t="str">
        <f>"76"</f>
        <v>76</v>
      </c>
      <c r="AN1042" t="str">
        <f>"76001"</f>
        <v>76001</v>
      </c>
      <c r="AO1042" t="str">
        <f>"1/12/2020 12:00:00 a. m."</f>
        <v>1/12/2020 12:00:00 a. m.</v>
      </c>
      <c r="AP1042" t="str">
        <f>"11/11/2020 12:00:00 a. m."</f>
        <v>11/11/2020 12:00:00 a. m.</v>
      </c>
      <c r="AQ1042" t="str">
        <f t="shared" si="1269"/>
        <v>3</v>
      </c>
      <c r="AR1042" t="str">
        <f t="shared" si="1267"/>
        <v>1</v>
      </c>
      <c r="AS1042" t="str">
        <f>"2/12/2020 12:00:00 a. m."</f>
        <v>2/12/2020 12:00:00 a. m.</v>
      </c>
      <c r="AT1042" t="str">
        <f t="shared" si="1261"/>
        <v>1</v>
      </c>
      <c r="AU1042" t="str">
        <f>""</f>
        <v/>
      </c>
      <c r="AV1042" t="str">
        <f>"0"</f>
        <v>0</v>
      </c>
      <c r="AW1042" t="str">
        <f>"5/03/2008 12:00:00 a. m."</f>
        <v>5/03/2008 12:00:00 a. m.</v>
      </c>
      <c r="AX1042" t="str">
        <f>""</f>
        <v/>
      </c>
      <c r="AY1042" t="str">
        <f t="shared" si="1253"/>
        <v>30/04/2021 12:00:00 a. m.</v>
      </c>
      <c r="AZ1042" t="str">
        <f>"1/03/2021 12:00:00 a. m."</f>
        <v>1/03/2021 12:00:00 a. m.</v>
      </c>
      <c r="BA1042" t="str">
        <f>""</f>
        <v/>
      </c>
      <c r="BB1042" t="str">
        <f>""</f>
        <v/>
      </c>
      <c r="BC1042" t="str">
        <f>""</f>
        <v/>
      </c>
      <c r="BD1042" t="str">
        <f t="shared" si="1245"/>
        <v>1</v>
      </c>
      <c r="BE1042" t="str">
        <f t="shared" si="1245"/>
        <v>1</v>
      </c>
      <c r="BF1042" t="str">
        <f t="shared" si="1254"/>
        <v xml:space="preserve">3         </v>
      </c>
      <c r="BG1042" t="str">
        <f t="shared" si="1255"/>
        <v>Confirmado por laboratorio</v>
      </c>
      <c r="BH1042" t="str">
        <f>"CENTRO MEDICO IMBANACO CMI"</f>
        <v>CENTRO MEDICO IMBANACO CMI</v>
      </c>
      <c r="BI1042" t="str">
        <f t="shared" si="1240"/>
        <v>COLOMBIA</v>
      </c>
      <c r="BJ1042" t="str">
        <f t="shared" si="1256"/>
        <v>CANCER INFANTIL</v>
      </c>
      <c r="BK1042" t="str">
        <f>"CAUCA"</f>
        <v>CAUCA</v>
      </c>
      <c r="BL1042" t="str">
        <f>"SANTANDER DE QUILICHAO"</f>
        <v>SANTANDER DE QUILICHAO</v>
      </c>
      <c r="BM1042" t="str">
        <f t="shared" si="1259"/>
        <v>COLOMBIA</v>
      </c>
      <c r="BN1042" t="str">
        <f>"CAUCA"</f>
        <v>CAUCA</v>
      </c>
      <c r="BO1042" t="str">
        <f>"SANTANDER DE QUILICHAO"</f>
        <v>SANTANDER DE QUILICHAO</v>
      </c>
      <c r="BP1042" t="str">
        <f>"VALLE"</f>
        <v>VALLE</v>
      </c>
      <c r="BQ1042" t="str">
        <f>"CALI"</f>
        <v>CALI</v>
      </c>
    </row>
    <row r="1043" spans="1:69" x14ac:dyDescent="0.25">
      <c r="A1043" t="str">
        <f>"7279208"</f>
        <v>7279208</v>
      </c>
      <c r="B1043" t="str">
        <f t="shared" si="1250"/>
        <v>459</v>
      </c>
      <c r="C1043" t="str">
        <f>"21/04/2020 12:00:00 a. m."</f>
        <v>21/04/2020 12:00:00 a. m.</v>
      </c>
      <c r="D1043" t="str">
        <f>"12"</f>
        <v>12</v>
      </c>
      <c r="E1043" t="str">
        <f t="shared" si="1251"/>
        <v>2020</v>
      </c>
      <c r="F1043" t="str">
        <f>"1100105681"</f>
        <v>1100105681</v>
      </c>
      <c r="G1043" t="str">
        <f t="shared" si="1263"/>
        <v>01</v>
      </c>
      <c r="H1043" t="str">
        <f>"5"</f>
        <v>5</v>
      </c>
      <c r="I1043" t="str">
        <f t="shared" si="1264"/>
        <v>1</v>
      </c>
      <c r="J1043" t="str">
        <f>"M"</f>
        <v>M</v>
      </c>
      <c r="K1043" t="str">
        <f t="shared" si="1238"/>
        <v>170</v>
      </c>
      <c r="L1043" t="str">
        <f>"50"</f>
        <v>50</v>
      </c>
      <c r="M1043" t="str">
        <f>"006"</f>
        <v>006</v>
      </c>
      <c r="N1043" t="str">
        <f>"3"</f>
        <v>3</v>
      </c>
      <c r="O1043" t="str">
        <f>"9999"</f>
        <v>9999</v>
      </c>
      <c r="P1043" t="str">
        <f>"S"</f>
        <v>S</v>
      </c>
      <c r="Q1043" t="str">
        <f>"EPS025"</f>
        <v>EPS025</v>
      </c>
      <c r="R1043" t="str">
        <f t="shared" si="1248"/>
        <v>6</v>
      </c>
      <c r="S1043" t="str">
        <f>""</f>
        <v/>
      </c>
      <c r="T1043" t="str">
        <f t="shared" si="1249"/>
        <v xml:space="preserve">                                                                                                    </v>
      </c>
      <c r="U1043" t="str">
        <f>"2         "</f>
        <v xml:space="preserve">2         </v>
      </c>
      <c r="V1043" t="str">
        <f t="shared" si="1232"/>
        <v>2</v>
      </c>
      <c r="W1043" t="str">
        <f t="shared" si="1268"/>
        <v>2</v>
      </c>
      <c r="X1043" t="str">
        <f t="shared" si="1212"/>
        <v>2</v>
      </c>
      <c r="Y1043" t="str">
        <f t="shared" si="1265"/>
        <v>2</v>
      </c>
      <c r="Z1043" t="str">
        <f t="shared" si="1265"/>
        <v>2</v>
      </c>
      <c r="AA1043" t="str">
        <f t="shared" si="1252"/>
        <v xml:space="preserve">          </v>
      </c>
      <c r="AB1043" t="str">
        <f t="shared" si="1242"/>
        <v>2</v>
      </c>
      <c r="AC1043" t="str">
        <f t="shared" si="1234"/>
        <v>2</v>
      </c>
      <c r="AD1043" t="str">
        <f t="shared" si="1266"/>
        <v>2</v>
      </c>
      <c r="AE1043" t="str">
        <f t="shared" si="1266"/>
        <v>2</v>
      </c>
      <c r="AF1043" t="str">
        <f t="shared" si="1266"/>
        <v>2</v>
      </c>
      <c r="AG1043" t="str">
        <f t="shared" si="1266"/>
        <v>2</v>
      </c>
      <c r="AH1043" t="str">
        <f t="shared" si="1235"/>
        <v>1</v>
      </c>
      <c r="AI1043" t="str">
        <f>"2         "</f>
        <v xml:space="preserve">2         </v>
      </c>
      <c r="AJ1043" t="str">
        <f t="shared" si="1258"/>
        <v>170</v>
      </c>
      <c r="AK1043" t="str">
        <f>"50"</f>
        <v>50</v>
      </c>
      <c r="AL1043" t="str">
        <f>"006"</f>
        <v>006</v>
      </c>
      <c r="AM1043" t="str">
        <f>"11"</f>
        <v>11</v>
      </c>
      <c r="AN1043" t="str">
        <f>"11001"</f>
        <v>11001</v>
      </c>
      <c r="AO1043" t="str">
        <f>"19/03/2020 12:00:00 a. m."</f>
        <v>19/03/2020 12:00:00 a. m.</v>
      </c>
      <c r="AP1043" t="str">
        <f>"1/03/2020 12:00:00 a. m."</f>
        <v>1/03/2020 12:00:00 a. m.</v>
      </c>
      <c r="AQ1043" t="str">
        <f t="shared" si="1269"/>
        <v>3</v>
      </c>
      <c r="AR1043" t="str">
        <f t="shared" si="1267"/>
        <v>1</v>
      </c>
      <c r="AS1043" t="str">
        <f>"19/03/2020 12:00:00 a. m."</f>
        <v>19/03/2020 12:00:00 a. m.</v>
      </c>
      <c r="AT1043" t="str">
        <f t="shared" si="1261"/>
        <v>1</v>
      </c>
      <c r="AU1043" t="str">
        <f>""</f>
        <v/>
      </c>
      <c r="AV1043" t="str">
        <f>"0"</f>
        <v>0</v>
      </c>
      <c r="AW1043" t="str">
        <f>"15/11/2014 12:00:00 a. m."</f>
        <v>15/11/2014 12:00:00 a. m.</v>
      </c>
      <c r="AX1043" t="str">
        <f>""</f>
        <v/>
      </c>
      <c r="AY1043" t="str">
        <f t="shared" si="1253"/>
        <v>30/04/2021 12:00:00 a. m.</v>
      </c>
      <c r="AZ1043" t="str">
        <f>"5/06/2020 12:00:00 a. m."</f>
        <v>5/06/2020 12:00:00 a. m.</v>
      </c>
      <c r="BA1043" t="str">
        <f>""</f>
        <v/>
      </c>
      <c r="BB1043" t="str">
        <f>""</f>
        <v/>
      </c>
      <c r="BC1043" t="str">
        <f>""</f>
        <v/>
      </c>
      <c r="BD1043" t="str">
        <f t="shared" si="1245"/>
        <v>1</v>
      </c>
      <c r="BE1043" t="str">
        <f t="shared" si="1245"/>
        <v>1</v>
      </c>
      <c r="BF1043" t="str">
        <f t="shared" si="1254"/>
        <v xml:space="preserve">3         </v>
      </c>
      <c r="BG1043" t="str">
        <f t="shared" si="1255"/>
        <v>Confirmado por laboratorio</v>
      </c>
      <c r="BH1043" t="str">
        <f>"FUNDACION HOSPITAL DE LA MISERICORDIA"</f>
        <v>FUNDACION HOSPITAL DE LA MISERICORDIA</v>
      </c>
      <c r="BI1043" t="str">
        <f t="shared" si="1240"/>
        <v>COLOMBIA</v>
      </c>
      <c r="BJ1043" t="str">
        <f t="shared" si="1256"/>
        <v>CANCER INFANTIL</v>
      </c>
      <c r="BK1043" t="str">
        <f>"META"</f>
        <v>META</v>
      </c>
      <c r="BL1043" t="str">
        <f>"ACACIAS"</f>
        <v>ACACIAS</v>
      </c>
      <c r="BM1043" t="str">
        <f t="shared" si="1259"/>
        <v>COLOMBIA</v>
      </c>
      <c r="BN1043" t="str">
        <f>"META"</f>
        <v>META</v>
      </c>
      <c r="BO1043" t="str">
        <f>"ACACIAS"</f>
        <v>ACACIAS</v>
      </c>
      <c r="BP1043" t="str">
        <f t="shared" ref="BP1043:BQ1045" si="1270">"BOGOTA"</f>
        <v>BOGOTA</v>
      </c>
      <c r="BQ1043" t="str">
        <f t="shared" si="1270"/>
        <v>BOGOTA</v>
      </c>
    </row>
    <row r="1044" spans="1:69" x14ac:dyDescent="0.25">
      <c r="A1044" t="str">
        <f>"7279274"</f>
        <v>7279274</v>
      </c>
      <c r="B1044" t="str">
        <f t="shared" si="1250"/>
        <v>459</v>
      </c>
      <c r="C1044" t="str">
        <f>"13/03/2020 12:00:00 a. m."</f>
        <v>13/03/2020 12:00:00 a. m.</v>
      </c>
      <c r="D1044" t="str">
        <f>"11"</f>
        <v>11</v>
      </c>
      <c r="E1044" t="str">
        <f t="shared" si="1251"/>
        <v>2020</v>
      </c>
      <c r="F1044" t="str">
        <f>"1100109456"</f>
        <v>1100109456</v>
      </c>
      <c r="G1044" t="str">
        <f t="shared" si="1263"/>
        <v>01</v>
      </c>
      <c r="H1044" t="str">
        <f>"17"</f>
        <v>17</v>
      </c>
      <c r="I1044" t="str">
        <f t="shared" si="1264"/>
        <v>1</v>
      </c>
      <c r="J1044" t="str">
        <f>"M"</f>
        <v>M</v>
      </c>
      <c r="K1044" t="str">
        <f t="shared" si="1238"/>
        <v>170</v>
      </c>
      <c r="L1044" t="str">
        <f>"25"</f>
        <v>25</v>
      </c>
      <c r="M1044" t="str">
        <f>"430"</f>
        <v>430</v>
      </c>
      <c r="N1044" t="str">
        <f>"1"</f>
        <v>1</v>
      </c>
      <c r="O1044" t="str">
        <f>"9997"</f>
        <v>9997</v>
      </c>
      <c r="P1044" t="str">
        <f>"C"</f>
        <v>C</v>
      </c>
      <c r="Q1044" t="str">
        <f>"EPS001"</f>
        <v>EPS001</v>
      </c>
      <c r="R1044" t="str">
        <f t="shared" si="1248"/>
        <v>6</v>
      </c>
      <c r="S1044" t="str">
        <f>""</f>
        <v/>
      </c>
      <c r="T1044" t="str">
        <f t="shared" si="1249"/>
        <v xml:space="preserve">                                                                                                    </v>
      </c>
      <c r="U1044" t="str">
        <f>"2         "</f>
        <v xml:space="preserve">2         </v>
      </c>
      <c r="V1044" t="str">
        <f t="shared" si="1232"/>
        <v>2</v>
      </c>
      <c r="W1044" t="str">
        <f t="shared" si="1268"/>
        <v>2</v>
      </c>
      <c r="X1044" t="str">
        <f t="shared" si="1212"/>
        <v>2</v>
      </c>
      <c r="Y1044" t="str">
        <f t="shared" si="1265"/>
        <v>2</v>
      </c>
      <c r="Z1044" t="str">
        <f t="shared" si="1265"/>
        <v>2</v>
      </c>
      <c r="AA1044" t="str">
        <f t="shared" si="1252"/>
        <v xml:space="preserve">          </v>
      </c>
      <c r="AB1044" t="str">
        <f t="shared" si="1242"/>
        <v>2</v>
      </c>
      <c r="AC1044" t="str">
        <f t="shared" si="1234"/>
        <v>2</v>
      </c>
      <c r="AD1044" t="str">
        <f t="shared" si="1266"/>
        <v>2</v>
      </c>
      <c r="AE1044" t="str">
        <f t="shared" si="1266"/>
        <v>2</v>
      </c>
      <c r="AF1044" t="str">
        <f t="shared" si="1266"/>
        <v>2</v>
      </c>
      <c r="AG1044" t="str">
        <f t="shared" si="1266"/>
        <v>2</v>
      </c>
      <c r="AH1044" t="str">
        <f t="shared" si="1235"/>
        <v>1</v>
      </c>
      <c r="AI1044" t="str">
        <f>"1         "</f>
        <v xml:space="preserve">1         </v>
      </c>
      <c r="AJ1044" t="str">
        <f t="shared" si="1258"/>
        <v>170</v>
      </c>
      <c r="AK1044" t="str">
        <f>"25"</f>
        <v>25</v>
      </c>
      <c r="AL1044" t="str">
        <f>"430"</f>
        <v>430</v>
      </c>
      <c r="AM1044" t="str">
        <f>"11"</f>
        <v>11</v>
      </c>
      <c r="AN1044" t="str">
        <f>"11001"</f>
        <v>11001</v>
      </c>
      <c r="AO1044" t="str">
        <f>"12/03/2020 12:00:00 a. m."</f>
        <v>12/03/2020 12:00:00 a. m.</v>
      </c>
      <c r="AP1044" t="str">
        <f>"1/07/2019 12:00:00 a. m."</f>
        <v>1/07/2019 12:00:00 a. m.</v>
      </c>
      <c r="AQ1044" t="str">
        <f t="shared" si="1269"/>
        <v>3</v>
      </c>
      <c r="AR1044" t="str">
        <f t="shared" si="1267"/>
        <v>1</v>
      </c>
      <c r="AS1044" t="str">
        <f>"12/03/2020 12:00:00 a. m."</f>
        <v>12/03/2020 12:00:00 a. m.</v>
      </c>
      <c r="AT1044" t="str">
        <f t="shared" si="1261"/>
        <v>1</v>
      </c>
      <c r="AU1044" t="str">
        <f>""</f>
        <v/>
      </c>
      <c r="AV1044" t="str">
        <f>"0"</f>
        <v>0</v>
      </c>
      <c r="AW1044" t="str">
        <f>"17/04/2002 12:00:00 a. m."</f>
        <v>17/04/2002 12:00:00 a. m.</v>
      </c>
      <c r="AX1044" t="str">
        <f>""</f>
        <v/>
      </c>
      <c r="AY1044" t="str">
        <f t="shared" si="1253"/>
        <v>30/04/2021 12:00:00 a. m.</v>
      </c>
      <c r="AZ1044" t="str">
        <f>"13/03/2020 12:00:00 a. m."</f>
        <v>13/03/2020 12:00:00 a. m.</v>
      </c>
      <c r="BA1044" t="str">
        <f>""</f>
        <v/>
      </c>
      <c r="BB1044" t="str">
        <f>""</f>
        <v/>
      </c>
      <c r="BC1044" t="str">
        <f>""</f>
        <v/>
      </c>
      <c r="BD1044" t="str">
        <f t="shared" si="1245"/>
        <v>1</v>
      </c>
      <c r="BE1044" t="str">
        <f t="shared" si="1245"/>
        <v>1</v>
      </c>
      <c r="BF1044" t="str">
        <f t="shared" si="1254"/>
        <v xml:space="preserve">3         </v>
      </c>
      <c r="BG1044" t="str">
        <f t="shared" si="1255"/>
        <v>Confirmado por laboratorio</v>
      </c>
      <c r="BH1044" t="str">
        <f>"HOSPITAL UNIVERSITARIO SAN IGNACIO"</f>
        <v>HOSPITAL UNIVERSITARIO SAN IGNACIO</v>
      </c>
      <c r="BI1044" t="str">
        <f t="shared" si="1240"/>
        <v>COLOMBIA</v>
      </c>
      <c r="BJ1044" t="str">
        <f t="shared" si="1256"/>
        <v>CANCER INFANTIL</v>
      </c>
      <c r="BK1044" t="str">
        <f>"CUNDINAMARCA"</f>
        <v>CUNDINAMARCA</v>
      </c>
      <c r="BL1044" t="str">
        <f>"MADRID"</f>
        <v>MADRID</v>
      </c>
      <c r="BM1044" t="str">
        <f t="shared" si="1259"/>
        <v>COLOMBIA</v>
      </c>
      <c r="BN1044" t="str">
        <f>"CUNDINAMARCA"</f>
        <v>CUNDINAMARCA</v>
      </c>
      <c r="BO1044" t="str">
        <f>"MADRID"</f>
        <v>MADRID</v>
      </c>
      <c r="BP1044" t="str">
        <f t="shared" si="1270"/>
        <v>BOGOTA</v>
      </c>
      <c r="BQ1044" t="str">
        <f t="shared" si="1270"/>
        <v>BOGOTA</v>
      </c>
    </row>
    <row r="1045" spans="1:69" x14ac:dyDescent="0.25">
      <c r="A1045" t="str">
        <f>"7279120"</f>
        <v>7279120</v>
      </c>
      <c r="B1045" t="str">
        <f t="shared" si="1250"/>
        <v>459</v>
      </c>
      <c r="C1045" t="str">
        <f>"30/01/2020 12:00:00 a. m."</f>
        <v>30/01/2020 12:00:00 a. m.</v>
      </c>
      <c r="D1045" t="str">
        <f>"03"</f>
        <v>03</v>
      </c>
      <c r="E1045" t="str">
        <f t="shared" si="1251"/>
        <v>2020</v>
      </c>
      <c r="F1045" t="str">
        <f>"1100116133"</f>
        <v>1100116133</v>
      </c>
      <c r="G1045" t="str">
        <f t="shared" si="1263"/>
        <v>01</v>
      </c>
      <c r="H1045" t="str">
        <f>"10"</f>
        <v>10</v>
      </c>
      <c r="I1045" t="str">
        <f t="shared" si="1264"/>
        <v>1</v>
      </c>
      <c r="J1045" t="str">
        <f>"F"</f>
        <v>F</v>
      </c>
      <c r="K1045" t="str">
        <f t="shared" si="1238"/>
        <v>170</v>
      </c>
      <c r="L1045" t="str">
        <f>"41"</f>
        <v>41</v>
      </c>
      <c r="M1045" t="str">
        <f>"359"</f>
        <v>359</v>
      </c>
      <c r="N1045" t="str">
        <f>"3"</f>
        <v>3</v>
      </c>
      <c r="O1045" t="str">
        <f>"9997"</f>
        <v>9997</v>
      </c>
      <c r="P1045" t="str">
        <f>"C"</f>
        <v>C</v>
      </c>
      <c r="Q1045" t="str">
        <f>"EPS044"</f>
        <v>EPS044</v>
      </c>
      <c r="R1045" t="str">
        <f t="shared" si="1248"/>
        <v>6</v>
      </c>
      <c r="S1045" t="str">
        <f>""</f>
        <v/>
      </c>
      <c r="T1045" t="str">
        <f t="shared" si="1249"/>
        <v xml:space="preserve">                                                                                                    </v>
      </c>
      <c r="U1045" t="str">
        <f>"1         "</f>
        <v xml:space="preserve">1         </v>
      </c>
      <c r="V1045" t="str">
        <f t="shared" si="1232"/>
        <v>2</v>
      </c>
      <c r="W1045" t="str">
        <f t="shared" si="1268"/>
        <v>2</v>
      </c>
      <c r="X1045" t="str">
        <f t="shared" si="1212"/>
        <v>2</v>
      </c>
      <c r="Y1045" t="str">
        <f t="shared" si="1265"/>
        <v>2</v>
      </c>
      <c r="Z1045" t="str">
        <f t="shared" si="1265"/>
        <v>2</v>
      </c>
      <c r="AA1045" t="str">
        <f t="shared" si="1252"/>
        <v xml:space="preserve">          </v>
      </c>
      <c r="AB1045" t="str">
        <f t="shared" si="1242"/>
        <v>2</v>
      </c>
      <c r="AC1045" t="str">
        <f t="shared" si="1234"/>
        <v>2</v>
      </c>
      <c r="AD1045" t="str">
        <f t="shared" si="1266"/>
        <v>2</v>
      </c>
      <c r="AE1045" t="str">
        <f t="shared" si="1266"/>
        <v>2</v>
      </c>
      <c r="AF1045" t="str">
        <f t="shared" si="1266"/>
        <v>2</v>
      </c>
      <c r="AG1045" t="str">
        <f t="shared" si="1266"/>
        <v>2</v>
      </c>
      <c r="AH1045" t="str">
        <f t="shared" si="1235"/>
        <v>1</v>
      </c>
      <c r="AI1045" t="str">
        <f>"1         "</f>
        <v xml:space="preserve">1         </v>
      </c>
      <c r="AJ1045" t="str">
        <f t="shared" si="1258"/>
        <v>170</v>
      </c>
      <c r="AK1045" t="str">
        <f>"41"</f>
        <v>41</v>
      </c>
      <c r="AL1045" t="str">
        <f>"359"</f>
        <v>359</v>
      </c>
      <c r="AM1045" t="str">
        <f>"11"</f>
        <v>11</v>
      </c>
      <c r="AN1045" t="str">
        <f>"11001"</f>
        <v>11001</v>
      </c>
      <c r="AO1045" t="str">
        <f>"15/01/2020 12:00:00 a. m."</f>
        <v>15/01/2020 12:00:00 a. m.</v>
      </c>
      <c r="AP1045" t="str">
        <f>"20/12/2019 12:00:00 a. m."</f>
        <v>20/12/2019 12:00:00 a. m.</v>
      </c>
      <c r="AQ1045" t="str">
        <f t="shared" si="1269"/>
        <v>3</v>
      </c>
      <c r="AR1045" t="str">
        <f t="shared" si="1267"/>
        <v>1</v>
      </c>
      <c r="AS1045" t="str">
        <f>"15/01/2020 12:00:00 a. m."</f>
        <v>15/01/2020 12:00:00 a. m.</v>
      </c>
      <c r="AT1045" t="str">
        <f t="shared" si="1261"/>
        <v>1</v>
      </c>
      <c r="AU1045" t="str">
        <f>""</f>
        <v/>
      </c>
      <c r="AV1045" t="str">
        <f>"7"</f>
        <v>7</v>
      </c>
      <c r="AW1045" t="str">
        <f>"17/08/2009 12:00:00 a. m."</f>
        <v>17/08/2009 12:00:00 a. m.</v>
      </c>
      <c r="AX1045" t="str">
        <f>""</f>
        <v/>
      </c>
      <c r="AY1045" t="str">
        <f t="shared" si="1253"/>
        <v>30/04/2021 12:00:00 a. m.</v>
      </c>
      <c r="AZ1045" t="str">
        <f>"4/02/2020 12:00:00 a. m."</f>
        <v>4/02/2020 12:00:00 a. m.</v>
      </c>
      <c r="BA1045" t="str">
        <f>""</f>
        <v/>
      </c>
      <c r="BB1045" t="str">
        <f>""</f>
        <v/>
      </c>
      <c r="BC1045" t="str">
        <f>""</f>
        <v/>
      </c>
      <c r="BD1045" t="str">
        <f t="shared" si="1245"/>
        <v>1</v>
      </c>
      <c r="BE1045" t="str">
        <f t="shared" si="1245"/>
        <v>1</v>
      </c>
      <c r="BF1045" t="str">
        <f t="shared" si="1254"/>
        <v xml:space="preserve">3         </v>
      </c>
      <c r="BG1045" t="str">
        <f t="shared" si="1255"/>
        <v>Confirmado por laboratorio</v>
      </c>
      <c r="BH1045" t="str">
        <f>"FUNDACION HOSPITAL INFANTIL UNIVERSITARIO DE SAN"</f>
        <v>FUNDACION HOSPITAL INFANTIL UNIVERSITARIO DE SAN</v>
      </c>
      <c r="BI1045" t="str">
        <f t="shared" si="1240"/>
        <v>COLOMBIA</v>
      </c>
      <c r="BJ1045" t="str">
        <f t="shared" si="1256"/>
        <v>CANCER INFANTIL</v>
      </c>
      <c r="BK1045" t="str">
        <f>"HUILA"</f>
        <v>HUILA</v>
      </c>
      <c r="BL1045" t="str">
        <f>"ISNOS (SAN JOSE DE ISNOS)"</f>
        <v>ISNOS (SAN JOSE DE ISNOS)</v>
      </c>
      <c r="BM1045" t="str">
        <f t="shared" si="1259"/>
        <v>COLOMBIA</v>
      </c>
      <c r="BN1045" t="str">
        <f>"HUILA"</f>
        <v>HUILA</v>
      </c>
      <c r="BO1045" t="str">
        <f>"ISNOS (SAN JOSE DE ISNOS)"</f>
        <v>ISNOS (SAN JOSE DE ISNOS)</v>
      </c>
      <c r="BP1045" t="str">
        <f t="shared" si="1270"/>
        <v>BOGOTA</v>
      </c>
      <c r="BQ1045" t="str">
        <f t="shared" si="1270"/>
        <v>BOGOTA</v>
      </c>
    </row>
    <row r="1046" spans="1:69" x14ac:dyDescent="0.25">
      <c r="A1046" t="str">
        <f>"7279211"</f>
        <v>7279211</v>
      </c>
      <c r="B1046" t="str">
        <f t="shared" si="1250"/>
        <v>459</v>
      </c>
      <c r="C1046" t="str">
        <f>"5/05/2020 12:00:00 a. m."</f>
        <v>5/05/2020 12:00:00 a. m.</v>
      </c>
      <c r="D1046" t="str">
        <f>"17"</f>
        <v>17</v>
      </c>
      <c r="E1046" t="str">
        <f t="shared" si="1251"/>
        <v>2020</v>
      </c>
      <c r="F1046" t="str">
        <f>"6827601666"</f>
        <v>6827601666</v>
      </c>
      <c r="G1046" t="str">
        <f t="shared" si="1263"/>
        <v>01</v>
      </c>
      <c r="H1046" t="str">
        <f>"15"</f>
        <v>15</v>
      </c>
      <c r="I1046" t="str">
        <f t="shared" si="1264"/>
        <v>1</v>
      </c>
      <c r="J1046" t="str">
        <f>"M"</f>
        <v>M</v>
      </c>
      <c r="K1046" t="str">
        <f t="shared" si="1238"/>
        <v>170</v>
      </c>
      <c r="L1046" t="str">
        <f>"81"</f>
        <v>81</v>
      </c>
      <c r="M1046" t="str">
        <f>"001"</f>
        <v>001</v>
      </c>
      <c r="N1046" t="str">
        <f>"1"</f>
        <v>1</v>
      </c>
      <c r="O1046" t="str">
        <f>"9997"</f>
        <v>9997</v>
      </c>
      <c r="P1046" t="str">
        <f>"C"</f>
        <v>C</v>
      </c>
      <c r="Q1046" t="str">
        <f>"EPS005"</f>
        <v>EPS005</v>
      </c>
      <c r="R1046" t="str">
        <f t="shared" si="1248"/>
        <v>6</v>
      </c>
      <c r="S1046" t="str">
        <f>""</f>
        <v/>
      </c>
      <c r="T1046" t="str">
        <f t="shared" si="1249"/>
        <v xml:space="preserve">                                                                                                    </v>
      </c>
      <c r="U1046" t="str">
        <f>"3         "</f>
        <v xml:space="preserve">3         </v>
      </c>
      <c r="V1046" t="str">
        <f t="shared" si="1232"/>
        <v>2</v>
      </c>
      <c r="W1046" t="str">
        <f t="shared" si="1268"/>
        <v>2</v>
      </c>
      <c r="X1046" t="str">
        <f t="shared" si="1212"/>
        <v>2</v>
      </c>
      <c r="Y1046" t="str">
        <f t="shared" si="1265"/>
        <v>2</v>
      </c>
      <c r="Z1046" t="str">
        <f t="shared" si="1265"/>
        <v>2</v>
      </c>
      <c r="AA1046" t="str">
        <f t="shared" si="1252"/>
        <v xml:space="preserve">          </v>
      </c>
      <c r="AB1046" t="str">
        <f t="shared" si="1242"/>
        <v>2</v>
      </c>
      <c r="AC1046" t="str">
        <f t="shared" si="1234"/>
        <v>2</v>
      </c>
      <c r="AD1046" t="str">
        <f t="shared" si="1266"/>
        <v>2</v>
      </c>
      <c r="AE1046" t="str">
        <f t="shared" si="1266"/>
        <v>2</v>
      </c>
      <c r="AF1046" t="str">
        <f t="shared" si="1266"/>
        <v>2</v>
      </c>
      <c r="AG1046" t="str">
        <f t="shared" si="1266"/>
        <v>2</v>
      </c>
      <c r="AH1046" t="str">
        <f t="shared" si="1235"/>
        <v>1</v>
      </c>
      <c r="AI1046" t="str">
        <f>"2         "</f>
        <v xml:space="preserve">2         </v>
      </c>
      <c r="AJ1046" t="str">
        <f t="shared" si="1258"/>
        <v>170</v>
      </c>
      <c r="AK1046" t="str">
        <f>"81"</f>
        <v>81</v>
      </c>
      <c r="AL1046" t="str">
        <f>"001"</f>
        <v>001</v>
      </c>
      <c r="AM1046" t="str">
        <f>"68"</f>
        <v>68</v>
      </c>
      <c r="AN1046" t="str">
        <f>"68276"</f>
        <v>68276</v>
      </c>
      <c r="AO1046" t="str">
        <f>"20/04/2020 12:00:00 a. m."</f>
        <v>20/04/2020 12:00:00 a. m.</v>
      </c>
      <c r="AP1046" t="str">
        <f>"20/02/2020 12:00:00 a. m."</f>
        <v>20/02/2020 12:00:00 a. m.</v>
      </c>
      <c r="AQ1046" t="str">
        <f t="shared" si="1269"/>
        <v>3</v>
      </c>
      <c r="AR1046" t="str">
        <f>"2"</f>
        <v>2</v>
      </c>
      <c r="AS1046" t="str">
        <f>""</f>
        <v/>
      </c>
      <c r="AT1046" t="str">
        <f t="shared" si="1261"/>
        <v>1</v>
      </c>
      <c r="AU1046" t="str">
        <f>""</f>
        <v/>
      </c>
      <c r="AV1046" t="str">
        <f>"7"</f>
        <v>7</v>
      </c>
      <c r="AW1046" t="str">
        <f>"17/05/2004 12:00:00 a. m."</f>
        <v>17/05/2004 12:00:00 a. m.</v>
      </c>
      <c r="AX1046" t="str">
        <f>""</f>
        <v/>
      </c>
      <c r="AY1046" t="str">
        <f t="shared" si="1253"/>
        <v>30/04/2021 12:00:00 a. m.</v>
      </c>
      <c r="AZ1046" t="str">
        <f>"8/02/2021 12:00:00 a. m."</f>
        <v>8/02/2021 12:00:00 a. m.</v>
      </c>
      <c r="BA1046" t="str">
        <f>""</f>
        <v/>
      </c>
      <c r="BB1046" t="str">
        <f>""</f>
        <v/>
      </c>
      <c r="BC1046" t="str">
        <f>""</f>
        <v/>
      </c>
      <c r="BD1046" t="str">
        <f t="shared" si="1245"/>
        <v>1</v>
      </c>
      <c r="BE1046" t="str">
        <f t="shared" si="1245"/>
        <v>1</v>
      </c>
      <c r="BF1046" t="str">
        <f t="shared" si="1254"/>
        <v xml:space="preserve">3         </v>
      </c>
      <c r="BG1046" t="str">
        <f t="shared" si="1255"/>
        <v>Confirmado por laboratorio</v>
      </c>
      <c r="BH1046" t="str">
        <f>"FUNDACION OFTALMOLOGICA DE SDER FOSCAL"</f>
        <v>FUNDACION OFTALMOLOGICA DE SDER FOSCAL</v>
      </c>
      <c r="BI1046" t="str">
        <f t="shared" si="1240"/>
        <v>COLOMBIA</v>
      </c>
      <c r="BJ1046" t="str">
        <f t="shared" si="1256"/>
        <v>CANCER INFANTIL</v>
      </c>
      <c r="BK1046" t="str">
        <f>"ARAUCA"</f>
        <v>ARAUCA</v>
      </c>
      <c r="BL1046" t="str">
        <f>"ARAUCA"</f>
        <v>ARAUCA</v>
      </c>
      <c r="BM1046" t="str">
        <f t="shared" si="1259"/>
        <v>COLOMBIA</v>
      </c>
      <c r="BN1046" t="str">
        <f>"ARAUCA"</f>
        <v>ARAUCA</v>
      </c>
      <c r="BO1046" t="str">
        <f>"ARAUCA"</f>
        <v>ARAUCA</v>
      </c>
      <c r="BP1046" t="str">
        <f>"SANTANDER"</f>
        <v>SANTANDER</v>
      </c>
      <c r="BQ1046" t="str">
        <f>"FLORIDABLANCA"</f>
        <v>FLORIDABLANCA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0F91848CF9094BA24D6F72AB1C19A5" ma:contentTypeVersion="6" ma:contentTypeDescription="Crear nuevo documento." ma:contentTypeScope="" ma:versionID="bf84041898f97bbb3620e7c73ddc17ce">
  <xsd:schema xmlns:xsd="http://www.w3.org/2001/XMLSchema" xmlns:xs="http://www.w3.org/2001/XMLSchema" xmlns:p="http://schemas.microsoft.com/office/2006/metadata/properties" xmlns:ns2="15e79875-c2c7-4912-a4ff-3f4c34816e1e" xmlns:ns3="34c1d962-c586-43d3-9fbb-c95e9d915fa3" targetNamespace="http://schemas.microsoft.com/office/2006/metadata/properties" ma:root="true" ma:fieldsID="910e7ac39d5e849160b7623cdda64ce0" ns2:_="" ns3:_="">
    <xsd:import namespace="15e79875-c2c7-4912-a4ff-3f4c34816e1e"/>
    <xsd:import namespace="34c1d962-c586-43d3-9fbb-c95e9d915fa3"/>
    <xsd:element name="properties">
      <xsd:complexType>
        <xsd:sequence>
          <xsd:element name="documentManagement">
            <xsd:complexType>
              <xsd:all>
                <xsd:element ref="ns2:A_x00f1_o" minOccurs="0"/>
                <xsd:element ref="ns2:CodigoEvento" minOccurs="0"/>
                <xsd:element ref="ns2:NombreEvento" minOccurs="0"/>
                <xsd:element ref="ns2:Evento" minOccurs="0"/>
                <xsd:element ref="ns2:Descripcion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79875-c2c7-4912-a4ff-3f4c34816e1e" elementFormDefault="qualified">
    <xsd:import namespace="http://schemas.microsoft.com/office/2006/documentManagement/types"/>
    <xsd:import namespace="http://schemas.microsoft.com/office/infopath/2007/PartnerControls"/>
    <xsd:element name="A_x00f1_o" ma:index="8" nillable="true" ma:displayName="Año" ma:internalName="A_x00f1_o">
      <xsd:simpleType>
        <xsd:restriction base="dms:Text">
          <xsd:maxLength value="255"/>
        </xsd:restriction>
      </xsd:simpleType>
    </xsd:element>
    <xsd:element name="CodigoEvento" ma:index="9" nillable="true" ma:displayName="CodigoEvento" ma:internalName="CodigoEvento">
      <xsd:simpleType>
        <xsd:restriction base="dms:Text">
          <xsd:maxLength value="255"/>
        </xsd:restriction>
      </xsd:simpleType>
    </xsd:element>
    <xsd:element name="NombreEvento" ma:index="10" nillable="true" ma:displayName="NombreEvento" ma:internalName="NombreEvento">
      <xsd:simpleType>
        <xsd:restriction base="dms:Text">
          <xsd:maxLength value="255"/>
        </xsd:restriction>
      </xsd:simpleType>
    </xsd:element>
    <xsd:element name="Evento" ma:index="11" nillable="true" ma:displayName="Evento" ma:default="Zika" ma:format="Dropdown" ma:internalName="Evento">
      <xsd:simpleType>
        <xsd:restriction base="dms:Choice">
          <xsd:enumeration value="Zika"/>
          <xsd:enumeration value="Dengue"/>
          <xsd:enumeration value="xxx"/>
        </xsd:restriction>
      </xsd:simpleType>
    </xsd:element>
    <xsd:element name="Descripcion" ma:index="12" nillable="true" ma:displayName="Descripcio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1d962-c586-43d3-9fbb-c95e9d915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_x00f1_o xmlns="15e79875-c2c7-4912-a4ff-3f4c34816e1e">2020</A_x00f1_o>
    <CodigoEvento xmlns="15e79875-c2c7-4912-a4ff-3f4c34816e1e">459</CodigoEvento>
    <Descripcion xmlns="15e79875-c2c7-4912-a4ff-3f4c34816e1e">Aquí encontrara las bases de datos depuradas, nominales y sin datos de identificación personal de los eventos de interés en salud pública disponibles desde el año 2007 en adelante.</Descripcion>
    <NombreEvento xmlns="15e79875-c2c7-4912-a4ff-3f4c34816e1e">Cáncer Infantil</NombreEvento>
    <Evento xmlns="15e79875-c2c7-4912-a4ff-3f4c34816e1e">Zika</Evento>
  </documentManagement>
</p:properties>
</file>

<file path=customXml/itemProps1.xml><?xml version="1.0" encoding="utf-8"?>
<ds:datastoreItem xmlns:ds="http://schemas.openxmlformats.org/officeDocument/2006/customXml" ds:itemID="{396767E8-267E-4B2F-B419-7FEE3710A912}"/>
</file>

<file path=customXml/itemProps2.xml><?xml version="1.0" encoding="utf-8"?>
<ds:datastoreItem xmlns:ds="http://schemas.openxmlformats.org/officeDocument/2006/customXml" ds:itemID="{62D2CDDC-5143-4D6D-83EA-C2397A0B19C7}"/>
</file>

<file path=customXml/itemProps3.xml><?xml version="1.0" encoding="utf-8"?>
<ds:datastoreItem xmlns:ds="http://schemas.openxmlformats.org/officeDocument/2006/customXml" ds:itemID="{EAFD5599-82B9-466E-919D-10355DE0C8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Eduardo Casallas Bedoya</cp:lastModifiedBy>
  <dcterms:modified xsi:type="dcterms:W3CDTF">2026-08-06T21:04:32Z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0x0101000E0F91848CF9094BA24D6F72AB1C19A5</vt:lpwstr>
  </property>
</Properties>
</file>